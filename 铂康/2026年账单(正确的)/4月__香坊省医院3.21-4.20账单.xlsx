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7" activeTab="43"/>
  </bookViews>
  <sheets>
    <sheet name="16病区" sheetId="1" r:id="rId1"/>
    <sheet name="NICU（9楼 新生儿）" sheetId="2" r:id="rId2"/>
    <sheet name="产科" sheetId="3" r:id="rId3"/>
    <sheet name="超声介入" sheetId="4" r:id="rId4"/>
    <sheet name="导管室" sheetId="5" r:id="rId5"/>
    <sheet name="耳病" sheetId="6" r:id="rId6"/>
    <sheet name="耳科门诊" sheetId="7" r:id="rId7"/>
    <sheet name="分娩室" sheetId="8" r:id="rId8"/>
    <sheet name="妇科病房" sheetId="9" r:id="rId9"/>
    <sheet name="妇科宫腔镜" sheetId="10" r:id="rId10"/>
    <sheet name="妇科门诊" sheetId="11" r:id="rId11"/>
    <sheet name="妇科阴道镜" sheetId="12" r:id="rId12"/>
    <sheet name="肛肠门诊" sheetId="13" r:id="rId13"/>
    <sheet name="供应室" sheetId="14" r:id="rId14"/>
    <sheet name="骨二肛肠甲乳外（20病区）" sheetId="15" r:id="rId15"/>
    <sheet name="骨外三" sheetId="16" r:id="rId16"/>
    <sheet name="骨外一" sheetId="17" r:id="rId17"/>
    <sheet name="呼吸内科" sheetId="18" r:id="rId18"/>
    <sheet name="急诊病房" sheetId="19" r:id="rId19"/>
    <sheet name="急诊科" sheetId="20" r:id="rId20"/>
    <sheet name="老年呼吸科" sheetId="21" r:id="rId21"/>
    <sheet name="麻醉科" sheetId="22" r:id="rId22"/>
    <sheet name="门诊手术室" sheetId="23" r:id="rId23"/>
    <sheet name="泌外11楼（泌外一 二 三）" sheetId="24" r:id="rId24"/>
    <sheet name="泌外12楼（泌外四 ）" sheetId="25" r:id="rId25"/>
    <sheet name="内分泌" sheetId="26" r:id="rId26"/>
    <sheet name="皮肤病房" sheetId="27" r:id="rId27"/>
    <sheet name="皮肤门诊" sheetId="28" r:id="rId28"/>
    <sheet name="普外二" sheetId="29" r:id="rId29"/>
    <sheet name="普外三" sheetId="30" r:id="rId30"/>
    <sheet name="普外三消化三" sheetId="31" r:id="rId31"/>
    <sheet name="备注" sheetId="57" r:id="rId32"/>
    <sheet name="普外一" sheetId="32" r:id="rId33"/>
    <sheet name="腔镜室" sheetId="33" r:id="rId34"/>
    <sheet name="全科医疗" sheetId="34" r:id="rId35"/>
    <sheet name="日间病房" sheetId="35" r:id="rId36"/>
    <sheet name="伤口造口" sheetId="36" r:id="rId37"/>
    <sheet name="烧伤科" sheetId="37" r:id="rId38"/>
    <sheet name="神内一" sheetId="38" r:id="rId39"/>
    <sheet name="神外二" sheetId="39" r:id="rId40"/>
    <sheet name="神外一" sheetId="40" r:id="rId41"/>
    <sheet name="肾内科" sheetId="41" r:id="rId42"/>
    <sheet name="生殖医学科" sheetId="42" r:id="rId43"/>
    <sheet name="手术室" sheetId="43" r:id="rId44"/>
    <sheet name="透析科" sheetId="45" r:id="rId45"/>
    <sheet name="心血管内科" sheetId="46" r:id="rId46"/>
    <sheet name="胸外" sheetId="47" r:id="rId47"/>
    <sheet name="血液 " sheetId="48" r:id="rId48"/>
    <sheet name="眼科病房" sheetId="49" r:id="rId49"/>
    <sheet name="眼科门诊" sheetId="50" r:id="rId50"/>
    <sheet name="眼科手术室" sheetId="51" r:id="rId51"/>
    <sheet name="整形病房" sheetId="52" r:id="rId52"/>
    <sheet name="整形门诊" sheetId="53" r:id="rId53"/>
    <sheet name="中西医结合" sheetId="54" r:id="rId54"/>
    <sheet name="肿瘤科" sheetId="55" r:id="rId55"/>
    <sheet name="重症医学科（ICU）" sheetId="56" r:id="rId56"/>
  </sheets>
  <definedNames>
    <definedName name="_xlnm._FilterDatabase" localSheetId="3" hidden="1">超声介入!$A$7:$M$43</definedName>
    <definedName name="_xlnm._FilterDatabase" localSheetId="5" hidden="1">耳病!$A$7:$M$118</definedName>
    <definedName name="_xlnm._FilterDatabase" localSheetId="6" hidden="1">耳科门诊!$A$7:$M$113</definedName>
    <definedName name="_xlnm._FilterDatabase" localSheetId="8" hidden="1">妇科病房!$A$7:$M$80</definedName>
    <definedName name="_xlnm._FilterDatabase" localSheetId="9" hidden="1">妇科宫腔镜!$A$7:$M$188</definedName>
    <definedName name="_xlnm._FilterDatabase" localSheetId="10" hidden="1">妇科门诊!$A$7:$M$74</definedName>
    <definedName name="_xlnm._FilterDatabase" localSheetId="12" hidden="1">肛肠门诊!$A$7:$M$23</definedName>
    <definedName name="_xlnm._FilterDatabase" localSheetId="14" hidden="1">'骨二肛肠甲乳外（20病区）'!$A$7:$M$27</definedName>
    <definedName name="_xlnm._FilterDatabase" localSheetId="19" hidden="1">急诊科!$A$7:$M$42</definedName>
    <definedName name="_xlnm._FilterDatabase" localSheetId="22" hidden="1">门诊手术室!$A$7:$M$46</definedName>
    <definedName name="_xlnm._FilterDatabase" localSheetId="23" hidden="1">'泌外11楼（泌外一 二 三）'!$A$7:$M$29</definedName>
    <definedName name="_xlnm._FilterDatabase" localSheetId="24" hidden="1">'泌外12楼（泌外四 ）'!$A$7:$M$52</definedName>
    <definedName name="_xlnm._FilterDatabase" localSheetId="27" hidden="1">皮肤门诊!$A$7:$M$27</definedName>
    <definedName name="_xlnm._FilterDatabase" localSheetId="36" hidden="1">伤口造口!$A$7:$M$74</definedName>
    <definedName name="_xlnm._FilterDatabase" localSheetId="40" hidden="1">神外一!$A$7:$M$59</definedName>
    <definedName name="_xlnm._FilterDatabase" localSheetId="42" hidden="1">生殖医学科!$A$7:$M$46</definedName>
    <definedName name="_xlnm._FilterDatabase" localSheetId="43" hidden="1">手术室!$A$7:$M$1682</definedName>
    <definedName name="_xlnm._FilterDatabase" localSheetId="46" hidden="1">胸外!$A$7:$M$34</definedName>
    <definedName name="_xlnm._FilterDatabase" localSheetId="48" hidden="1">眼科病房!$A$7:$M$43</definedName>
    <definedName name="_xlnm._FilterDatabase" localSheetId="49" hidden="1">眼科门诊!$A$7:$M$53</definedName>
    <definedName name="_xlnm._FilterDatabase" localSheetId="50" hidden="1">眼科手术室!$A$7:$M$31</definedName>
    <definedName name="_xlnm._FilterDatabase" localSheetId="51" hidden="1">整形病房!$A$7:$M$55</definedName>
    <definedName name="_xlnm._FilterDatabase" localSheetId="52" hidden="1">整形门诊!$A$7:$M$89</definedName>
    <definedName name="_xlnm.Print_Titles" localSheetId="0">'16病区'!$1:$6</definedName>
    <definedName name="_xlnm.Print_Titles" localSheetId="1">'NICU（9楼 新生儿）'!$1:$6</definedName>
    <definedName name="_xlnm.Print_Titles" localSheetId="2">产科!$1:$6</definedName>
    <definedName name="_xlnm.Print_Titles" localSheetId="3">超声介入!$1:$6</definedName>
    <definedName name="_xlnm.Print_Titles" localSheetId="4">导管室!$1:$6</definedName>
    <definedName name="_xlnm.Print_Titles" localSheetId="5">耳病!$1:$6</definedName>
    <definedName name="_xlnm.Print_Titles" localSheetId="6">耳科门诊!$1:$6</definedName>
    <definedName name="_xlnm.Print_Titles" localSheetId="7">分娩室!$1:$6</definedName>
    <definedName name="_xlnm.Print_Titles" localSheetId="8">妇科病房!$1:$6</definedName>
    <definedName name="_xlnm.Print_Titles" localSheetId="9">妇科宫腔镜!$1:$6</definedName>
    <definedName name="_xlnm.Print_Titles" localSheetId="10">妇科门诊!$1:$6</definedName>
    <definedName name="_xlnm.Print_Titles" localSheetId="11">妇科阴道镜!$1:$6</definedName>
    <definedName name="_xlnm.Print_Titles" localSheetId="12">肛肠门诊!$1:$6</definedName>
    <definedName name="_xlnm.Print_Titles" localSheetId="13">供应室!$1:$6</definedName>
    <definedName name="_xlnm.Print_Titles" localSheetId="14">'骨二肛肠甲乳外（20病区）'!$1:$6</definedName>
    <definedName name="_xlnm.Print_Titles" localSheetId="15">骨外三!$1:$6</definedName>
    <definedName name="_xlnm.Print_Titles" localSheetId="16">骨外一!$1:$6</definedName>
    <definedName name="_xlnm.Print_Titles" localSheetId="17">呼吸内科!$1:$6</definedName>
    <definedName name="_xlnm.Print_Titles" localSheetId="18">急诊病房!$1:$6</definedName>
    <definedName name="_xlnm.Print_Titles" localSheetId="19">急诊科!$1:$6</definedName>
    <definedName name="_xlnm.Print_Titles" localSheetId="20">老年呼吸科!$1:$6</definedName>
    <definedName name="_xlnm.Print_Titles" localSheetId="21">麻醉科!$1:$6</definedName>
    <definedName name="_xlnm.Print_Titles" localSheetId="22">门诊手术室!$1:$6</definedName>
    <definedName name="_xlnm.Print_Titles" localSheetId="23">'泌外11楼（泌外一 二 三）'!$1:$6</definedName>
    <definedName name="_xlnm.Print_Titles" localSheetId="24">'泌外12楼（泌外四 ）'!$1:$6</definedName>
    <definedName name="_xlnm.Print_Titles" localSheetId="25">内分泌!$1:$6</definedName>
    <definedName name="_xlnm.Print_Titles" localSheetId="26">皮肤病房!$1:$6</definedName>
    <definedName name="_xlnm.Print_Titles" localSheetId="27">皮肤门诊!$1:$6</definedName>
    <definedName name="_xlnm.Print_Titles" localSheetId="28">普外二!$1:$6</definedName>
    <definedName name="_xlnm.Print_Titles" localSheetId="29">普外三!$1:$6</definedName>
    <definedName name="_xlnm.Print_Titles" localSheetId="30">普外三消化三!$1:$6</definedName>
    <definedName name="_xlnm.Print_Titles" localSheetId="32">普外一!$1:$6</definedName>
    <definedName name="_xlnm.Print_Titles" localSheetId="33">腔镜室!$1:$6</definedName>
    <definedName name="_xlnm.Print_Titles" localSheetId="34">全科医疗!$1:$6</definedName>
    <definedName name="_xlnm.Print_Titles" localSheetId="35">日间病房!$1:$6</definedName>
    <definedName name="_xlnm.Print_Titles" localSheetId="36">伤口造口!$1:$6</definedName>
    <definedName name="_xlnm.Print_Titles" localSheetId="37">烧伤科!$1:$6</definedName>
    <definedName name="_xlnm.Print_Titles" localSheetId="38">神内一!$1:$6</definedName>
    <definedName name="_xlnm.Print_Titles" localSheetId="39">神外二!$1:$6</definedName>
    <definedName name="_xlnm.Print_Titles" localSheetId="40">神外一!$1:$6</definedName>
    <definedName name="_xlnm.Print_Titles" localSheetId="41">肾内科!$1:$6</definedName>
    <definedName name="_xlnm.Print_Titles" localSheetId="42">生殖医学科!$1:$6</definedName>
    <definedName name="_xlnm.Print_Titles" localSheetId="43">手术室!$1:$6</definedName>
    <definedName name="_xlnm.Print_Titles" localSheetId="44">透析科!$1:$6</definedName>
    <definedName name="_xlnm.Print_Titles" localSheetId="45">心血管内科!$1:$6</definedName>
    <definedName name="_xlnm.Print_Titles" localSheetId="46">胸外!$1:$6</definedName>
    <definedName name="_xlnm.Print_Titles" localSheetId="47">'血液 '!$1:$6</definedName>
    <definedName name="_xlnm.Print_Titles" localSheetId="48">眼科病房!$1:$6</definedName>
    <definedName name="_xlnm.Print_Titles" localSheetId="49">眼科门诊!$1:$6</definedName>
    <definedName name="_xlnm.Print_Titles" localSheetId="50">眼科手术室!$1:$6</definedName>
    <definedName name="_xlnm.Print_Titles" localSheetId="51">整形病房!$1:$6</definedName>
    <definedName name="_xlnm.Print_Titles" localSheetId="52">整形门诊!$1:$6</definedName>
    <definedName name="_xlnm.Print_Titles" localSheetId="53">中西医结合!$1:$6</definedName>
    <definedName name="_xlnm.Print_Titles" localSheetId="54">肿瘤科!$1:$6</definedName>
    <definedName name="_xlnm.Print_Titles" localSheetId="55">'重症医学科（ICU）'!$1:$6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<sst xmlns="http://schemas.openxmlformats.org/spreadsheetml/2006/main" count="10701" uniqueCount="587">
  <si>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</si>
  <si>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</si>
  <si>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</si>
  <si>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黑龙江省医院（香坊院区）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</si>
  <si>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</si>
  <si>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</si>
  <si>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</si>
  <si>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</si>
  <si>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</si>
  <si>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</si>
  <si>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</si>
  <si>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</si>
  <si>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</si>
  <si>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</si>
  <si>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16病区</t>
  </si>
  <si>
    <t>额外包(低温等离子)</t>
  </si>
  <si>
    <t>喉镜片-1（低温）/Z1026</t>
  </si>
  <si>
    <t xml:space="preserve">低温纸塑袋100*260 </t>
  </si>
  <si>
    <t>喉镜手柄（过氧化氢）-1/z1526</t>
  </si>
  <si>
    <t xml:space="preserve">低温纸塑袋150*260 </t>
  </si>
  <si>
    <t>额外包(纸塑袋)</t>
  </si>
  <si>
    <t>开口器-1/z1026</t>
  </si>
  <si>
    <t xml:space="preserve">高温纸塑袋100*260 </t>
  </si>
  <si>
    <t>NICU（9楼 新生儿）</t>
  </si>
  <si>
    <t>额外包(ETO)</t>
  </si>
  <si>
    <t>正压通气管路-1/z3040</t>
  </si>
  <si>
    <t xml:space="preserve">高温纸塑袋300*400 </t>
  </si>
  <si>
    <t>产科</t>
  </si>
  <si>
    <t>镊子-1/z7530</t>
  </si>
  <si>
    <t xml:space="preserve">高温纸塑袋75*300 </t>
  </si>
  <si>
    <t>舌钳子-1/z1526</t>
  </si>
  <si>
    <t xml:space="preserve">高温纸塑袋150*260 </t>
  </si>
  <si>
    <t>压舌板-1/z7526</t>
  </si>
  <si>
    <t xml:space="preserve">高温纸塑袋75*260 </t>
  </si>
  <si>
    <t>止血钳-1/z1029</t>
  </si>
  <si>
    <t xml:space="preserve">高温纸塑袋100*290 </t>
  </si>
  <si>
    <t>喉镜片-3（过氧化氢）/Z1526</t>
  </si>
  <si>
    <t>简易呼吸器（呼吸气囊）EO-1套/z3060</t>
  </si>
  <si>
    <t xml:space="preserve">高温纸塑袋300*600 </t>
  </si>
  <si>
    <t>引产包-3/Z1026</t>
  </si>
  <si>
    <t>超声介入</t>
  </si>
  <si>
    <t>穿刺架-1/z1029</t>
  </si>
  <si>
    <t>额外包(棉布包装)</t>
  </si>
  <si>
    <t>换药缸-2/W6050</t>
  </si>
  <si>
    <t xml:space="preserve">无纺布-60×60-50g </t>
  </si>
  <si>
    <t>导管室</t>
  </si>
  <si>
    <t>持针器-1/z1026</t>
  </si>
  <si>
    <t>器械包(ZSD)</t>
  </si>
  <si>
    <t>器械包-7件</t>
  </si>
  <si>
    <t xml:space="preserve">无纺布-60×60-50g. </t>
  </si>
  <si>
    <t>器械包-14件</t>
  </si>
  <si>
    <t>耳病</t>
  </si>
  <si>
    <t>鼻镜-3/z1530</t>
  </si>
  <si>
    <t xml:space="preserve">高温纸塑袋150*300 </t>
  </si>
  <si>
    <t>鼻镜-4/z2032</t>
  </si>
  <si>
    <t xml:space="preserve">高温纸塑袋200*320 </t>
  </si>
  <si>
    <t>镊子-3/z1535</t>
  </si>
  <si>
    <t xml:space="preserve">高温纸塑袋150*350 </t>
  </si>
  <si>
    <t>镊子-5件/z1535</t>
  </si>
  <si>
    <t>吸引器头-4/z7526</t>
  </si>
  <si>
    <t>镊子-4/z7530</t>
  </si>
  <si>
    <t>换药缸-4/w7050</t>
  </si>
  <si>
    <t xml:space="preserve">无纺布-70×70-50g </t>
  </si>
  <si>
    <t>鼻镜-5/z2032</t>
  </si>
  <si>
    <t>间接喉镜-5/z1029</t>
  </si>
  <si>
    <t>额外包(无纺布)</t>
  </si>
  <si>
    <t>扁桃包-12件/W6050</t>
  </si>
  <si>
    <t>间接喉镜-3/z7530</t>
  </si>
  <si>
    <t>吸引器头-2/z1026</t>
  </si>
  <si>
    <t>小剪刀-1/z7526</t>
  </si>
  <si>
    <t>剪刀-1/Z1029</t>
  </si>
  <si>
    <t>吸引器头-5/z1026</t>
  </si>
  <si>
    <t>鼻镜-6/w6050</t>
  </si>
  <si>
    <t>镊子-2/Z7526</t>
  </si>
  <si>
    <t>吸引器头-3/z1026</t>
  </si>
  <si>
    <t>间接喉镜-2/z1029</t>
  </si>
  <si>
    <t>耵聍钩-1/z7526</t>
  </si>
  <si>
    <t>间接喉镜-4/z1530</t>
  </si>
  <si>
    <t>镊子-6/z1535</t>
  </si>
  <si>
    <t>耳科门诊</t>
  </si>
  <si>
    <t>前鼻镜-4/z1530</t>
  </si>
  <si>
    <t>前鼻镜-6/z2032</t>
  </si>
  <si>
    <t>无菌缸-14/W9050</t>
  </si>
  <si>
    <t xml:space="preserve">无纺布-90×90-50g </t>
  </si>
  <si>
    <t>前鼻镜-3/z1530</t>
  </si>
  <si>
    <t>吸引器头-2/Z7526</t>
  </si>
  <si>
    <t>敷料包(纸塑袋)</t>
  </si>
  <si>
    <t>耳纱/Z1026</t>
  </si>
  <si>
    <t>异物钳（高温）-1/z2032</t>
  </si>
  <si>
    <t>吸引器头-1/z7526</t>
  </si>
  <si>
    <t>喉滴入针-1/z7526</t>
  </si>
  <si>
    <t>吸头-7/Z1026</t>
  </si>
  <si>
    <t>喉异物钳-1/z1530</t>
  </si>
  <si>
    <t>分娩室</t>
  </si>
  <si>
    <t>正常产包-8件</t>
  </si>
  <si>
    <t>胎头吸引器-1/z2045</t>
  </si>
  <si>
    <t xml:space="preserve">低温纸塑袋200*450 </t>
  </si>
  <si>
    <t>简易呼吸器（呼吸气囊）低温-1套/z3060</t>
  </si>
  <si>
    <t xml:space="preserve">低温纸塑袋300*600 </t>
  </si>
  <si>
    <t>卵圆钳-2/z2035</t>
  </si>
  <si>
    <t xml:space="preserve">高温纸塑袋200*350 </t>
  </si>
  <si>
    <t>刮宫包-13件</t>
  </si>
  <si>
    <t>阴道拉钩-2/z2032</t>
  </si>
  <si>
    <t>妇科病房</t>
  </si>
  <si>
    <t>大镊子-1/z7534</t>
  </si>
  <si>
    <t xml:space="preserve">高温纸塑袋75*340 </t>
  </si>
  <si>
    <t>宫颈钳-1/z1535</t>
  </si>
  <si>
    <t>扩棒（3号）-1件/z7526</t>
  </si>
  <si>
    <t>扩棒（4号）-1件/z7526</t>
  </si>
  <si>
    <t>扩棒（5.5号）-1/z7526</t>
  </si>
  <si>
    <t>扩棒（5号）-1/z7526</t>
  </si>
  <si>
    <t>取物钳-1/z2060</t>
  </si>
  <si>
    <t xml:space="preserve">高温纸塑袋200*600 </t>
  </si>
  <si>
    <t>切开-8件/W6050</t>
  </si>
  <si>
    <t>人流包</t>
  </si>
  <si>
    <t>宫颈治疗</t>
  </si>
  <si>
    <t>吸头（7号）-1/z7534</t>
  </si>
  <si>
    <t>吸头（5号）-1/z7534</t>
  </si>
  <si>
    <t>扩棒-4件/z1026</t>
  </si>
  <si>
    <t>吸头（8号）-1/z7534</t>
  </si>
  <si>
    <t>妇科宫腔镜</t>
  </si>
  <si>
    <t>吸头（6号）-1/z7534</t>
  </si>
  <si>
    <t>扩棒（7.5 8 8.5 9 ）-4件/z1026</t>
  </si>
  <si>
    <t>取环器-1/z1535</t>
  </si>
  <si>
    <t>电切镜套管-4件/z2045</t>
  </si>
  <si>
    <t>镜鞘-2件/z1550</t>
  </si>
  <si>
    <t xml:space="preserve">低温纸塑袋150*500 </t>
  </si>
  <si>
    <t>镜头-1（盒1）/Z2060</t>
  </si>
  <si>
    <t xml:space="preserve">低温纸塑袋200*600 </t>
  </si>
  <si>
    <t>镜头-2（盒1）/Z2060</t>
  </si>
  <si>
    <t>水管-1/w7050</t>
  </si>
  <si>
    <t>器械包(低温等离子)</t>
  </si>
  <si>
    <t>宫腔镜（蓝）7号-4件/W905050</t>
  </si>
  <si>
    <t>宫腔镜-7/w9050</t>
  </si>
  <si>
    <t>扩棒（5.5 6 6.5 7）-4件/z1026</t>
  </si>
  <si>
    <t>扩棒（7.5 8 8.5 9 9.5）-5件/z1026</t>
  </si>
  <si>
    <t>刮勺-1/z7530</t>
  </si>
  <si>
    <t>扩棒 5  5.5 -2件/Z7526</t>
  </si>
  <si>
    <t>取环钩-1/z7537</t>
  </si>
  <si>
    <t xml:space="preserve">高温纸塑袋75*370 </t>
  </si>
  <si>
    <t>卵圆钳-1/z1535</t>
  </si>
  <si>
    <t>接头-1/z1026</t>
  </si>
  <si>
    <t>扩棒（8 8.5 9 9.5）-4件/z1026</t>
  </si>
  <si>
    <t>大弯钳-1/Z1029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</si>
  <si>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</si>
  <si>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</si>
  <si>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</si>
  <si>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</si>
  <si>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</si>
  <si>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</si>
  <si>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</si>
  <si>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</si>
  <si>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</si>
  <si>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</si>
  <si>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妇科门诊</t>
  </si>
  <si>
    <t>大镊子-3/Z1029</t>
  </si>
  <si>
    <t>扩棒（4.5 5 5.5）-3件/z7526</t>
  </si>
  <si>
    <t>棉球缸-9件/w9050</t>
  </si>
  <si>
    <t>取环包（8件）</t>
  </si>
  <si>
    <t>人流包（9件）</t>
  </si>
  <si>
    <t xml:space="preserve">无纺布-80×80-50g </t>
  </si>
  <si>
    <t>方盘-1/w9050</t>
  </si>
  <si>
    <t>取物钳-1/Z1026</t>
  </si>
  <si>
    <t>单包装包</t>
  </si>
  <si>
    <t>带盖方盘 -1/W9050</t>
  </si>
  <si>
    <t>活检钳1窥器1大镊子2/Z2032</t>
  </si>
  <si>
    <t>扩棒（5 5.5 6）-3件/z7526</t>
  </si>
  <si>
    <t>扩棒（5.5 6 6.5）-3件/z7526</t>
  </si>
  <si>
    <t>上环叉-1/z7537</t>
  </si>
  <si>
    <t>牵开器内窥镜-1/Z7520</t>
  </si>
  <si>
    <t xml:space="preserve">高温纸塑袋75*200* </t>
  </si>
  <si>
    <t>阴道牵开器-1/Z1526</t>
  </si>
  <si>
    <t>方盘1镊子9（盒底贴贴）/W9050</t>
  </si>
  <si>
    <t>扩棒-1件/z7526</t>
  </si>
  <si>
    <t>扩棒（6.5 7 7.5）-3件/z7526</t>
  </si>
  <si>
    <t>方盘1镊子7/w9050</t>
  </si>
  <si>
    <t>换药缸-8/w9050</t>
  </si>
  <si>
    <t>方盘1大镊子3/w9050</t>
  </si>
  <si>
    <t>妇科阴道镜</t>
  </si>
  <si>
    <t>活检钳-1/z2032</t>
  </si>
  <si>
    <t>小刮棒-1/z7537</t>
  </si>
  <si>
    <t>小刮勺-1/z7537</t>
  </si>
  <si>
    <t>肛肠门诊</t>
  </si>
  <si>
    <t>挖勺-1/z7530</t>
  </si>
  <si>
    <t>弯盘1止血钳1/z2032</t>
  </si>
  <si>
    <t>电镊子-1/Z7530</t>
  </si>
  <si>
    <t xml:space="preserve">低温纸塑袋75*300 </t>
  </si>
  <si>
    <t>器械包-3件/Z1530</t>
  </si>
  <si>
    <t>供应室</t>
  </si>
  <si>
    <t>器械包-无产品单</t>
  </si>
  <si>
    <t>切开8件</t>
  </si>
  <si>
    <t>骨二/肛肠/甲乳外（20病区）</t>
  </si>
  <si>
    <t>无菌缸-6件/W9050</t>
  </si>
  <si>
    <t>器械包-6/W6050</t>
  </si>
  <si>
    <t>止血钳1剪刀1/Z1530</t>
  </si>
  <si>
    <t>克氏针-1/Z7534</t>
  </si>
  <si>
    <t>刀柄-1/z7526</t>
  </si>
  <si>
    <t>骨外三</t>
  </si>
  <si>
    <t>切开包-6件/z2032</t>
  </si>
  <si>
    <t>换药缸-5/w9050</t>
  </si>
  <si>
    <t>骨外一</t>
  </si>
  <si>
    <t>切开包-7件/z2032</t>
  </si>
  <si>
    <t>切开包-8件/z2032</t>
  </si>
  <si>
    <t>呼吸内科</t>
  </si>
  <si>
    <t>急诊病房</t>
  </si>
  <si>
    <t>急诊科</t>
  </si>
  <si>
    <t>缝合包-3件/z1526</t>
  </si>
  <si>
    <t>缝合包-5件/z1530</t>
  </si>
  <si>
    <t>无菌缸-6</t>
  </si>
  <si>
    <t>整形包-5（小）/Z1526</t>
  </si>
  <si>
    <t>简易呼吸器（呼吸气囊）-1件/z3060</t>
  </si>
  <si>
    <t>拉钩-2/Z1026</t>
  </si>
  <si>
    <t>老年呼吸科</t>
  </si>
  <si>
    <t>灯泡-2件/Z7520</t>
  </si>
  <si>
    <t xml:space="preserve">低温纸塑袋75*200 </t>
  </si>
  <si>
    <t>麻醉科</t>
  </si>
  <si>
    <t>麻醉喉镜-1/z2040</t>
  </si>
  <si>
    <t xml:space="preserve">低温纸塑袋200*400 </t>
  </si>
  <si>
    <t>门诊手术室</t>
  </si>
  <si>
    <t>敷料包(无纺布包)</t>
  </si>
  <si>
    <t>敷料包（无纺布）/w12050</t>
  </si>
  <si>
    <t xml:space="preserve">无纺布-120×120-50g </t>
  </si>
  <si>
    <t>门手-器械器械包</t>
  </si>
  <si>
    <t>门手整形-18件/W7050</t>
  </si>
  <si>
    <t>刷手服/W9050</t>
  </si>
  <si>
    <t>环钻-9件/z1026</t>
  </si>
  <si>
    <t>泌外11楼（泌外一 二 三）</t>
  </si>
  <si>
    <t>换药缸-1/W6050</t>
  </si>
  <si>
    <t>膀胱镜-4/Z2060</t>
  </si>
  <si>
    <t>器械包10件</t>
  </si>
  <si>
    <t>膀胱镜-6件/z2060</t>
  </si>
  <si>
    <t>膀胱镜-5件/z2060</t>
  </si>
  <si>
    <t>钳子-1/z2060</t>
  </si>
  <si>
    <t>消毒缸-1/W6050</t>
  </si>
  <si>
    <t>泌外12楼（泌外四 ）</t>
  </si>
  <si>
    <t>26F尿道探子-1/z7537</t>
  </si>
  <si>
    <t>膀胱镜-7件（筐1）/w12050</t>
  </si>
  <si>
    <t>20F尿道探子-1/z7537</t>
  </si>
  <si>
    <t>穿刺架-1/z1026</t>
  </si>
  <si>
    <t>膀胱造瘘器-4/z1526</t>
  </si>
  <si>
    <t>16F尿道探子-1/z7537</t>
  </si>
  <si>
    <t>18F尿道探子-1/z7537</t>
  </si>
  <si>
    <t>22F尿道探子-1/z7537</t>
  </si>
  <si>
    <t>输尿管钳子-1/z1570</t>
  </si>
  <si>
    <t xml:space="preserve">低温纸塑袋150*700 </t>
  </si>
  <si>
    <t>24F尿道探子-1/z7537</t>
  </si>
  <si>
    <t>28F尿道探子-1/z7537</t>
  </si>
  <si>
    <t>30F尿道探子-1/z7537</t>
  </si>
  <si>
    <t>持针器（过氧化氢）-1/z2060</t>
  </si>
  <si>
    <t>输尿管镜-1/Z1570</t>
  </si>
  <si>
    <t>尿道探子-1/z7537</t>
  </si>
  <si>
    <t>内分泌</t>
  </si>
  <si>
    <t>皮肤病房</t>
  </si>
  <si>
    <t>换药缸3广口瓶1/w7050</t>
  </si>
  <si>
    <t>切开5件/Z2032</t>
  </si>
  <si>
    <t>切开包-5件</t>
  </si>
  <si>
    <t>皮肤门诊</t>
  </si>
  <si>
    <t>止血钳1持针器1/z1530</t>
  </si>
  <si>
    <t>止血钳14弯盘1/w6050</t>
  </si>
  <si>
    <t>普外二</t>
  </si>
  <si>
    <t>切开包-7件/Z2032</t>
  </si>
  <si>
    <t>普外三</t>
  </si>
  <si>
    <t>普外三/消化三</t>
  </si>
  <si>
    <t>日期</t>
  </si>
  <si>
    <t>时间</t>
  </si>
  <si>
    <t>名称</t>
  </si>
  <si>
    <t>数量</t>
  </si>
  <si>
    <t>2026年3月21日-4月20日</t>
  </si>
  <si>
    <t>合计</t>
  </si>
  <si>
    <t>2026年3月21日-4月20日普外三合计金额：226.05元，消化三合计金额：74.25元.</t>
  </si>
  <si>
    <t>科室</t>
  </si>
  <si>
    <t>比例</t>
  </si>
  <si>
    <t>总金额</t>
  </si>
  <si>
    <t>科室承担金额</t>
  </si>
  <si>
    <t>100%</t>
  </si>
  <si>
    <t>2026年2月21日-3月20日</t>
  </si>
  <si>
    <t>均分</t>
  </si>
  <si>
    <t>消化三</t>
  </si>
  <si>
    <t>普外一</t>
  </si>
  <si>
    <t>腔镜室</t>
  </si>
  <si>
    <t>全科医疗</t>
  </si>
  <si>
    <t>日间病房</t>
  </si>
  <si>
    <t>伤口造口</t>
  </si>
  <si>
    <t>止血钳-3/z1530</t>
  </si>
  <si>
    <t>剪刀镊子缸-3件/W6050</t>
  </si>
  <si>
    <t>烧伤科</t>
  </si>
  <si>
    <t>起钉器-1/Z1026</t>
  </si>
  <si>
    <t>神内一</t>
  </si>
  <si>
    <t>缸子(小)-1/Z1526</t>
  </si>
  <si>
    <t>神外二</t>
  </si>
  <si>
    <t>器械包-4件（袋）/z1526</t>
  </si>
  <si>
    <t>神外一</t>
  </si>
  <si>
    <t>脑钻-1/Z1526</t>
  </si>
  <si>
    <t>器械包-4件/Z1526</t>
  </si>
  <si>
    <t>气管套管-3件/z1026</t>
  </si>
  <si>
    <t>剥离子-1/z7530</t>
  </si>
  <si>
    <t>喉镜片（过氧化氢）-2/z1526</t>
  </si>
  <si>
    <t>钩刀-1/z1030</t>
  </si>
  <si>
    <t xml:space="preserve">低温纸塑袋100*300 </t>
  </si>
  <si>
    <t>新脑钻-2件/W7050</t>
  </si>
  <si>
    <t>镊子1剪刀1持针器1/Z1530</t>
  </si>
  <si>
    <t>肾内科</t>
  </si>
  <si>
    <t>切开包-7件</t>
  </si>
  <si>
    <t>生殖医学科</t>
  </si>
  <si>
    <t>病理钳-1/z2032</t>
  </si>
  <si>
    <t>IUI包</t>
  </si>
  <si>
    <t>造影包</t>
  </si>
  <si>
    <t>镊子缸-2件/z2044</t>
  </si>
  <si>
    <t xml:space="preserve">高温纸塑袋200*440 </t>
  </si>
  <si>
    <t>扩棒（6.5号）-1件/z7526</t>
  </si>
  <si>
    <t>扩棒（6号）-1/z7526</t>
  </si>
  <si>
    <t>扩棒（5号）-1件/z7526</t>
  </si>
  <si>
    <t>手术室</t>
  </si>
  <si>
    <t>超声-3件/Z3040</t>
  </si>
  <si>
    <t xml:space="preserve">低温纸塑袋300*400 </t>
  </si>
  <si>
    <t>胸腔镜-21</t>
  </si>
  <si>
    <t>持针器（低温）-1/z1560</t>
  </si>
  <si>
    <t xml:space="preserve">低温纸塑袋150*600 </t>
  </si>
  <si>
    <t>推结器-1/Z7550</t>
  </si>
  <si>
    <t xml:space="preserve">低温纸塑袋75*500 </t>
  </si>
  <si>
    <t>好镜-26筐1/W12050</t>
  </si>
  <si>
    <t>胸腔镜-17件（筐1）/w12050</t>
  </si>
  <si>
    <t>胸腔镜-22</t>
  </si>
  <si>
    <t>胸腔镜-32件（筐1）/w12050</t>
  </si>
  <si>
    <t>器械包</t>
  </si>
  <si>
    <t>腹腔镜 (无纺布)</t>
  </si>
  <si>
    <t xml:space="preserve">无纺布-120×120-60g </t>
  </si>
  <si>
    <t>交叉韧带-18件（无纺布）</t>
  </si>
  <si>
    <t xml:space="preserve">无纺布-150×150-60g </t>
  </si>
  <si>
    <t>空心钻-4件（筐1）/w9050</t>
  </si>
  <si>
    <t>腹腔镜(无纺布)</t>
  </si>
  <si>
    <t xml:space="preserve">无纺布-90×90-60g </t>
  </si>
  <si>
    <t>持物钳罐2 钳2/w9050</t>
  </si>
  <si>
    <t>锤子-1/w6050</t>
  </si>
  <si>
    <t>关节镜(无纺布)</t>
  </si>
  <si>
    <t>开腹（无纺布)</t>
  </si>
  <si>
    <t>阑尾(无纺布)</t>
  </si>
  <si>
    <t>剖宫产(无纺布)</t>
  </si>
  <si>
    <t>钻孔包(无纺布)</t>
  </si>
  <si>
    <t>脑电钻- 10件（筐1）/w9050</t>
  </si>
  <si>
    <t>超声刀线-1/z3040</t>
  </si>
  <si>
    <t>夹钳-1/z2060</t>
  </si>
  <si>
    <t>吸引器-5/Z1526</t>
  </si>
  <si>
    <t>妇科-31</t>
  </si>
  <si>
    <t>外三27</t>
  </si>
  <si>
    <t>外一27件筐1/W12050</t>
  </si>
  <si>
    <t xml:space="preserve"> 整形包 (无纺布)-18件</t>
  </si>
  <si>
    <t xml:space="preserve">无纺布-70×70-60g </t>
  </si>
  <si>
    <t>切肋7件（无纺布）</t>
  </si>
  <si>
    <t>痔疮包（无纺布）</t>
  </si>
  <si>
    <t>胸腔镜-6件/w6050</t>
  </si>
  <si>
    <t>外三 26筐1/W12050</t>
  </si>
  <si>
    <t>基础包(无纺布)</t>
  </si>
  <si>
    <t>肛门镜-2件/z1530</t>
  </si>
  <si>
    <t>全髋-6件/w9050</t>
  </si>
  <si>
    <t>妇儿(无纺布)</t>
  </si>
  <si>
    <t>泌尿包（无纺布）</t>
  </si>
  <si>
    <t>大牙钳-2/z1535</t>
  </si>
  <si>
    <t>造瘘器-4/z1526</t>
  </si>
  <si>
    <t>大S钩-2/w9050</t>
  </si>
  <si>
    <t>软钳-1/Z1570</t>
  </si>
  <si>
    <t>膀胱镜-8件（筐1）/w12050</t>
  </si>
  <si>
    <t>等离子镜-11件（筐1）/w12050</t>
  </si>
  <si>
    <t>等离子镜-13件（筐1）/w12050</t>
  </si>
  <si>
    <t>普镜-26（筐1）/W12050</t>
  </si>
  <si>
    <t>输尿硬镜-4件（筐1）/w12050</t>
  </si>
  <si>
    <t>外二26筐1/w12050</t>
  </si>
  <si>
    <t>复位钳-1/z1530</t>
  </si>
  <si>
    <t>驱血带-1/z2032</t>
  </si>
  <si>
    <t>长刀柄-1/Z1060</t>
  </si>
  <si>
    <t xml:space="preserve">低温纸塑袋100*600 </t>
  </si>
  <si>
    <t>持针器-1/z1560</t>
  </si>
  <si>
    <t>电凝钩-1/Z7550</t>
  </si>
  <si>
    <t>分离钳-1/z2060</t>
  </si>
  <si>
    <t>取石钳-1/z2060</t>
  </si>
  <si>
    <t>关节镜器械7件</t>
  </si>
  <si>
    <t>普镜-24件（筐1）/w12050</t>
  </si>
  <si>
    <t>持骨器-2/w6050</t>
  </si>
  <si>
    <t>敷料包</t>
  </si>
  <si>
    <t>洗手衣</t>
  </si>
  <si>
    <t>戳卡-2件/z1530</t>
  </si>
  <si>
    <t xml:space="preserve">低温纸塑袋150*300 </t>
  </si>
  <si>
    <t>磨钻-10件/z2530</t>
  </si>
  <si>
    <t xml:space="preserve">低温纸塑袋250*300 </t>
  </si>
  <si>
    <t>举宫杯-9件/W12050</t>
  </si>
  <si>
    <t>单包装包(老肯低温)</t>
  </si>
  <si>
    <t>3D高清腹腔镜-2（筐1）/w12050</t>
  </si>
  <si>
    <t>18号（无纺布）</t>
  </si>
  <si>
    <t>整形包-28件(无纺布)</t>
  </si>
  <si>
    <t>整形号包 (无纺布)</t>
  </si>
  <si>
    <t>探针-1/z7537</t>
  </si>
  <si>
    <t>整形11件(无纺布)</t>
  </si>
  <si>
    <t>骨科器械-9(黄志主任用)/W7050</t>
  </si>
  <si>
    <t>颈动脉剥脱器械-26件（无纺布）</t>
  </si>
  <si>
    <t>钩镊-1/z7530</t>
  </si>
  <si>
    <t>吸引器（无芯）-1/z7530</t>
  </si>
  <si>
    <t>显微剪刀-1/z1026</t>
  </si>
  <si>
    <t>水管-2/W7050</t>
  </si>
  <si>
    <t>3D高清腹腔镜2件</t>
  </si>
  <si>
    <t>举宫杯-7件/W12050</t>
  </si>
  <si>
    <t>取钢板(无纺布)</t>
  </si>
  <si>
    <t>弯盘1小弯10/W6050</t>
  </si>
  <si>
    <t>中弯10 篮筐1</t>
  </si>
  <si>
    <t>钢丝剪-1/w6050</t>
  </si>
  <si>
    <t>25°镜头1件 盒1/z2060</t>
  </si>
  <si>
    <t>脑微创(无纺布)</t>
  </si>
  <si>
    <t>手科显微器械包(无纺布)</t>
  </si>
  <si>
    <t>喉镜-1/Z2030</t>
  </si>
  <si>
    <t xml:space="preserve">低温纸塑袋200*300 </t>
  </si>
  <si>
    <t>斯道斯电切镜-13件（筐1）/w12050</t>
  </si>
  <si>
    <t>光纤-1/z2030</t>
  </si>
  <si>
    <t>直角钳-1/z2060</t>
  </si>
  <si>
    <t>（脑一用）气管切开包（无纺布）</t>
  </si>
  <si>
    <t>手科显微器械包-16件（无纺布）</t>
  </si>
  <si>
    <t>支撑喉镜(无纺布)</t>
  </si>
  <si>
    <t>中隔包(无纺布)</t>
  </si>
  <si>
    <t>钻孔引流包-63件(无纺布)</t>
  </si>
  <si>
    <t>脑电钻-9件（筐1）/w9050</t>
  </si>
  <si>
    <t>软管-1/Z1029</t>
  </si>
  <si>
    <t>膝关节置换(无纺布)</t>
  </si>
  <si>
    <t>尿道探子-8件/W6050</t>
  </si>
  <si>
    <t>鼻骨骨折（无纺布）</t>
  </si>
  <si>
    <t>中耳包（无纺布）</t>
  </si>
  <si>
    <t>组织钳-2/z1530</t>
  </si>
  <si>
    <t>双极电凝1双极导线1/z2060</t>
  </si>
  <si>
    <t>鼻内镜-3/W9050</t>
  </si>
  <si>
    <t>泌腹腔镜-25件（筐1）/w12050</t>
  </si>
  <si>
    <t>输尿硬镜-1件（筐1）/w12050</t>
  </si>
  <si>
    <t>导引-3件/W6050</t>
  </si>
  <si>
    <t>悬吊拉钩（无纺布）</t>
  </si>
  <si>
    <t>手架-1/z2030</t>
  </si>
  <si>
    <t>全髋(无纺布)</t>
  </si>
  <si>
    <t>骨刀-1/z7530</t>
  </si>
  <si>
    <t>克氏钳（平头）-1/双/z1029</t>
  </si>
  <si>
    <t>吸头-1/Z7534</t>
  </si>
  <si>
    <t>咬骨钳-1/双/z2032</t>
  </si>
  <si>
    <t>爪钩-2/z1029</t>
  </si>
  <si>
    <t>整形包（小）-11件（无纺布）</t>
  </si>
  <si>
    <t>阴式（无纺布）</t>
  </si>
  <si>
    <t>螺丝刀-13件/Z1026</t>
  </si>
  <si>
    <t>胃钳-1/z2060</t>
  </si>
  <si>
    <t>中空钳-1/Z2060</t>
  </si>
  <si>
    <t>骨科大剪刀-1/w905060</t>
  </si>
  <si>
    <t>黄志主任专用骨科器械包-11件/W705060</t>
  </si>
  <si>
    <t>康多机器人-2件（无纺布）</t>
  </si>
  <si>
    <t>康多机器人-3件（无纺布）</t>
  </si>
  <si>
    <t>康多机器人-4件（无纺布）</t>
  </si>
  <si>
    <t>康多机器人附件-9筐1/W1205060</t>
  </si>
  <si>
    <t>8号(无纺布)</t>
  </si>
  <si>
    <t>电切包(无纺布)</t>
  </si>
  <si>
    <t>克氏钳（尖头）-1/双z1029</t>
  </si>
  <si>
    <t>植骨棒-1/z7530</t>
  </si>
  <si>
    <t>自动拉钩-2件</t>
  </si>
  <si>
    <t>复位钳-2/W6050</t>
  </si>
  <si>
    <t>甲状腺包(无纺布)</t>
  </si>
  <si>
    <t>整形包--11件（无纺布）</t>
  </si>
  <si>
    <t>线锯拉钩-4/z1526</t>
  </si>
  <si>
    <t>中弯包(无纺布)</t>
  </si>
  <si>
    <t>缝合器-1/Z1530</t>
  </si>
  <si>
    <t>关节镜-1件/Z1526</t>
  </si>
  <si>
    <t xml:space="preserve">高温纸塑袋150*260* </t>
  </si>
  <si>
    <t>外一 拉钩-10件（无纺布）</t>
  </si>
  <si>
    <t>外一 拉钩-6件（无纺布）</t>
  </si>
  <si>
    <t>低温组件-9/z1570</t>
  </si>
  <si>
    <t>磨钻-4件（筐1）/w9050</t>
  </si>
  <si>
    <t>动脉瘤器械 -10件(无纺布)</t>
  </si>
  <si>
    <t>新脑显微器械（无纺布）</t>
  </si>
  <si>
    <t>S拉钩（大）-2/w7050</t>
  </si>
  <si>
    <t>吸引器-1/z1560</t>
  </si>
  <si>
    <t>截肢包(无纺布)</t>
  </si>
  <si>
    <t>气管切开包（无纺布）</t>
  </si>
  <si>
    <t>截肢-3件/w6050</t>
  </si>
  <si>
    <t>鼻息肉包(无纺布)</t>
  </si>
  <si>
    <t>颈动脉剥脱器械-27件（无纺布）</t>
  </si>
  <si>
    <t>切痂(无纺布)</t>
  </si>
  <si>
    <t>上肢包(无纺布)</t>
  </si>
  <si>
    <t>黄主任扳手-1/双/Z1029</t>
  </si>
  <si>
    <t>钻头-6/z1026</t>
  </si>
  <si>
    <t>骨科器械-2（黄志主任用）/W7050</t>
  </si>
  <si>
    <t>骨掀-2/W6050</t>
  </si>
  <si>
    <t>骨电钻 -4件（筐1）/w9050</t>
  </si>
  <si>
    <t>低温组件-1/Z1570</t>
  </si>
  <si>
    <t xml:space="preserve">低温纸塑袋150*400 </t>
  </si>
  <si>
    <t>扁桃(无纺布)</t>
  </si>
  <si>
    <t>骨科下肢(无纺布)</t>
  </si>
  <si>
    <t>镜头12°-1/z2060</t>
  </si>
  <si>
    <t>组件-8/z1560</t>
  </si>
  <si>
    <t>肾镜-12件</t>
  </si>
  <si>
    <t>后颅凹拉钩-1/双/z1530</t>
  </si>
  <si>
    <t>新脑钻-3件（筐1）/w9050</t>
  </si>
  <si>
    <t>旋切-12件（筐1）/w12050</t>
  </si>
  <si>
    <t>大弯10 方盘1</t>
  </si>
  <si>
    <t>脑显微器械(无纺布)</t>
  </si>
  <si>
    <t>螺丝刀-1/z1035</t>
  </si>
  <si>
    <t xml:space="preserve">高温纸塑袋100*350 </t>
  </si>
  <si>
    <t>吸引器1吸引器芯1/z7530</t>
  </si>
  <si>
    <t>椎板钳-1/双2032</t>
  </si>
  <si>
    <t>大直角-2/z1535</t>
  </si>
  <si>
    <t>骨挫-1/Z7526</t>
  </si>
  <si>
    <t>S拉钩（小）-2/w6050</t>
  </si>
  <si>
    <t>剪刀（低温）-1/Z2060</t>
  </si>
  <si>
    <t>持夹钳-1/Z1026</t>
  </si>
  <si>
    <t>弯盘1蚊式10/W6050</t>
  </si>
  <si>
    <t>康多机器人扳手-1(盒1)/W6050</t>
  </si>
  <si>
    <t>小S钩-2/z2044</t>
  </si>
  <si>
    <t>气管切开包(无纺布)</t>
  </si>
  <si>
    <t>凿子-1/z7530</t>
  </si>
  <si>
    <t>阻断带-1/z7526</t>
  </si>
  <si>
    <t>直肠包</t>
  </si>
  <si>
    <t>半月板拉钩-2/z2044</t>
  </si>
  <si>
    <t>低温组件-1件/z1060</t>
  </si>
  <si>
    <t>夹钳-1配件5/2030</t>
  </si>
  <si>
    <t>膀胱碎石-7（筐1）/w12050</t>
  </si>
  <si>
    <t>可吸收夹钳-1/Z2035</t>
  </si>
  <si>
    <t xml:space="preserve">低温纸塑袋200*350 </t>
  </si>
  <si>
    <t>AO配套(无纺布)</t>
  </si>
  <si>
    <t>空心钻  4件  筐1</t>
  </si>
  <si>
    <t>金院长器械10件（盒1）</t>
  </si>
  <si>
    <t>咬骨剪-1/双/z2032</t>
  </si>
  <si>
    <t>肌瘤钻-1/Z7560</t>
  </si>
  <si>
    <t xml:space="preserve">低温纸塑袋75*600 </t>
  </si>
  <si>
    <t>戳卡1转换器1/z1530</t>
  </si>
  <si>
    <t>14号(无纺布)</t>
  </si>
  <si>
    <t>戳卡3件/z1530</t>
  </si>
  <si>
    <t>有齿抓钳-1/Z2060</t>
  </si>
  <si>
    <t>转换器-1/Z7520</t>
  </si>
  <si>
    <t>持物钳2缸2/w6050</t>
  </si>
  <si>
    <t>开胸 心按(无纺布)</t>
  </si>
  <si>
    <t>胸腔镜-23件（筐1）/w12050</t>
  </si>
  <si>
    <t>骨瘤(无纺布)</t>
  </si>
  <si>
    <t>导引-6件/W6050</t>
  </si>
  <si>
    <t>骨电钻-2（福贝特）/w9050</t>
  </si>
  <si>
    <t>肛管-1/Z7545</t>
  </si>
  <si>
    <t xml:space="preserve">高温纸塑袋75*450 </t>
  </si>
  <si>
    <t>保温杯-1/z2040</t>
  </si>
  <si>
    <t>戳卡-1/z1026</t>
  </si>
  <si>
    <t>普外血管器械（无纺布）</t>
  </si>
  <si>
    <t>取栓包-13件</t>
  </si>
  <si>
    <t>肌钩-2/z1029</t>
  </si>
  <si>
    <t>透析科</t>
  </si>
  <si>
    <t>心血管内科</t>
  </si>
  <si>
    <t>胸外</t>
  </si>
  <si>
    <t>镊子1持物钳罐1缸2/W6050</t>
  </si>
  <si>
    <t>镊子1缸2镊子缸2/W9050</t>
  </si>
  <si>
    <t>镊子1镊子缸2缸1/W6050</t>
  </si>
  <si>
    <t xml:space="preserve">血液 </t>
  </si>
  <si>
    <t>骨穿针-3/z1026</t>
  </si>
  <si>
    <t>眼科病房</t>
  </si>
  <si>
    <t>开睑器-1/z1020</t>
  </si>
  <si>
    <t xml:space="preserve">高温纸塑袋100*200 </t>
  </si>
  <si>
    <t>显微镊子-1/z7526</t>
  </si>
  <si>
    <t>消毒缸9广口瓶（无盖）2/w9050</t>
  </si>
  <si>
    <t>睫毛镊子-1/z7526</t>
  </si>
  <si>
    <t>吸铁石-1/Z1530</t>
  </si>
  <si>
    <t>眼科门诊</t>
  </si>
  <si>
    <t>泪点扩张器-1/z7526</t>
  </si>
  <si>
    <t>弯头小镊子-1/z7526</t>
  </si>
  <si>
    <t>酒精缸-16玻璃缸-1/W12050</t>
  </si>
  <si>
    <t>霰粒肿手术包-5件</t>
  </si>
  <si>
    <t>按摩镊-1/Z7520</t>
  </si>
  <si>
    <t xml:space="preserve">高温纸塑袋75*200 </t>
  </si>
  <si>
    <t>睑板腺镊-1/z7526</t>
  </si>
  <si>
    <t>小镊子-1/z7526</t>
  </si>
  <si>
    <t>眼科手术室</t>
  </si>
  <si>
    <t>玻切包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</si>
  <si>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</si>
  <si>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 xml:space="preserve">-60×60-50g. 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</si>
  <si>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</si>
  <si>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 xml:space="preserve">-90×90-50g </t>
    </r>
  </si>
  <si>
    <r>
      <rPr>
        <sz val="10"/>
        <rFont val="宋体"/>
        <charset val="134"/>
      </rPr>
      <t>敷料包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无纺布包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</si>
  <si>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敷料包（无纺布）</t>
    </r>
    <r>
      <rPr>
        <sz val="10"/>
        <rFont val="Droid Sans Fallback"/>
        <charset val="134"/>
      </rPr>
      <t>/w12050</t>
    </r>
  </si>
  <si>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 xml:space="preserve">-120×120-50g </t>
    </r>
  </si>
  <si>
    <t>过氧化氢组件-1包</t>
  </si>
  <si>
    <t>整形病房</t>
  </si>
  <si>
    <t>缝合包-4/z1526</t>
  </si>
  <si>
    <t>拆线（止血钳1剪刀1）-2件/z1526</t>
  </si>
  <si>
    <t>整形门诊</t>
  </si>
  <si>
    <t>器械包-5件/Z1526</t>
  </si>
  <si>
    <t>换药缸-6/w9050</t>
  </si>
  <si>
    <t>耳洞枪-1/Z1026</t>
  </si>
  <si>
    <t>拔牙挺-1/z7526</t>
  </si>
  <si>
    <t>眼睑保护器-1/z7526</t>
  </si>
  <si>
    <t>排针-1/z7526</t>
  </si>
  <si>
    <t>止血器-1/Z7530</t>
  </si>
  <si>
    <t>中西医结合</t>
  </si>
  <si>
    <t>肿瘤科</t>
  </si>
  <si>
    <t>重症医学科（ICU）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</si>
</sst>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yyyy/m/d;@"/>
    <numFmt numFmtId="181" formatCode="#,##0.00_ "/>
  </numFmts>
  <fonts count="3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4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z val="12"/>
      <color rgb="FFFFFFFF"/>
      <name val="Droid Sans Fallback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4" applyNumberFormat="0" applyAlignment="0" applyProtection="0">
      <alignment vertical="center"/>
    </xf>
    <xf numFmtId="0" fontId="27" fillId="7" borderId="15" applyNumberFormat="0" applyAlignment="0" applyProtection="0">
      <alignment vertical="center"/>
    </xf>
    <xf numFmtId="0" fontId="28" fillId="7" borderId="14" applyNumberFormat="0" applyAlignment="0" applyProtection="0">
      <alignment vertical="center"/>
    </xf>
    <xf numFmtId="0" fontId="29" fillId="8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/>
  </cellStyleXfs>
  <cellXfs count="65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177" fontId="5" fillId="0" borderId="3" xfId="49" applyNumberFormat="1" applyFont="1" applyFill="1" applyBorder="1" applyAlignment="1">
      <alignment vertical="top" wrapText="1" readingOrder="1"/>
    </xf>
    <xf numFmtId="0" fontId="5" fillId="0" borderId="3" xfId="49" applyNumberFormat="1" applyFont="1" applyFill="1" applyBorder="1" applyAlignment="1">
      <alignment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0" fontId="5" fillId="0" borderId="3" xfId="49" applyNumberFormat="1" applyFont="1" applyFill="1" applyBorder="1" applyAlignment="1">
      <alignment horizontal="center" vertical="top" wrapText="1" readingOrder="1"/>
    </xf>
    <xf numFmtId="176" fontId="5" fillId="0" borderId="3" xfId="49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7" fillId="3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3" fillId="3" borderId="6" xfId="0" applyNumberFormat="1" applyFont="1" applyFill="1" applyBorder="1" applyAlignment="1">
      <alignment vertical="top" wrapText="1" readingOrder="1"/>
    </xf>
    <xf numFmtId="178" fontId="3" fillId="3" borderId="6" xfId="0" applyNumberFormat="1" applyFont="1" applyFill="1" applyBorder="1" applyAlignment="1">
      <alignment vertical="top" wrapText="1" readingOrder="1"/>
    </xf>
    <xf numFmtId="0" fontId="4" fillId="2" borderId="6" xfId="0" applyNumberFormat="1" applyFont="1" applyFill="1" applyBorder="1" applyAlignment="1">
      <alignment vertical="top" wrapText="1" readingOrder="1"/>
    </xf>
    <xf numFmtId="0" fontId="3" fillId="2" borderId="6" xfId="0" applyNumberFormat="1" applyFont="1" applyFill="1" applyBorder="1" applyAlignment="1">
      <alignment vertical="top" wrapText="1" readingOrder="1"/>
    </xf>
    <xf numFmtId="178" fontId="3" fillId="2" borderId="6" xfId="0" applyNumberFormat="1" applyFont="1" applyFill="1" applyBorder="1" applyAlignment="1">
      <alignment vertical="top" wrapText="1" readingOrder="1"/>
    </xf>
    <xf numFmtId="0" fontId="3" fillId="4" borderId="6" xfId="0" applyNumberFormat="1" applyFont="1" applyFill="1" applyBorder="1" applyAlignment="1">
      <alignment horizontal="left" vertical="top" wrapText="1" readingOrder="1"/>
    </xf>
    <xf numFmtId="0" fontId="3" fillId="4" borderId="6" xfId="0" applyNumberFormat="1" applyFont="1" applyFill="1" applyBorder="1" applyAlignment="1">
      <alignment vertical="top" wrapText="1" readingOrder="1"/>
    </xf>
    <xf numFmtId="178" fontId="3" fillId="4" borderId="6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8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0" fillId="0" borderId="0" xfId="49" applyFont="1" applyFill="1" applyBorder="1" applyAlignment="1"/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180" fontId="11" fillId="0" borderId="10" xfId="0" applyNumberFormat="1" applyFont="1" applyFill="1" applyBorder="1" applyAlignment="1">
      <alignment horizontal="center" vertical="center" wrapText="1"/>
    </xf>
    <xf numFmtId="177" fontId="12" fillId="0" borderId="10" xfId="49" applyNumberFormat="1" applyFont="1" applyFill="1" applyBorder="1" applyAlignment="1">
      <alignment horizontal="center" vertical="center" wrapText="1" readingOrder="1"/>
    </xf>
    <xf numFmtId="0" fontId="12" fillId="0" borderId="10" xfId="49" applyNumberFormat="1" applyFont="1" applyFill="1" applyBorder="1" applyAlignment="1">
      <alignment horizontal="center" vertical="center" wrapText="1" readingOrder="1"/>
    </xf>
    <xf numFmtId="176" fontId="12" fillId="0" borderId="10" xfId="49" applyNumberFormat="1" applyFont="1" applyFill="1" applyBorder="1" applyAlignment="1">
      <alignment horizontal="center" vertical="center" wrapText="1" readingOrder="1"/>
    </xf>
    <xf numFmtId="180" fontId="12" fillId="0" borderId="10" xfId="49" applyNumberFormat="1" applyFont="1" applyFill="1" applyBorder="1" applyAlignment="1">
      <alignment horizontal="center" vertical="center" wrapText="1" readingOrder="1"/>
    </xf>
    <xf numFmtId="181" fontId="12" fillId="0" borderId="10" xfId="49" applyNumberFormat="1" applyFont="1" applyFill="1" applyBorder="1" applyAlignment="1">
      <alignment horizontal="center" vertical="center" wrapText="1" readingOrder="1"/>
    </xf>
    <xf numFmtId="0" fontId="11" fillId="0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 wrapText="1"/>
    </xf>
    <xf numFmtId="49" fontId="11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15" fillId="3" borderId="3" xfId="49" applyNumberFormat="1" applyFont="1" applyFill="1" applyBorder="1" applyAlignment="1">
      <alignment vertical="top" wrapText="1" readingOrder="1"/>
    </xf>
    <xf numFmtId="0" fontId="15" fillId="3" borderId="3" xfId="49" applyNumberFormat="1" applyFont="1" applyFill="1" applyBorder="1" applyAlignment="1">
      <alignment horizontal="center" vertical="top" wrapText="1" readingOrder="1"/>
    </xf>
    <xf numFmtId="176" fontId="15" fillId="3" borderId="3" xfId="49" applyNumberFormat="1" applyFont="1" applyFill="1" applyBorder="1" applyAlignment="1">
      <alignment horizontal="center" vertical="top" wrapText="1" readingOrder="1"/>
    </xf>
    <xf numFmtId="176" fontId="16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9" Type="http://schemas.openxmlformats.org/officeDocument/2006/relationships/styles" Target="styles.xml"/><Relationship Id="rId58" Type="http://schemas.openxmlformats.org/officeDocument/2006/relationships/sharedStrings" Target="sharedStrings.xml"/><Relationship Id="rId57" Type="http://schemas.openxmlformats.org/officeDocument/2006/relationships/theme" Target="theme/theme1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16.625" customWidth="1"/>
    <col min="10" max="10" width="6.475" customWidth="1"/>
    <col min="11" max="11" width="9.45" customWidth="1"/>
    <col min="12" max="12" width="9.75" customWidth="1"/>
    <col min="13" max="13" width="11.87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61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62"/>
      <c r="K8" s="62"/>
      <c r="L8" s="63"/>
      <c r="M8" s="63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4</v>
      </c>
      <c r="K10" s="10">
        <v>4</v>
      </c>
      <c r="L10" s="64"/>
      <c r="M10" s="11">
        <v>46.2</v>
      </c>
    </row>
    <row r="11" spans="2:13">
      <c r="D11" s="12">
        <v>46132</v>
      </c>
      <c r="E11" s="13">
        <v>1596288</v>
      </c>
      <c r="F11" s="13" t="s">
        <v>15</v>
      </c>
      <c r="G11" s="14">
        <v>20313370</v>
      </c>
      <c r="H11" s="13" t="s">
        <v>16</v>
      </c>
      <c r="I11" s="13" t="s">
        <v>17</v>
      </c>
      <c r="J11" s="14">
        <v>2</v>
      </c>
      <c r="K11" s="14">
        <v>2</v>
      </c>
      <c r="L11" s="15">
        <v>13.2</v>
      </c>
      <c r="M11" s="15">
        <v>26.4</v>
      </c>
    </row>
    <row r="12" spans="2:13">
      <c r="D12" s="12">
        <v>46132</v>
      </c>
      <c r="E12" s="13">
        <v>1596288</v>
      </c>
      <c r="F12" s="13" t="s">
        <v>15</v>
      </c>
      <c r="G12" s="14">
        <v>20313815</v>
      </c>
      <c r="H12" s="13" t="s">
        <v>18</v>
      </c>
      <c r="I12" s="13" t="s">
        <v>19</v>
      </c>
      <c r="J12" s="14">
        <v>1</v>
      </c>
      <c r="K12" s="14">
        <v>1</v>
      </c>
      <c r="L12" s="15">
        <v>15</v>
      </c>
      <c r="M12" s="15">
        <v>15</v>
      </c>
    </row>
    <row r="13" spans="2:13">
      <c r="D13" s="12">
        <v>46132</v>
      </c>
      <c r="E13" s="13">
        <v>1596367</v>
      </c>
      <c r="F13" s="13" t="s">
        <v>20</v>
      </c>
      <c r="G13" s="14">
        <v>20315425</v>
      </c>
      <c r="H13" s="13" t="s">
        <v>21</v>
      </c>
      <c r="I13" s="13" t="s">
        <v>22</v>
      </c>
      <c r="J13" s="14">
        <v>1</v>
      </c>
      <c r="K13" s="14">
        <v>1</v>
      </c>
      <c r="L13" s="15">
        <v>4.8</v>
      </c>
      <c r="M13" s="15">
        <v>4.8</v>
      </c>
    </row>
  </sheetData>
  <mergeCells count="6">
    <mergeCell ref="D8:I8"/>
    <mergeCell ref="D10:I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5" customWidth="1"/>
    <col min="7" max="7" width="9.36666666666667" customWidth="1"/>
    <col min="8" max="8" width="21.5" customWidth="1"/>
    <col min="9" max="9" width="17.62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34.2</v>
      </c>
    </row>
    <row r="9" spans="1:13">
      <c r="D9" s="12">
        <v>46106</v>
      </c>
      <c r="E9" s="13">
        <v>1588895</v>
      </c>
      <c r="F9" s="13" t="s">
        <v>24</v>
      </c>
      <c r="G9" s="14">
        <v>20314755</v>
      </c>
      <c r="H9" s="13" t="s">
        <v>25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46127</v>
      </c>
      <c r="E10" s="13">
        <v>1594992</v>
      </c>
      <c r="F10" s="13" t="s">
        <v>15</v>
      </c>
      <c r="G10" s="14">
        <v>20313370</v>
      </c>
      <c r="H10" s="13" t="s">
        <v>16</v>
      </c>
      <c r="I10" s="13" t="s">
        <v>17</v>
      </c>
      <c r="J10" s="14">
        <v>1</v>
      </c>
      <c r="K10" s="14">
        <v>1</v>
      </c>
      <c r="L10" s="15">
        <v>13.2</v>
      </c>
      <c r="M10" s="15">
        <v>13.2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37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</v>
      </c>
      <c r="K8" s="10">
        <v>17</v>
      </c>
      <c r="L8" s="11"/>
      <c r="M8" s="11">
        <v>126</v>
      </c>
    </row>
    <row r="9" spans="1:13">
      <c r="D9" s="12">
        <v>46120</v>
      </c>
      <c r="E9" s="13">
        <v>1592788</v>
      </c>
      <c r="F9" s="13" t="s">
        <v>20</v>
      </c>
      <c r="G9" s="14">
        <v>20315425</v>
      </c>
      <c r="H9" s="13" t="s">
        <v>21</v>
      </c>
      <c r="I9" s="13" t="s">
        <v>22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46120</v>
      </c>
      <c r="E10" s="13">
        <v>1592788</v>
      </c>
      <c r="F10" s="13" t="s">
        <v>20</v>
      </c>
      <c r="G10" s="14">
        <v>20303863</v>
      </c>
      <c r="H10" s="13" t="s">
        <v>28</v>
      </c>
      <c r="I10" s="13" t="s">
        <v>29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46120</v>
      </c>
      <c r="E11" s="13">
        <v>1592788</v>
      </c>
      <c r="F11" s="13" t="s">
        <v>20</v>
      </c>
      <c r="G11" s="14">
        <v>20305052</v>
      </c>
      <c r="H11" s="13" t="s">
        <v>30</v>
      </c>
      <c r="I11" s="13" t="s">
        <v>31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46120</v>
      </c>
      <c r="E12" s="13">
        <v>1592788</v>
      </c>
      <c r="F12" s="13" t="s">
        <v>20</v>
      </c>
      <c r="G12" s="14">
        <v>20315560</v>
      </c>
      <c r="H12" s="13" t="s">
        <v>32</v>
      </c>
      <c r="I12" s="13" t="s">
        <v>33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46120</v>
      </c>
      <c r="E13" s="13">
        <v>1592788</v>
      </c>
      <c r="F13" s="13" t="s">
        <v>20</v>
      </c>
      <c r="G13" s="14">
        <v>20316042</v>
      </c>
      <c r="H13" s="13" t="s">
        <v>34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46120</v>
      </c>
      <c r="E14" s="13">
        <v>1592788</v>
      </c>
      <c r="F14" s="13" t="s">
        <v>15</v>
      </c>
      <c r="G14" s="14">
        <v>20399232</v>
      </c>
      <c r="H14" s="13" t="s">
        <v>36</v>
      </c>
      <c r="I14" s="13" t="s">
        <v>19</v>
      </c>
      <c r="J14" s="14">
        <v>1</v>
      </c>
      <c r="K14" s="14">
        <v>3</v>
      </c>
      <c r="L14" s="15">
        <v>39.6</v>
      </c>
      <c r="M14" s="15">
        <v>39.6</v>
      </c>
    </row>
    <row r="15" spans="1:13">
      <c r="D15" s="12">
        <v>46120</v>
      </c>
      <c r="E15" s="13">
        <v>1592788</v>
      </c>
      <c r="F15" s="13" t="s">
        <v>15</v>
      </c>
      <c r="G15" s="14">
        <v>20313815</v>
      </c>
      <c r="H15" s="13" t="s">
        <v>18</v>
      </c>
      <c r="I15" s="13" t="s">
        <v>19</v>
      </c>
      <c r="J15" s="14">
        <v>1</v>
      </c>
      <c r="K15" s="14">
        <v>1</v>
      </c>
      <c r="L15" s="15">
        <v>15</v>
      </c>
      <c r="M15" s="15">
        <v>15</v>
      </c>
    </row>
    <row r="16" ht="25.5" spans="1:13">
      <c r="D16" s="12">
        <v>46121</v>
      </c>
      <c r="E16" s="13">
        <v>1593145</v>
      </c>
      <c r="F16" s="13" t="s">
        <v>24</v>
      </c>
      <c r="G16" s="14">
        <v>20306248</v>
      </c>
      <c r="H16" s="13" t="s">
        <v>37</v>
      </c>
      <c r="I16" s="13" t="s">
        <v>38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46112</v>
      </c>
      <c r="E17" s="13">
        <v>1590629</v>
      </c>
      <c r="F17" s="13" t="s">
        <v>20</v>
      </c>
      <c r="G17" s="14">
        <v>20354435</v>
      </c>
      <c r="H17" s="13" t="s">
        <v>39</v>
      </c>
      <c r="I17" s="13" t="s">
        <v>22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46128</v>
      </c>
      <c r="E18" s="13">
        <v>1595448</v>
      </c>
      <c r="F18" s="13" t="s">
        <v>20</v>
      </c>
      <c r="G18" s="14">
        <v>20354435</v>
      </c>
      <c r="H18" s="13" t="s">
        <v>39</v>
      </c>
      <c r="I18" s="13" t="s">
        <v>22</v>
      </c>
      <c r="J18" s="14">
        <v>1</v>
      </c>
      <c r="K18" s="14">
        <v>3</v>
      </c>
      <c r="L18" s="15">
        <v>9.9</v>
      </c>
      <c r="M18" s="15">
        <v>9.9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20.5416666666667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49</v>
      </c>
      <c r="K8" s="10">
        <v>58</v>
      </c>
      <c r="L8" s="11"/>
      <c r="M8" s="11">
        <v>281.1</v>
      </c>
    </row>
    <row r="9" spans="1:13">
      <c r="D9" s="12">
        <v>46104</v>
      </c>
      <c r="E9" s="13">
        <v>1588180</v>
      </c>
      <c r="F9" s="13" t="s">
        <v>20</v>
      </c>
      <c r="G9" s="14">
        <v>20305079</v>
      </c>
      <c r="H9" s="13" t="s">
        <v>41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46104</v>
      </c>
      <c r="E10" s="13">
        <v>1588180</v>
      </c>
      <c r="F10" s="13" t="s">
        <v>42</v>
      </c>
      <c r="G10" s="14">
        <v>20310518</v>
      </c>
      <c r="H10" s="13" t="s">
        <v>43</v>
      </c>
      <c r="I10" s="13" t="s">
        <v>44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46104</v>
      </c>
      <c r="E11" s="13">
        <v>1588396</v>
      </c>
      <c r="F11" s="13" t="s">
        <v>20</v>
      </c>
      <c r="G11" s="14">
        <v>20305079</v>
      </c>
      <c r="H11" s="13" t="s">
        <v>41</v>
      </c>
      <c r="I11" s="13" t="s">
        <v>35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46106</v>
      </c>
      <c r="E12" s="13">
        <v>1588934</v>
      </c>
      <c r="F12" s="13" t="s">
        <v>20</v>
      </c>
      <c r="G12" s="14">
        <v>20305079</v>
      </c>
      <c r="H12" s="13" t="s">
        <v>41</v>
      </c>
      <c r="I12" s="13" t="s">
        <v>35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46106</v>
      </c>
      <c r="E13" s="13">
        <v>1589032</v>
      </c>
      <c r="F13" s="13" t="s">
        <v>20</v>
      </c>
      <c r="G13" s="14">
        <v>20305079</v>
      </c>
      <c r="H13" s="13" t="s">
        <v>41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46107</v>
      </c>
      <c r="E14" s="13">
        <v>1589290</v>
      </c>
      <c r="F14" s="13" t="s">
        <v>42</v>
      </c>
      <c r="G14" s="14">
        <v>20310518</v>
      </c>
      <c r="H14" s="13" t="s">
        <v>43</v>
      </c>
      <c r="I14" s="13" t="s">
        <v>44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46107</v>
      </c>
      <c r="E15" s="13">
        <v>1589495</v>
      </c>
      <c r="F15" s="13" t="s">
        <v>20</v>
      </c>
      <c r="G15" s="14">
        <v>20305079</v>
      </c>
      <c r="H15" s="13" t="s">
        <v>41</v>
      </c>
      <c r="I15" s="13" t="s">
        <v>35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46108</v>
      </c>
      <c r="E16" s="13">
        <v>1589899</v>
      </c>
      <c r="F16" s="13" t="s">
        <v>20</v>
      </c>
      <c r="G16" s="14">
        <v>20305079</v>
      </c>
      <c r="H16" s="13" t="s">
        <v>41</v>
      </c>
      <c r="I16" s="13" t="s">
        <v>35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46111</v>
      </c>
      <c r="E17" s="13">
        <v>1590223</v>
      </c>
      <c r="F17" s="13" t="s">
        <v>20</v>
      </c>
      <c r="G17" s="14">
        <v>20305079</v>
      </c>
      <c r="H17" s="13" t="s">
        <v>41</v>
      </c>
      <c r="I17" s="13" t="s">
        <v>35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46111</v>
      </c>
      <c r="E18" s="13">
        <v>1590223</v>
      </c>
      <c r="F18" s="13" t="s">
        <v>42</v>
      </c>
      <c r="G18" s="14">
        <v>20310518</v>
      </c>
      <c r="H18" s="13" t="s">
        <v>43</v>
      </c>
      <c r="I18" s="13" t="s">
        <v>44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46111</v>
      </c>
      <c r="E19" s="13">
        <v>1590421</v>
      </c>
      <c r="F19" s="13" t="s">
        <v>20</v>
      </c>
      <c r="G19" s="14">
        <v>20305079</v>
      </c>
      <c r="H19" s="13" t="s">
        <v>41</v>
      </c>
      <c r="I19" s="13" t="s">
        <v>35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46112</v>
      </c>
      <c r="E20" s="13">
        <v>1590615</v>
      </c>
      <c r="F20" s="13" t="s">
        <v>20</v>
      </c>
      <c r="G20" s="14">
        <v>20305079</v>
      </c>
      <c r="H20" s="13" t="s">
        <v>41</v>
      </c>
      <c r="I20" s="13" t="s">
        <v>35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46112</v>
      </c>
      <c r="E21" s="13">
        <v>1590861</v>
      </c>
      <c r="F21" s="13" t="s">
        <v>20</v>
      </c>
      <c r="G21" s="14">
        <v>20305079</v>
      </c>
      <c r="H21" s="13" t="s">
        <v>41</v>
      </c>
      <c r="I21" s="13" t="s">
        <v>35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46113</v>
      </c>
      <c r="E22" s="13">
        <v>1591033</v>
      </c>
      <c r="F22" s="13" t="s">
        <v>20</v>
      </c>
      <c r="G22" s="14">
        <v>20305079</v>
      </c>
      <c r="H22" s="13" t="s">
        <v>41</v>
      </c>
      <c r="I22" s="13" t="s">
        <v>35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46113</v>
      </c>
      <c r="E23" s="13">
        <v>1591201</v>
      </c>
      <c r="F23" s="13" t="s">
        <v>20</v>
      </c>
      <c r="G23" s="14">
        <v>20305079</v>
      </c>
      <c r="H23" s="13" t="s">
        <v>41</v>
      </c>
      <c r="I23" s="13" t="s">
        <v>35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46114</v>
      </c>
      <c r="E24" s="13">
        <v>1591380</v>
      </c>
      <c r="F24" s="13" t="s">
        <v>42</v>
      </c>
      <c r="G24" s="14">
        <v>20310518</v>
      </c>
      <c r="H24" s="13" t="s">
        <v>43</v>
      </c>
      <c r="I24" s="13" t="s">
        <v>44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46115</v>
      </c>
      <c r="E25" s="13">
        <v>1591972</v>
      </c>
      <c r="F25" s="13" t="s">
        <v>20</v>
      </c>
      <c r="G25" s="14">
        <v>20305079</v>
      </c>
      <c r="H25" s="13" t="s">
        <v>41</v>
      </c>
      <c r="I25" s="13" t="s">
        <v>35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46119</v>
      </c>
      <c r="E26" s="13">
        <v>1592390</v>
      </c>
      <c r="F26" s="13" t="s">
        <v>20</v>
      </c>
      <c r="G26" s="14">
        <v>20305079</v>
      </c>
      <c r="H26" s="13" t="s">
        <v>41</v>
      </c>
      <c r="I26" s="13" t="s">
        <v>35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46119</v>
      </c>
      <c r="E27" s="13">
        <v>1592390</v>
      </c>
      <c r="F27" s="13" t="s">
        <v>42</v>
      </c>
      <c r="G27" s="14">
        <v>20310518</v>
      </c>
      <c r="H27" s="13" t="s">
        <v>43</v>
      </c>
      <c r="I27" s="13" t="s">
        <v>44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46120</v>
      </c>
      <c r="E28" s="13">
        <v>1593022</v>
      </c>
      <c r="F28" s="13" t="s">
        <v>20</v>
      </c>
      <c r="G28" s="14">
        <v>20305079</v>
      </c>
      <c r="H28" s="13" t="s">
        <v>41</v>
      </c>
      <c r="I28" s="13" t="s">
        <v>35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46121</v>
      </c>
      <c r="E29" s="13">
        <v>1593173</v>
      </c>
      <c r="F29" s="13" t="s">
        <v>42</v>
      </c>
      <c r="G29" s="14">
        <v>20310518</v>
      </c>
      <c r="H29" s="13" t="s">
        <v>43</v>
      </c>
      <c r="I29" s="13" t="s">
        <v>44</v>
      </c>
      <c r="J29" s="14">
        <v>1</v>
      </c>
      <c r="K29" s="14">
        <v>2</v>
      </c>
      <c r="L29" s="15">
        <v>9.9</v>
      </c>
      <c r="M29" s="15">
        <v>9.9</v>
      </c>
    </row>
    <row r="30" spans="4:13">
      <c r="D30" s="12">
        <v>46121</v>
      </c>
      <c r="E30" s="13">
        <v>1593375</v>
      </c>
      <c r="F30" s="13" t="s">
        <v>20</v>
      </c>
      <c r="G30" s="14">
        <v>20305079</v>
      </c>
      <c r="H30" s="13" t="s">
        <v>41</v>
      </c>
      <c r="I30" s="13" t="s">
        <v>35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46122</v>
      </c>
      <c r="E31" s="13">
        <v>1593775</v>
      </c>
      <c r="F31" s="13" t="s">
        <v>20</v>
      </c>
      <c r="G31" s="14">
        <v>20305079</v>
      </c>
      <c r="H31" s="13" t="s">
        <v>41</v>
      </c>
      <c r="I31" s="13" t="s">
        <v>35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46125</v>
      </c>
      <c r="E32" s="13">
        <v>1594149</v>
      </c>
      <c r="F32" s="13" t="s">
        <v>20</v>
      </c>
      <c r="G32" s="14">
        <v>20305079</v>
      </c>
      <c r="H32" s="13" t="s">
        <v>41</v>
      </c>
      <c r="I32" s="13" t="s">
        <v>35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46125</v>
      </c>
      <c r="E33" s="13">
        <v>1594149</v>
      </c>
      <c r="F33" s="13" t="s">
        <v>42</v>
      </c>
      <c r="G33" s="14">
        <v>20310518</v>
      </c>
      <c r="H33" s="13" t="s">
        <v>43</v>
      </c>
      <c r="I33" s="13" t="s">
        <v>44</v>
      </c>
      <c r="J33" s="14">
        <v>1</v>
      </c>
      <c r="K33" s="14">
        <v>2</v>
      </c>
      <c r="L33" s="15">
        <v>9.9</v>
      </c>
      <c r="M33" s="15">
        <v>9.9</v>
      </c>
    </row>
    <row r="34" spans="4:13">
      <c r="D34" s="12">
        <v>46126</v>
      </c>
      <c r="E34" s="13">
        <v>1594571</v>
      </c>
      <c r="F34" s="13" t="s">
        <v>20</v>
      </c>
      <c r="G34" s="14">
        <v>20305079</v>
      </c>
      <c r="H34" s="13" t="s">
        <v>41</v>
      </c>
      <c r="I34" s="13" t="s">
        <v>35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46126</v>
      </c>
      <c r="E35" s="13">
        <v>1594790</v>
      </c>
      <c r="F35" s="13" t="s">
        <v>20</v>
      </c>
      <c r="G35" s="14">
        <v>20305079</v>
      </c>
      <c r="H35" s="13" t="s">
        <v>41</v>
      </c>
      <c r="I35" s="13" t="s">
        <v>35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46127</v>
      </c>
      <c r="E36" s="13">
        <v>1594993</v>
      </c>
      <c r="F36" s="13" t="s">
        <v>20</v>
      </c>
      <c r="G36" s="14">
        <v>20305079</v>
      </c>
      <c r="H36" s="13" t="s">
        <v>41</v>
      </c>
      <c r="I36" s="13" t="s">
        <v>35</v>
      </c>
      <c r="J36" s="14">
        <v>4</v>
      </c>
      <c r="K36" s="14">
        <v>4</v>
      </c>
      <c r="L36" s="15">
        <v>4.8</v>
      </c>
      <c r="M36" s="15">
        <v>19.2</v>
      </c>
    </row>
    <row r="37" spans="4:13">
      <c r="D37" s="12">
        <v>46127</v>
      </c>
      <c r="E37" s="13">
        <v>1595144</v>
      </c>
      <c r="F37" s="13" t="s">
        <v>20</v>
      </c>
      <c r="G37" s="14">
        <v>20305079</v>
      </c>
      <c r="H37" s="13" t="s">
        <v>41</v>
      </c>
      <c r="I37" s="13" t="s">
        <v>35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46128</v>
      </c>
      <c r="E38" s="13">
        <v>1595311</v>
      </c>
      <c r="F38" s="13" t="s">
        <v>20</v>
      </c>
      <c r="G38" s="14">
        <v>20305079</v>
      </c>
      <c r="H38" s="13" t="s">
        <v>41</v>
      </c>
      <c r="I38" s="13" t="s">
        <v>35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46128</v>
      </c>
      <c r="E39" s="13">
        <v>1595311</v>
      </c>
      <c r="F39" s="13" t="s">
        <v>42</v>
      </c>
      <c r="G39" s="14">
        <v>20310518</v>
      </c>
      <c r="H39" s="13" t="s">
        <v>43</v>
      </c>
      <c r="I39" s="13" t="s">
        <v>44</v>
      </c>
      <c r="J39" s="14">
        <v>1</v>
      </c>
      <c r="K39" s="14">
        <v>2</v>
      </c>
      <c r="L39" s="15">
        <v>9.9</v>
      </c>
      <c r="M39" s="15">
        <v>9.9</v>
      </c>
    </row>
    <row r="40" spans="4:13">
      <c r="D40" s="12">
        <v>46128</v>
      </c>
      <c r="E40" s="13">
        <v>1595447</v>
      </c>
      <c r="F40" s="13" t="s">
        <v>20</v>
      </c>
      <c r="G40" s="14">
        <v>20305079</v>
      </c>
      <c r="H40" s="13" t="s">
        <v>41</v>
      </c>
      <c r="I40" s="13" t="s">
        <v>35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46129</v>
      </c>
      <c r="E41" s="13">
        <v>1595746</v>
      </c>
      <c r="F41" s="13" t="s">
        <v>20</v>
      </c>
      <c r="G41" s="14">
        <v>20305079</v>
      </c>
      <c r="H41" s="13" t="s">
        <v>41</v>
      </c>
      <c r="I41" s="13" t="s">
        <v>35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46132</v>
      </c>
      <c r="E42" s="13">
        <v>1596254</v>
      </c>
      <c r="F42" s="13" t="s">
        <v>42</v>
      </c>
      <c r="G42" s="14">
        <v>20310518</v>
      </c>
      <c r="H42" s="13" t="s">
        <v>43</v>
      </c>
      <c r="I42" s="13" t="s">
        <v>44</v>
      </c>
      <c r="J42" s="14">
        <v>1</v>
      </c>
      <c r="K42" s="14">
        <v>2</v>
      </c>
      <c r="L42" s="15">
        <v>9.9</v>
      </c>
      <c r="M42" s="15">
        <v>9.9</v>
      </c>
    </row>
    <row r="43" spans="4:13">
      <c r="D43" s="12">
        <v>46132</v>
      </c>
      <c r="E43" s="13">
        <v>1596432</v>
      </c>
      <c r="F43" s="13" t="s">
        <v>20</v>
      </c>
      <c r="G43" s="14">
        <v>20305079</v>
      </c>
      <c r="H43" s="13" t="s">
        <v>41</v>
      </c>
      <c r="I43" s="13" t="s">
        <v>35</v>
      </c>
      <c r="J43" s="14">
        <v>2</v>
      </c>
      <c r="K43" s="14">
        <v>2</v>
      </c>
      <c r="L43" s="15">
        <v>4.8</v>
      </c>
      <c r="M43" s="15">
        <v>9.6</v>
      </c>
    </row>
    <row r="44" ht="0.05" customHeight="1"/>
  </sheetData>
  <autoFilter xmlns:etc="http://www.wps.cn/officeDocument/2017/etCustomData" ref="A7:M43" etc:filterBottomFollowUsedRange="0">
    <extLst/>
  </autoFilter>
  <mergeCells count="5">
    <mergeCell ref="D8:I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" customWidth="1"/>
    <col min="9" max="9" width="20.5416666666667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</v>
      </c>
      <c r="K8" s="10">
        <v>40</v>
      </c>
      <c r="L8" s="11"/>
      <c r="M8" s="11">
        <v>150</v>
      </c>
    </row>
    <row r="9" spans="1:13">
      <c r="D9" s="12">
        <v>46111</v>
      </c>
      <c r="E9" s="13">
        <v>1590224</v>
      </c>
      <c r="F9" s="13" t="s">
        <v>20</v>
      </c>
      <c r="G9" s="14">
        <v>20303859</v>
      </c>
      <c r="H9" s="13" t="s">
        <v>46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46111</v>
      </c>
      <c r="E10" s="13">
        <v>1590224</v>
      </c>
      <c r="F10" s="13" t="s">
        <v>20</v>
      </c>
      <c r="G10" s="14">
        <v>20316042</v>
      </c>
      <c r="H10" s="13" t="s">
        <v>34</v>
      </c>
      <c r="I10" s="13" t="s">
        <v>35</v>
      </c>
      <c r="J10" s="14">
        <v>4</v>
      </c>
      <c r="K10" s="14">
        <v>4</v>
      </c>
      <c r="L10" s="15">
        <v>4.8</v>
      </c>
      <c r="M10" s="15">
        <v>19.2</v>
      </c>
    </row>
    <row r="11" spans="1:13">
      <c r="D11" s="12">
        <v>46111</v>
      </c>
      <c r="E11" s="13">
        <v>1590224</v>
      </c>
      <c r="F11" s="13" t="s">
        <v>47</v>
      </c>
      <c r="G11" s="14">
        <v>20303749</v>
      </c>
      <c r="H11" s="13" t="s">
        <v>48</v>
      </c>
      <c r="I11" s="13" t="s">
        <v>49</v>
      </c>
      <c r="J11" s="14">
        <v>1</v>
      </c>
      <c r="K11" s="14">
        <v>7</v>
      </c>
      <c r="L11" s="15">
        <v>23.1</v>
      </c>
      <c r="M11" s="15">
        <v>23.1</v>
      </c>
    </row>
    <row r="12" spans="1:13">
      <c r="D12" s="12">
        <v>46119</v>
      </c>
      <c r="E12" s="13">
        <v>1592391</v>
      </c>
      <c r="F12" s="13" t="s">
        <v>20</v>
      </c>
      <c r="G12" s="14">
        <v>20303859</v>
      </c>
      <c r="H12" s="13" t="s">
        <v>46</v>
      </c>
      <c r="I12" s="13" t="s">
        <v>35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46119</v>
      </c>
      <c r="E13" s="13">
        <v>1592391</v>
      </c>
      <c r="F13" s="13" t="s">
        <v>20</v>
      </c>
      <c r="G13" s="14">
        <v>20316042</v>
      </c>
      <c r="H13" s="13" t="s">
        <v>34</v>
      </c>
      <c r="I13" s="13" t="s">
        <v>35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46119</v>
      </c>
      <c r="E14" s="13">
        <v>1592391</v>
      </c>
      <c r="F14" s="13" t="s">
        <v>47</v>
      </c>
      <c r="G14" s="14">
        <v>20303749</v>
      </c>
      <c r="H14" s="13" t="s">
        <v>48</v>
      </c>
      <c r="I14" s="13" t="s">
        <v>49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46126</v>
      </c>
      <c r="E15" s="13">
        <v>1594572</v>
      </c>
      <c r="F15" s="13" t="s">
        <v>20</v>
      </c>
      <c r="G15" s="14">
        <v>20303859</v>
      </c>
      <c r="H15" s="13" t="s">
        <v>46</v>
      </c>
      <c r="I15" s="13" t="s">
        <v>35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46126</v>
      </c>
      <c r="E16" s="13">
        <v>1594572</v>
      </c>
      <c r="F16" s="13" t="s">
        <v>20</v>
      </c>
      <c r="G16" s="14">
        <v>20316042</v>
      </c>
      <c r="H16" s="13" t="s">
        <v>34</v>
      </c>
      <c r="I16" s="13" t="s">
        <v>35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46126</v>
      </c>
      <c r="E17" s="13">
        <v>1594572</v>
      </c>
      <c r="F17" s="13" t="s">
        <v>47</v>
      </c>
      <c r="G17" s="14">
        <v>20309893</v>
      </c>
      <c r="H17" s="13" t="s">
        <v>50</v>
      </c>
      <c r="I17" s="13" t="s">
        <v>49</v>
      </c>
      <c r="J17" s="14">
        <v>1</v>
      </c>
      <c r="K17" s="14">
        <v>14</v>
      </c>
      <c r="L17" s="15">
        <v>46.2</v>
      </c>
      <c r="M17" s="15">
        <v>46.2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9"/>
  <sheetViews>
    <sheetView showGridLines="0" view="pageBreakPreview" zoomScaleNormal="100" workbookViewId="0">
      <pane ySplit="6" topLeftCell="A83" activePane="bottomLeft" state="frozen"/>
      <selection/>
      <selection pane="bottomLeft" activeCell="M9" sqref="M9:M1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5" customWidth="1"/>
    <col min="9" max="9" width="17.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127</v>
      </c>
      <c r="K8" s="10">
        <v>457</v>
      </c>
      <c r="L8" s="11"/>
      <c r="M8" s="11">
        <v>1539.6</v>
      </c>
    </row>
    <row r="9" spans="1:13">
      <c r="D9" s="12">
        <v>46103</v>
      </c>
      <c r="E9" s="13">
        <v>1588106</v>
      </c>
      <c r="F9" s="13" t="s">
        <v>20</v>
      </c>
      <c r="G9" s="14">
        <v>20309579</v>
      </c>
      <c r="H9" s="13" t="s">
        <v>52</v>
      </c>
      <c r="I9" s="13" t="s">
        <v>53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46103</v>
      </c>
      <c r="E10" s="13">
        <v>1588106</v>
      </c>
      <c r="F10" s="13" t="s">
        <v>20</v>
      </c>
      <c r="G10" s="14">
        <v>20309880</v>
      </c>
      <c r="H10" s="13" t="s">
        <v>54</v>
      </c>
      <c r="I10" s="13" t="s">
        <v>55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46103</v>
      </c>
      <c r="E11" s="13">
        <v>1588106</v>
      </c>
      <c r="F11" s="13" t="s">
        <v>20</v>
      </c>
      <c r="G11" s="14">
        <v>20305071</v>
      </c>
      <c r="H11" s="13" t="s">
        <v>56</v>
      </c>
      <c r="I11" s="13" t="s">
        <v>57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46103</v>
      </c>
      <c r="E12" s="13">
        <v>1588106</v>
      </c>
      <c r="F12" s="13" t="s">
        <v>20</v>
      </c>
      <c r="G12" s="14">
        <v>20323391</v>
      </c>
      <c r="H12" s="13" t="s">
        <v>58</v>
      </c>
      <c r="I12" s="13" t="s">
        <v>57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46103</v>
      </c>
      <c r="E13" s="13">
        <v>1588106</v>
      </c>
      <c r="F13" s="13" t="s">
        <v>20</v>
      </c>
      <c r="G13" s="14">
        <v>20309780</v>
      </c>
      <c r="H13" s="13" t="s">
        <v>59</v>
      </c>
      <c r="I13" s="13" t="s">
        <v>33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46104</v>
      </c>
      <c r="E14" s="13">
        <v>1588181</v>
      </c>
      <c r="F14" s="13" t="s">
        <v>20</v>
      </c>
      <c r="G14" s="14">
        <v>20310065</v>
      </c>
      <c r="H14" s="13" t="s">
        <v>60</v>
      </c>
      <c r="I14" s="13" t="s">
        <v>29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46104</v>
      </c>
      <c r="E15" s="13">
        <v>1588181</v>
      </c>
      <c r="F15" s="13" t="s">
        <v>42</v>
      </c>
      <c r="G15" s="14">
        <v>20303887</v>
      </c>
      <c r="H15" s="13" t="s">
        <v>61</v>
      </c>
      <c r="I15" s="13" t="s">
        <v>62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46105</v>
      </c>
      <c r="E16" s="13">
        <v>1588560</v>
      </c>
      <c r="F16" s="13" t="s">
        <v>20</v>
      </c>
      <c r="G16" s="14">
        <v>20310148</v>
      </c>
      <c r="H16" s="13" t="s">
        <v>63</v>
      </c>
      <c r="I16" s="13" t="s">
        <v>55</v>
      </c>
      <c r="J16" s="14">
        <v>2</v>
      </c>
      <c r="K16" s="14">
        <v>10</v>
      </c>
      <c r="L16" s="15">
        <v>16.5</v>
      </c>
      <c r="M16" s="15">
        <v>33</v>
      </c>
    </row>
    <row r="17" spans="4:13">
      <c r="D17" s="12">
        <v>46105</v>
      </c>
      <c r="E17" s="13">
        <v>1588560</v>
      </c>
      <c r="F17" s="13" t="s">
        <v>20</v>
      </c>
      <c r="G17" s="14">
        <v>20311179</v>
      </c>
      <c r="H17" s="13" t="s">
        <v>64</v>
      </c>
      <c r="I17" s="13" t="s">
        <v>35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46105</v>
      </c>
      <c r="E18" s="13">
        <v>1588560</v>
      </c>
      <c r="F18" s="13" t="s">
        <v>20</v>
      </c>
      <c r="G18" s="14">
        <v>20305071</v>
      </c>
      <c r="H18" s="13" t="s">
        <v>56</v>
      </c>
      <c r="I18" s="13" t="s">
        <v>57</v>
      </c>
      <c r="J18" s="14">
        <v>2</v>
      </c>
      <c r="K18" s="14">
        <v>6</v>
      </c>
      <c r="L18" s="15">
        <v>9.9</v>
      </c>
      <c r="M18" s="15">
        <v>19.8</v>
      </c>
    </row>
    <row r="19" spans="4:13">
      <c r="D19" s="12">
        <v>46105</v>
      </c>
      <c r="E19" s="13">
        <v>1588560</v>
      </c>
      <c r="F19" s="13" t="s">
        <v>20</v>
      </c>
      <c r="G19" s="14">
        <v>20309780</v>
      </c>
      <c r="H19" s="13" t="s">
        <v>59</v>
      </c>
      <c r="I19" s="13" t="s">
        <v>33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46106</v>
      </c>
      <c r="E20" s="13">
        <v>1588935</v>
      </c>
      <c r="F20" s="13" t="s">
        <v>20</v>
      </c>
      <c r="G20" s="14">
        <v>20309579</v>
      </c>
      <c r="H20" s="13" t="s">
        <v>52</v>
      </c>
      <c r="I20" s="13" t="s">
        <v>53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46106</v>
      </c>
      <c r="E21" s="13">
        <v>1588935</v>
      </c>
      <c r="F21" s="13" t="s">
        <v>20</v>
      </c>
      <c r="G21" s="14">
        <v>20305071</v>
      </c>
      <c r="H21" s="13" t="s">
        <v>56</v>
      </c>
      <c r="I21" s="13" t="s">
        <v>57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46106</v>
      </c>
      <c r="E22" s="13">
        <v>1588935</v>
      </c>
      <c r="F22" s="13" t="s">
        <v>65</v>
      </c>
      <c r="G22" s="14">
        <v>20369190</v>
      </c>
      <c r="H22" s="13" t="s">
        <v>66</v>
      </c>
      <c r="I22" s="13" t="s">
        <v>44</v>
      </c>
      <c r="J22" s="14">
        <v>1</v>
      </c>
      <c r="K22" s="14">
        <v>12</v>
      </c>
      <c r="L22" s="15">
        <v>39.6</v>
      </c>
      <c r="M22" s="15">
        <v>39.6</v>
      </c>
    </row>
    <row r="23" spans="4:13">
      <c r="D23" s="12">
        <v>46107</v>
      </c>
      <c r="E23" s="13">
        <v>1589292</v>
      </c>
      <c r="F23" s="13" t="s">
        <v>20</v>
      </c>
      <c r="G23" s="14">
        <v>20310148</v>
      </c>
      <c r="H23" s="13" t="s">
        <v>63</v>
      </c>
      <c r="I23" s="13" t="s">
        <v>55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46107</v>
      </c>
      <c r="E24" s="13">
        <v>1589292</v>
      </c>
      <c r="F24" s="13" t="s">
        <v>20</v>
      </c>
      <c r="G24" s="14">
        <v>20315658</v>
      </c>
      <c r="H24" s="13" t="s">
        <v>67</v>
      </c>
      <c r="I24" s="13" t="s">
        <v>29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46107</v>
      </c>
      <c r="E25" s="13">
        <v>1589292</v>
      </c>
      <c r="F25" s="13" t="s">
        <v>20</v>
      </c>
      <c r="G25" s="14">
        <v>20305071</v>
      </c>
      <c r="H25" s="13" t="s">
        <v>56</v>
      </c>
      <c r="I25" s="13" t="s">
        <v>57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46107</v>
      </c>
      <c r="E26" s="13">
        <v>1589292</v>
      </c>
      <c r="F26" s="13" t="s">
        <v>20</v>
      </c>
      <c r="G26" s="14">
        <v>20310065</v>
      </c>
      <c r="H26" s="13" t="s">
        <v>60</v>
      </c>
      <c r="I26" s="13" t="s">
        <v>29</v>
      </c>
      <c r="J26" s="14">
        <v>1</v>
      </c>
      <c r="K26" s="14">
        <v>4</v>
      </c>
      <c r="L26" s="15">
        <v>13.2</v>
      </c>
      <c r="M26" s="15">
        <v>13.2</v>
      </c>
    </row>
    <row r="27" spans="4:13">
      <c r="D27" s="12">
        <v>46107</v>
      </c>
      <c r="E27" s="13">
        <v>1589292</v>
      </c>
      <c r="F27" s="13" t="s">
        <v>20</v>
      </c>
      <c r="G27" s="14">
        <v>20379113</v>
      </c>
      <c r="H27" s="13" t="s">
        <v>68</v>
      </c>
      <c r="I27" s="13" t="s">
        <v>22</v>
      </c>
      <c r="J27" s="14">
        <v>1</v>
      </c>
      <c r="K27" s="14">
        <v>2</v>
      </c>
      <c r="L27" s="15">
        <v>8.1</v>
      </c>
      <c r="M27" s="15">
        <v>8.1</v>
      </c>
    </row>
    <row r="28" spans="4:13">
      <c r="D28" s="12">
        <v>46107</v>
      </c>
      <c r="E28" s="13">
        <v>1589292</v>
      </c>
      <c r="F28" s="13" t="s">
        <v>20</v>
      </c>
      <c r="G28" s="14">
        <v>20303866</v>
      </c>
      <c r="H28" s="13" t="s">
        <v>69</v>
      </c>
      <c r="I28" s="13" t="s">
        <v>33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46107</v>
      </c>
      <c r="E29" s="13">
        <v>1589292</v>
      </c>
      <c r="F29" s="13" t="s">
        <v>20</v>
      </c>
      <c r="G29" s="14">
        <v>20316042</v>
      </c>
      <c r="H29" s="13" t="s">
        <v>34</v>
      </c>
      <c r="I29" s="13" t="s">
        <v>35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46107</v>
      </c>
      <c r="E30" s="13">
        <v>1589292</v>
      </c>
      <c r="F30" s="13" t="s">
        <v>42</v>
      </c>
      <c r="G30" s="14">
        <v>20303887</v>
      </c>
      <c r="H30" s="13" t="s">
        <v>61</v>
      </c>
      <c r="I30" s="13" t="s">
        <v>62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46108</v>
      </c>
      <c r="E31" s="13">
        <v>1589677</v>
      </c>
      <c r="F31" s="13" t="s">
        <v>20</v>
      </c>
      <c r="G31" s="14">
        <v>20309579</v>
      </c>
      <c r="H31" s="13" t="s">
        <v>52</v>
      </c>
      <c r="I31" s="13" t="s">
        <v>53</v>
      </c>
      <c r="J31" s="14">
        <v>2</v>
      </c>
      <c r="K31" s="14">
        <v>6</v>
      </c>
      <c r="L31" s="15">
        <v>9.9</v>
      </c>
      <c r="M31" s="15">
        <v>19.8</v>
      </c>
    </row>
    <row r="32" spans="4:13">
      <c r="D32" s="12">
        <v>46108</v>
      </c>
      <c r="E32" s="13">
        <v>1589677</v>
      </c>
      <c r="F32" s="13" t="s">
        <v>20</v>
      </c>
      <c r="G32" s="14">
        <v>20315658</v>
      </c>
      <c r="H32" s="13" t="s">
        <v>67</v>
      </c>
      <c r="I32" s="13" t="s">
        <v>29</v>
      </c>
      <c r="J32" s="14">
        <v>1</v>
      </c>
      <c r="K32" s="14">
        <v>3</v>
      </c>
      <c r="L32" s="15">
        <v>9.9</v>
      </c>
      <c r="M32" s="15">
        <v>9.9</v>
      </c>
    </row>
    <row r="33" spans="4:13">
      <c r="D33" s="12">
        <v>46108</v>
      </c>
      <c r="E33" s="13">
        <v>1589677</v>
      </c>
      <c r="F33" s="13" t="s">
        <v>20</v>
      </c>
      <c r="G33" s="14">
        <v>20305071</v>
      </c>
      <c r="H33" s="13" t="s">
        <v>56</v>
      </c>
      <c r="I33" s="13" t="s">
        <v>57</v>
      </c>
      <c r="J33" s="14">
        <v>1</v>
      </c>
      <c r="K33" s="14">
        <v>3</v>
      </c>
      <c r="L33" s="15">
        <v>9.9</v>
      </c>
      <c r="M33" s="15">
        <v>9.9</v>
      </c>
    </row>
    <row r="34" spans="4:13">
      <c r="D34" s="12">
        <v>46108</v>
      </c>
      <c r="E34" s="13">
        <v>1589677</v>
      </c>
      <c r="F34" s="13" t="s">
        <v>20</v>
      </c>
      <c r="G34" s="14">
        <v>20310065</v>
      </c>
      <c r="H34" s="13" t="s">
        <v>60</v>
      </c>
      <c r="I34" s="13" t="s">
        <v>29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46108</v>
      </c>
      <c r="E35" s="13">
        <v>1589677</v>
      </c>
      <c r="F35" s="13" t="s">
        <v>20</v>
      </c>
      <c r="G35" s="14">
        <v>20379113</v>
      </c>
      <c r="H35" s="13" t="s">
        <v>68</v>
      </c>
      <c r="I35" s="13" t="s">
        <v>22</v>
      </c>
      <c r="J35" s="14">
        <v>1</v>
      </c>
      <c r="K35" s="14">
        <v>2</v>
      </c>
      <c r="L35" s="15">
        <v>8.1</v>
      </c>
      <c r="M35" s="15">
        <v>8.1</v>
      </c>
    </row>
    <row r="36" spans="4:13">
      <c r="D36" s="12">
        <v>46108</v>
      </c>
      <c r="E36" s="13">
        <v>1589677</v>
      </c>
      <c r="F36" s="13" t="s">
        <v>20</v>
      </c>
      <c r="G36" s="14">
        <v>20303866</v>
      </c>
      <c r="H36" s="13" t="s">
        <v>69</v>
      </c>
      <c r="I36" s="13" t="s">
        <v>33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46110</v>
      </c>
      <c r="E37" s="13">
        <v>1590128</v>
      </c>
      <c r="F37" s="13" t="s">
        <v>20</v>
      </c>
      <c r="G37" s="14">
        <v>20311179</v>
      </c>
      <c r="H37" s="13" t="s">
        <v>64</v>
      </c>
      <c r="I37" s="13" t="s">
        <v>35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46110</v>
      </c>
      <c r="E38" s="13">
        <v>1590128</v>
      </c>
      <c r="F38" s="13" t="s">
        <v>20</v>
      </c>
      <c r="G38" s="14">
        <v>20303717</v>
      </c>
      <c r="H38" s="13" t="s">
        <v>70</v>
      </c>
      <c r="I38" s="13" t="s">
        <v>35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46110</v>
      </c>
      <c r="E39" s="13">
        <v>1590128</v>
      </c>
      <c r="F39" s="13" t="s">
        <v>20</v>
      </c>
      <c r="G39" s="14">
        <v>20310065</v>
      </c>
      <c r="H39" s="13" t="s">
        <v>60</v>
      </c>
      <c r="I39" s="13" t="s">
        <v>29</v>
      </c>
      <c r="J39" s="14">
        <v>2</v>
      </c>
      <c r="K39" s="14">
        <v>8</v>
      </c>
      <c r="L39" s="15">
        <v>13.2</v>
      </c>
      <c r="M39" s="15">
        <v>26.4</v>
      </c>
    </row>
    <row r="40" spans="4:13">
      <c r="D40" s="12">
        <v>46110</v>
      </c>
      <c r="E40" s="13">
        <v>1590128</v>
      </c>
      <c r="F40" s="13" t="s">
        <v>20</v>
      </c>
      <c r="G40" s="14">
        <v>20311334</v>
      </c>
      <c r="H40" s="13" t="s">
        <v>71</v>
      </c>
      <c r="I40" s="13" t="s">
        <v>22</v>
      </c>
      <c r="J40" s="14">
        <v>1</v>
      </c>
      <c r="K40" s="14">
        <v>5</v>
      </c>
      <c r="L40" s="15">
        <v>16.5</v>
      </c>
      <c r="M40" s="15">
        <v>16.5</v>
      </c>
    </row>
    <row r="41" spans="4:13">
      <c r="D41" s="12">
        <v>46110</v>
      </c>
      <c r="E41" s="13">
        <v>1590128</v>
      </c>
      <c r="F41" s="13" t="s">
        <v>20</v>
      </c>
      <c r="G41" s="14">
        <v>20316042</v>
      </c>
      <c r="H41" s="13" t="s">
        <v>34</v>
      </c>
      <c r="I41" s="13" t="s">
        <v>35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46110</v>
      </c>
      <c r="E42" s="13">
        <v>1590128</v>
      </c>
      <c r="F42" s="13" t="s">
        <v>65</v>
      </c>
      <c r="G42" s="14">
        <v>20331567</v>
      </c>
      <c r="H42" s="13" t="s">
        <v>72</v>
      </c>
      <c r="I42" s="13" t="s">
        <v>44</v>
      </c>
      <c r="J42" s="14">
        <v>2</v>
      </c>
      <c r="K42" s="14">
        <v>12</v>
      </c>
      <c r="L42" s="15">
        <v>19.8</v>
      </c>
      <c r="M42" s="15">
        <v>39.6</v>
      </c>
    </row>
    <row r="43" spans="4:13">
      <c r="D43" s="12">
        <v>46111</v>
      </c>
      <c r="E43" s="13">
        <v>1590225</v>
      </c>
      <c r="F43" s="13" t="s">
        <v>20</v>
      </c>
      <c r="G43" s="14">
        <v>20309880</v>
      </c>
      <c r="H43" s="13" t="s">
        <v>54</v>
      </c>
      <c r="I43" s="13" t="s">
        <v>55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46111</v>
      </c>
      <c r="E44" s="13">
        <v>1590225</v>
      </c>
      <c r="F44" s="13" t="s">
        <v>20</v>
      </c>
      <c r="G44" s="14">
        <v>20305108</v>
      </c>
      <c r="H44" s="13" t="s">
        <v>73</v>
      </c>
      <c r="I44" s="13" t="s">
        <v>33</v>
      </c>
      <c r="J44" s="14">
        <v>1</v>
      </c>
      <c r="K44" s="14">
        <v>2</v>
      </c>
      <c r="L44" s="15">
        <v>8.1</v>
      </c>
      <c r="M44" s="15">
        <v>8.1</v>
      </c>
    </row>
    <row r="45" spans="4:13">
      <c r="D45" s="12">
        <v>46111</v>
      </c>
      <c r="E45" s="13">
        <v>1590225</v>
      </c>
      <c r="F45" s="13" t="s">
        <v>20</v>
      </c>
      <c r="G45" s="14">
        <v>20309581</v>
      </c>
      <c r="H45" s="13" t="s">
        <v>74</v>
      </c>
      <c r="I45" s="13" t="s">
        <v>22</v>
      </c>
      <c r="J45" s="14">
        <v>1</v>
      </c>
      <c r="K45" s="14">
        <v>3</v>
      </c>
      <c r="L45" s="15">
        <v>9.9</v>
      </c>
      <c r="M45" s="15">
        <v>9.9</v>
      </c>
    </row>
    <row r="46" spans="4:13">
      <c r="D46" s="12">
        <v>46111</v>
      </c>
      <c r="E46" s="13">
        <v>1590225</v>
      </c>
      <c r="F46" s="13" t="s">
        <v>42</v>
      </c>
      <c r="G46" s="14">
        <v>20303887</v>
      </c>
      <c r="H46" s="13" t="s">
        <v>61</v>
      </c>
      <c r="I46" s="13" t="s">
        <v>62</v>
      </c>
      <c r="J46" s="14">
        <v>1</v>
      </c>
      <c r="K46" s="14">
        <v>4</v>
      </c>
      <c r="L46" s="15">
        <v>13.2</v>
      </c>
      <c r="M46" s="15">
        <v>13.2</v>
      </c>
    </row>
    <row r="47" spans="4:13">
      <c r="D47" s="12">
        <v>46112</v>
      </c>
      <c r="E47" s="13">
        <v>1590616</v>
      </c>
      <c r="F47" s="13" t="s">
        <v>20</v>
      </c>
      <c r="G47" s="14">
        <v>20309579</v>
      </c>
      <c r="H47" s="13" t="s">
        <v>52</v>
      </c>
      <c r="I47" s="13" t="s">
        <v>53</v>
      </c>
      <c r="J47" s="14">
        <v>2</v>
      </c>
      <c r="K47" s="14">
        <v>6</v>
      </c>
      <c r="L47" s="15">
        <v>9.9</v>
      </c>
      <c r="M47" s="15">
        <v>19.8</v>
      </c>
    </row>
    <row r="48" spans="4:13">
      <c r="D48" s="12">
        <v>46112</v>
      </c>
      <c r="E48" s="13">
        <v>1590616</v>
      </c>
      <c r="F48" s="13" t="s">
        <v>20</v>
      </c>
      <c r="G48" s="14">
        <v>20310286</v>
      </c>
      <c r="H48" s="13" t="s">
        <v>75</v>
      </c>
      <c r="I48" s="13" t="s">
        <v>35</v>
      </c>
      <c r="J48" s="14">
        <v>1</v>
      </c>
      <c r="K48" s="14">
        <v>2</v>
      </c>
      <c r="L48" s="15">
        <v>8.1</v>
      </c>
      <c r="M48" s="15">
        <v>8.1</v>
      </c>
    </row>
    <row r="49" spans="4:13">
      <c r="D49" s="12">
        <v>46112</v>
      </c>
      <c r="E49" s="13">
        <v>1590616</v>
      </c>
      <c r="F49" s="13" t="s">
        <v>20</v>
      </c>
      <c r="G49" s="14">
        <v>20323391</v>
      </c>
      <c r="H49" s="13" t="s">
        <v>58</v>
      </c>
      <c r="I49" s="13" t="s">
        <v>57</v>
      </c>
      <c r="J49" s="14">
        <v>1</v>
      </c>
      <c r="K49" s="14">
        <v>5</v>
      </c>
      <c r="L49" s="15">
        <v>16.5</v>
      </c>
      <c r="M49" s="15">
        <v>16.5</v>
      </c>
    </row>
    <row r="50" spans="4:13">
      <c r="D50" s="12">
        <v>46112</v>
      </c>
      <c r="E50" s="13">
        <v>1590616</v>
      </c>
      <c r="F50" s="13" t="s">
        <v>20</v>
      </c>
      <c r="G50" s="14">
        <v>20309780</v>
      </c>
      <c r="H50" s="13" t="s">
        <v>59</v>
      </c>
      <c r="I50" s="13" t="s">
        <v>33</v>
      </c>
      <c r="J50" s="14">
        <v>1</v>
      </c>
      <c r="K50" s="14">
        <v>4</v>
      </c>
      <c r="L50" s="15">
        <v>13.2</v>
      </c>
      <c r="M50" s="15">
        <v>13.2</v>
      </c>
    </row>
    <row r="51" spans="4:13">
      <c r="D51" s="12">
        <v>46113</v>
      </c>
      <c r="E51" s="13">
        <v>1591034</v>
      </c>
      <c r="F51" s="13" t="s">
        <v>20</v>
      </c>
      <c r="G51" s="14">
        <v>20310148</v>
      </c>
      <c r="H51" s="13" t="s">
        <v>63</v>
      </c>
      <c r="I51" s="13" t="s">
        <v>55</v>
      </c>
      <c r="J51" s="14">
        <v>1</v>
      </c>
      <c r="K51" s="14">
        <v>5</v>
      </c>
      <c r="L51" s="15">
        <v>16.5</v>
      </c>
      <c r="M51" s="15">
        <v>16.5</v>
      </c>
    </row>
    <row r="52" spans="4:13">
      <c r="D52" s="12">
        <v>46113</v>
      </c>
      <c r="E52" s="13">
        <v>1591034</v>
      </c>
      <c r="F52" s="13" t="s">
        <v>20</v>
      </c>
      <c r="G52" s="14">
        <v>20312240</v>
      </c>
      <c r="H52" s="13" t="s">
        <v>76</v>
      </c>
      <c r="I52" s="13" t="s">
        <v>33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46113</v>
      </c>
      <c r="E53" s="13">
        <v>1591034</v>
      </c>
      <c r="F53" s="13" t="s">
        <v>20</v>
      </c>
      <c r="G53" s="14">
        <v>20323391</v>
      </c>
      <c r="H53" s="13" t="s">
        <v>58</v>
      </c>
      <c r="I53" s="13" t="s">
        <v>57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46113</v>
      </c>
      <c r="E54" s="13">
        <v>1591034</v>
      </c>
      <c r="F54" s="13" t="s">
        <v>20</v>
      </c>
      <c r="G54" s="14">
        <v>20309581</v>
      </c>
      <c r="H54" s="13" t="s">
        <v>74</v>
      </c>
      <c r="I54" s="13" t="s">
        <v>22</v>
      </c>
      <c r="J54" s="14">
        <v>1</v>
      </c>
      <c r="K54" s="14">
        <v>3</v>
      </c>
      <c r="L54" s="15">
        <v>9.9</v>
      </c>
      <c r="M54" s="15">
        <v>9.9</v>
      </c>
    </row>
    <row r="55" spans="4:13">
      <c r="D55" s="12">
        <v>46113</v>
      </c>
      <c r="E55" s="13">
        <v>1591034</v>
      </c>
      <c r="F55" s="13" t="s">
        <v>20</v>
      </c>
      <c r="G55" s="14">
        <v>20316042</v>
      </c>
      <c r="H55" s="13" t="s">
        <v>34</v>
      </c>
      <c r="I55" s="13" t="s">
        <v>35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46114</v>
      </c>
      <c r="E56" s="13">
        <v>1591381</v>
      </c>
      <c r="F56" s="13" t="s">
        <v>20</v>
      </c>
      <c r="G56" s="14">
        <v>20309880</v>
      </c>
      <c r="H56" s="13" t="s">
        <v>54</v>
      </c>
      <c r="I56" s="13" t="s">
        <v>55</v>
      </c>
      <c r="J56" s="14">
        <v>1</v>
      </c>
      <c r="K56" s="14">
        <v>4</v>
      </c>
      <c r="L56" s="15">
        <v>13.2</v>
      </c>
      <c r="M56" s="15">
        <v>13.2</v>
      </c>
    </row>
    <row r="57" spans="4:13">
      <c r="D57" s="12">
        <v>46114</v>
      </c>
      <c r="E57" s="13">
        <v>1591381</v>
      </c>
      <c r="F57" s="13" t="s">
        <v>20</v>
      </c>
      <c r="G57" s="14">
        <v>20310148</v>
      </c>
      <c r="H57" s="13" t="s">
        <v>63</v>
      </c>
      <c r="I57" s="13" t="s">
        <v>55</v>
      </c>
      <c r="J57" s="14">
        <v>1</v>
      </c>
      <c r="K57" s="14">
        <v>5</v>
      </c>
      <c r="L57" s="15">
        <v>16.5</v>
      </c>
      <c r="M57" s="15">
        <v>16.5</v>
      </c>
    </row>
    <row r="58" spans="4:13">
      <c r="D58" s="12">
        <v>46114</v>
      </c>
      <c r="E58" s="13">
        <v>1591381</v>
      </c>
      <c r="F58" s="13" t="s">
        <v>20</v>
      </c>
      <c r="G58" s="14">
        <v>20315658</v>
      </c>
      <c r="H58" s="13" t="s">
        <v>67</v>
      </c>
      <c r="I58" s="13" t="s">
        <v>29</v>
      </c>
      <c r="J58" s="14">
        <v>1</v>
      </c>
      <c r="K58" s="14">
        <v>3</v>
      </c>
      <c r="L58" s="15">
        <v>9.9</v>
      </c>
      <c r="M58" s="15">
        <v>9.9</v>
      </c>
    </row>
    <row r="59" spans="4:13">
      <c r="D59" s="12">
        <v>46114</v>
      </c>
      <c r="E59" s="13">
        <v>1591381</v>
      </c>
      <c r="F59" s="13" t="s">
        <v>20</v>
      </c>
      <c r="G59" s="14">
        <v>20303717</v>
      </c>
      <c r="H59" s="13" t="s">
        <v>70</v>
      </c>
      <c r="I59" s="13" t="s">
        <v>35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46114</v>
      </c>
      <c r="E60" s="13">
        <v>1591381</v>
      </c>
      <c r="F60" s="13" t="s">
        <v>20</v>
      </c>
      <c r="G60" s="14">
        <v>20305071</v>
      </c>
      <c r="H60" s="13" t="s">
        <v>56</v>
      </c>
      <c r="I60" s="13" t="s">
        <v>57</v>
      </c>
      <c r="J60" s="14">
        <v>1</v>
      </c>
      <c r="K60" s="14">
        <v>3</v>
      </c>
      <c r="L60" s="15">
        <v>9.9</v>
      </c>
      <c r="M60" s="15">
        <v>9.9</v>
      </c>
    </row>
    <row r="61" spans="4:13">
      <c r="D61" s="12">
        <v>46114</v>
      </c>
      <c r="E61" s="13">
        <v>1591381</v>
      </c>
      <c r="F61" s="13" t="s">
        <v>20</v>
      </c>
      <c r="G61" s="14">
        <v>20310065</v>
      </c>
      <c r="H61" s="13" t="s">
        <v>60</v>
      </c>
      <c r="I61" s="13" t="s">
        <v>29</v>
      </c>
      <c r="J61" s="14">
        <v>1</v>
      </c>
      <c r="K61" s="14">
        <v>4</v>
      </c>
      <c r="L61" s="15">
        <v>13.2</v>
      </c>
      <c r="M61" s="15">
        <v>13.2</v>
      </c>
    </row>
    <row r="62" spans="4:13">
      <c r="D62" s="12">
        <v>46114</v>
      </c>
      <c r="E62" s="13">
        <v>1591381</v>
      </c>
      <c r="F62" s="13" t="s">
        <v>20</v>
      </c>
      <c r="G62" s="14">
        <v>20309780</v>
      </c>
      <c r="H62" s="13" t="s">
        <v>59</v>
      </c>
      <c r="I62" s="13" t="s">
        <v>33</v>
      </c>
      <c r="J62" s="14">
        <v>2</v>
      </c>
      <c r="K62" s="14">
        <v>8</v>
      </c>
      <c r="L62" s="15">
        <v>13.2</v>
      </c>
      <c r="M62" s="15">
        <v>26.4</v>
      </c>
    </row>
    <row r="63" spans="4:13">
      <c r="D63" s="12">
        <v>46114</v>
      </c>
      <c r="E63" s="13">
        <v>1591381</v>
      </c>
      <c r="F63" s="13" t="s">
        <v>42</v>
      </c>
      <c r="G63" s="14">
        <v>20303887</v>
      </c>
      <c r="H63" s="13" t="s">
        <v>61</v>
      </c>
      <c r="I63" s="13" t="s">
        <v>62</v>
      </c>
      <c r="J63" s="14">
        <v>1</v>
      </c>
      <c r="K63" s="14">
        <v>4</v>
      </c>
      <c r="L63" s="15">
        <v>13.2</v>
      </c>
      <c r="M63" s="15">
        <v>13.2</v>
      </c>
    </row>
    <row r="64" spans="4:13">
      <c r="D64" s="12">
        <v>46115</v>
      </c>
      <c r="E64" s="13">
        <v>1591805</v>
      </c>
      <c r="F64" s="13" t="s">
        <v>20</v>
      </c>
      <c r="G64" s="14">
        <v>20309880</v>
      </c>
      <c r="H64" s="13" t="s">
        <v>54</v>
      </c>
      <c r="I64" s="13" t="s">
        <v>55</v>
      </c>
      <c r="J64" s="14">
        <v>1</v>
      </c>
      <c r="K64" s="14">
        <v>4</v>
      </c>
      <c r="L64" s="15">
        <v>13.2</v>
      </c>
      <c r="M64" s="15">
        <v>13.2</v>
      </c>
    </row>
    <row r="65" spans="4:13">
      <c r="D65" s="12">
        <v>46115</v>
      </c>
      <c r="E65" s="13">
        <v>1591805</v>
      </c>
      <c r="F65" s="13" t="s">
        <v>20</v>
      </c>
      <c r="G65" s="14">
        <v>20310286</v>
      </c>
      <c r="H65" s="13" t="s">
        <v>75</v>
      </c>
      <c r="I65" s="13" t="s">
        <v>35</v>
      </c>
      <c r="J65" s="14">
        <v>1</v>
      </c>
      <c r="K65" s="14">
        <v>2</v>
      </c>
      <c r="L65" s="15">
        <v>8.1</v>
      </c>
      <c r="M65" s="15">
        <v>8.1</v>
      </c>
    </row>
    <row r="66" spans="4:13">
      <c r="D66" s="12">
        <v>46115</v>
      </c>
      <c r="E66" s="13">
        <v>1591805</v>
      </c>
      <c r="F66" s="13" t="s">
        <v>20</v>
      </c>
      <c r="G66" s="14">
        <v>20305108</v>
      </c>
      <c r="H66" s="13" t="s">
        <v>73</v>
      </c>
      <c r="I66" s="13" t="s">
        <v>33</v>
      </c>
      <c r="J66" s="14">
        <v>1</v>
      </c>
      <c r="K66" s="14">
        <v>2</v>
      </c>
      <c r="L66" s="15">
        <v>8.1</v>
      </c>
      <c r="M66" s="15">
        <v>8.1</v>
      </c>
    </row>
    <row r="67" spans="4:13">
      <c r="D67" s="12">
        <v>46115</v>
      </c>
      <c r="E67" s="13">
        <v>1591805</v>
      </c>
      <c r="F67" s="13" t="s">
        <v>20</v>
      </c>
      <c r="G67" s="14">
        <v>20316042</v>
      </c>
      <c r="H67" s="13" t="s">
        <v>34</v>
      </c>
      <c r="I67" s="13" t="s">
        <v>35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46117</v>
      </c>
      <c r="E68" s="13">
        <v>1592219</v>
      </c>
      <c r="F68" s="13" t="s">
        <v>20</v>
      </c>
      <c r="G68" s="14">
        <v>20309579</v>
      </c>
      <c r="H68" s="13" t="s">
        <v>52</v>
      </c>
      <c r="I68" s="13" t="s">
        <v>53</v>
      </c>
      <c r="J68" s="14">
        <v>1</v>
      </c>
      <c r="K68" s="14">
        <v>3</v>
      </c>
      <c r="L68" s="15">
        <v>9.9</v>
      </c>
      <c r="M68" s="15">
        <v>9.9</v>
      </c>
    </row>
    <row r="69" spans="4:13">
      <c r="D69" s="12">
        <v>46117</v>
      </c>
      <c r="E69" s="13">
        <v>1592219</v>
      </c>
      <c r="F69" s="13" t="s">
        <v>20</v>
      </c>
      <c r="G69" s="14">
        <v>20310148</v>
      </c>
      <c r="H69" s="13" t="s">
        <v>63</v>
      </c>
      <c r="I69" s="13" t="s">
        <v>55</v>
      </c>
      <c r="J69" s="14">
        <v>2</v>
      </c>
      <c r="K69" s="14">
        <v>10</v>
      </c>
      <c r="L69" s="15">
        <v>16.5</v>
      </c>
      <c r="M69" s="15">
        <v>33</v>
      </c>
    </row>
    <row r="70" spans="4:13">
      <c r="D70" s="12">
        <v>46117</v>
      </c>
      <c r="E70" s="13">
        <v>1592219</v>
      </c>
      <c r="F70" s="13" t="s">
        <v>20</v>
      </c>
      <c r="G70" s="14">
        <v>20315658</v>
      </c>
      <c r="H70" s="13" t="s">
        <v>67</v>
      </c>
      <c r="I70" s="13" t="s">
        <v>29</v>
      </c>
      <c r="J70" s="14">
        <v>1</v>
      </c>
      <c r="K70" s="14">
        <v>3</v>
      </c>
      <c r="L70" s="15">
        <v>9.9</v>
      </c>
      <c r="M70" s="15">
        <v>9.9</v>
      </c>
    </row>
    <row r="71" spans="4:13">
      <c r="D71" s="12">
        <v>46117</v>
      </c>
      <c r="E71" s="13">
        <v>1592219</v>
      </c>
      <c r="F71" s="13" t="s">
        <v>20</v>
      </c>
      <c r="G71" s="14">
        <v>20310065</v>
      </c>
      <c r="H71" s="13" t="s">
        <v>60</v>
      </c>
      <c r="I71" s="13" t="s">
        <v>29</v>
      </c>
      <c r="J71" s="14">
        <v>2</v>
      </c>
      <c r="K71" s="14">
        <v>8</v>
      </c>
      <c r="L71" s="15">
        <v>13.2</v>
      </c>
      <c r="M71" s="15">
        <v>26.4</v>
      </c>
    </row>
    <row r="72" spans="4:13">
      <c r="D72" s="12">
        <v>46117</v>
      </c>
      <c r="E72" s="13">
        <v>1592219</v>
      </c>
      <c r="F72" s="13" t="s">
        <v>20</v>
      </c>
      <c r="G72" s="14">
        <v>20309581</v>
      </c>
      <c r="H72" s="13" t="s">
        <v>74</v>
      </c>
      <c r="I72" s="13" t="s">
        <v>22</v>
      </c>
      <c r="J72" s="14">
        <v>1</v>
      </c>
      <c r="K72" s="14">
        <v>3</v>
      </c>
      <c r="L72" s="15">
        <v>9.9</v>
      </c>
      <c r="M72" s="15">
        <v>9.9</v>
      </c>
    </row>
    <row r="73" spans="4:13">
      <c r="D73" s="12">
        <v>46117</v>
      </c>
      <c r="E73" s="13">
        <v>1592219</v>
      </c>
      <c r="F73" s="13" t="s">
        <v>20</v>
      </c>
      <c r="G73" s="14">
        <v>20309780</v>
      </c>
      <c r="H73" s="13" t="s">
        <v>59</v>
      </c>
      <c r="I73" s="13" t="s">
        <v>33</v>
      </c>
      <c r="J73" s="14">
        <v>1</v>
      </c>
      <c r="K73" s="14">
        <v>4</v>
      </c>
      <c r="L73" s="15">
        <v>13.2</v>
      </c>
      <c r="M73" s="15">
        <v>13.2</v>
      </c>
    </row>
    <row r="74" spans="4:13">
      <c r="D74" s="12">
        <v>46119</v>
      </c>
      <c r="E74" s="13">
        <v>1592396</v>
      </c>
      <c r="F74" s="13" t="s">
        <v>20</v>
      </c>
      <c r="G74" s="14">
        <v>20309880</v>
      </c>
      <c r="H74" s="13" t="s">
        <v>54</v>
      </c>
      <c r="I74" s="13" t="s">
        <v>55</v>
      </c>
      <c r="J74" s="14">
        <v>1</v>
      </c>
      <c r="K74" s="14">
        <v>4</v>
      </c>
      <c r="L74" s="15">
        <v>13.2</v>
      </c>
      <c r="M74" s="15">
        <v>13.2</v>
      </c>
    </row>
    <row r="75" spans="4:13">
      <c r="D75" s="12">
        <v>46119</v>
      </c>
      <c r="E75" s="13">
        <v>1592396</v>
      </c>
      <c r="F75" s="13" t="s">
        <v>20</v>
      </c>
      <c r="G75" s="14">
        <v>20310148</v>
      </c>
      <c r="H75" s="13" t="s">
        <v>63</v>
      </c>
      <c r="I75" s="13" t="s">
        <v>55</v>
      </c>
      <c r="J75" s="14">
        <v>1</v>
      </c>
      <c r="K75" s="14">
        <v>5</v>
      </c>
      <c r="L75" s="15">
        <v>16.5</v>
      </c>
      <c r="M75" s="15">
        <v>16.5</v>
      </c>
    </row>
    <row r="76" spans="4:13">
      <c r="D76" s="12">
        <v>46119</v>
      </c>
      <c r="E76" s="13">
        <v>1592396</v>
      </c>
      <c r="F76" s="13" t="s">
        <v>20</v>
      </c>
      <c r="G76" s="14">
        <v>20305071</v>
      </c>
      <c r="H76" s="13" t="s">
        <v>56</v>
      </c>
      <c r="I76" s="13" t="s">
        <v>57</v>
      </c>
      <c r="J76" s="14">
        <v>1</v>
      </c>
      <c r="K76" s="14">
        <v>3</v>
      </c>
      <c r="L76" s="15">
        <v>9.9</v>
      </c>
      <c r="M76" s="15">
        <v>9.9</v>
      </c>
    </row>
    <row r="77" spans="4:13">
      <c r="D77" s="12">
        <v>46119</v>
      </c>
      <c r="E77" s="13">
        <v>1592396</v>
      </c>
      <c r="F77" s="13" t="s">
        <v>20</v>
      </c>
      <c r="G77" s="14">
        <v>20310065</v>
      </c>
      <c r="H77" s="13" t="s">
        <v>60</v>
      </c>
      <c r="I77" s="13" t="s">
        <v>29</v>
      </c>
      <c r="J77" s="14">
        <v>1</v>
      </c>
      <c r="K77" s="14">
        <v>4</v>
      </c>
      <c r="L77" s="15">
        <v>13.2</v>
      </c>
      <c r="M77" s="15">
        <v>13.2</v>
      </c>
    </row>
    <row r="78" spans="4:13">
      <c r="D78" s="12">
        <v>46119</v>
      </c>
      <c r="E78" s="13">
        <v>1592396</v>
      </c>
      <c r="F78" s="13" t="s">
        <v>20</v>
      </c>
      <c r="G78" s="14">
        <v>20309780</v>
      </c>
      <c r="H78" s="13" t="s">
        <v>59</v>
      </c>
      <c r="I78" s="13" t="s">
        <v>33</v>
      </c>
      <c r="J78" s="14">
        <v>1</v>
      </c>
      <c r="K78" s="14">
        <v>4</v>
      </c>
      <c r="L78" s="15">
        <v>13.2</v>
      </c>
      <c r="M78" s="15">
        <v>13.2</v>
      </c>
    </row>
    <row r="79" spans="4:13">
      <c r="D79" s="12">
        <v>46119</v>
      </c>
      <c r="E79" s="13">
        <v>1592396</v>
      </c>
      <c r="F79" s="13" t="s">
        <v>42</v>
      </c>
      <c r="G79" s="14">
        <v>20303887</v>
      </c>
      <c r="H79" s="13" t="s">
        <v>61</v>
      </c>
      <c r="I79" s="13" t="s">
        <v>62</v>
      </c>
      <c r="J79" s="14">
        <v>1</v>
      </c>
      <c r="K79" s="14">
        <v>4</v>
      </c>
      <c r="L79" s="15">
        <v>13.2</v>
      </c>
      <c r="M79" s="15">
        <v>13.2</v>
      </c>
    </row>
    <row r="80" spans="4:13">
      <c r="D80" s="12">
        <v>46120</v>
      </c>
      <c r="E80" s="13">
        <v>1592789</v>
      </c>
      <c r="F80" s="13" t="s">
        <v>20</v>
      </c>
      <c r="G80" s="14">
        <v>20309579</v>
      </c>
      <c r="H80" s="13" t="s">
        <v>52</v>
      </c>
      <c r="I80" s="13" t="s">
        <v>53</v>
      </c>
      <c r="J80" s="14">
        <v>2</v>
      </c>
      <c r="K80" s="14">
        <v>6</v>
      </c>
      <c r="L80" s="15">
        <v>9.9</v>
      </c>
      <c r="M80" s="15">
        <v>19.8</v>
      </c>
    </row>
    <row r="81" spans="4:13">
      <c r="D81" s="12">
        <v>46120</v>
      </c>
      <c r="E81" s="13">
        <v>1592789</v>
      </c>
      <c r="F81" s="13" t="s">
        <v>20</v>
      </c>
      <c r="G81" s="14">
        <v>20310286</v>
      </c>
      <c r="H81" s="13" t="s">
        <v>75</v>
      </c>
      <c r="I81" s="13" t="s">
        <v>35</v>
      </c>
      <c r="J81" s="14">
        <v>1</v>
      </c>
      <c r="K81" s="14">
        <v>2</v>
      </c>
      <c r="L81" s="15">
        <v>8.1</v>
      </c>
      <c r="M81" s="15">
        <v>8.1</v>
      </c>
    </row>
    <row r="82" spans="4:13">
      <c r="D82" s="12">
        <v>46120</v>
      </c>
      <c r="E82" s="13">
        <v>1592789</v>
      </c>
      <c r="F82" s="13" t="s">
        <v>20</v>
      </c>
      <c r="G82" s="14">
        <v>20303717</v>
      </c>
      <c r="H82" s="13" t="s">
        <v>70</v>
      </c>
      <c r="I82" s="13" t="s">
        <v>35</v>
      </c>
      <c r="J82" s="14">
        <v>1</v>
      </c>
      <c r="K82" s="14">
        <v>1</v>
      </c>
      <c r="L82" s="15">
        <v>4.8</v>
      </c>
      <c r="M82" s="15">
        <v>4.8</v>
      </c>
    </row>
    <row r="83" spans="4:13">
      <c r="D83" s="12">
        <v>46120</v>
      </c>
      <c r="E83" s="13">
        <v>1592789</v>
      </c>
      <c r="F83" s="13" t="s">
        <v>20</v>
      </c>
      <c r="G83" s="14">
        <v>20310065</v>
      </c>
      <c r="H83" s="13" t="s">
        <v>60</v>
      </c>
      <c r="I83" s="13" t="s">
        <v>29</v>
      </c>
      <c r="J83" s="14">
        <v>1</v>
      </c>
      <c r="K83" s="14">
        <v>4</v>
      </c>
      <c r="L83" s="15">
        <v>13.2</v>
      </c>
      <c r="M83" s="15">
        <v>13.2</v>
      </c>
    </row>
    <row r="84" spans="4:13">
      <c r="D84" s="12">
        <v>46120</v>
      </c>
      <c r="E84" s="13">
        <v>1592789</v>
      </c>
      <c r="F84" s="13" t="s">
        <v>20</v>
      </c>
      <c r="G84" s="14">
        <v>20379113</v>
      </c>
      <c r="H84" s="13" t="s">
        <v>68</v>
      </c>
      <c r="I84" s="13" t="s">
        <v>22</v>
      </c>
      <c r="J84" s="14">
        <v>1</v>
      </c>
      <c r="K84" s="14">
        <v>2</v>
      </c>
      <c r="L84" s="15">
        <v>8.1</v>
      </c>
      <c r="M84" s="15">
        <v>8.1</v>
      </c>
    </row>
    <row r="85" spans="4:13">
      <c r="D85" s="12">
        <v>46121</v>
      </c>
      <c r="E85" s="13">
        <v>1593175</v>
      </c>
      <c r="F85" s="13" t="s">
        <v>20</v>
      </c>
      <c r="G85" s="14">
        <v>20309880</v>
      </c>
      <c r="H85" s="13" t="s">
        <v>54</v>
      </c>
      <c r="I85" s="13" t="s">
        <v>55</v>
      </c>
      <c r="J85" s="14">
        <v>2</v>
      </c>
      <c r="K85" s="14">
        <v>8</v>
      </c>
      <c r="L85" s="15">
        <v>13.2</v>
      </c>
      <c r="M85" s="15">
        <v>26.4</v>
      </c>
    </row>
    <row r="86" spans="4:13">
      <c r="D86" s="12">
        <v>46121</v>
      </c>
      <c r="E86" s="13">
        <v>1593175</v>
      </c>
      <c r="F86" s="13" t="s">
        <v>20</v>
      </c>
      <c r="G86" s="14">
        <v>20311179</v>
      </c>
      <c r="H86" s="13" t="s">
        <v>64</v>
      </c>
      <c r="I86" s="13" t="s">
        <v>35</v>
      </c>
      <c r="J86" s="14">
        <v>1</v>
      </c>
      <c r="K86" s="14">
        <v>5</v>
      </c>
      <c r="L86" s="15">
        <v>16.5</v>
      </c>
      <c r="M86" s="15">
        <v>16.5</v>
      </c>
    </row>
    <row r="87" spans="4:13">
      <c r="D87" s="12">
        <v>46121</v>
      </c>
      <c r="E87" s="13">
        <v>1593175</v>
      </c>
      <c r="F87" s="13" t="s">
        <v>20</v>
      </c>
      <c r="G87" s="14">
        <v>20305071</v>
      </c>
      <c r="H87" s="13" t="s">
        <v>56</v>
      </c>
      <c r="I87" s="13" t="s">
        <v>57</v>
      </c>
      <c r="J87" s="14">
        <v>2</v>
      </c>
      <c r="K87" s="14">
        <v>6</v>
      </c>
      <c r="L87" s="15">
        <v>9.9</v>
      </c>
      <c r="M87" s="15">
        <v>19.8</v>
      </c>
    </row>
    <row r="88" spans="4:13">
      <c r="D88" s="12">
        <v>46121</v>
      </c>
      <c r="E88" s="13">
        <v>1593175</v>
      </c>
      <c r="F88" s="13" t="s">
        <v>42</v>
      </c>
      <c r="G88" s="14">
        <v>20303887</v>
      </c>
      <c r="H88" s="13" t="s">
        <v>61</v>
      </c>
      <c r="I88" s="13" t="s">
        <v>62</v>
      </c>
      <c r="J88" s="14">
        <v>1</v>
      </c>
      <c r="K88" s="14">
        <v>4</v>
      </c>
      <c r="L88" s="15">
        <v>13.2</v>
      </c>
      <c r="M88" s="15">
        <v>13.2</v>
      </c>
    </row>
    <row r="89" spans="4:13">
      <c r="D89" s="12">
        <v>46122</v>
      </c>
      <c r="E89" s="13">
        <v>1593628</v>
      </c>
      <c r="F89" s="13" t="s">
        <v>20</v>
      </c>
      <c r="G89" s="14">
        <v>20310148</v>
      </c>
      <c r="H89" s="13" t="s">
        <v>63</v>
      </c>
      <c r="I89" s="13" t="s">
        <v>55</v>
      </c>
      <c r="J89" s="14">
        <v>1</v>
      </c>
      <c r="K89" s="14">
        <v>5</v>
      </c>
      <c r="L89" s="15">
        <v>16.5</v>
      </c>
      <c r="M89" s="15">
        <v>16.5</v>
      </c>
    </row>
    <row r="90" spans="4:13">
      <c r="D90" s="12">
        <v>46122</v>
      </c>
      <c r="E90" s="13">
        <v>1593628</v>
      </c>
      <c r="F90" s="13" t="s">
        <v>20</v>
      </c>
      <c r="G90" s="14">
        <v>20310065</v>
      </c>
      <c r="H90" s="13" t="s">
        <v>60</v>
      </c>
      <c r="I90" s="13" t="s">
        <v>29</v>
      </c>
      <c r="J90" s="14">
        <v>1</v>
      </c>
      <c r="K90" s="14">
        <v>4</v>
      </c>
      <c r="L90" s="15">
        <v>13.2</v>
      </c>
      <c r="M90" s="15">
        <v>13.2</v>
      </c>
    </row>
    <row r="91" spans="4:13">
      <c r="D91" s="12">
        <v>46122</v>
      </c>
      <c r="E91" s="13">
        <v>1593628</v>
      </c>
      <c r="F91" s="13" t="s">
        <v>20</v>
      </c>
      <c r="G91" s="14">
        <v>20309780</v>
      </c>
      <c r="H91" s="13" t="s">
        <v>59</v>
      </c>
      <c r="I91" s="13" t="s">
        <v>33</v>
      </c>
      <c r="J91" s="14">
        <v>1</v>
      </c>
      <c r="K91" s="14">
        <v>4</v>
      </c>
      <c r="L91" s="15">
        <v>13.2</v>
      </c>
      <c r="M91" s="15">
        <v>13.2</v>
      </c>
    </row>
    <row r="92" spans="4:13">
      <c r="D92" s="12">
        <v>46124</v>
      </c>
      <c r="E92" s="13">
        <v>1594061</v>
      </c>
      <c r="F92" s="13" t="s">
        <v>20</v>
      </c>
      <c r="G92" s="14">
        <v>20309880</v>
      </c>
      <c r="H92" s="13" t="s">
        <v>54</v>
      </c>
      <c r="I92" s="13" t="s">
        <v>55</v>
      </c>
      <c r="J92" s="14">
        <v>2</v>
      </c>
      <c r="K92" s="14">
        <v>8</v>
      </c>
      <c r="L92" s="15">
        <v>13.2</v>
      </c>
      <c r="M92" s="15">
        <v>26.4</v>
      </c>
    </row>
    <row r="93" spans="4:13">
      <c r="D93" s="12">
        <v>46124</v>
      </c>
      <c r="E93" s="13">
        <v>1594061</v>
      </c>
      <c r="F93" s="13" t="s">
        <v>20</v>
      </c>
      <c r="G93" s="14">
        <v>20315658</v>
      </c>
      <c r="H93" s="13" t="s">
        <v>67</v>
      </c>
      <c r="I93" s="13" t="s">
        <v>29</v>
      </c>
      <c r="J93" s="14">
        <v>1</v>
      </c>
      <c r="K93" s="14">
        <v>3</v>
      </c>
      <c r="L93" s="15">
        <v>9.9</v>
      </c>
      <c r="M93" s="15">
        <v>9.9</v>
      </c>
    </row>
    <row r="94" spans="4:13">
      <c r="D94" s="12">
        <v>46124</v>
      </c>
      <c r="E94" s="13">
        <v>1594061</v>
      </c>
      <c r="F94" s="13" t="s">
        <v>20</v>
      </c>
      <c r="G94" s="14">
        <v>20323391</v>
      </c>
      <c r="H94" s="13" t="s">
        <v>58</v>
      </c>
      <c r="I94" s="13" t="s">
        <v>57</v>
      </c>
      <c r="J94" s="14">
        <v>1</v>
      </c>
      <c r="K94" s="14">
        <v>5</v>
      </c>
      <c r="L94" s="15">
        <v>16.5</v>
      </c>
      <c r="M94" s="15">
        <v>16.5</v>
      </c>
    </row>
    <row r="95" spans="4:13">
      <c r="D95" s="12">
        <v>46124</v>
      </c>
      <c r="E95" s="13">
        <v>1594061</v>
      </c>
      <c r="F95" s="13" t="s">
        <v>20</v>
      </c>
      <c r="G95" s="14">
        <v>20309581</v>
      </c>
      <c r="H95" s="13" t="s">
        <v>74</v>
      </c>
      <c r="I95" s="13" t="s">
        <v>22</v>
      </c>
      <c r="J95" s="14">
        <v>1</v>
      </c>
      <c r="K95" s="14">
        <v>3</v>
      </c>
      <c r="L95" s="15">
        <v>9.9</v>
      </c>
      <c r="M95" s="15">
        <v>9.9</v>
      </c>
    </row>
    <row r="96" spans="4:13">
      <c r="D96" s="12">
        <v>46125</v>
      </c>
      <c r="E96" s="13">
        <v>1594155</v>
      </c>
      <c r="F96" s="13" t="s">
        <v>42</v>
      </c>
      <c r="G96" s="14">
        <v>20303887</v>
      </c>
      <c r="H96" s="13" t="s">
        <v>61</v>
      </c>
      <c r="I96" s="13" t="s">
        <v>62</v>
      </c>
      <c r="J96" s="14">
        <v>1</v>
      </c>
      <c r="K96" s="14">
        <v>4</v>
      </c>
      <c r="L96" s="15">
        <v>13.2</v>
      </c>
      <c r="M96" s="15">
        <v>13.2</v>
      </c>
    </row>
    <row r="97" spans="4:13">
      <c r="D97" s="12">
        <v>46126</v>
      </c>
      <c r="E97" s="13">
        <v>1594573</v>
      </c>
      <c r="F97" s="13" t="s">
        <v>20</v>
      </c>
      <c r="G97" s="14">
        <v>20310148</v>
      </c>
      <c r="H97" s="13" t="s">
        <v>63</v>
      </c>
      <c r="I97" s="13" t="s">
        <v>55</v>
      </c>
      <c r="J97" s="14">
        <v>1</v>
      </c>
      <c r="K97" s="14">
        <v>5</v>
      </c>
      <c r="L97" s="15">
        <v>16.5</v>
      </c>
      <c r="M97" s="15">
        <v>16.5</v>
      </c>
    </row>
    <row r="98" spans="4:13">
      <c r="D98" s="12">
        <v>46126</v>
      </c>
      <c r="E98" s="13">
        <v>1594573</v>
      </c>
      <c r="F98" s="13" t="s">
        <v>20</v>
      </c>
      <c r="G98" s="14">
        <v>20309491</v>
      </c>
      <c r="H98" s="13" t="s">
        <v>77</v>
      </c>
      <c r="I98" s="13" t="s">
        <v>53</v>
      </c>
      <c r="J98" s="14">
        <v>1</v>
      </c>
      <c r="K98" s="14">
        <v>4</v>
      </c>
      <c r="L98" s="15">
        <v>13.2</v>
      </c>
      <c r="M98" s="15">
        <v>13.2</v>
      </c>
    </row>
    <row r="99" spans="4:13">
      <c r="D99" s="12">
        <v>46126</v>
      </c>
      <c r="E99" s="13">
        <v>1594573</v>
      </c>
      <c r="F99" s="13" t="s">
        <v>20</v>
      </c>
      <c r="G99" s="14">
        <v>20305071</v>
      </c>
      <c r="H99" s="13" t="s">
        <v>56</v>
      </c>
      <c r="I99" s="13" t="s">
        <v>57</v>
      </c>
      <c r="J99" s="14">
        <v>3</v>
      </c>
      <c r="K99" s="14">
        <v>9</v>
      </c>
      <c r="L99" s="15">
        <v>9.9</v>
      </c>
      <c r="M99" s="15">
        <v>29.7</v>
      </c>
    </row>
    <row r="100" spans="4:13">
      <c r="D100" s="12">
        <v>46126</v>
      </c>
      <c r="E100" s="13">
        <v>1594573</v>
      </c>
      <c r="F100" s="13" t="s">
        <v>20</v>
      </c>
      <c r="G100" s="14">
        <v>20311334</v>
      </c>
      <c r="H100" s="13" t="s">
        <v>71</v>
      </c>
      <c r="I100" s="13" t="s">
        <v>22</v>
      </c>
      <c r="J100" s="14">
        <v>1</v>
      </c>
      <c r="K100" s="14">
        <v>5</v>
      </c>
      <c r="L100" s="15">
        <v>16.5</v>
      </c>
      <c r="M100" s="15">
        <v>16.5</v>
      </c>
    </row>
    <row r="101" spans="4:13">
      <c r="D101" s="12">
        <v>46126</v>
      </c>
      <c r="E101" s="13">
        <v>1594573</v>
      </c>
      <c r="F101" s="13" t="s">
        <v>65</v>
      </c>
      <c r="G101" s="14">
        <v>20331567</v>
      </c>
      <c r="H101" s="13" t="s">
        <v>72</v>
      </c>
      <c r="I101" s="13" t="s">
        <v>44</v>
      </c>
      <c r="J101" s="14">
        <v>1</v>
      </c>
      <c r="K101" s="14">
        <v>6</v>
      </c>
      <c r="L101" s="15">
        <v>19.8</v>
      </c>
      <c r="M101" s="15">
        <v>19.8</v>
      </c>
    </row>
    <row r="102" spans="4:13">
      <c r="D102" s="12">
        <v>46128</v>
      </c>
      <c r="E102" s="13">
        <v>1595312</v>
      </c>
      <c r="F102" s="13" t="s">
        <v>20</v>
      </c>
      <c r="G102" s="14">
        <v>20309579</v>
      </c>
      <c r="H102" s="13" t="s">
        <v>52</v>
      </c>
      <c r="I102" s="13" t="s">
        <v>53</v>
      </c>
      <c r="J102" s="14">
        <v>2</v>
      </c>
      <c r="K102" s="14">
        <v>6</v>
      </c>
      <c r="L102" s="15">
        <v>9.9</v>
      </c>
      <c r="M102" s="15">
        <v>19.8</v>
      </c>
    </row>
    <row r="103" spans="4:13">
      <c r="D103" s="12">
        <v>46128</v>
      </c>
      <c r="E103" s="13">
        <v>1595312</v>
      </c>
      <c r="F103" s="13" t="s">
        <v>20</v>
      </c>
      <c r="G103" s="14">
        <v>20312240</v>
      </c>
      <c r="H103" s="13" t="s">
        <v>76</v>
      </c>
      <c r="I103" s="13" t="s">
        <v>33</v>
      </c>
      <c r="J103" s="14">
        <v>1</v>
      </c>
      <c r="K103" s="14">
        <v>1</v>
      </c>
      <c r="L103" s="15">
        <v>4.8</v>
      </c>
      <c r="M103" s="15">
        <v>4.8</v>
      </c>
    </row>
    <row r="104" spans="4:13">
      <c r="D104" s="12">
        <v>46128</v>
      </c>
      <c r="E104" s="13">
        <v>1595312</v>
      </c>
      <c r="F104" s="13" t="s">
        <v>20</v>
      </c>
      <c r="G104" s="14">
        <v>20309491</v>
      </c>
      <c r="H104" s="13" t="s">
        <v>77</v>
      </c>
      <c r="I104" s="13" t="s">
        <v>53</v>
      </c>
      <c r="J104" s="14">
        <v>1</v>
      </c>
      <c r="K104" s="14">
        <v>4</v>
      </c>
      <c r="L104" s="15">
        <v>13.2</v>
      </c>
      <c r="M104" s="15">
        <v>13.2</v>
      </c>
    </row>
    <row r="105" spans="4:13">
      <c r="D105" s="12">
        <v>46128</v>
      </c>
      <c r="E105" s="13">
        <v>1595312</v>
      </c>
      <c r="F105" s="13" t="s">
        <v>20</v>
      </c>
      <c r="G105" s="14">
        <v>20303717</v>
      </c>
      <c r="H105" s="13" t="s">
        <v>70</v>
      </c>
      <c r="I105" s="13" t="s">
        <v>35</v>
      </c>
      <c r="J105" s="14">
        <v>1</v>
      </c>
      <c r="K105" s="14">
        <v>1</v>
      </c>
      <c r="L105" s="15">
        <v>4.8</v>
      </c>
      <c r="M105" s="15">
        <v>4.8</v>
      </c>
    </row>
    <row r="106" spans="4:13">
      <c r="D106" s="12">
        <v>46128</v>
      </c>
      <c r="E106" s="13">
        <v>1595312</v>
      </c>
      <c r="F106" s="13" t="s">
        <v>20</v>
      </c>
      <c r="G106" s="14">
        <v>20323391</v>
      </c>
      <c r="H106" s="13" t="s">
        <v>58</v>
      </c>
      <c r="I106" s="13" t="s">
        <v>57</v>
      </c>
      <c r="J106" s="14">
        <v>1</v>
      </c>
      <c r="K106" s="14">
        <v>5</v>
      </c>
      <c r="L106" s="15">
        <v>16.5</v>
      </c>
      <c r="M106" s="15">
        <v>16.5</v>
      </c>
    </row>
    <row r="107" spans="4:13">
      <c r="D107" s="12">
        <v>46128</v>
      </c>
      <c r="E107" s="13">
        <v>1595312</v>
      </c>
      <c r="F107" s="13" t="s">
        <v>20</v>
      </c>
      <c r="G107" s="14">
        <v>20311334</v>
      </c>
      <c r="H107" s="13" t="s">
        <v>71</v>
      </c>
      <c r="I107" s="13" t="s">
        <v>22</v>
      </c>
      <c r="J107" s="14">
        <v>1</v>
      </c>
      <c r="K107" s="14">
        <v>5</v>
      </c>
      <c r="L107" s="15">
        <v>16.5</v>
      </c>
      <c r="M107" s="15">
        <v>16.5</v>
      </c>
    </row>
    <row r="108" spans="4:13">
      <c r="D108" s="12">
        <v>46128</v>
      </c>
      <c r="E108" s="13">
        <v>1595312</v>
      </c>
      <c r="F108" s="13" t="s">
        <v>42</v>
      </c>
      <c r="G108" s="14">
        <v>20303887</v>
      </c>
      <c r="H108" s="13" t="s">
        <v>61</v>
      </c>
      <c r="I108" s="13" t="s">
        <v>62</v>
      </c>
      <c r="J108" s="14">
        <v>1</v>
      </c>
      <c r="K108" s="14">
        <v>4</v>
      </c>
      <c r="L108" s="15">
        <v>13.2</v>
      </c>
      <c r="M108" s="15">
        <v>13.2</v>
      </c>
    </row>
    <row r="109" spans="4:13">
      <c r="D109" s="12">
        <v>46129</v>
      </c>
      <c r="E109" s="13">
        <v>1595747</v>
      </c>
      <c r="F109" s="13" t="s">
        <v>20</v>
      </c>
      <c r="G109" s="14">
        <v>20309880</v>
      </c>
      <c r="H109" s="13" t="s">
        <v>54</v>
      </c>
      <c r="I109" s="13" t="s">
        <v>55</v>
      </c>
      <c r="J109" s="14">
        <v>1</v>
      </c>
      <c r="K109" s="14">
        <v>4</v>
      </c>
      <c r="L109" s="15">
        <v>13.2</v>
      </c>
      <c r="M109" s="15">
        <v>13.2</v>
      </c>
    </row>
    <row r="110" spans="4:13">
      <c r="D110" s="12">
        <v>46129</v>
      </c>
      <c r="E110" s="13">
        <v>1595747</v>
      </c>
      <c r="F110" s="13" t="s">
        <v>20</v>
      </c>
      <c r="G110" s="14">
        <v>20315658</v>
      </c>
      <c r="H110" s="13" t="s">
        <v>67</v>
      </c>
      <c r="I110" s="13" t="s">
        <v>29</v>
      </c>
      <c r="J110" s="14">
        <v>1</v>
      </c>
      <c r="K110" s="14">
        <v>3</v>
      </c>
      <c r="L110" s="15">
        <v>9.9</v>
      </c>
      <c r="M110" s="15">
        <v>9.9</v>
      </c>
    </row>
    <row r="111" spans="4:13">
      <c r="D111" s="12">
        <v>46131</v>
      </c>
      <c r="E111" s="13">
        <v>1596170</v>
      </c>
      <c r="F111" s="13" t="s">
        <v>20</v>
      </c>
      <c r="G111" s="14">
        <v>20323391</v>
      </c>
      <c r="H111" s="13" t="s">
        <v>58</v>
      </c>
      <c r="I111" s="13" t="s">
        <v>57</v>
      </c>
      <c r="J111" s="14">
        <v>1</v>
      </c>
      <c r="K111" s="14">
        <v>5</v>
      </c>
      <c r="L111" s="15">
        <v>16.5</v>
      </c>
      <c r="M111" s="15">
        <v>16.5</v>
      </c>
    </row>
    <row r="112" spans="4:13">
      <c r="D112" s="12">
        <v>46131</v>
      </c>
      <c r="E112" s="13">
        <v>1596170</v>
      </c>
      <c r="F112" s="13" t="s">
        <v>20</v>
      </c>
      <c r="G112" s="14">
        <v>20311857</v>
      </c>
      <c r="H112" s="13" t="s">
        <v>78</v>
      </c>
      <c r="I112" s="13" t="s">
        <v>57</v>
      </c>
      <c r="J112" s="14">
        <v>1</v>
      </c>
      <c r="K112" s="14">
        <v>6</v>
      </c>
      <c r="L112" s="15">
        <v>19.8</v>
      </c>
      <c r="M112" s="15">
        <v>19.8</v>
      </c>
    </row>
    <row r="113" spans="4:13">
      <c r="D113" s="12">
        <v>46131</v>
      </c>
      <c r="E113" s="13">
        <v>1596170</v>
      </c>
      <c r="F113" s="13" t="s">
        <v>20</v>
      </c>
      <c r="G113" s="14">
        <v>20309581</v>
      </c>
      <c r="H113" s="13" t="s">
        <v>74</v>
      </c>
      <c r="I113" s="13" t="s">
        <v>22</v>
      </c>
      <c r="J113" s="14">
        <v>1</v>
      </c>
      <c r="K113" s="14">
        <v>3</v>
      </c>
      <c r="L113" s="15">
        <v>9.9</v>
      </c>
      <c r="M113" s="15">
        <v>9.9</v>
      </c>
    </row>
    <row r="114" spans="4:13">
      <c r="D114" s="12">
        <v>46131</v>
      </c>
      <c r="E114" s="13">
        <v>1596170</v>
      </c>
      <c r="F114" s="13" t="s">
        <v>65</v>
      </c>
      <c r="G114" s="14">
        <v>20331567</v>
      </c>
      <c r="H114" s="13" t="s">
        <v>72</v>
      </c>
      <c r="I114" s="13" t="s">
        <v>44</v>
      </c>
      <c r="J114" s="14">
        <v>1</v>
      </c>
      <c r="K114" s="14">
        <v>6</v>
      </c>
      <c r="L114" s="15">
        <v>19.8</v>
      </c>
      <c r="M114" s="15">
        <v>19.8</v>
      </c>
    </row>
    <row r="115" spans="4:13">
      <c r="D115" s="12">
        <v>46132</v>
      </c>
      <c r="E115" s="13">
        <v>1596260</v>
      </c>
      <c r="F115" s="13" t="s">
        <v>20</v>
      </c>
      <c r="G115" s="14">
        <v>20309579</v>
      </c>
      <c r="H115" s="13" t="s">
        <v>52</v>
      </c>
      <c r="I115" s="13" t="s">
        <v>53</v>
      </c>
      <c r="J115" s="14">
        <v>1</v>
      </c>
      <c r="K115" s="14">
        <v>3</v>
      </c>
      <c r="L115" s="15">
        <v>9.9</v>
      </c>
      <c r="M115" s="15">
        <v>9.9</v>
      </c>
    </row>
    <row r="116" spans="4:13">
      <c r="D116" s="12">
        <v>46132</v>
      </c>
      <c r="E116" s="13">
        <v>1596260</v>
      </c>
      <c r="F116" s="13" t="s">
        <v>20</v>
      </c>
      <c r="G116" s="14">
        <v>20310065</v>
      </c>
      <c r="H116" s="13" t="s">
        <v>60</v>
      </c>
      <c r="I116" s="13" t="s">
        <v>29</v>
      </c>
      <c r="J116" s="14">
        <v>1</v>
      </c>
      <c r="K116" s="14">
        <v>4</v>
      </c>
      <c r="L116" s="15">
        <v>13.2</v>
      </c>
      <c r="M116" s="15">
        <v>13.2</v>
      </c>
    </row>
    <row r="117" spans="4:13">
      <c r="D117" s="12">
        <v>46132</v>
      </c>
      <c r="E117" s="13">
        <v>1596260</v>
      </c>
      <c r="F117" s="13" t="s">
        <v>20</v>
      </c>
      <c r="G117" s="14">
        <v>20309780</v>
      </c>
      <c r="H117" s="13" t="s">
        <v>59</v>
      </c>
      <c r="I117" s="13" t="s">
        <v>33</v>
      </c>
      <c r="J117" s="14">
        <v>1</v>
      </c>
      <c r="K117" s="14">
        <v>4</v>
      </c>
      <c r="L117" s="15">
        <v>13.2</v>
      </c>
      <c r="M117" s="15">
        <v>13.2</v>
      </c>
    </row>
    <row r="118" spans="4:13">
      <c r="D118" s="12">
        <v>46132</v>
      </c>
      <c r="E118" s="13">
        <v>1596260</v>
      </c>
      <c r="F118" s="13" t="s">
        <v>42</v>
      </c>
      <c r="G118" s="14">
        <v>20303887</v>
      </c>
      <c r="H118" s="13" t="s">
        <v>61</v>
      </c>
      <c r="I118" s="13" t="s">
        <v>62</v>
      </c>
      <c r="J118" s="14">
        <v>1</v>
      </c>
      <c r="K118" s="14">
        <v>4</v>
      </c>
      <c r="L118" s="15">
        <v>13.2</v>
      </c>
      <c r="M118" s="15">
        <v>13.2</v>
      </c>
    </row>
    <row r="119" ht="0.05" customHeight="1"/>
  </sheetData>
  <autoFilter xmlns:etc="http://www.wps.cn/officeDocument/2017/etCustomData" ref="A7:M118" etc:filterBottomFollowUsedRange="0">
    <extLst/>
  </autoFilter>
  <mergeCells count="5">
    <mergeCell ref="D8:I8"/>
    <mergeCell ref="C7:C118"/>
    <mergeCell ref="B4:H5"/>
    <mergeCell ref="A7:B118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4"/>
  <sheetViews>
    <sheetView showGridLines="0" view="pageBreakPreview" zoomScaleNormal="100" workbookViewId="0">
      <pane ySplit="6" topLeftCell="A78" activePane="bottomLeft" state="frozen"/>
      <selection/>
      <selection pane="bottomLeft" activeCell="M9" sqref="M9:M1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25" customWidth="1"/>
    <col min="9" max="9" width="16.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255</v>
      </c>
      <c r="K8" s="10">
        <v>1156</v>
      </c>
      <c r="L8" s="11"/>
      <c r="M8" s="11">
        <v>3863.1</v>
      </c>
    </row>
    <row r="9" spans="1:13">
      <c r="D9" s="12">
        <v>46103</v>
      </c>
      <c r="E9" s="13">
        <v>1588107</v>
      </c>
      <c r="F9" s="13" t="s">
        <v>20</v>
      </c>
      <c r="G9" s="14">
        <v>20310065</v>
      </c>
      <c r="H9" s="13" t="s">
        <v>60</v>
      </c>
      <c r="I9" s="13" t="s">
        <v>29</v>
      </c>
      <c r="J9" s="14">
        <v>4</v>
      </c>
      <c r="K9" s="14">
        <v>16</v>
      </c>
      <c r="L9" s="15">
        <v>13.2</v>
      </c>
      <c r="M9" s="15">
        <v>52.8</v>
      </c>
    </row>
    <row r="10" spans="1:13">
      <c r="D10" s="12">
        <v>46103</v>
      </c>
      <c r="E10" s="13">
        <v>1588107</v>
      </c>
      <c r="F10" s="13" t="s">
        <v>20</v>
      </c>
      <c r="G10" s="14">
        <v>20310356</v>
      </c>
      <c r="H10" s="13" t="s">
        <v>80</v>
      </c>
      <c r="I10" s="13" t="s">
        <v>53</v>
      </c>
      <c r="J10" s="14">
        <v>12</v>
      </c>
      <c r="K10" s="14">
        <v>48</v>
      </c>
      <c r="L10" s="15">
        <v>13.2</v>
      </c>
      <c r="M10" s="15">
        <v>158.4</v>
      </c>
    </row>
    <row r="11" spans="1:13">
      <c r="D11" s="12">
        <v>46104</v>
      </c>
      <c r="E11" s="13">
        <v>1588182</v>
      </c>
      <c r="F11" s="13" t="s">
        <v>20</v>
      </c>
      <c r="G11" s="14">
        <v>20310148</v>
      </c>
      <c r="H11" s="13" t="s">
        <v>63</v>
      </c>
      <c r="I11" s="13" t="s">
        <v>55</v>
      </c>
      <c r="J11" s="14">
        <v>4</v>
      </c>
      <c r="K11" s="14">
        <v>20</v>
      </c>
      <c r="L11" s="15">
        <v>16.5</v>
      </c>
      <c r="M11" s="15">
        <v>66</v>
      </c>
    </row>
    <row r="12" spans="1:13">
      <c r="D12" s="12">
        <v>46104</v>
      </c>
      <c r="E12" s="13">
        <v>1588182</v>
      </c>
      <c r="F12" s="13" t="s">
        <v>20</v>
      </c>
      <c r="G12" s="14">
        <v>20310065</v>
      </c>
      <c r="H12" s="13" t="s">
        <v>60</v>
      </c>
      <c r="I12" s="13" t="s">
        <v>29</v>
      </c>
      <c r="J12" s="14">
        <v>2</v>
      </c>
      <c r="K12" s="14">
        <v>8</v>
      </c>
      <c r="L12" s="15">
        <v>13.2</v>
      </c>
      <c r="M12" s="15">
        <v>26.4</v>
      </c>
    </row>
    <row r="13" spans="1:13">
      <c r="D13" s="12">
        <v>46104</v>
      </c>
      <c r="E13" s="13">
        <v>1588182</v>
      </c>
      <c r="F13" s="13" t="s">
        <v>20</v>
      </c>
      <c r="G13" s="14">
        <v>20323391</v>
      </c>
      <c r="H13" s="13" t="s">
        <v>58</v>
      </c>
      <c r="I13" s="13" t="s">
        <v>57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46104</v>
      </c>
      <c r="E14" s="13">
        <v>1588182</v>
      </c>
      <c r="F14" s="13" t="s">
        <v>20</v>
      </c>
      <c r="G14" s="14">
        <v>20312029</v>
      </c>
      <c r="H14" s="13" t="s">
        <v>81</v>
      </c>
      <c r="I14" s="13" t="s">
        <v>55</v>
      </c>
      <c r="J14" s="14">
        <v>1</v>
      </c>
      <c r="K14" s="14">
        <v>6</v>
      </c>
      <c r="L14" s="15">
        <v>19.8</v>
      </c>
      <c r="M14" s="15">
        <v>19.8</v>
      </c>
    </row>
    <row r="15" spans="1:13">
      <c r="D15" s="12">
        <v>46104</v>
      </c>
      <c r="E15" s="13">
        <v>1588182</v>
      </c>
      <c r="F15" s="13" t="s">
        <v>42</v>
      </c>
      <c r="G15" s="14">
        <v>20303949</v>
      </c>
      <c r="H15" s="13" t="s">
        <v>82</v>
      </c>
      <c r="I15" s="13" t="s">
        <v>83</v>
      </c>
      <c r="J15" s="14">
        <v>1</v>
      </c>
      <c r="K15" s="14">
        <v>14</v>
      </c>
      <c r="L15" s="15">
        <v>46.2</v>
      </c>
      <c r="M15" s="15">
        <v>46.2</v>
      </c>
    </row>
    <row r="16" spans="1:13">
      <c r="D16" s="12">
        <v>46105</v>
      </c>
      <c r="E16" s="13">
        <v>1588561</v>
      </c>
      <c r="F16" s="13" t="s">
        <v>20</v>
      </c>
      <c r="G16" s="14">
        <v>20310148</v>
      </c>
      <c r="H16" s="13" t="s">
        <v>63</v>
      </c>
      <c r="I16" s="13" t="s">
        <v>55</v>
      </c>
      <c r="J16" s="14">
        <v>4</v>
      </c>
      <c r="K16" s="14">
        <v>20</v>
      </c>
      <c r="L16" s="15">
        <v>16.5</v>
      </c>
      <c r="M16" s="15">
        <v>66</v>
      </c>
    </row>
    <row r="17" spans="4:13">
      <c r="D17" s="12">
        <v>46105</v>
      </c>
      <c r="E17" s="13">
        <v>1588561</v>
      </c>
      <c r="F17" s="13" t="s">
        <v>20</v>
      </c>
      <c r="G17" s="14">
        <v>20305071</v>
      </c>
      <c r="H17" s="13" t="s">
        <v>56</v>
      </c>
      <c r="I17" s="13" t="s">
        <v>57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46105</v>
      </c>
      <c r="E18" s="13">
        <v>1588561</v>
      </c>
      <c r="F18" s="13" t="s">
        <v>20</v>
      </c>
      <c r="G18" s="14">
        <v>20400789</v>
      </c>
      <c r="H18" s="13" t="s">
        <v>84</v>
      </c>
      <c r="I18" s="13" t="s">
        <v>53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46105</v>
      </c>
      <c r="E19" s="13">
        <v>1588561</v>
      </c>
      <c r="F19" s="13" t="s">
        <v>20</v>
      </c>
      <c r="G19" s="14">
        <v>20310356</v>
      </c>
      <c r="H19" s="13" t="s">
        <v>80</v>
      </c>
      <c r="I19" s="13" t="s">
        <v>53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46106</v>
      </c>
      <c r="E20" s="13">
        <v>1588936</v>
      </c>
      <c r="F20" s="13" t="s">
        <v>20</v>
      </c>
      <c r="G20" s="14">
        <v>20310148</v>
      </c>
      <c r="H20" s="13" t="s">
        <v>63</v>
      </c>
      <c r="I20" s="13" t="s">
        <v>55</v>
      </c>
      <c r="J20" s="14">
        <v>4</v>
      </c>
      <c r="K20" s="14">
        <v>20</v>
      </c>
      <c r="L20" s="15">
        <v>16.5</v>
      </c>
      <c r="M20" s="15">
        <v>66</v>
      </c>
    </row>
    <row r="21" spans="4:13">
      <c r="D21" s="12">
        <v>46106</v>
      </c>
      <c r="E21" s="13">
        <v>1588936</v>
      </c>
      <c r="F21" s="13" t="s">
        <v>20</v>
      </c>
      <c r="G21" s="14">
        <v>20311857</v>
      </c>
      <c r="H21" s="13" t="s">
        <v>78</v>
      </c>
      <c r="I21" s="13" t="s">
        <v>57</v>
      </c>
      <c r="J21" s="14">
        <v>2</v>
      </c>
      <c r="K21" s="14">
        <v>12</v>
      </c>
      <c r="L21" s="15">
        <v>19.8</v>
      </c>
      <c r="M21" s="15">
        <v>39.6</v>
      </c>
    </row>
    <row r="22" spans="4:13">
      <c r="D22" s="12">
        <v>46106</v>
      </c>
      <c r="E22" s="13">
        <v>1588936</v>
      </c>
      <c r="F22" s="13" t="s">
        <v>20</v>
      </c>
      <c r="G22" s="14">
        <v>20310356</v>
      </c>
      <c r="H22" s="13" t="s">
        <v>80</v>
      </c>
      <c r="I22" s="13" t="s">
        <v>53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46107</v>
      </c>
      <c r="E23" s="13">
        <v>1589293</v>
      </c>
      <c r="F23" s="13" t="s">
        <v>20</v>
      </c>
      <c r="G23" s="14">
        <v>20310148</v>
      </c>
      <c r="H23" s="13" t="s">
        <v>63</v>
      </c>
      <c r="I23" s="13" t="s">
        <v>55</v>
      </c>
      <c r="J23" s="14">
        <v>4</v>
      </c>
      <c r="K23" s="14">
        <v>20</v>
      </c>
      <c r="L23" s="15">
        <v>16.5</v>
      </c>
      <c r="M23" s="15">
        <v>66</v>
      </c>
    </row>
    <row r="24" spans="4:13">
      <c r="D24" s="12">
        <v>46107</v>
      </c>
      <c r="E24" s="13">
        <v>1589293</v>
      </c>
      <c r="F24" s="13" t="s">
        <v>20</v>
      </c>
      <c r="G24" s="14">
        <v>20310065</v>
      </c>
      <c r="H24" s="13" t="s">
        <v>60</v>
      </c>
      <c r="I24" s="13" t="s">
        <v>29</v>
      </c>
      <c r="J24" s="14">
        <v>2</v>
      </c>
      <c r="K24" s="14">
        <v>8</v>
      </c>
      <c r="L24" s="15">
        <v>13.2</v>
      </c>
      <c r="M24" s="15">
        <v>26.4</v>
      </c>
    </row>
    <row r="25" spans="4:13">
      <c r="D25" s="12">
        <v>46107</v>
      </c>
      <c r="E25" s="13">
        <v>1589293</v>
      </c>
      <c r="F25" s="13" t="s">
        <v>20</v>
      </c>
      <c r="G25" s="14">
        <v>20310356</v>
      </c>
      <c r="H25" s="13" t="s">
        <v>80</v>
      </c>
      <c r="I25" s="13" t="s">
        <v>53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46107</v>
      </c>
      <c r="E26" s="13">
        <v>1589293</v>
      </c>
      <c r="F26" s="13" t="s">
        <v>42</v>
      </c>
      <c r="G26" s="14">
        <v>20303949</v>
      </c>
      <c r="H26" s="13" t="s">
        <v>82</v>
      </c>
      <c r="I26" s="13" t="s">
        <v>83</v>
      </c>
      <c r="J26" s="14">
        <v>1</v>
      </c>
      <c r="K26" s="14">
        <v>14</v>
      </c>
      <c r="L26" s="15">
        <v>46.2</v>
      </c>
      <c r="M26" s="15">
        <v>46.2</v>
      </c>
    </row>
    <row r="27" spans="4:13">
      <c r="D27" s="12">
        <v>46108</v>
      </c>
      <c r="E27" s="13">
        <v>1589678</v>
      </c>
      <c r="F27" s="13" t="s">
        <v>20</v>
      </c>
      <c r="G27" s="14">
        <v>20310148</v>
      </c>
      <c r="H27" s="13" t="s">
        <v>63</v>
      </c>
      <c r="I27" s="13" t="s">
        <v>55</v>
      </c>
      <c r="J27" s="14">
        <v>2</v>
      </c>
      <c r="K27" s="14">
        <v>10</v>
      </c>
      <c r="L27" s="15">
        <v>16.5</v>
      </c>
      <c r="M27" s="15">
        <v>33</v>
      </c>
    </row>
    <row r="28" spans="4:13">
      <c r="D28" s="12">
        <v>46108</v>
      </c>
      <c r="E28" s="13">
        <v>1589678</v>
      </c>
      <c r="F28" s="13" t="s">
        <v>20</v>
      </c>
      <c r="G28" s="14">
        <v>20310065</v>
      </c>
      <c r="H28" s="13" t="s">
        <v>60</v>
      </c>
      <c r="I28" s="13" t="s">
        <v>29</v>
      </c>
      <c r="J28" s="14">
        <v>1</v>
      </c>
      <c r="K28" s="14">
        <v>4</v>
      </c>
      <c r="L28" s="15">
        <v>13.2</v>
      </c>
      <c r="M28" s="15">
        <v>13.2</v>
      </c>
    </row>
    <row r="29" spans="4:13">
      <c r="D29" s="12">
        <v>46108</v>
      </c>
      <c r="E29" s="13">
        <v>1589678</v>
      </c>
      <c r="F29" s="13" t="s">
        <v>20</v>
      </c>
      <c r="G29" s="14">
        <v>20323391</v>
      </c>
      <c r="H29" s="13" t="s">
        <v>58</v>
      </c>
      <c r="I29" s="13" t="s">
        <v>57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46108</v>
      </c>
      <c r="E30" s="13">
        <v>1589678</v>
      </c>
      <c r="F30" s="13" t="s">
        <v>20</v>
      </c>
      <c r="G30" s="14">
        <v>20400789</v>
      </c>
      <c r="H30" s="13" t="s">
        <v>84</v>
      </c>
      <c r="I30" s="13" t="s">
        <v>53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46108</v>
      </c>
      <c r="E31" s="13">
        <v>1589678</v>
      </c>
      <c r="F31" s="13" t="s">
        <v>20</v>
      </c>
      <c r="G31" s="14">
        <v>20310356</v>
      </c>
      <c r="H31" s="13" t="s">
        <v>80</v>
      </c>
      <c r="I31" s="13" t="s">
        <v>53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46108</v>
      </c>
      <c r="E32" s="13">
        <v>1589678</v>
      </c>
      <c r="F32" s="13" t="s">
        <v>20</v>
      </c>
      <c r="G32" s="14">
        <v>20379475</v>
      </c>
      <c r="H32" s="13" t="s">
        <v>85</v>
      </c>
      <c r="I32" s="13" t="s">
        <v>33</v>
      </c>
      <c r="J32" s="14">
        <v>1</v>
      </c>
      <c r="K32" s="14">
        <v>2</v>
      </c>
      <c r="L32" s="15">
        <v>8.1</v>
      </c>
      <c r="M32" s="15">
        <v>8.1</v>
      </c>
    </row>
    <row r="33" spans="4:13">
      <c r="D33" s="12">
        <v>46110</v>
      </c>
      <c r="E33" s="13">
        <v>1590129</v>
      </c>
      <c r="F33" s="13" t="s">
        <v>20</v>
      </c>
      <c r="G33" s="14">
        <v>20310148</v>
      </c>
      <c r="H33" s="13" t="s">
        <v>63</v>
      </c>
      <c r="I33" s="13" t="s">
        <v>55</v>
      </c>
      <c r="J33" s="14">
        <v>8</v>
      </c>
      <c r="K33" s="14">
        <v>40</v>
      </c>
      <c r="L33" s="15">
        <v>16.5</v>
      </c>
      <c r="M33" s="15">
        <v>132</v>
      </c>
    </row>
    <row r="34" spans="4:13">
      <c r="D34" s="12">
        <v>46110</v>
      </c>
      <c r="E34" s="13">
        <v>1590129</v>
      </c>
      <c r="F34" s="13" t="s">
        <v>20</v>
      </c>
      <c r="G34" s="14">
        <v>20323391</v>
      </c>
      <c r="H34" s="13" t="s">
        <v>58</v>
      </c>
      <c r="I34" s="13" t="s">
        <v>57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46111</v>
      </c>
      <c r="E35" s="13">
        <v>1590226</v>
      </c>
      <c r="F35" s="13" t="s">
        <v>20</v>
      </c>
      <c r="G35" s="14">
        <v>20310148</v>
      </c>
      <c r="H35" s="13" t="s">
        <v>63</v>
      </c>
      <c r="I35" s="13" t="s">
        <v>55</v>
      </c>
      <c r="J35" s="14">
        <v>6</v>
      </c>
      <c r="K35" s="14">
        <v>30</v>
      </c>
      <c r="L35" s="15">
        <v>16.5</v>
      </c>
      <c r="M35" s="15">
        <v>99</v>
      </c>
    </row>
    <row r="36" spans="4:13">
      <c r="D36" s="12">
        <v>46111</v>
      </c>
      <c r="E36" s="13">
        <v>1590226</v>
      </c>
      <c r="F36" s="13" t="s">
        <v>20</v>
      </c>
      <c r="G36" s="14">
        <v>20311857</v>
      </c>
      <c r="H36" s="13" t="s">
        <v>78</v>
      </c>
      <c r="I36" s="13" t="s">
        <v>57</v>
      </c>
      <c r="J36" s="14">
        <v>1</v>
      </c>
      <c r="K36" s="14">
        <v>6</v>
      </c>
      <c r="L36" s="15">
        <v>19.8</v>
      </c>
      <c r="M36" s="15">
        <v>19.8</v>
      </c>
    </row>
    <row r="37" spans="4:13">
      <c r="D37" s="12">
        <v>46111</v>
      </c>
      <c r="E37" s="13">
        <v>1590226</v>
      </c>
      <c r="F37" s="13" t="s">
        <v>42</v>
      </c>
      <c r="G37" s="14">
        <v>20303949</v>
      </c>
      <c r="H37" s="13" t="s">
        <v>82</v>
      </c>
      <c r="I37" s="13" t="s">
        <v>83</v>
      </c>
      <c r="J37" s="14">
        <v>1</v>
      </c>
      <c r="K37" s="14">
        <v>14</v>
      </c>
      <c r="L37" s="15">
        <v>46.2</v>
      </c>
      <c r="M37" s="15">
        <v>46.2</v>
      </c>
    </row>
    <row r="38" spans="4:13">
      <c r="D38" s="12">
        <v>46112</v>
      </c>
      <c r="E38" s="13">
        <v>1590617</v>
      </c>
      <c r="F38" s="13" t="s">
        <v>20</v>
      </c>
      <c r="G38" s="14">
        <v>20310065</v>
      </c>
      <c r="H38" s="13" t="s">
        <v>60</v>
      </c>
      <c r="I38" s="13" t="s">
        <v>29</v>
      </c>
      <c r="J38" s="14">
        <v>1</v>
      </c>
      <c r="K38" s="14">
        <v>4</v>
      </c>
      <c r="L38" s="15">
        <v>13.2</v>
      </c>
      <c r="M38" s="15">
        <v>13.2</v>
      </c>
    </row>
    <row r="39" spans="4:13">
      <c r="D39" s="12">
        <v>46112</v>
      </c>
      <c r="E39" s="13">
        <v>1590617</v>
      </c>
      <c r="F39" s="13" t="s">
        <v>20</v>
      </c>
      <c r="G39" s="14">
        <v>20323391</v>
      </c>
      <c r="H39" s="13" t="s">
        <v>58</v>
      </c>
      <c r="I39" s="13" t="s">
        <v>57</v>
      </c>
      <c r="J39" s="14">
        <v>1</v>
      </c>
      <c r="K39" s="14">
        <v>5</v>
      </c>
      <c r="L39" s="15">
        <v>16.5</v>
      </c>
      <c r="M39" s="15">
        <v>16.5</v>
      </c>
    </row>
    <row r="40" spans="4:13">
      <c r="D40" s="12">
        <v>46112</v>
      </c>
      <c r="E40" s="13">
        <v>1590617</v>
      </c>
      <c r="F40" s="13" t="s">
        <v>20</v>
      </c>
      <c r="G40" s="14">
        <v>20310356</v>
      </c>
      <c r="H40" s="13" t="s">
        <v>80</v>
      </c>
      <c r="I40" s="13" t="s">
        <v>53</v>
      </c>
      <c r="J40" s="14">
        <v>6</v>
      </c>
      <c r="K40" s="14">
        <v>24</v>
      </c>
      <c r="L40" s="15">
        <v>13.2</v>
      </c>
      <c r="M40" s="15">
        <v>79.2</v>
      </c>
    </row>
    <row r="41" spans="4:13">
      <c r="D41" s="12">
        <v>46113</v>
      </c>
      <c r="E41" s="13">
        <v>1591035</v>
      </c>
      <c r="F41" s="13" t="s">
        <v>20</v>
      </c>
      <c r="G41" s="14">
        <v>20310148</v>
      </c>
      <c r="H41" s="13" t="s">
        <v>63</v>
      </c>
      <c r="I41" s="13" t="s">
        <v>55</v>
      </c>
      <c r="J41" s="14">
        <v>1</v>
      </c>
      <c r="K41" s="14">
        <v>5</v>
      </c>
      <c r="L41" s="15">
        <v>16.5</v>
      </c>
      <c r="M41" s="15">
        <v>16.5</v>
      </c>
    </row>
    <row r="42" spans="4:13">
      <c r="D42" s="12">
        <v>46113</v>
      </c>
      <c r="E42" s="13">
        <v>1591035</v>
      </c>
      <c r="F42" s="13" t="s">
        <v>20</v>
      </c>
      <c r="G42" s="14">
        <v>20310065</v>
      </c>
      <c r="H42" s="13" t="s">
        <v>60</v>
      </c>
      <c r="I42" s="13" t="s">
        <v>29</v>
      </c>
      <c r="J42" s="14">
        <v>2</v>
      </c>
      <c r="K42" s="14">
        <v>8</v>
      </c>
      <c r="L42" s="15">
        <v>13.2</v>
      </c>
      <c r="M42" s="15">
        <v>26.4</v>
      </c>
    </row>
    <row r="43" spans="4:13">
      <c r="D43" s="12">
        <v>46113</v>
      </c>
      <c r="E43" s="13">
        <v>1591035</v>
      </c>
      <c r="F43" s="13" t="s">
        <v>20</v>
      </c>
      <c r="G43" s="14">
        <v>20323391</v>
      </c>
      <c r="H43" s="13" t="s">
        <v>58</v>
      </c>
      <c r="I43" s="13" t="s">
        <v>57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46113</v>
      </c>
      <c r="E44" s="13">
        <v>1591035</v>
      </c>
      <c r="F44" s="13" t="s">
        <v>20</v>
      </c>
      <c r="G44" s="14">
        <v>20310356</v>
      </c>
      <c r="H44" s="13" t="s">
        <v>80</v>
      </c>
      <c r="I44" s="13" t="s">
        <v>53</v>
      </c>
      <c r="J44" s="14">
        <v>3</v>
      </c>
      <c r="K44" s="14">
        <v>12</v>
      </c>
      <c r="L44" s="15">
        <v>13.2</v>
      </c>
      <c r="M44" s="15">
        <v>39.6</v>
      </c>
    </row>
    <row r="45" spans="4:13">
      <c r="D45" s="12">
        <v>46113</v>
      </c>
      <c r="E45" s="13">
        <v>1591035</v>
      </c>
      <c r="F45" s="13" t="s">
        <v>20</v>
      </c>
      <c r="G45" s="14">
        <v>20315560</v>
      </c>
      <c r="H45" s="13" t="s">
        <v>32</v>
      </c>
      <c r="I45" s="13" t="s">
        <v>33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46113</v>
      </c>
      <c r="E46" s="13">
        <v>1591078</v>
      </c>
      <c r="F46" s="13" t="s">
        <v>86</v>
      </c>
      <c r="G46" s="14">
        <v>20403643</v>
      </c>
      <c r="H46" s="13" t="s">
        <v>87</v>
      </c>
      <c r="I46" s="13" t="s">
        <v>22</v>
      </c>
      <c r="J46" s="14">
        <v>7</v>
      </c>
      <c r="K46" s="14">
        <v>0</v>
      </c>
      <c r="L46" s="15">
        <v>1.5</v>
      </c>
      <c r="M46" s="15">
        <v>10.5</v>
      </c>
    </row>
    <row r="47" spans="4:13">
      <c r="D47" s="12">
        <v>46114</v>
      </c>
      <c r="E47" s="13">
        <v>1591397</v>
      </c>
      <c r="F47" s="13" t="s">
        <v>20</v>
      </c>
      <c r="G47" s="14">
        <v>20310148</v>
      </c>
      <c r="H47" s="13" t="s">
        <v>63</v>
      </c>
      <c r="I47" s="13" t="s">
        <v>55</v>
      </c>
      <c r="J47" s="14">
        <v>1</v>
      </c>
      <c r="K47" s="14">
        <v>5</v>
      </c>
      <c r="L47" s="15">
        <v>16.5</v>
      </c>
      <c r="M47" s="15">
        <v>16.5</v>
      </c>
    </row>
    <row r="48" spans="4:13">
      <c r="D48" s="12">
        <v>46114</v>
      </c>
      <c r="E48" s="13">
        <v>1591397</v>
      </c>
      <c r="F48" s="13" t="s">
        <v>20</v>
      </c>
      <c r="G48" s="14">
        <v>20310065</v>
      </c>
      <c r="H48" s="13" t="s">
        <v>60</v>
      </c>
      <c r="I48" s="13" t="s">
        <v>29</v>
      </c>
      <c r="J48" s="14">
        <v>2</v>
      </c>
      <c r="K48" s="14">
        <v>8</v>
      </c>
      <c r="L48" s="15">
        <v>13.2</v>
      </c>
      <c r="M48" s="15">
        <v>26.4</v>
      </c>
    </row>
    <row r="49" spans="4:13">
      <c r="D49" s="12">
        <v>46114</v>
      </c>
      <c r="E49" s="13">
        <v>1591397</v>
      </c>
      <c r="F49" s="13" t="s">
        <v>20</v>
      </c>
      <c r="G49" s="14">
        <v>20323391</v>
      </c>
      <c r="H49" s="13" t="s">
        <v>58</v>
      </c>
      <c r="I49" s="13" t="s">
        <v>57</v>
      </c>
      <c r="J49" s="14">
        <v>1</v>
      </c>
      <c r="K49" s="14">
        <v>5</v>
      </c>
      <c r="L49" s="15">
        <v>16.5</v>
      </c>
      <c r="M49" s="15">
        <v>16.5</v>
      </c>
    </row>
    <row r="50" spans="4:13">
      <c r="D50" s="12">
        <v>46114</v>
      </c>
      <c r="E50" s="13">
        <v>1591397</v>
      </c>
      <c r="F50" s="13" t="s">
        <v>20</v>
      </c>
      <c r="G50" s="14">
        <v>20310356</v>
      </c>
      <c r="H50" s="13" t="s">
        <v>80</v>
      </c>
      <c r="I50" s="13" t="s">
        <v>53</v>
      </c>
      <c r="J50" s="14">
        <v>4</v>
      </c>
      <c r="K50" s="14">
        <v>16</v>
      </c>
      <c r="L50" s="15">
        <v>13.2</v>
      </c>
      <c r="M50" s="15">
        <v>52.8</v>
      </c>
    </row>
    <row r="51" spans="4:13">
      <c r="D51" s="12">
        <v>46114</v>
      </c>
      <c r="E51" s="13">
        <v>1591397</v>
      </c>
      <c r="F51" s="13" t="s">
        <v>42</v>
      </c>
      <c r="G51" s="14">
        <v>20303949</v>
      </c>
      <c r="H51" s="13" t="s">
        <v>82</v>
      </c>
      <c r="I51" s="13" t="s">
        <v>83</v>
      </c>
      <c r="J51" s="14">
        <v>1</v>
      </c>
      <c r="K51" s="14">
        <v>14</v>
      </c>
      <c r="L51" s="15">
        <v>46.2</v>
      </c>
      <c r="M51" s="15">
        <v>46.2</v>
      </c>
    </row>
    <row r="52" spans="4:13">
      <c r="D52" s="12">
        <v>46115</v>
      </c>
      <c r="E52" s="13">
        <v>1591806</v>
      </c>
      <c r="F52" s="13" t="s">
        <v>20</v>
      </c>
      <c r="G52" s="14">
        <v>20310148</v>
      </c>
      <c r="H52" s="13" t="s">
        <v>63</v>
      </c>
      <c r="I52" s="13" t="s">
        <v>55</v>
      </c>
      <c r="J52" s="14">
        <v>1</v>
      </c>
      <c r="K52" s="14">
        <v>5</v>
      </c>
      <c r="L52" s="15">
        <v>16.5</v>
      </c>
      <c r="M52" s="15">
        <v>16.5</v>
      </c>
    </row>
    <row r="53" spans="4:13">
      <c r="D53" s="12">
        <v>46115</v>
      </c>
      <c r="E53" s="13">
        <v>1591806</v>
      </c>
      <c r="F53" s="13" t="s">
        <v>20</v>
      </c>
      <c r="G53" s="14">
        <v>20323391</v>
      </c>
      <c r="H53" s="13" t="s">
        <v>58</v>
      </c>
      <c r="I53" s="13" t="s">
        <v>57</v>
      </c>
      <c r="J53" s="14">
        <v>3</v>
      </c>
      <c r="K53" s="14">
        <v>15</v>
      </c>
      <c r="L53" s="15">
        <v>16.5</v>
      </c>
      <c r="M53" s="15">
        <v>49.5</v>
      </c>
    </row>
    <row r="54" spans="4:13">
      <c r="D54" s="12">
        <v>46115</v>
      </c>
      <c r="E54" s="13">
        <v>1591806</v>
      </c>
      <c r="F54" s="13" t="s">
        <v>20</v>
      </c>
      <c r="G54" s="14">
        <v>20311857</v>
      </c>
      <c r="H54" s="13" t="s">
        <v>78</v>
      </c>
      <c r="I54" s="13" t="s">
        <v>57</v>
      </c>
      <c r="J54" s="14">
        <v>1</v>
      </c>
      <c r="K54" s="14">
        <v>6</v>
      </c>
      <c r="L54" s="15">
        <v>19.8</v>
      </c>
      <c r="M54" s="15">
        <v>19.8</v>
      </c>
    </row>
    <row r="55" spans="4:13">
      <c r="D55" s="12">
        <v>46115</v>
      </c>
      <c r="E55" s="13">
        <v>1591806</v>
      </c>
      <c r="F55" s="13" t="s">
        <v>20</v>
      </c>
      <c r="G55" s="14">
        <v>20310356</v>
      </c>
      <c r="H55" s="13" t="s">
        <v>80</v>
      </c>
      <c r="I55" s="13" t="s">
        <v>53</v>
      </c>
      <c r="J55" s="14">
        <v>4</v>
      </c>
      <c r="K55" s="14">
        <v>16</v>
      </c>
      <c r="L55" s="15">
        <v>13.2</v>
      </c>
      <c r="M55" s="15">
        <v>52.8</v>
      </c>
    </row>
    <row r="56" spans="4:13">
      <c r="D56" s="12">
        <v>46115</v>
      </c>
      <c r="E56" s="13">
        <v>1591806</v>
      </c>
      <c r="F56" s="13" t="s">
        <v>20</v>
      </c>
      <c r="G56" s="14">
        <v>20312029</v>
      </c>
      <c r="H56" s="13" t="s">
        <v>81</v>
      </c>
      <c r="I56" s="13" t="s">
        <v>55</v>
      </c>
      <c r="J56" s="14">
        <v>1</v>
      </c>
      <c r="K56" s="14">
        <v>6</v>
      </c>
      <c r="L56" s="15">
        <v>19.8</v>
      </c>
      <c r="M56" s="15">
        <v>19.8</v>
      </c>
    </row>
    <row r="57" spans="4:13">
      <c r="D57" s="12">
        <v>46117</v>
      </c>
      <c r="E57" s="13">
        <v>1592220</v>
      </c>
      <c r="F57" s="13" t="s">
        <v>20</v>
      </c>
      <c r="G57" s="14">
        <v>20310148</v>
      </c>
      <c r="H57" s="13" t="s">
        <v>63</v>
      </c>
      <c r="I57" s="13" t="s">
        <v>55</v>
      </c>
      <c r="J57" s="14">
        <v>3</v>
      </c>
      <c r="K57" s="14">
        <v>15</v>
      </c>
      <c r="L57" s="15">
        <v>16.5</v>
      </c>
      <c r="M57" s="15">
        <v>49.5</v>
      </c>
    </row>
    <row r="58" spans="4:13">
      <c r="D58" s="12">
        <v>46117</v>
      </c>
      <c r="E58" s="13">
        <v>1592220</v>
      </c>
      <c r="F58" s="13" t="s">
        <v>20</v>
      </c>
      <c r="G58" s="14">
        <v>20310065</v>
      </c>
      <c r="H58" s="13" t="s">
        <v>60</v>
      </c>
      <c r="I58" s="13" t="s">
        <v>29</v>
      </c>
      <c r="J58" s="14">
        <v>1</v>
      </c>
      <c r="K58" s="14">
        <v>4</v>
      </c>
      <c r="L58" s="15">
        <v>13.2</v>
      </c>
      <c r="M58" s="15">
        <v>13.2</v>
      </c>
    </row>
    <row r="59" spans="4:13">
      <c r="D59" s="12">
        <v>46117</v>
      </c>
      <c r="E59" s="13">
        <v>1592220</v>
      </c>
      <c r="F59" s="13" t="s">
        <v>20</v>
      </c>
      <c r="G59" s="14">
        <v>20323391</v>
      </c>
      <c r="H59" s="13" t="s">
        <v>58</v>
      </c>
      <c r="I59" s="13" t="s">
        <v>57</v>
      </c>
      <c r="J59" s="14">
        <v>4</v>
      </c>
      <c r="K59" s="14">
        <v>20</v>
      </c>
      <c r="L59" s="15">
        <v>16.5</v>
      </c>
      <c r="M59" s="15">
        <v>66</v>
      </c>
    </row>
    <row r="60" spans="4:13">
      <c r="D60" s="12">
        <v>46117</v>
      </c>
      <c r="E60" s="13">
        <v>1592220</v>
      </c>
      <c r="F60" s="13" t="s">
        <v>20</v>
      </c>
      <c r="G60" s="14">
        <v>20310356</v>
      </c>
      <c r="H60" s="13" t="s">
        <v>80</v>
      </c>
      <c r="I60" s="13" t="s">
        <v>53</v>
      </c>
      <c r="J60" s="14">
        <v>4</v>
      </c>
      <c r="K60" s="14">
        <v>16</v>
      </c>
      <c r="L60" s="15">
        <v>13.2</v>
      </c>
      <c r="M60" s="15">
        <v>52.8</v>
      </c>
    </row>
    <row r="61" spans="4:13">
      <c r="D61" s="12">
        <v>46117</v>
      </c>
      <c r="E61" s="13">
        <v>1592220</v>
      </c>
      <c r="F61" s="13" t="s">
        <v>20</v>
      </c>
      <c r="G61" s="14">
        <v>20323474</v>
      </c>
      <c r="H61" s="13" t="s">
        <v>88</v>
      </c>
      <c r="I61" s="13" t="s">
        <v>55</v>
      </c>
      <c r="J61" s="14">
        <v>1</v>
      </c>
      <c r="K61" s="14">
        <v>1</v>
      </c>
      <c r="L61" s="15">
        <v>7.8</v>
      </c>
      <c r="M61" s="15">
        <v>7.8</v>
      </c>
    </row>
    <row r="62" spans="4:13">
      <c r="D62" s="12">
        <v>46117</v>
      </c>
      <c r="E62" s="13">
        <v>1592259</v>
      </c>
      <c r="F62" s="13" t="s">
        <v>20</v>
      </c>
      <c r="G62" s="14">
        <v>20309663</v>
      </c>
      <c r="H62" s="13" t="s">
        <v>89</v>
      </c>
      <c r="I62" s="13" t="s">
        <v>33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46119</v>
      </c>
      <c r="E63" s="13">
        <v>1592392</v>
      </c>
      <c r="F63" s="13" t="s">
        <v>20</v>
      </c>
      <c r="G63" s="14">
        <v>20310148</v>
      </c>
      <c r="H63" s="13" t="s">
        <v>63</v>
      </c>
      <c r="I63" s="13" t="s">
        <v>55</v>
      </c>
      <c r="J63" s="14">
        <v>9</v>
      </c>
      <c r="K63" s="14">
        <v>45</v>
      </c>
      <c r="L63" s="15">
        <v>16.5</v>
      </c>
      <c r="M63" s="15">
        <v>148.5</v>
      </c>
    </row>
    <row r="64" spans="4:13">
      <c r="D64" s="12">
        <v>46119</v>
      </c>
      <c r="E64" s="13">
        <v>1592392</v>
      </c>
      <c r="F64" s="13" t="s">
        <v>20</v>
      </c>
      <c r="G64" s="14">
        <v>20305071</v>
      </c>
      <c r="H64" s="13" t="s">
        <v>56</v>
      </c>
      <c r="I64" s="13" t="s">
        <v>57</v>
      </c>
      <c r="J64" s="14">
        <v>1</v>
      </c>
      <c r="K64" s="14">
        <v>3</v>
      </c>
      <c r="L64" s="15">
        <v>9.9</v>
      </c>
      <c r="M64" s="15">
        <v>9.9</v>
      </c>
    </row>
    <row r="65" spans="4:13">
      <c r="D65" s="12">
        <v>46119</v>
      </c>
      <c r="E65" s="13">
        <v>1592392</v>
      </c>
      <c r="F65" s="13" t="s">
        <v>20</v>
      </c>
      <c r="G65" s="14">
        <v>20310065</v>
      </c>
      <c r="H65" s="13" t="s">
        <v>60</v>
      </c>
      <c r="I65" s="13" t="s">
        <v>29</v>
      </c>
      <c r="J65" s="14">
        <v>1</v>
      </c>
      <c r="K65" s="14">
        <v>4</v>
      </c>
      <c r="L65" s="15">
        <v>13.2</v>
      </c>
      <c r="M65" s="15">
        <v>13.2</v>
      </c>
    </row>
    <row r="66" spans="4:13">
      <c r="D66" s="12">
        <v>46119</v>
      </c>
      <c r="E66" s="13">
        <v>1592392</v>
      </c>
      <c r="F66" s="13" t="s">
        <v>20</v>
      </c>
      <c r="G66" s="14">
        <v>20323391</v>
      </c>
      <c r="H66" s="13" t="s">
        <v>58</v>
      </c>
      <c r="I66" s="13" t="s">
        <v>57</v>
      </c>
      <c r="J66" s="14">
        <v>2</v>
      </c>
      <c r="K66" s="14">
        <v>10</v>
      </c>
      <c r="L66" s="15">
        <v>16.5</v>
      </c>
      <c r="M66" s="15">
        <v>33</v>
      </c>
    </row>
    <row r="67" spans="4:13">
      <c r="D67" s="12">
        <v>46119</v>
      </c>
      <c r="E67" s="13">
        <v>1592392</v>
      </c>
      <c r="F67" s="13" t="s">
        <v>20</v>
      </c>
      <c r="G67" s="14">
        <v>20400789</v>
      </c>
      <c r="H67" s="13" t="s">
        <v>84</v>
      </c>
      <c r="I67" s="13" t="s">
        <v>53</v>
      </c>
      <c r="J67" s="14">
        <v>2</v>
      </c>
      <c r="K67" s="14">
        <v>6</v>
      </c>
      <c r="L67" s="15">
        <v>9.9</v>
      </c>
      <c r="M67" s="15">
        <v>19.8</v>
      </c>
    </row>
    <row r="68" spans="4:13">
      <c r="D68" s="12">
        <v>46119</v>
      </c>
      <c r="E68" s="13">
        <v>1592392</v>
      </c>
      <c r="F68" s="13" t="s">
        <v>42</v>
      </c>
      <c r="G68" s="14">
        <v>20303949</v>
      </c>
      <c r="H68" s="13" t="s">
        <v>82</v>
      </c>
      <c r="I68" s="13" t="s">
        <v>83</v>
      </c>
      <c r="J68" s="14">
        <v>1</v>
      </c>
      <c r="K68" s="14">
        <v>14</v>
      </c>
      <c r="L68" s="15">
        <v>46.2</v>
      </c>
      <c r="M68" s="15">
        <v>46.2</v>
      </c>
    </row>
    <row r="69" spans="4:13">
      <c r="D69" s="12">
        <v>46120</v>
      </c>
      <c r="E69" s="13">
        <v>1592790</v>
      </c>
      <c r="F69" s="13" t="s">
        <v>20</v>
      </c>
      <c r="G69" s="14">
        <v>20310065</v>
      </c>
      <c r="H69" s="13" t="s">
        <v>60</v>
      </c>
      <c r="I69" s="13" t="s">
        <v>29</v>
      </c>
      <c r="J69" s="14">
        <v>1</v>
      </c>
      <c r="K69" s="14">
        <v>4</v>
      </c>
      <c r="L69" s="15">
        <v>13.2</v>
      </c>
      <c r="M69" s="15">
        <v>13.2</v>
      </c>
    </row>
    <row r="70" spans="4:13">
      <c r="D70" s="12">
        <v>46120</v>
      </c>
      <c r="E70" s="13">
        <v>1592790</v>
      </c>
      <c r="F70" s="13" t="s">
        <v>20</v>
      </c>
      <c r="G70" s="14">
        <v>20323391</v>
      </c>
      <c r="H70" s="13" t="s">
        <v>58</v>
      </c>
      <c r="I70" s="13" t="s">
        <v>57</v>
      </c>
      <c r="J70" s="14">
        <v>2</v>
      </c>
      <c r="K70" s="14">
        <v>10</v>
      </c>
      <c r="L70" s="15">
        <v>16.5</v>
      </c>
      <c r="M70" s="15">
        <v>33</v>
      </c>
    </row>
    <row r="71" spans="4:13">
      <c r="D71" s="12">
        <v>46120</v>
      </c>
      <c r="E71" s="13">
        <v>1592790</v>
      </c>
      <c r="F71" s="13" t="s">
        <v>20</v>
      </c>
      <c r="G71" s="14">
        <v>20400789</v>
      </c>
      <c r="H71" s="13" t="s">
        <v>84</v>
      </c>
      <c r="I71" s="13" t="s">
        <v>53</v>
      </c>
      <c r="J71" s="14">
        <v>1</v>
      </c>
      <c r="K71" s="14">
        <v>3</v>
      </c>
      <c r="L71" s="15">
        <v>9.9</v>
      </c>
      <c r="M71" s="15">
        <v>9.9</v>
      </c>
    </row>
    <row r="72" spans="4:13">
      <c r="D72" s="12">
        <v>46120</v>
      </c>
      <c r="E72" s="13">
        <v>1592790</v>
      </c>
      <c r="F72" s="13" t="s">
        <v>20</v>
      </c>
      <c r="G72" s="14">
        <v>20310356</v>
      </c>
      <c r="H72" s="13" t="s">
        <v>80</v>
      </c>
      <c r="I72" s="13" t="s">
        <v>53</v>
      </c>
      <c r="J72" s="14">
        <v>4</v>
      </c>
      <c r="K72" s="14">
        <v>16</v>
      </c>
      <c r="L72" s="15">
        <v>13.2</v>
      </c>
      <c r="M72" s="15">
        <v>52.8</v>
      </c>
    </row>
    <row r="73" spans="4:13">
      <c r="D73" s="12">
        <v>46121</v>
      </c>
      <c r="E73" s="13">
        <v>1593176</v>
      </c>
      <c r="F73" s="13" t="s">
        <v>20</v>
      </c>
      <c r="G73" s="14">
        <v>20310148</v>
      </c>
      <c r="H73" s="13" t="s">
        <v>63</v>
      </c>
      <c r="I73" s="13" t="s">
        <v>55</v>
      </c>
      <c r="J73" s="14">
        <v>3</v>
      </c>
      <c r="K73" s="14">
        <v>15</v>
      </c>
      <c r="L73" s="15">
        <v>16.5</v>
      </c>
      <c r="M73" s="15">
        <v>49.5</v>
      </c>
    </row>
    <row r="74" spans="4:13">
      <c r="D74" s="12">
        <v>46121</v>
      </c>
      <c r="E74" s="13">
        <v>1593176</v>
      </c>
      <c r="F74" s="13" t="s">
        <v>20</v>
      </c>
      <c r="G74" s="14">
        <v>20315591</v>
      </c>
      <c r="H74" s="13" t="s">
        <v>90</v>
      </c>
      <c r="I74" s="13" t="s">
        <v>33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46121</v>
      </c>
      <c r="E75" s="13">
        <v>1593176</v>
      </c>
      <c r="F75" s="13" t="s">
        <v>20</v>
      </c>
      <c r="G75" s="14">
        <v>20305071</v>
      </c>
      <c r="H75" s="13" t="s">
        <v>56</v>
      </c>
      <c r="I75" s="13" t="s">
        <v>57</v>
      </c>
      <c r="J75" s="14">
        <v>1</v>
      </c>
      <c r="K75" s="14">
        <v>3</v>
      </c>
      <c r="L75" s="15">
        <v>9.9</v>
      </c>
      <c r="M75" s="15">
        <v>9.9</v>
      </c>
    </row>
    <row r="76" spans="4:13">
      <c r="D76" s="12">
        <v>46121</v>
      </c>
      <c r="E76" s="13">
        <v>1593176</v>
      </c>
      <c r="F76" s="13" t="s">
        <v>20</v>
      </c>
      <c r="G76" s="14">
        <v>20323391</v>
      </c>
      <c r="H76" s="13" t="s">
        <v>58</v>
      </c>
      <c r="I76" s="13" t="s">
        <v>57</v>
      </c>
      <c r="J76" s="14">
        <v>2</v>
      </c>
      <c r="K76" s="14">
        <v>10</v>
      </c>
      <c r="L76" s="15">
        <v>16.5</v>
      </c>
      <c r="M76" s="15">
        <v>33</v>
      </c>
    </row>
    <row r="77" spans="4:13">
      <c r="D77" s="12">
        <v>46121</v>
      </c>
      <c r="E77" s="13">
        <v>1593176</v>
      </c>
      <c r="F77" s="13" t="s">
        <v>20</v>
      </c>
      <c r="G77" s="14">
        <v>20310356</v>
      </c>
      <c r="H77" s="13" t="s">
        <v>80</v>
      </c>
      <c r="I77" s="13" t="s">
        <v>53</v>
      </c>
      <c r="J77" s="14">
        <v>1</v>
      </c>
      <c r="K77" s="14">
        <v>4</v>
      </c>
      <c r="L77" s="15">
        <v>13.2</v>
      </c>
      <c r="M77" s="15">
        <v>13.2</v>
      </c>
    </row>
    <row r="78" spans="4:13">
      <c r="D78" s="12">
        <v>46121</v>
      </c>
      <c r="E78" s="13">
        <v>1593176</v>
      </c>
      <c r="F78" s="13" t="s">
        <v>20</v>
      </c>
      <c r="G78" s="14">
        <v>20347794</v>
      </c>
      <c r="H78" s="13" t="s">
        <v>91</v>
      </c>
      <c r="I78" s="13" t="s">
        <v>35</v>
      </c>
      <c r="J78" s="14">
        <v>1</v>
      </c>
      <c r="K78" s="14">
        <v>7</v>
      </c>
      <c r="L78" s="15">
        <v>23.1</v>
      </c>
      <c r="M78" s="15">
        <v>23.1</v>
      </c>
    </row>
    <row r="79" spans="4:13">
      <c r="D79" s="12">
        <v>46121</v>
      </c>
      <c r="E79" s="13">
        <v>1593176</v>
      </c>
      <c r="F79" s="13" t="s">
        <v>42</v>
      </c>
      <c r="G79" s="14">
        <v>20303949</v>
      </c>
      <c r="H79" s="13" t="s">
        <v>82</v>
      </c>
      <c r="I79" s="13" t="s">
        <v>83</v>
      </c>
      <c r="J79" s="14">
        <v>1</v>
      </c>
      <c r="K79" s="14">
        <v>14</v>
      </c>
      <c r="L79" s="15">
        <v>46.2</v>
      </c>
      <c r="M79" s="15">
        <v>46.2</v>
      </c>
    </row>
    <row r="80" spans="4:13">
      <c r="D80" s="12">
        <v>46121</v>
      </c>
      <c r="E80" s="13">
        <v>1593176</v>
      </c>
      <c r="F80" s="13" t="s">
        <v>86</v>
      </c>
      <c r="G80" s="14">
        <v>20403643</v>
      </c>
      <c r="H80" s="13" t="s">
        <v>87</v>
      </c>
      <c r="I80" s="13" t="s">
        <v>22</v>
      </c>
      <c r="J80" s="14">
        <v>5</v>
      </c>
      <c r="K80" s="14">
        <v>0</v>
      </c>
      <c r="L80" s="15">
        <v>1.5</v>
      </c>
      <c r="M80" s="15">
        <v>7.5</v>
      </c>
    </row>
    <row r="81" spans="4:13">
      <c r="D81" s="12">
        <v>46122</v>
      </c>
      <c r="E81" s="13">
        <v>1593629</v>
      </c>
      <c r="F81" s="13" t="s">
        <v>20</v>
      </c>
      <c r="G81" s="14">
        <v>20310148</v>
      </c>
      <c r="H81" s="13" t="s">
        <v>63</v>
      </c>
      <c r="I81" s="13" t="s">
        <v>55</v>
      </c>
      <c r="J81" s="14">
        <v>4</v>
      </c>
      <c r="K81" s="14">
        <v>20</v>
      </c>
      <c r="L81" s="15">
        <v>16.5</v>
      </c>
      <c r="M81" s="15">
        <v>66</v>
      </c>
    </row>
    <row r="82" spans="4:13">
      <c r="D82" s="12">
        <v>46122</v>
      </c>
      <c r="E82" s="13">
        <v>1593629</v>
      </c>
      <c r="F82" s="13" t="s">
        <v>20</v>
      </c>
      <c r="G82" s="14">
        <v>20323391</v>
      </c>
      <c r="H82" s="13" t="s">
        <v>58</v>
      </c>
      <c r="I82" s="13" t="s">
        <v>57</v>
      </c>
      <c r="J82" s="14">
        <v>3</v>
      </c>
      <c r="K82" s="14">
        <v>15</v>
      </c>
      <c r="L82" s="15">
        <v>16.5</v>
      </c>
      <c r="M82" s="15">
        <v>49.5</v>
      </c>
    </row>
    <row r="83" spans="4:13">
      <c r="D83" s="12">
        <v>46122</v>
      </c>
      <c r="E83" s="13">
        <v>1593629</v>
      </c>
      <c r="F83" s="13" t="s">
        <v>20</v>
      </c>
      <c r="G83" s="14">
        <v>20400789</v>
      </c>
      <c r="H83" s="13" t="s">
        <v>84</v>
      </c>
      <c r="I83" s="13" t="s">
        <v>53</v>
      </c>
      <c r="J83" s="14">
        <v>2</v>
      </c>
      <c r="K83" s="14">
        <v>6</v>
      </c>
      <c r="L83" s="15">
        <v>9.9</v>
      </c>
      <c r="M83" s="15">
        <v>19.8</v>
      </c>
    </row>
    <row r="84" spans="4:13">
      <c r="D84" s="12">
        <v>46124</v>
      </c>
      <c r="E84" s="13">
        <v>1594062</v>
      </c>
      <c r="F84" s="13" t="s">
        <v>20</v>
      </c>
      <c r="G84" s="14">
        <v>20310148</v>
      </c>
      <c r="H84" s="13" t="s">
        <v>63</v>
      </c>
      <c r="I84" s="13" t="s">
        <v>55</v>
      </c>
      <c r="J84" s="14">
        <v>9</v>
      </c>
      <c r="K84" s="14">
        <v>45</v>
      </c>
      <c r="L84" s="15">
        <v>16.5</v>
      </c>
      <c r="M84" s="15">
        <v>148.5</v>
      </c>
    </row>
    <row r="85" spans="4:13">
      <c r="D85" s="12">
        <v>46124</v>
      </c>
      <c r="E85" s="13">
        <v>1594062</v>
      </c>
      <c r="F85" s="13" t="s">
        <v>20</v>
      </c>
      <c r="G85" s="14">
        <v>20309482</v>
      </c>
      <c r="H85" s="13" t="s">
        <v>92</v>
      </c>
      <c r="I85" s="13" t="s">
        <v>53</v>
      </c>
      <c r="J85" s="14">
        <v>1</v>
      </c>
      <c r="K85" s="14">
        <v>1</v>
      </c>
      <c r="L85" s="15">
        <v>6.6</v>
      </c>
      <c r="M85" s="15">
        <v>6.6</v>
      </c>
    </row>
    <row r="86" spans="4:13">
      <c r="D86" s="12">
        <v>46124</v>
      </c>
      <c r="E86" s="13">
        <v>1594062</v>
      </c>
      <c r="F86" s="13" t="s">
        <v>20</v>
      </c>
      <c r="G86" s="14">
        <v>20305071</v>
      </c>
      <c r="H86" s="13" t="s">
        <v>56</v>
      </c>
      <c r="I86" s="13" t="s">
        <v>57</v>
      </c>
      <c r="J86" s="14">
        <v>1</v>
      </c>
      <c r="K86" s="14">
        <v>3</v>
      </c>
      <c r="L86" s="15">
        <v>9.9</v>
      </c>
      <c r="M86" s="15">
        <v>9.9</v>
      </c>
    </row>
    <row r="87" spans="4:13">
      <c r="D87" s="12">
        <v>46124</v>
      </c>
      <c r="E87" s="13">
        <v>1594062</v>
      </c>
      <c r="F87" s="13" t="s">
        <v>20</v>
      </c>
      <c r="G87" s="14">
        <v>20323391</v>
      </c>
      <c r="H87" s="13" t="s">
        <v>58</v>
      </c>
      <c r="I87" s="13" t="s">
        <v>57</v>
      </c>
      <c r="J87" s="14">
        <v>6</v>
      </c>
      <c r="K87" s="14">
        <v>30</v>
      </c>
      <c r="L87" s="15">
        <v>16.5</v>
      </c>
      <c r="M87" s="15">
        <v>99</v>
      </c>
    </row>
    <row r="88" spans="4:13">
      <c r="D88" s="12">
        <v>46125</v>
      </c>
      <c r="E88" s="13">
        <v>1594144</v>
      </c>
      <c r="F88" s="13" t="s">
        <v>20</v>
      </c>
      <c r="G88" s="14">
        <v>20310148</v>
      </c>
      <c r="H88" s="13" t="s">
        <v>63</v>
      </c>
      <c r="I88" s="13" t="s">
        <v>55</v>
      </c>
      <c r="J88" s="14">
        <v>3</v>
      </c>
      <c r="K88" s="14">
        <v>15</v>
      </c>
      <c r="L88" s="15">
        <v>16.5</v>
      </c>
      <c r="M88" s="15">
        <v>49.5</v>
      </c>
    </row>
    <row r="89" spans="4:13">
      <c r="D89" s="12">
        <v>46125</v>
      </c>
      <c r="E89" s="13">
        <v>1594144</v>
      </c>
      <c r="F89" s="13" t="s">
        <v>20</v>
      </c>
      <c r="G89" s="14">
        <v>20310065</v>
      </c>
      <c r="H89" s="13" t="s">
        <v>60</v>
      </c>
      <c r="I89" s="13" t="s">
        <v>29</v>
      </c>
      <c r="J89" s="14">
        <v>1</v>
      </c>
      <c r="K89" s="14">
        <v>4</v>
      </c>
      <c r="L89" s="15">
        <v>13.2</v>
      </c>
      <c r="M89" s="15">
        <v>13.2</v>
      </c>
    </row>
    <row r="90" spans="4:13">
      <c r="D90" s="12">
        <v>46125</v>
      </c>
      <c r="E90" s="13">
        <v>1594144</v>
      </c>
      <c r="F90" s="13" t="s">
        <v>20</v>
      </c>
      <c r="G90" s="14">
        <v>20323391</v>
      </c>
      <c r="H90" s="13" t="s">
        <v>58</v>
      </c>
      <c r="I90" s="13" t="s">
        <v>57</v>
      </c>
      <c r="J90" s="14">
        <v>3</v>
      </c>
      <c r="K90" s="14">
        <v>15</v>
      </c>
      <c r="L90" s="15">
        <v>16.5</v>
      </c>
      <c r="M90" s="15">
        <v>49.5</v>
      </c>
    </row>
    <row r="91" spans="4:13">
      <c r="D91" s="12">
        <v>46125</v>
      </c>
      <c r="E91" s="13">
        <v>1594144</v>
      </c>
      <c r="F91" s="13" t="s">
        <v>20</v>
      </c>
      <c r="G91" s="14">
        <v>20310356</v>
      </c>
      <c r="H91" s="13" t="s">
        <v>80</v>
      </c>
      <c r="I91" s="13" t="s">
        <v>53</v>
      </c>
      <c r="J91" s="14">
        <v>1</v>
      </c>
      <c r="K91" s="14">
        <v>4</v>
      </c>
      <c r="L91" s="15">
        <v>13.2</v>
      </c>
      <c r="M91" s="15">
        <v>13.2</v>
      </c>
    </row>
    <row r="92" spans="4:13">
      <c r="D92" s="12">
        <v>46125</v>
      </c>
      <c r="E92" s="13">
        <v>1594144</v>
      </c>
      <c r="F92" s="13" t="s">
        <v>42</v>
      </c>
      <c r="G92" s="14">
        <v>20303949</v>
      </c>
      <c r="H92" s="13" t="s">
        <v>82</v>
      </c>
      <c r="I92" s="13" t="s">
        <v>83</v>
      </c>
      <c r="J92" s="14">
        <v>1</v>
      </c>
      <c r="K92" s="14">
        <v>14</v>
      </c>
      <c r="L92" s="15">
        <v>46.2</v>
      </c>
      <c r="M92" s="15">
        <v>46.2</v>
      </c>
    </row>
    <row r="93" spans="4:13">
      <c r="D93" s="12">
        <v>46126</v>
      </c>
      <c r="E93" s="13">
        <v>1594574</v>
      </c>
      <c r="F93" s="13" t="s">
        <v>20</v>
      </c>
      <c r="G93" s="14">
        <v>20310148</v>
      </c>
      <c r="H93" s="13" t="s">
        <v>63</v>
      </c>
      <c r="I93" s="13" t="s">
        <v>55</v>
      </c>
      <c r="J93" s="14">
        <v>5</v>
      </c>
      <c r="K93" s="14">
        <v>25</v>
      </c>
      <c r="L93" s="15">
        <v>16.5</v>
      </c>
      <c r="M93" s="15">
        <v>82.5</v>
      </c>
    </row>
    <row r="94" spans="4:13">
      <c r="D94" s="12">
        <v>46126</v>
      </c>
      <c r="E94" s="13">
        <v>1594574</v>
      </c>
      <c r="F94" s="13" t="s">
        <v>20</v>
      </c>
      <c r="G94" s="14">
        <v>20310065</v>
      </c>
      <c r="H94" s="13" t="s">
        <v>60</v>
      </c>
      <c r="I94" s="13" t="s">
        <v>29</v>
      </c>
      <c r="J94" s="14">
        <v>1</v>
      </c>
      <c r="K94" s="14">
        <v>4</v>
      </c>
      <c r="L94" s="15">
        <v>13.2</v>
      </c>
      <c r="M94" s="15">
        <v>13.2</v>
      </c>
    </row>
    <row r="95" spans="4:13">
      <c r="D95" s="12">
        <v>46126</v>
      </c>
      <c r="E95" s="13">
        <v>1594574</v>
      </c>
      <c r="F95" s="13" t="s">
        <v>20</v>
      </c>
      <c r="G95" s="14">
        <v>20323474</v>
      </c>
      <c r="H95" s="13" t="s">
        <v>88</v>
      </c>
      <c r="I95" s="13" t="s">
        <v>55</v>
      </c>
      <c r="J95" s="14">
        <v>1</v>
      </c>
      <c r="K95" s="14">
        <v>1</v>
      </c>
      <c r="L95" s="15">
        <v>7.8</v>
      </c>
      <c r="M95" s="15">
        <v>7.8</v>
      </c>
    </row>
    <row r="96" spans="4:13">
      <c r="D96" s="12">
        <v>46127</v>
      </c>
      <c r="E96" s="13">
        <v>1594994</v>
      </c>
      <c r="F96" s="13" t="s">
        <v>20</v>
      </c>
      <c r="G96" s="14">
        <v>20323391</v>
      </c>
      <c r="H96" s="13" t="s">
        <v>58</v>
      </c>
      <c r="I96" s="13" t="s">
        <v>57</v>
      </c>
      <c r="J96" s="14">
        <v>1</v>
      </c>
      <c r="K96" s="14">
        <v>5</v>
      </c>
      <c r="L96" s="15">
        <v>16.5</v>
      </c>
      <c r="M96" s="15">
        <v>16.5</v>
      </c>
    </row>
    <row r="97" spans="4:13">
      <c r="D97" s="12">
        <v>46127</v>
      </c>
      <c r="E97" s="13">
        <v>1594994</v>
      </c>
      <c r="F97" s="13" t="s">
        <v>20</v>
      </c>
      <c r="G97" s="14">
        <v>20310356</v>
      </c>
      <c r="H97" s="13" t="s">
        <v>80</v>
      </c>
      <c r="I97" s="13" t="s">
        <v>53</v>
      </c>
      <c r="J97" s="14">
        <v>4</v>
      </c>
      <c r="K97" s="14">
        <v>16</v>
      </c>
      <c r="L97" s="15">
        <v>13.2</v>
      </c>
      <c r="M97" s="15">
        <v>52.8</v>
      </c>
    </row>
    <row r="98" spans="4:13">
      <c r="D98" s="12">
        <v>46127</v>
      </c>
      <c r="E98" s="13">
        <v>1594994</v>
      </c>
      <c r="F98" s="13" t="s">
        <v>20</v>
      </c>
      <c r="G98" s="14">
        <v>20323474</v>
      </c>
      <c r="H98" s="13" t="s">
        <v>88</v>
      </c>
      <c r="I98" s="13" t="s">
        <v>55</v>
      </c>
      <c r="J98" s="14">
        <v>1</v>
      </c>
      <c r="K98" s="14">
        <v>1</v>
      </c>
      <c r="L98" s="15">
        <v>7.8</v>
      </c>
      <c r="M98" s="15">
        <v>7.8</v>
      </c>
    </row>
    <row r="99" spans="4:13">
      <c r="D99" s="12">
        <v>46128</v>
      </c>
      <c r="E99" s="13">
        <v>1595313</v>
      </c>
      <c r="F99" s="13" t="s">
        <v>20</v>
      </c>
      <c r="G99" s="14">
        <v>20310148</v>
      </c>
      <c r="H99" s="13" t="s">
        <v>63</v>
      </c>
      <c r="I99" s="13" t="s">
        <v>55</v>
      </c>
      <c r="J99" s="14">
        <v>2</v>
      </c>
      <c r="K99" s="14">
        <v>10</v>
      </c>
      <c r="L99" s="15">
        <v>16.5</v>
      </c>
      <c r="M99" s="15">
        <v>33</v>
      </c>
    </row>
    <row r="100" spans="4:13">
      <c r="D100" s="12">
        <v>46128</v>
      </c>
      <c r="E100" s="13">
        <v>1595313</v>
      </c>
      <c r="F100" s="13" t="s">
        <v>20</v>
      </c>
      <c r="G100" s="14">
        <v>20323391</v>
      </c>
      <c r="H100" s="13" t="s">
        <v>58</v>
      </c>
      <c r="I100" s="13" t="s">
        <v>57</v>
      </c>
      <c r="J100" s="14">
        <v>1</v>
      </c>
      <c r="K100" s="14">
        <v>5</v>
      </c>
      <c r="L100" s="15">
        <v>16.5</v>
      </c>
      <c r="M100" s="15">
        <v>16.5</v>
      </c>
    </row>
    <row r="101" spans="4:13">
      <c r="D101" s="12">
        <v>46128</v>
      </c>
      <c r="E101" s="13">
        <v>1595313</v>
      </c>
      <c r="F101" s="13" t="s">
        <v>20</v>
      </c>
      <c r="G101" s="14">
        <v>20311857</v>
      </c>
      <c r="H101" s="13" t="s">
        <v>78</v>
      </c>
      <c r="I101" s="13" t="s">
        <v>57</v>
      </c>
      <c r="J101" s="14">
        <v>1</v>
      </c>
      <c r="K101" s="14">
        <v>6</v>
      </c>
      <c r="L101" s="15">
        <v>19.8</v>
      </c>
      <c r="M101" s="15">
        <v>19.8</v>
      </c>
    </row>
    <row r="102" spans="4:13">
      <c r="D102" s="12">
        <v>46128</v>
      </c>
      <c r="E102" s="13">
        <v>1595313</v>
      </c>
      <c r="F102" s="13" t="s">
        <v>20</v>
      </c>
      <c r="G102" s="14">
        <v>20310356</v>
      </c>
      <c r="H102" s="13" t="s">
        <v>80</v>
      </c>
      <c r="I102" s="13" t="s">
        <v>53</v>
      </c>
      <c r="J102" s="14">
        <v>1</v>
      </c>
      <c r="K102" s="14">
        <v>4</v>
      </c>
      <c r="L102" s="15">
        <v>13.2</v>
      </c>
      <c r="M102" s="15">
        <v>13.2</v>
      </c>
    </row>
    <row r="103" spans="4:13">
      <c r="D103" s="12">
        <v>46128</v>
      </c>
      <c r="E103" s="13">
        <v>1595313</v>
      </c>
      <c r="F103" s="13" t="s">
        <v>42</v>
      </c>
      <c r="G103" s="14">
        <v>20303949</v>
      </c>
      <c r="H103" s="13" t="s">
        <v>82</v>
      </c>
      <c r="I103" s="13" t="s">
        <v>83</v>
      </c>
      <c r="J103" s="14">
        <v>1</v>
      </c>
      <c r="K103" s="14">
        <v>14</v>
      </c>
      <c r="L103" s="15">
        <v>46.2</v>
      </c>
      <c r="M103" s="15">
        <v>46.2</v>
      </c>
    </row>
    <row r="104" spans="4:13">
      <c r="D104" s="12">
        <v>46129</v>
      </c>
      <c r="E104" s="13">
        <v>1595748</v>
      </c>
      <c r="F104" s="13" t="s">
        <v>20</v>
      </c>
      <c r="G104" s="14">
        <v>20310148</v>
      </c>
      <c r="H104" s="13" t="s">
        <v>63</v>
      </c>
      <c r="I104" s="13" t="s">
        <v>55</v>
      </c>
      <c r="J104" s="14">
        <v>4</v>
      </c>
      <c r="K104" s="14">
        <v>20</v>
      </c>
      <c r="L104" s="15">
        <v>16.5</v>
      </c>
      <c r="M104" s="15">
        <v>66</v>
      </c>
    </row>
    <row r="105" spans="4:13">
      <c r="D105" s="12">
        <v>46129</v>
      </c>
      <c r="E105" s="13">
        <v>1595748</v>
      </c>
      <c r="F105" s="13" t="s">
        <v>20</v>
      </c>
      <c r="G105" s="14">
        <v>20310065</v>
      </c>
      <c r="H105" s="13" t="s">
        <v>60</v>
      </c>
      <c r="I105" s="13" t="s">
        <v>29</v>
      </c>
      <c r="J105" s="14">
        <v>3</v>
      </c>
      <c r="K105" s="14">
        <v>12</v>
      </c>
      <c r="L105" s="15">
        <v>13.2</v>
      </c>
      <c r="M105" s="15">
        <v>39.6</v>
      </c>
    </row>
    <row r="106" spans="4:13">
      <c r="D106" s="12">
        <v>46129</v>
      </c>
      <c r="E106" s="13">
        <v>1595748</v>
      </c>
      <c r="F106" s="13" t="s">
        <v>20</v>
      </c>
      <c r="G106" s="14">
        <v>20400789</v>
      </c>
      <c r="H106" s="13" t="s">
        <v>84</v>
      </c>
      <c r="I106" s="13" t="s">
        <v>53</v>
      </c>
      <c r="J106" s="14">
        <v>1</v>
      </c>
      <c r="K106" s="14">
        <v>3</v>
      </c>
      <c r="L106" s="15">
        <v>9.9</v>
      </c>
      <c r="M106" s="15">
        <v>9.9</v>
      </c>
    </row>
    <row r="107" spans="4:13">
      <c r="D107" s="12">
        <v>46131</v>
      </c>
      <c r="E107" s="13">
        <v>1596171</v>
      </c>
      <c r="F107" s="13" t="s">
        <v>20</v>
      </c>
      <c r="G107" s="14">
        <v>20310148</v>
      </c>
      <c r="H107" s="13" t="s">
        <v>63</v>
      </c>
      <c r="I107" s="13" t="s">
        <v>55</v>
      </c>
      <c r="J107" s="14">
        <v>10</v>
      </c>
      <c r="K107" s="14">
        <v>50</v>
      </c>
      <c r="L107" s="15">
        <v>16.5</v>
      </c>
      <c r="M107" s="15">
        <v>165</v>
      </c>
    </row>
    <row r="108" spans="4:13">
      <c r="D108" s="12">
        <v>46131</v>
      </c>
      <c r="E108" s="13">
        <v>1596171</v>
      </c>
      <c r="F108" s="13" t="s">
        <v>20</v>
      </c>
      <c r="G108" s="14">
        <v>20323391</v>
      </c>
      <c r="H108" s="13" t="s">
        <v>58</v>
      </c>
      <c r="I108" s="13" t="s">
        <v>57</v>
      </c>
      <c r="J108" s="14">
        <v>5</v>
      </c>
      <c r="K108" s="14">
        <v>25</v>
      </c>
      <c r="L108" s="15">
        <v>16.5</v>
      </c>
      <c r="M108" s="15">
        <v>82.5</v>
      </c>
    </row>
    <row r="109" spans="4:13">
      <c r="D109" s="12">
        <v>46131</v>
      </c>
      <c r="E109" s="13">
        <v>1596171</v>
      </c>
      <c r="F109" s="13" t="s">
        <v>20</v>
      </c>
      <c r="G109" s="14">
        <v>20311857</v>
      </c>
      <c r="H109" s="13" t="s">
        <v>78</v>
      </c>
      <c r="I109" s="13" t="s">
        <v>57</v>
      </c>
      <c r="J109" s="14">
        <v>1</v>
      </c>
      <c r="K109" s="14">
        <v>6</v>
      </c>
      <c r="L109" s="15">
        <v>19.8</v>
      </c>
      <c r="M109" s="15">
        <v>19.8</v>
      </c>
    </row>
    <row r="110" spans="4:13">
      <c r="D110" s="12">
        <v>46132</v>
      </c>
      <c r="E110" s="13">
        <v>1596293</v>
      </c>
      <c r="F110" s="13" t="s">
        <v>20</v>
      </c>
      <c r="G110" s="14">
        <v>20310148</v>
      </c>
      <c r="H110" s="13" t="s">
        <v>63</v>
      </c>
      <c r="I110" s="13" t="s">
        <v>55</v>
      </c>
      <c r="J110" s="14">
        <v>4</v>
      </c>
      <c r="K110" s="14">
        <v>20</v>
      </c>
      <c r="L110" s="15">
        <v>16.5</v>
      </c>
      <c r="M110" s="15">
        <v>66</v>
      </c>
    </row>
    <row r="111" spans="4:13">
      <c r="D111" s="12">
        <v>46132</v>
      </c>
      <c r="E111" s="13">
        <v>1596293</v>
      </c>
      <c r="F111" s="13" t="s">
        <v>20</v>
      </c>
      <c r="G111" s="14">
        <v>20323391</v>
      </c>
      <c r="H111" s="13" t="s">
        <v>58</v>
      </c>
      <c r="I111" s="13" t="s">
        <v>57</v>
      </c>
      <c r="J111" s="14">
        <v>1</v>
      </c>
      <c r="K111" s="14">
        <v>5</v>
      </c>
      <c r="L111" s="15">
        <v>16.5</v>
      </c>
      <c r="M111" s="15">
        <v>16.5</v>
      </c>
    </row>
    <row r="112" spans="4:13">
      <c r="D112" s="12">
        <v>46132</v>
      </c>
      <c r="E112" s="13">
        <v>1596293</v>
      </c>
      <c r="F112" s="13" t="s">
        <v>42</v>
      </c>
      <c r="G112" s="14">
        <v>20303949</v>
      </c>
      <c r="H112" s="13" t="s">
        <v>82</v>
      </c>
      <c r="I112" s="13" t="s">
        <v>83</v>
      </c>
      <c r="J112" s="14">
        <v>1</v>
      </c>
      <c r="K112" s="14">
        <v>14</v>
      </c>
      <c r="L112" s="15">
        <v>46.2</v>
      </c>
      <c r="M112" s="15">
        <v>46.2</v>
      </c>
    </row>
    <row r="113" spans="4:13">
      <c r="D113" s="12">
        <v>46132</v>
      </c>
      <c r="E113" s="13">
        <v>1596368</v>
      </c>
      <c r="F113" s="13" t="s">
        <v>86</v>
      </c>
      <c r="G113" s="14">
        <v>20403643</v>
      </c>
      <c r="H113" s="13" t="s">
        <v>87</v>
      </c>
      <c r="I113" s="13" t="s">
        <v>22</v>
      </c>
      <c r="J113" s="14">
        <v>5</v>
      </c>
      <c r="K113" s="14">
        <v>0</v>
      </c>
      <c r="L113" s="15">
        <v>1.5</v>
      </c>
      <c r="M113" s="15">
        <v>7.5</v>
      </c>
    </row>
    <row r="114" ht="0.05" customHeight="1"/>
  </sheetData>
  <autoFilter xmlns:etc="http://www.wps.cn/officeDocument/2017/etCustomData" ref="A7:M113" etc:filterBottomFollowUsedRange="0">
    <extLst/>
  </autoFilter>
  <mergeCells count="5">
    <mergeCell ref="D8:I8"/>
    <mergeCell ref="C7:C113"/>
    <mergeCell ref="B4:H5"/>
    <mergeCell ref="A7:B113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24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2.25" customWidth="1"/>
    <col min="9" max="9" width="17.87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18</v>
      </c>
      <c r="K8" s="10">
        <v>108</v>
      </c>
      <c r="L8" s="11"/>
      <c r="M8" s="11">
        <v>400.5</v>
      </c>
    </row>
    <row r="9" spans="1:13">
      <c r="D9" s="12">
        <v>46103</v>
      </c>
      <c r="E9" s="13">
        <v>1588108</v>
      </c>
      <c r="F9" s="13" t="s">
        <v>20</v>
      </c>
      <c r="G9" s="14">
        <v>20303717</v>
      </c>
      <c r="H9" s="13" t="s">
        <v>70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46103</v>
      </c>
      <c r="E10" s="13">
        <v>1588108</v>
      </c>
      <c r="F10" s="13" t="s">
        <v>47</v>
      </c>
      <c r="G10" s="14">
        <v>20305197</v>
      </c>
      <c r="H10" s="13" t="s">
        <v>94</v>
      </c>
      <c r="I10" s="13" t="s">
        <v>44</v>
      </c>
      <c r="J10" s="14">
        <v>2</v>
      </c>
      <c r="K10" s="14">
        <v>16</v>
      </c>
      <c r="L10" s="15">
        <v>26.4</v>
      </c>
      <c r="M10" s="15">
        <v>52.8</v>
      </c>
    </row>
    <row r="11" spans="1:13">
      <c r="D11" s="12">
        <v>46105</v>
      </c>
      <c r="E11" s="13">
        <v>1588620</v>
      </c>
      <c r="F11" s="13" t="s">
        <v>15</v>
      </c>
      <c r="G11" s="14">
        <v>20313521</v>
      </c>
      <c r="H11" s="13" t="s">
        <v>95</v>
      </c>
      <c r="I11" s="13" t="s">
        <v>96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46105</v>
      </c>
      <c r="E12" s="13">
        <v>1588620</v>
      </c>
      <c r="F12" s="13" t="s">
        <v>47</v>
      </c>
      <c r="G12" s="14">
        <v>20305197</v>
      </c>
      <c r="H12" s="13" t="s">
        <v>94</v>
      </c>
      <c r="I12" s="13" t="s">
        <v>44</v>
      </c>
      <c r="J12" s="14">
        <v>1</v>
      </c>
      <c r="K12" s="14">
        <v>8</v>
      </c>
      <c r="L12" s="15">
        <v>26.4</v>
      </c>
      <c r="M12" s="15">
        <v>26.4</v>
      </c>
    </row>
    <row r="13" ht="25.5" spans="1:13">
      <c r="D13" s="12">
        <v>46106</v>
      </c>
      <c r="E13" s="13">
        <v>1588951</v>
      </c>
      <c r="F13" s="13" t="s">
        <v>15</v>
      </c>
      <c r="G13" s="14">
        <v>20313522</v>
      </c>
      <c r="H13" s="13" t="s">
        <v>97</v>
      </c>
      <c r="I13" s="13" t="s">
        <v>98</v>
      </c>
      <c r="J13" s="14">
        <v>1</v>
      </c>
      <c r="K13" s="14">
        <v>1</v>
      </c>
      <c r="L13" s="15">
        <v>21</v>
      </c>
      <c r="M13" s="15">
        <v>21</v>
      </c>
    </row>
    <row r="14" spans="1:13">
      <c r="D14" s="12">
        <v>46114</v>
      </c>
      <c r="E14" s="13">
        <v>1591396</v>
      </c>
      <c r="F14" s="13" t="s">
        <v>20</v>
      </c>
      <c r="G14" s="14">
        <v>20316042</v>
      </c>
      <c r="H14" s="13" t="s">
        <v>34</v>
      </c>
      <c r="I14" s="13" t="s">
        <v>35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46114</v>
      </c>
      <c r="E15" s="13">
        <v>1591396</v>
      </c>
      <c r="F15" s="13" t="s">
        <v>47</v>
      </c>
      <c r="G15" s="14">
        <v>20305197</v>
      </c>
      <c r="H15" s="13" t="s">
        <v>94</v>
      </c>
      <c r="I15" s="13" t="s">
        <v>44</v>
      </c>
      <c r="J15" s="14">
        <v>2</v>
      </c>
      <c r="K15" s="14">
        <v>16</v>
      </c>
      <c r="L15" s="15">
        <v>26.4</v>
      </c>
      <c r="M15" s="15">
        <v>52.8</v>
      </c>
    </row>
    <row r="16" spans="1:13">
      <c r="D16" s="12">
        <v>46115</v>
      </c>
      <c r="E16" s="13">
        <v>1591807</v>
      </c>
      <c r="F16" s="13" t="s">
        <v>20</v>
      </c>
      <c r="G16" s="14">
        <v>20309407</v>
      </c>
      <c r="H16" s="13" t="s">
        <v>99</v>
      </c>
      <c r="I16" s="13" t="s">
        <v>100</v>
      </c>
      <c r="J16" s="14">
        <v>1</v>
      </c>
      <c r="K16" s="14">
        <v>2</v>
      </c>
      <c r="L16" s="15">
        <v>9.9</v>
      </c>
      <c r="M16" s="15">
        <v>9.9</v>
      </c>
    </row>
    <row r="17" spans="4:13">
      <c r="D17" s="12">
        <v>46115</v>
      </c>
      <c r="E17" s="13">
        <v>1591807</v>
      </c>
      <c r="F17" s="13" t="s">
        <v>47</v>
      </c>
      <c r="G17" s="14">
        <v>20307304</v>
      </c>
      <c r="H17" s="13" t="s">
        <v>101</v>
      </c>
      <c r="I17" s="13" t="s">
        <v>62</v>
      </c>
      <c r="J17" s="14">
        <v>1</v>
      </c>
      <c r="K17" s="14">
        <v>13</v>
      </c>
      <c r="L17" s="15">
        <v>42.9</v>
      </c>
      <c r="M17" s="15">
        <v>42.9</v>
      </c>
    </row>
    <row r="18" spans="4:13">
      <c r="D18" s="12">
        <v>46115</v>
      </c>
      <c r="E18" s="13">
        <v>1591807</v>
      </c>
      <c r="F18" s="13" t="s">
        <v>47</v>
      </c>
      <c r="G18" s="14">
        <v>20305197</v>
      </c>
      <c r="H18" s="13" t="s">
        <v>94</v>
      </c>
      <c r="I18" s="13" t="s">
        <v>44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46119</v>
      </c>
      <c r="E19" s="13">
        <v>1592388</v>
      </c>
      <c r="F19" s="13" t="s">
        <v>47</v>
      </c>
      <c r="G19" s="14">
        <v>20305197</v>
      </c>
      <c r="H19" s="13" t="s">
        <v>94</v>
      </c>
      <c r="I19" s="13" t="s">
        <v>44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46120</v>
      </c>
      <c r="E20" s="13">
        <v>1592791</v>
      </c>
      <c r="F20" s="13" t="s">
        <v>47</v>
      </c>
      <c r="G20" s="14">
        <v>20307304</v>
      </c>
      <c r="H20" s="13" t="s">
        <v>101</v>
      </c>
      <c r="I20" s="13" t="s">
        <v>62</v>
      </c>
      <c r="J20" s="14">
        <v>1</v>
      </c>
      <c r="K20" s="14">
        <v>13</v>
      </c>
      <c r="L20" s="15">
        <v>42.9</v>
      </c>
      <c r="M20" s="15">
        <v>42.9</v>
      </c>
    </row>
    <row r="21" spans="4:13">
      <c r="D21" s="12">
        <v>46122</v>
      </c>
      <c r="E21" s="13">
        <v>1593630</v>
      </c>
      <c r="F21" s="13" t="s">
        <v>20</v>
      </c>
      <c r="G21" s="14">
        <v>20309407</v>
      </c>
      <c r="H21" s="13" t="s">
        <v>99</v>
      </c>
      <c r="I21" s="13" t="s">
        <v>100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46122</v>
      </c>
      <c r="E22" s="13">
        <v>1593630</v>
      </c>
      <c r="F22" s="13" t="s">
        <v>20</v>
      </c>
      <c r="G22" s="14">
        <v>20309408</v>
      </c>
      <c r="H22" s="13" t="s">
        <v>102</v>
      </c>
      <c r="I22" s="13" t="s">
        <v>55</v>
      </c>
      <c r="J22" s="14">
        <v>1</v>
      </c>
      <c r="K22" s="14">
        <v>2</v>
      </c>
      <c r="L22" s="15">
        <v>9.9</v>
      </c>
      <c r="M22" s="15">
        <v>9.9</v>
      </c>
    </row>
    <row r="23" spans="4:13">
      <c r="D23" s="12">
        <v>46122</v>
      </c>
      <c r="E23" s="13">
        <v>1593630</v>
      </c>
      <c r="F23" s="13" t="s">
        <v>47</v>
      </c>
      <c r="G23" s="14">
        <v>20305197</v>
      </c>
      <c r="H23" s="13" t="s">
        <v>94</v>
      </c>
      <c r="I23" s="13" t="s">
        <v>44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46126</v>
      </c>
      <c r="E24" s="13">
        <v>1594575</v>
      </c>
      <c r="F24" s="13" t="s">
        <v>47</v>
      </c>
      <c r="G24" s="14">
        <v>20305197</v>
      </c>
      <c r="H24" s="13" t="s">
        <v>94</v>
      </c>
      <c r="I24" s="13" t="s">
        <v>44</v>
      </c>
      <c r="J24" s="14">
        <v>1</v>
      </c>
      <c r="K24" s="14">
        <v>8</v>
      </c>
      <c r="L24" s="15">
        <v>26.4</v>
      </c>
      <c r="M24" s="15">
        <v>26.4</v>
      </c>
    </row>
    <row r="25" ht="0.05" customHeight="1"/>
  </sheetData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showGridLines="0" view="pageBreakPreview" zoomScaleNormal="100" workbookViewId="0">
      <pane ySplit="6" topLeftCell="A46" activePane="bottomLeft" state="frozen"/>
      <selection/>
      <selection pane="bottomLeft" activeCell="M9" sqref="M9:M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25" customWidth="1"/>
    <col min="9" max="9" width="16.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133</v>
      </c>
      <c r="K8" s="10">
        <v>378</v>
      </c>
      <c r="L8" s="11"/>
      <c r="M8" s="11">
        <v>1434.6</v>
      </c>
    </row>
    <row r="9" spans="1:13">
      <c r="D9" s="12">
        <v>46105</v>
      </c>
      <c r="E9" s="13">
        <v>1588562</v>
      </c>
      <c r="F9" s="13" t="s">
        <v>20</v>
      </c>
      <c r="G9" s="14">
        <v>20303878</v>
      </c>
      <c r="H9" s="13" t="s">
        <v>104</v>
      </c>
      <c r="I9" s="13" t="s">
        <v>105</v>
      </c>
      <c r="J9" s="14">
        <v>12</v>
      </c>
      <c r="K9" s="14">
        <v>12</v>
      </c>
      <c r="L9" s="15">
        <v>4.8</v>
      </c>
      <c r="M9" s="15">
        <v>57.6</v>
      </c>
    </row>
    <row r="10" spans="1:13">
      <c r="D10" s="12">
        <v>46105</v>
      </c>
      <c r="E10" s="13">
        <v>1588562</v>
      </c>
      <c r="F10" s="13" t="s">
        <v>20</v>
      </c>
      <c r="G10" s="14">
        <v>20309808</v>
      </c>
      <c r="H10" s="13" t="s">
        <v>106</v>
      </c>
      <c r="I10" s="13" t="s">
        <v>57</v>
      </c>
      <c r="J10" s="14">
        <v>2</v>
      </c>
      <c r="K10" s="14">
        <v>2</v>
      </c>
      <c r="L10" s="15">
        <v>6.6</v>
      </c>
      <c r="M10" s="15">
        <v>13.2</v>
      </c>
    </row>
    <row r="11" spans="1:13">
      <c r="D11" s="12">
        <v>46105</v>
      </c>
      <c r="E11" s="13">
        <v>1588562</v>
      </c>
      <c r="F11" s="13" t="s">
        <v>20</v>
      </c>
      <c r="G11" s="14">
        <v>20322772</v>
      </c>
      <c r="H11" s="13" t="s">
        <v>107</v>
      </c>
      <c r="I11" s="13" t="s">
        <v>33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46105</v>
      </c>
      <c r="E12" s="13">
        <v>1588562</v>
      </c>
      <c r="F12" s="13" t="s">
        <v>20</v>
      </c>
      <c r="G12" s="14">
        <v>20316884</v>
      </c>
      <c r="H12" s="13" t="s">
        <v>108</v>
      </c>
      <c r="I12" s="13" t="s">
        <v>33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46105</v>
      </c>
      <c r="E13" s="13">
        <v>1588562</v>
      </c>
      <c r="F13" s="13" t="s">
        <v>20</v>
      </c>
      <c r="G13" s="14">
        <v>20316739</v>
      </c>
      <c r="H13" s="13" t="s">
        <v>109</v>
      </c>
      <c r="I13" s="13" t="s">
        <v>33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46105</v>
      </c>
      <c r="E14" s="13">
        <v>1588562</v>
      </c>
      <c r="F14" s="13" t="s">
        <v>20</v>
      </c>
      <c r="G14" s="14">
        <v>20376348</v>
      </c>
      <c r="H14" s="13" t="s">
        <v>110</v>
      </c>
      <c r="I14" s="13" t="s">
        <v>33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46105</v>
      </c>
      <c r="E15" s="13">
        <v>1588562</v>
      </c>
      <c r="F15" s="13" t="s">
        <v>20</v>
      </c>
      <c r="G15" s="14">
        <v>20389949</v>
      </c>
      <c r="H15" s="13" t="s">
        <v>111</v>
      </c>
      <c r="I15" s="13" t="s">
        <v>112</v>
      </c>
      <c r="J15" s="14">
        <v>1</v>
      </c>
      <c r="K15" s="14">
        <v>1</v>
      </c>
      <c r="L15" s="15">
        <v>7.8</v>
      </c>
      <c r="M15" s="15">
        <v>7.8</v>
      </c>
    </row>
    <row r="16" spans="1:13">
      <c r="D16" s="12">
        <v>46105</v>
      </c>
      <c r="E16" s="13">
        <v>1588562</v>
      </c>
      <c r="F16" s="13" t="s">
        <v>47</v>
      </c>
      <c r="G16" s="14">
        <v>20390155</v>
      </c>
      <c r="H16" s="13" t="s">
        <v>113</v>
      </c>
      <c r="I16" s="13" t="s">
        <v>44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46105</v>
      </c>
      <c r="E17" s="13">
        <v>1588562</v>
      </c>
      <c r="F17" s="13" t="s">
        <v>47</v>
      </c>
      <c r="G17" s="14">
        <v>20303760</v>
      </c>
      <c r="H17" s="13" t="s">
        <v>114</v>
      </c>
      <c r="I17" s="13" t="s">
        <v>83</v>
      </c>
      <c r="J17" s="14">
        <v>1</v>
      </c>
      <c r="K17" s="14">
        <v>12</v>
      </c>
      <c r="L17" s="15">
        <v>39.6</v>
      </c>
      <c r="M17" s="15">
        <v>39.6</v>
      </c>
    </row>
    <row r="18" spans="4:13">
      <c r="D18" s="12">
        <v>46106</v>
      </c>
      <c r="E18" s="13">
        <v>1588937</v>
      </c>
      <c r="F18" s="13" t="s">
        <v>20</v>
      </c>
      <c r="G18" s="14">
        <v>20303878</v>
      </c>
      <c r="H18" s="13" t="s">
        <v>104</v>
      </c>
      <c r="I18" s="13" t="s">
        <v>105</v>
      </c>
      <c r="J18" s="14">
        <v>4</v>
      </c>
      <c r="K18" s="14">
        <v>4</v>
      </c>
      <c r="L18" s="15">
        <v>4.8</v>
      </c>
      <c r="M18" s="15">
        <v>19.2</v>
      </c>
    </row>
    <row r="19" spans="4:13">
      <c r="D19" s="12">
        <v>46106</v>
      </c>
      <c r="E19" s="13">
        <v>1588937</v>
      </c>
      <c r="F19" s="13" t="s">
        <v>20</v>
      </c>
      <c r="G19" s="14">
        <v>20303717</v>
      </c>
      <c r="H19" s="13" t="s">
        <v>70</v>
      </c>
      <c r="I19" s="13" t="s">
        <v>35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46106</v>
      </c>
      <c r="E20" s="13">
        <v>1588937</v>
      </c>
      <c r="F20" s="13" t="s">
        <v>47</v>
      </c>
      <c r="G20" s="14">
        <v>20303707</v>
      </c>
      <c r="H20" s="13" t="s">
        <v>115</v>
      </c>
      <c r="I20" s="13" t="s">
        <v>83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46106</v>
      </c>
      <c r="E21" s="13">
        <v>1588937</v>
      </c>
      <c r="F21" s="13" t="s">
        <v>47</v>
      </c>
      <c r="G21" s="14">
        <v>20303760</v>
      </c>
      <c r="H21" s="13" t="s">
        <v>114</v>
      </c>
      <c r="I21" s="13" t="s">
        <v>83</v>
      </c>
      <c r="J21" s="14">
        <v>2</v>
      </c>
      <c r="K21" s="14">
        <v>24</v>
      </c>
      <c r="L21" s="15">
        <v>39.6</v>
      </c>
      <c r="M21" s="15">
        <v>79.2</v>
      </c>
    </row>
    <row r="22" spans="4:13">
      <c r="D22" s="12">
        <v>46107</v>
      </c>
      <c r="E22" s="13">
        <v>1589294</v>
      </c>
      <c r="F22" s="13" t="s">
        <v>20</v>
      </c>
      <c r="G22" s="14">
        <v>20303878</v>
      </c>
      <c r="H22" s="13" t="s">
        <v>104</v>
      </c>
      <c r="I22" s="13" t="s">
        <v>105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46107</v>
      </c>
      <c r="E23" s="13">
        <v>1589294</v>
      </c>
      <c r="F23" s="13" t="s">
        <v>47</v>
      </c>
      <c r="G23" s="14">
        <v>20390155</v>
      </c>
      <c r="H23" s="13" t="s">
        <v>113</v>
      </c>
      <c r="I23" s="13" t="s">
        <v>44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46107</v>
      </c>
      <c r="E24" s="13">
        <v>1589294</v>
      </c>
      <c r="F24" s="13" t="s">
        <v>47</v>
      </c>
      <c r="G24" s="14">
        <v>20303760</v>
      </c>
      <c r="H24" s="13" t="s">
        <v>114</v>
      </c>
      <c r="I24" s="13" t="s">
        <v>83</v>
      </c>
      <c r="J24" s="14">
        <v>1</v>
      </c>
      <c r="K24" s="14">
        <v>12</v>
      </c>
      <c r="L24" s="15">
        <v>39.6</v>
      </c>
      <c r="M24" s="15">
        <v>39.6</v>
      </c>
    </row>
    <row r="25" spans="4:13">
      <c r="D25" s="12">
        <v>46108</v>
      </c>
      <c r="E25" s="13">
        <v>1589679</v>
      </c>
      <c r="F25" s="13" t="s">
        <v>20</v>
      </c>
      <c r="G25" s="14">
        <v>20303859</v>
      </c>
      <c r="H25" s="13" t="s">
        <v>46</v>
      </c>
      <c r="I25" s="13" t="s">
        <v>35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46108</v>
      </c>
      <c r="E26" s="13">
        <v>1589679</v>
      </c>
      <c r="F26" s="13" t="s">
        <v>20</v>
      </c>
      <c r="G26" s="14">
        <v>20303878</v>
      </c>
      <c r="H26" s="13" t="s">
        <v>104</v>
      </c>
      <c r="I26" s="13" t="s">
        <v>105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46108</v>
      </c>
      <c r="E27" s="13">
        <v>1589679</v>
      </c>
      <c r="F27" s="13" t="s">
        <v>20</v>
      </c>
      <c r="G27" s="14">
        <v>20316042</v>
      </c>
      <c r="H27" s="13" t="s">
        <v>34</v>
      </c>
      <c r="I27" s="13" t="s">
        <v>35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46108</v>
      </c>
      <c r="E28" s="13">
        <v>1589679</v>
      </c>
      <c r="F28" s="13" t="s">
        <v>47</v>
      </c>
      <c r="G28" s="14">
        <v>20390155</v>
      </c>
      <c r="H28" s="13" t="s">
        <v>113</v>
      </c>
      <c r="I28" s="13" t="s">
        <v>44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46111</v>
      </c>
      <c r="E29" s="13">
        <v>1590227</v>
      </c>
      <c r="F29" s="13" t="s">
        <v>20</v>
      </c>
      <c r="G29" s="14">
        <v>20303878</v>
      </c>
      <c r="H29" s="13" t="s">
        <v>104</v>
      </c>
      <c r="I29" s="13" t="s">
        <v>105</v>
      </c>
      <c r="J29" s="14">
        <v>4</v>
      </c>
      <c r="K29" s="14">
        <v>4</v>
      </c>
      <c r="L29" s="15">
        <v>4.8</v>
      </c>
      <c r="M29" s="15">
        <v>19.2</v>
      </c>
    </row>
    <row r="30" spans="4:13">
      <c r="D30" s="12">
        <v>46111</v>
      </c>
      <c r="E30" s="13">
        <v>1590227</v>
      </c>
      <c r="F30" s="13" t="s">
        <v>20</v>
      </c>
      <c r="G30" s="14">
        <v>20389949</v>
      </c>
      <c r="H30" s="13" t="s">
        <v>111</v>
      </c>
      <c r="I30" s="13" t="s">
        <v>112</v>
      </c>
      <c r="J30" s="14">
        <v>1</v>
      </c>
      <c r="K30" s="14">
        <v>1</v>
      </c>
      <c r="L30" s="15">
        <v>7.8</v>
      </c>
      <c r="M30" s="15">
        <v>7.8</v>
      </c>
    </row>
    <row r="31" spans="4:13">
      <c r="D31" s="12">
        <v>46111</v>
      </c>
      <c r="E31" s="13">
        <v>1590227</v>
      </c>
      <c r="F31" s="13" t="s">
        <v>47</v>
      </c>
      <c r="G31" s="14">
        <v>20303760</v>
      </c>
      <c r="H31" s="13" t="s">
        <v>114</v>
      </c>
      <c r="I31" s="13" t="s">
        <v>83</v>
      </c>
      <c r="J31" s="14">
        <v>1</v>
      </c>
      <c r="K31" s="14">
        <v>12</v>
      </c>
      <c r="L31" s="15">
        <v>39.6</v>
      </c>
      <c r="M31" s="15">
        <v>39.6</v>
      </c>
    </row>
    <row r="32" spans="4:13">
      <c r="D32" s="12">
        <v>46112</v>
      </c>
      <c r="E32" s="13">
        <v>1590618</v>
      </c>
      <c r="F32" s="13" t="s">
        <v>20</v>
      </c>
      <c r="G32" s="14">
        <v>20303878</v>
      </c>
      <c r="H32" s="13" t="s">
        <v>104</v>
      </c>
      <c r="I32" s="13" t="s">
        <v>105</v>
      </c>
      <c r="J32" s="14">
        <v>4</v>
      </c>
      <c r="K32" s="14">
        <v>4</v>
      </c>
      <c r="L32" s="15">
        <v>4.8</v>
      </c>
      <c r="M32" s="15">
        <v>19.2</v>
      </c>
    </row>
    <row r="33" spans="4:13">
      <c r="D33" s="12">
        <v>46112</v>
      </c>
      <c r="E33" s="13">
        <v>1590618</v>
      </c>
      <c r="F33" s="13" t="s">
        <v>20</v>
      </c>
      <c r="G33" s="14">
        <v>20309808</v>
      </c>
      <c r="H33" s="13" t="s">
        <v>106</v>
      </c>
      <c r="I33" s="13" t="s">
        <v>57</v>
      </c>
      <c r="J33" s="14">
        <v>2</v>
      </c>
      <c r="K33" s="14">
        <v>2</v>
      </c>
      <c r="L33" s="15">
        <v>6.6</v>
      </c>
      <c r="M33" s="15">
        <v>13.2</v>
      </c>
    </row>
    <row r="34" spans="4:13">
      <c r="D34" s="12">
        <v>46112</v>
      </c>
      <c r="E34" s="13">
        <v>1590618</v>
      </c>
      <c r="F34" s="13" t="s">
        <v>20</v>
      </c>
      <c r="G34" s="14">
        <v>20316884</v>
      </c>
      <c r="H34" s="13" t="s">
        <v>108</v>
      </c>
      <c r="I34" s="13" t="s">
        <v>33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46114</v>
      </c>
      <c r="E35" s="13">
        <v>1591394</v>
      </c>
      <c r="F35" s="13" t="s">
        <v>20</v>
      </c>
      <c r="G35" s="14">
        <v>20303878</v>
      </c>
      <c r="H35" s="13" t="s">
        <v>104</v>
      </c>
      <c r="I35" s="13" t="s">
        <v>105</v>
      </c>
      <c r="J35" s="14">
        <v>2</v>
      </c>
      <c r="K35" s="14">
        <v>2</v>
      </c>
      <c r="L35" s="15">
        <v>4.8</v>
      </c>
      <c r="M35" s="15">
        <v>9.6</v>
      </c>
    </row>
    <row r="36" spans="4:13">
      <c r="D36" s="12">
        <v>46114</v>
      </c>
      <c r="E36" s="13">
        <v>1591394</v>
      </c>
      <c r="F36" s="13" t="s">
        <v>20</v>
      </c>
      <c r="G36" s="14">
        <v>20309808</v>
      </c>
      <c r="H36" s="13" t="s">
        <v>106</v>
      </c>
      <c r="I36" s="13" t="s">
        <v>57</v>
      </c>
      <c r="J36" s="14">
        <v>1</v>
      </c>
      <c r="K36" s="14">
        <v>1</v>
      </c>
      <c r="L36" s="15">
        <v>6.6</v>
      </c>
      <c r="M36" s="15">
        <v>6.6</v>
      </c>
    </row>
    <row r="37" spans="4:13">
      <c r="D37" s="12">
        <v>46114</v>
      </c>
      <c r="E37" s="13">
        <v>1591394</v>
      </c>
      <c r="F37" s="13" t="s">
        <v>47</v>
      </c>
      <c r="G37" s="14">
        <v>20390155</v>
      </c>
      <c r="H37" s="13" t="s">
        <v>113</v>
      </c>
      <c r="I37" s="13" t="s">
        <v>44</v>
      </c>
      <c r="J37" s="14">
        <v>1</v>
      </c>
      <c r="K37" s="14">
        <v>8</v>
      </c>
      <c r="L37" s="15">
        <v>26.4</v>
      </c>
      <c r="M37" s="15">
        <v>26.4</v>
      </c>
    </row>
    <row r="38" spans="4:13">
      <c r="D38" s="12">
        <v>46115</v>
      </c>
      <c r="E38" s="13">
        <v>1591808</v>
      </c>
      <c r="F38" s="13" t="s">
        <v>20</v>
      </c>
      <c r="G38" s="14">
        <v>20303878</v>
      </c>
      <c r="H38" s="13" t="s">
        <v>104</v>
      </c>
      <c r="I38" s="13" t="s">
        <v>105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46115</v>
      </c>
      <c r="E39" s="13">
        <v>1591808</v>
      </c>
      <c r="F39" s="13" t="s">
        <v>20</v>
      </c>
      <c r="G39" s="14">
        <v>20389949</v>
      </c>
      <c r="H39" s="13" t="s">
        <v>111</v>
      </c>
      <c r="I39" s="13" t="s">
        <v>112</v>
      </c>
      <c r="J39" s="14">
        <v>2</v>
      </c>
      <c r="K39" s="14">
        <v>2</v>
      </c>
      <c r="L39" s="15">
        <v>7.8</v>
      </c>
      <c r="M39" s="15">
        <v>15.6</v>
      </c>
    </row>
    <row r="40" spans="4:13">
      <c r="D40" s="12">
        <v>46115</v>
      </c>
      <c r="E40" s="13">
        <v>1591808</v>
      </c>
      <c r="F40" s="13" t="s">
        <v>47</v>
      </c>
      <c r="G40" s="14">
        <v>20303707</v>
      </c>
      <c r="H40" s="13" t="s">
        <v>115</v>
      </c>
      <c r="I40" s="13" t="s">
        <v>83</v>
      </c>
      <c r="J40" s="14">
        <v>2</v>
      </c>
      <c r="K40" s="14">
        <v>10</v>
      </c>
      <c r="L40" s="15">
        <v>16.5</v>
      </c>
      <c r="M40" s="15">
        <v>33</v>
      </c>
    </row>
    <row r="41" spans="4:13">
      <c r="D41" s="12">
        <v>46115</v>
      </c>
      <c r="E41" s="13">
        <v>1591808</v>
      </c>
      <c r="F41" s="13" t="s">
        <v>47</v>
      </c>
      <c r="G41" s="14">
        <v>20303760</v>
      </c>
      <c r="H41" s="13" t="s">
        <v>114</v>
      </c>
      <c r="I41" s="13" t="s">
        <v>83</v>
      </c>
      <c r="J41" s="14">
        <v>2</v>
      </c>
      <c r="K41" s="14">
        <v>24</v>
      </c>
      <c r="L41" s="15">
        <v>39.6</v>
      </c>
      <c r="M41" s="15">
        <v>79.2</v>
      </c>
    </row>
    <row r="42" spans="4:13">
      <c r="D42" s="12">
        <v>46119</v>
      </c>
      <c r="E42" s="13">
        <v>1592418</v>
      </c>
      <c r="F42" s="13" t="s">
        <v>20</v>
      </c>
      <c r="G42" s="14">
        <v>20303878</v>
      </c>
      <c r="H42" s="13" t="s">
        <v>104</v>
      </c>
      <c r="I42" s="13" t="s">
        <v>105</v>
      </c>
      <c r="J42" s="14">
        <v>7</v>
      </c>
      <c r="K42" s="14">
        <v>7</v>
      </c>
      <c r="L42" s="15">
        <v>4.8</v>
      </c>
      <c r="M42" s="15">
        <v>33.6</v>
      </c>
    </row>
    <row r="43" spans="4:13">
      <c r="D43" s="12">
        <v>46119</v>
      </c>
      <c r="E43" s="13">
        <v>1592418</v>
      </c>
      <c r="F43" s="13" t="s">
        <v>20</v>
      </c>
      <c r="G43" s="14">
        <v>20303717</v>
      </c>
      <c r="H43" s="13" t="s">
        <v>70</v>
      </c>
      <c r="I43" s="13" t="s">
        <v>35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46119</v>
      </c>
      <c r="E44" s="13">
        <v>1592418</v>
      </c>
      <c r="F44" s="13" t="s">
        <v>47</v>
      </c>
      <c r="G44" s="14">
        <v>20390155</v>
      </c>
      <c r="H44" s="13" t="s">
        <v>113</v>
      </c>
      <c r="I44" s="13" t="s">
        <v>44</v>
      </c>
      <c r="J44" s="14">
        <v>1</v>
      </c>
      <c r="K44" s="14">
        <v>8</v>
      </c>
      <c r="L44" s="15">
        <v>26.4</v>
      </c>
      <c r="M44" s="15">
        <v>26.4</v>
      </c>
    </row>
    <row r="45" spans="4:13">
      <c r="D45" s="12">
        <v>46119</v>
      </c>
      <c r="E45" s="13">
        <v>1592418</v>
      </c>
      <c r="F45" s="13" t="s">
        <v>47</v>
      </c>
      <c r="G45" s="14">
        <v>20303760</v>
      </c>
      <c r="H45" s="13" t="s">
        <v>114</v>
      </c>
      <c r="I45" s="13" t="s">
        <v>83</v>
      </c>
      <c r="J45" s="14">
        <v>1</v>
      </c>
      <c r="K45" s="14">
        <v>12</v>
      </c>
      <c r="L45" s="15">
        <v>39.6</v>
      </c>
      <c r="M45" s="15">
        <v>39.6</v>
      </c>
    </row>
    <row r="46" spans="4:13">
      <c r="D46" s="12">
        <v>46121</v>
      </c>
      <c r="E46" s="13">
        <v>1593177</v>
      </c>
      <c r="F46" s="13" t="s">
        <v>20</v>
      </c>
      <c r="G46" s="14">
        <v>20303878</v>
      </c>
      <c r="H46" s="13" t="s">
        <v>104</v>
      </c>
      <c r="I46" s="13" t="s">
        <v>105</v>
      </c>
      <c r="J46" s="14">
        <v>8</v>
      </c>
      <c r="K46" s="14">
        <v>8</v>
      </c>
      <c r="L46" s="15">
        <v>4.8</v>
      </c>
      <c r="M46" s="15">
        <v>38.4</v>
      </c>
    </row>
    <row r="47" spans="4:13">
      <c r="D47" s="12">
        <v>46121</v>
      </c>
      <c r="E47" s="13">
        <v>1593177</v>
      </c>
      <c r="F47" s="13" t="s">
        <v>20</v>
      </c>
      <c r="G47" s="14">
        <v>20303717</v>
      </c>
      <c r="H47" s="13" t="s">
        <v>70</v>
      </c>
      <c r="I47" s="13" t="s">
        <v>35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46121</v>
      </c>
      <c r="E48" s="13">
        <v>1593177</v>
      </c>
      <c r="F48" s="13" t="s">
        <v>20</v>
      </c>
      <c r="G48" s="14">
        <v>20312103</v>
      </c>
      <c r="H48" s="13" t="s">
        <v>116</v>
      </c>
      <c r="I48" s="13" t="s">
        <v>105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46121</v>
      </c>
      <c r="E49" s="13">
        <v>1593177</v>
      </c>
      <c r="F49" s="13" t="s">
        <v>47</v>
      </c>
      <c r="G49" s="14">
        <v>20303760</v>
      </c>
      <c r="H49" s="13" t="s">
        <v>114</v>
      </c>
      <c r="I49" s="13" t="s">
        <v>83</v>
      </c>
      <c r="J49" s="14">
        <v>3</v>
      </c>
      <c r="K49" s="14">
        <v>36</v>
      </c>
      <c r="L49" s="15">
        <v>39.6</v>
      </c>
      <c r="M49" s="15">
        <v>118.8</v>
      </c>
    </row>
    <row r="50" spans="4:13">
      <c r="D50" s="12">
        <v>46122</v>
      </c>
      <c r="E50" s="13">
        <v>1593631</v>
      </c>
      <c r="F50" s="13" t="s">
        <v>20</v>
      </c>
      <c r="G50" s="14">
        <v>20303878</v>
      </c>
      <c r="H50" s="13" t="s">
        <v>104</v>
      </c>
      <c r="I50" s="13" t="s">
        <v>105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46122</v>
      </c>
      <c r="E51" s="13">
        <v>1593631</v>
      </c>
      <c r="F51" s="13" t="s">
        <v>20</v>
      </c>
      <c r="G51" s="14">
        <v>20316884</v>
      </c>
      <c r="H51" s="13" t="s">
        <v>108</v>
      </c>
      <c r="I51" s="13" t="s">
        <v>33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46122</v>
      </c>
      <c r="E52" s="13">
        <v>1593631</v>
      </c>
      <c r="F52" s="13" t="s">
        <v>20</v>
      </c>
      <c r="G52" s="14">
        <v>20389949</v>
      </c>
      <c r="H52" s="13" t="s">
        <v>111</v>
      </c>
      <c r="I52" s="13" t="s">
        <v>112</v>
      </c>
      <c r="J52" s="14">
        <v>1</v>
      </c>
      <c r="K52" s="14">
        <v>1</v>
      </c>
      <c r="L52" s="15">
        <v>7.8</v>
      </c>
      <c r="M52" s="15">
        <v>7.8</v>
      </c>
    </row>
    <row r="53" spans="4:13">
      <c r="D53" s="12">
        <v>46122</v>
      </c>
      <c r="E53" s="13">
        <v>1593631</v>
      </c>
      <c r="F53" s="13" t="s">
        <v>47</v>
      </c>
      <c r="G53" s="14">
        <v>20303707</v>
      </c>
      <c r="H53" s="13" t="s">
        <v>115</v>
      </c>
      <c r="I53" s="13" t="s">
        <v>83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46126</v>
      </c>
      <c r="E54" s="13">
        <v>1594576</v>
      </c>
      <c r="F54" s="13" t="s">
        <v>20</v>
      </c>
      <c r="G54" s="14">
        <v>20303878</v>
      </c>
      <c r="H54" s="13" t="s">
        <v>104</v>
      </c>
      <c r="I54" s="13" t="s">
        <v>105</v>
      </c>
      <c r="J54" s="14">
        <v>8</v>
      </c>
      <c r="K54" s="14">
        <v>8</v>
      </c>
      <c r="L54" s="15">
        <v>4.8</v>
      </c>
      <c r="M54" s="15">
        <v>38.4</v>
      </c>
    </row>
    <row r="55" spans="4:13">
      <c r="D55" s="12">
        <v>46126</v>
      </c>
      <c r="E55" s="13">
        <v>1594576</v>
      </c>
      <c r="F55" s="13" t="s">
        <v>20</v>
      </c>
      <c r="G55" s="14">
        <v>20309808</v>
      </c>
      <c r="H55" s="13" t="s">
        <v>106</v>
      </c>
      <c r="I55" s="13" t="s">
        <v>57</v>
      </c>
      <c r="J55" s="14">
        <v>1</v>
      </c>
      <c r="K55" s="14">
        <v>1</v>
      </c>
      <c r="L55" s="15">
        <v>6.6</v>
      </c>
      <c r="M55" s="15">
        <v>6.6</v>
      </c>
    </row>
    <row r="56" spans="4:13">
      <c r="D56" s="12">
        <v>46126</v>
      </c>
      <c r="E56" s="13">
        <v>1594576</v>
      </c>
      <c r="F56" s="13" t="s">
        <v>20</v>
      </c>
      <c r="G56" s="14">
        <v>20322772</v>
      </c>
      <c r="H56" s="13" t="s">
        <v>107</v>
      </c>
      <c r="I56" s="13" t="s">
        <v>33</v>
      </c>
      <c r="J56" s="14">
        <v>1</v>
      </c>
      <c r="K56" s="14">
        <v>1</v>
      </c>
      <c r="L56" s="15">
        <v>4.8</v>
      </c>
      <c r="M56" s="15">
        <v>4.8</v>
      </c>
    </row>
    <row r="57" spans="4:13">
      <c r="D57" s="12">
        <v>46126</v>
      </c>
      <c r="E57" s="13">
        <v>1594576</v>
      </c>
      <c r="F57" s="13" t="s">
        <v>20</v>
      </c>
      <c r="G57" s="14">
        <v>20376348</v>
      </c>
      <c r="H57" s="13" t="s">
        <v>110</v>
      </c>
      <c r="I57" s="13" t="s">
        <v>33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46126</v>
      </c>
      <c r="E58" s="13">
        <v>1594576</v>
      </c>
      <c r="F58" s="13" t="s">
        <v>20</v>
      </c>
      <c r="G58" s="14">
        <v>20309564</v>
      </c>
      <c r="H58" s="13" t="s">
        <v>117</v>
      </c>
      <c r="I58" s="13" t="s">
        <v>105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46127</v>
      </c>
      <c r="E59" s="13">
        <v>1594995</v>
      </c>
      <c r="F59" s="13" t="s">
        <v>20</v>
      </c>
      <c r="G59" s="14">
        <v>20303878</v>
      </c>
      <c r="H59" s="13" t="s">
        <v>104</v>
      </c>
      <c r="I59" s="13" t="s">
        <v>105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46127</v>
      </c>
      <c r="E60" s="13">
        <v>1594995</v>
      </c>
      <c r="F60" s="13" t="s">
        <v>20</v>
      </c>
      <c r="G60" s="14">
        <v>20309808</v>
      </c>
      <c r="H60" s="13" t="s">
        <v>106</v>
      </c>
      <c r="I60" s="13" t="s">
        <v>57</v>
      </c>
      <c r="J60" s="14">
        <v>1</v>
      </c>
      <c r="K60" s="14">
        <v>1</v>
      </c>
      <c r="L60" s="15">
        <v>6.6</v>
      </c>
      <c r="M60" s="15">
        <v>6.6</v>
      </c>
    </row>
    <row r="61" spans="4:13">
      <c r="D61" s="12">
        <v>46127</v>
      </c>
      <c r="E61" s="13">
        <v>1594995</v>
      </c>
      <c r="F61" s="13" t="s">
        <v>20</v>
      </c>
      <c r="G61" s="14">
        <v>20322772</v>
      </c>
      <c r="H61" s="13" t="s">
        <v>107</v>
      </c>
      <c r="I61" s="13" t="s">
        <v>33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46127</v>
      </c>
      <c r="E62" s="13">
        <v>1594995</v>
      </c>
      <c r="F62" s="13" t="s">
        <v>20</v>
      </c>
      <c r="G62" s="14">
        <v>20316042</v>
      </c>
      <c r="H62" s="13" t="s">
        <v>34</v>
      </c>
      <c r="I62" s="13" t="s">
        <v>35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46127</v>
      </c>
      <c r="E63" s="13">
        <v>1594995</v>
      </c>
      <c r="F63" s="13" t="s">
        <v>47</v>
      </c>
      <c r="G63" s="14">
        <v>20303707</v>
      </c>
      <c r="H63" s="13" t="s">
        <v>115</v>
      </c>
      <c r="I63" s="13" t="s">
        <v>83</v>
      </c>
      <c r="J63" s="14">
        <v>1</v>
      </c>
      <c r="K63" s="14">
        <v>5</v>
      </c>
      <c r="L63" s="15">
        <v>16.5</v>
      </c>
      <c r="M63" s="15">
        <v>16.5</v>
      </c>
    </row>
    <row r="64" spans="4:13">
      <c r="D64" s="12">
        <v>46127</v>
      </c>
      <c r="E64" s="13">
        <v>1594995</v>
      </c>
      <c r="F64" s="13" t="s">
        <v>47</v>
      </c>
      <c r="G64" s="14">
        <v>20390155</v>
      </c>
      <c r="H64" s="13" t="s">
        <v>113</v>
      </c>
      <c r="I64" s="13" t="s">
        <v>44</v>
      </c>
      <c r="J64" s="14">
        <v>1</v>
      </c>
      <c r="K64" s="14">
        <v>8</v>
      </c>
      <c r="L64" s="15">
        <v>26.4</v>
      </c>
      <c r="M64" s="15">
        <v>26.4</v>
      </c>
    </row>
    <row r="65" spans="4:13">
      <c r="D65" s="12">
        <v>46128</v>
      </c>
      <c r="E65" s="13">
        <v>1595314</v>
      </c>
      <c r="F65" s="13" t="s">
        <v>20</v>
      </c>
      <c r="G65" s="14">
        <v>20303878</v>
      </c>
      <c r="H65" s="13" t="s">
        <v>104</v>
      </c>
      <c r="I65" s="13" t="s">
        <v>105</v>
      </c>
      <c r="J65" s="14">
        <v>3</v>
      </c>
      <c r="K65" s="14">
        <v>3</v>
      </c>
      <c r="L65" s="15">
        <v>4.8</v>
      </c>
      <c r="M65" s="15">
        <v>14.4</v>
      </c>
    </row>
    <row r="66" spans="4:13">
      <c r="D66" s="12">
        <v>46128</v>
      </c>
      <c r="E66" s="13">
        <v>1595314</v>
      </c>
      <c r="F66" s="13" t="s">
        <v>20</v>
      </c>
      <c r="G66" s="14">
        <v>20309808</v>
      </c>
      <c r="H66" s="13" t="s">
        <v>106</v>
      </c>
      <c r="I66" s="13" t="s">
        <v>57</v>
      </c>
      <c r="J66" s="14">
        <v>1</v>
      </c>
      <c r="K66" s="14">
        <v>1</v>
      </c>
      <c r="L66" s="15">
        <v>6.6</v>
      </c>
      <c r="M66" s="15">
        <v>6.6</v>
      </c>
    </row>
    <row r="67" spans="4:13">
      <c r="D67" s="12">
        <v>46128</v>
      </c>
      <c r="E67" s="13">
        <v>1595314</v>
      </c>
      <c r="F67" s="13" t="s">
        <v>20</v>
      </c>
      <c r="G67" s="14">
        <v>20303717</v>
      </c>
      <c r="H67" s="13" t="s">
        <v>70</v>
      </c>
      <c r="I67" s="13" t="s">
        <v>35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46128</v>
      </c>
      <c r="E68" s="13">
        <v>1595314</v>
      </c>
      <c r="F68" s="13" t="s">
        <v>20</v>
      </c>
      <c r="G68" s="14">
        <v>20314211</v>
      </c>
      <c r="H68" s="13" t="s">
        <v>118</v>
      </c>
      <c r="I68" s="13" t="s">
        <v>22</v>
      </c>
      <c r="J68" s="14">
        <v>1</v>
      </c>
      <c r="K68" s="14">
        <v>4</v>
      </c>
      <c r="L68" s="15">
        <v>13.2</v>
      </c>
      <c r="M68" s="15">
        <v>13.2</v>
      </c>
    </row>
    <row r="69" spans="4:13">
      <c r="D69" s="12">
        <v>46128</v>
      </c>
      <c r="E69" s="13">
        <v>1595314</v>
      </c>
      <c r="F69" s="13" t="s">
        <v>47</v>
      </c>
      <c r="G69" s="14">
        <v>20303760</v>
      </c>
      <c r="H69" s="13" t="s">
        <v>114</v>
      </c>
      <c r="I69" s="13" t="s">
        <v>83</v>
      </c>
      <c r="J69" s="14">
        <v>1</v>
      </c>
      <c r="K69" s="14">
        <v>12</v>
      </c>
      <c r="L69" s="15">
        <v>39.6</v>
      </c>
      <c r="M69" s="15">
        <v>39.6</v>
      </c>
    </row>
    <row r="70" spans="4:13">
      <c r="D70" s="12">
        <v>46129</v>
      </c>
      <c r="E70" s="13">
        <v>1595749</v>
      </c>
      <c r="F70" s="13" t="s">
        <v>20</v>
      </c>
      <c r="G70" s="14">
        <v>20303859</v>
      </c>
      <c r="H70" s="13" t="s">
        <v>46</v>
      </c>
      <c r="I70" s="13" t="s">
        <v>35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46129</v>
      </c>
      <c r="E71" s="13">
        <v>1595749</v>
      </c>
      <c r="F71" s="13" t="s">
        <v>20</v>
      </c>
      <c r="G71" s="14">
        <v>20303878</v>
      </c>
      <c r="H71" s="13" t="s">
        <v>104</v>
      </c>
      <c r="I71" s="13" t="s">
        <v>105</v>
      </c>
      <c r="J71" s="14">
        <v>2</v>
      </c>
      <c r="K71" s="14">
        <v>2</v>
      </c>
      <c r="L71" s="15">
        <v>4.8</v>
      </c>
      <c r="M71" s="15">
        <v>9.6</v>
      </c>
    </row>
    <row r="72" spans="4:13">
      <c r="D72" s="12">
        <v>46129</v>
      </c>
      <c r="E72" s="13">
        <v>1595749</v>
      </c>
      <c r="F72" s="13" t="s">
        <v>20</v>
      </c>
      <c r="G72" s="14">
        <v>20303717</v>
      </c>
      <c r="H72" s="13" t="s">
        <v>70</v>
      </c>
      <c r="I72" s="13" t="s">
        <v>35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46129</v>
      </c>
      <c r="E73" s="13">
        <v>1595749</v>
      </c>
      <c r="F73" s="13" t="s">
        <v>20</v>
      </c>
      <c r="G73" s="14">
        <v>20309732</v>
      </c>
      <c r="H73" s="13" t="s">
        <v>119</v>
      </c>
      <c r="I73" s="13" t="s">
        <v>105</v>
      </c>
      <c r="J73" s="14">
        <v>1</v>
      </c>
      <c r="K73" s="14">
        <v>1</v>
      </c>
      <c r="L73" s="15">
        <v>4.8</v>
      </c>
      <c r="M73" s="15">
        <v>4.8</v>
      </c>
    </row>
    <row r="74" spans="4:13">
      <c r="D74" s="12">
        <v>46129</v>
      </c>
      <c r="E74" s="13">
        <v>1595749</v>
      </c>
      <c r="F74" s="13" t="s">
        <v>47</v>
      </c>
      <c r="G74" s="14">
        <v>20303707</v>
      </c>
      <c r="H74" s="13" t="s">
        <v>115</v>
      </c>
      <c r="I74" s="13" t="s">
        <v>83</v>
      </c>
      <c r="J74" s="14">
        <v>1</v>
      </c>
      <c r="K74" s="14">
        <v>5</v>
      </c>
      <c r="L74" s="15">
        <v>16.5</v>
      </c>
      <c r="M74" s="15">
        <v>16.5</v>
      </c>
    </row>
    <row r="75" spans="4:13">
      <c r="D75" s="12">
        <v>46129</v>
      </c>
      <c r="E75" s="13">
        <v>1595749</v>
      </c>
      <c r="F75" s="13" t="s">
        <v>47</v>
      </c>
      <c r="G75" s="14">
        <v>20303760</v>
      </c>
      <c r="H75" s="13" t="s">
        <v>114</v>
      </c>
      <c r="I75" s="13" t="s">
        <v>83</v>
      </c>
      <c r="J75" s="14">
        <v>2</v>
      </c>
      <c r="K75" s="14">
        <v>24</v>
      </c>
      <c r="L75" s="15">
        <v>39.6</v>
      </c>
      <c r="M75" s="15">
        <v>79.2</v>
      </c>
    </row>
    <row r="76" spans="4:13">
      <c r="D76" s="12">
        <v>46132</v>
      </c>
      <c r="E76" s="13">
        <v>1596273</v>
      </c>
      <c r="F76" s="13" t="s">
        <v>20</v>
      </c>
      <c r="G76" s="14">
        <v>20309808</v>
      </c>
      <c r="H76" s="13" t="s">
        <v>106</v>
      </c>
      <c r="I76" s="13" t="s">
        <v>57</v>
      </c>
      <c r="J76" s="14">
        <v>1</v>
      </c>
      <c r="K76" s="14">
        <v>1</v>
      </c>
      <c r="L76" s="15">
        <v>6.6</v>
      </c>
      <c r="M76" s="15">
        <v>6.6</v>
      </c>
    </row>
    <row r="77" spans="4:13">
      <c r="D77" s="12">
        <v>46132</v>
      </c>
      <c r="E77" s="13">
        <v>1596273</v>
      </c>
      <c r="F77" s="13" t="s">
        <v>20</v>
      </c>
      <c r="G77" s="14">
        <v>20303717</v>
      </c>
      <c r="H77" s="13" t="s">
        <v>70</v>
      </c>
      <c r="I77" s="13" t="s">
        <v>35</v>
      </c>
      <c r="J77" s="14">
        <v>2</v>
      </c>
      <c r="K77" s="14">
        <v>2</v>
      </c>
      <c r="L77" s="15">
        <v>4.8</v>
      </c>
      <c r="M77" s="15">
        <v>9.6</v>
      </c>
    </row>
    <row r="78" spans="4:13">
      <c r="D78" s="12">
        <v>46132</v>
      </c>
      <c r="E78" s="13">
        <v>1596273</v>
      </c>
      <c r="F78" s="13" t="s">
        <v>20</v>
      </c>
      <c r="G78" s="14">
        <v>20316884</v>
      </c>
      <c r="H78" s="13" t="s">
        <v>108</v>
      </c>
      <c r="I78" s="13" t="s">
        <v>33</v>
      </c>
      <c r="J78" s="14">
        <v>1</v>
      </c>
      <c r="K78" s="14">
        <v>1</v>
      </c>
      <c r="L78" s="15">
        <v>4.8</v>
      </c>
      <c r="M78" s="15">
        <v>4.8</v>
      </c>
    </row>
    <row r="79" spans="4:13">
      <c r="D79" s="12">
        <v>46132</v>
      </c>
      <c r="E79" s="13">
        <v>1596273</v>
      </c>
      <c r="F79" s="13" t="s">
        <v>20</v>
      </c>
      <c r="G79" s="14">
        <v>20303863</v>
      </c>
      <c r="H79" s="13" t="s">
        <v>28</v>
      </c>
      <c r="I79" s="13" t="s">
        <v>29</v>
      </c>
      <c r="J79" s="14">
        <v>3</v>
      </c>
      <c r="K79" s="14">
        <v>3</v>
      </c>
      <c r="L79" s="15">
        <v>4.8</v>
      </c>
      <c r="M79" s="15">
        <v>14.4</v>
      </c>
    </row>
    <row r="80" spans="4:13">
      <c r="D80" s="12">
        <v>46132</v>
      </c>
      <c r="E80" s="13">
        <v>1596273</v>
      </c>
      <c r="F80" s="13" t="s">
        <v>47</v>
      </c>
      <c r="G80" s="14">
        <v>20303760</v>
      </c>
      <c r="H80" s="13" t="s">
        <v>114</v>
      </c>
      <c r="I80" s="13" t="s">
        <v>83</v>
      </c>
      <c r="J80" s="14">
        <v>2</v>
      </c>
      <c r="K80" s="14">
        <v>24</v>
      </c>
      <c r="L80" s="15">
        <v>39.6</v>
      </c>
      <c r="M80" s="15">
        <v>79.2</v>
      </c>
    </row>
  </sheetData>
  <autoFilter xmlns:etc="http://www.wps.cn/officeDocument/2017/etCustomData" ref="A7:M80" etc:filterBottomFollowUsedRange="0">
    <extLst/>
  </autoFilter>
  <mergeCells count="5">
    <mergeCell ref="D8:I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6"/>
  <sheetViews>
    <sheetView showGridLines="0" view="pageBreakPreview" zoomScaleNormal="100" workbookViewId="0">
      <pane ySplit="6" topLeftCell="A7" activePane="bottomLeft" state="frozen"/>
      <selection/>
      <selection pane="bottomLeft" activeCell="M191" sqref="M191"/>
    </sheetView>
  </sheetViews>
  <sheetFormatPr defaultColWidth="9" defaultRowHeight="13.5"/>
  <cols>
    <col min="1" max="2" width="0.225" customWidth="1"/>
    <col min="3" max="3" width="0.433333333333333" customWidth="1"/>
    <col min="4" max="4" width="11.25" customWidth="1"/>
    <col min="5" max="5" width="8.93333333333333" customWidth="1"/>
    <col min="6" max="6" width="16.625" customWidth="1"/>
    <col min="7" max="7" width="9.36666666666667" customWidth="1"/>
    <col min="8" max="8" width="24.8166666666667" customWidth="1"/>
    <col min="9" max="9" width="18.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432-1</f>
        <v>431</v>
      </c>
      <c r="K8" s="10">
        <f>1487-1</f>
        <v>1486</v>
      </c>
      <c r="L8" s="11"/>
      <c r="M8" s="11">
        <f>10215-16.8</f>
        <v>10198.2</v>
      </c>
    </row>
    <row r="9" spans="1:13">
      <c r="D9" s="12">
        <v>46102</v>
      </c>
      <c r="E9" s="13">
        <v>1588069</v>
      </c>
      <c r="F9" s="13" t="s">
        <v>20</v>
      </c>
      <c r="G9" s="14">
        <v>20315086</v>
      </c>
      <c r="H9" s="13" t="s">
        <v>121</v>
      </c>
      <c r="I9" s="13" t="s">
        <v>105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46104</v>
      </c>
      <c r="E10" s="13">
        <v>1588406</v>
      </c>
      <c r="F10" s="13" t="s">
        <v>20</v>
      </c>
      <c r="G10" s="14">
        <v>20316768</v>
      </c>
      <c r="H10" s="13" t="s">
        <v>122</v>
      </c>
      <c r="I10" s="13" t="s">
        <v>22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46104</v>
      </c>
      <c r="E11" s="13">
        <v>1588406</v>
      </c>
      <c r="F11" s="13" t="s">
        <v>20</v>
      </c>
      <c r="G11" s="14">
        <v>20309758</v>
      </c>
      <c r="H11" s="13" t="s">
        <v>123</v>
      </c>
      <c r="I11" s="13" t="s">
        <v>57</v>
      </c>
      <c r="J11" s="14">
        <v>2</v>
      </c>
      <c r="K11" s="14">
        <v>2</v>
      </c>
      <c r="L11" s="15">
        <v>6.6</v>
      </c>
      <c r="M11" s="15">
        <v>13.2</v>
      </c>
    </row>
    <row r="12" spans="1:13">
      <c r="D12" s="12">
        <v>46104</v>
      </c>
      <c r="E12" s="13">
        <v>1588406</v>
      </c>
      <c r="F12" s="13" t="s">
        <v>15</v>
      </c>
      <c r="G12" s="14">
        <v>20309652</v>
      </c>
      <c r="H12" s="13" t="s">
        <v>124</v>
      </c>
      <c r="I12" s="13" t="s">
        <v>96</v>
      </c>
      <c r="J12" s="14">
        <v>2</v>
      </c>
      <c r="K12" s="14">
        <v>8</v>
      </c>
      <c r="L12" s="15">
        <v>52.8</v>
      </c>
      <c r="M12" s="15">
        <v>105.6</v>
      </c>
    </row>
    <row r="13" spans="1:13">
      <c r="D13" s="12">
        <v>46104</v>
      </c>
      <c r="E13" s="13">
        <v>1588406</v>
      </c>
      <c r="F13" s="13" t="s">
        <v>15</v>
      </c>
      <c r="G13" s="14">
        <v>20309653</v>
      </c>
      <c r="H13" s="13" t="s">
        <v>125</v>
      </c>
      <c r="I13" s="13" t="s">
        <v>126</v>
      </c>
      <c r="J13" s="14">
        <v>5</v>
      </c>
      <c r="K13" s="14">
        <v>10</v>
      </c>
      <c r="L13" s="15">
        <v>26.4</v>
      </c>
      <c r="M13" s="15">
        <v>132</v>
      </c>
    </row>
    <row r="14" spans="1:13">
      <c r="D14" s="12">
        <v>46104</v>
      </c>
      <c r="E14" s="13">
        <v>1588406</v>
      </c>
      <c r="F14" s="13" t="s">
        <v>15</v>
      </c>
      <c r="G14" s="14">
        <v>20309650</v>
      </c>
      <c r="H14" s="13" t="s">
        <v>127</v>
      </c>
      <c r="I14" s="13" t="s">
        <v>128</v>
      </c>
      <c r="J14" s="14">
        <v>5</v>
      </c>
      <c r="K14" s="14">
        <v>5</v>
      </c>
      <c r="L14" s="15">
        <v>16.8</v>
      </c>
      <c r="M14" s="15">
        <v>84</v>
      </c>
    </row>
    <row r="15" spans="1:13">
      <c r="D15" s="12">
        <v>46104</v>
      </c>
      <c r="E15" s="13">
        <v>1588406</v>
      </c>
      <c r="F15" s="13" t="s">
        <v>15</v>
      </c>
      <c r="G15" s="14">
        <v>20376031</v>
      </c>
      <c r="H15" s="13" t="s">
        <v>129</v>
      </c>
      <c r="I15" s="13" t="s">
        <v>128</v>
      </c>
      <c r="J15" s="14">
        <v>1</v>
      </c>
      <c r="K15" s="14">
        <v>2</v>
      </c>
      <c r="L15" s="15">
        <v>26.4</v>
      </c>
      <c r="M15" s="15">
        <v>26.4</v>
      </c>
    </row>
    <row r="16" spans="1:13">
      <c r="D16" s="12">
        <v>46104</v>
      </c>
      <c r="E16" s="13">
        <v>1588406</v>
      </c>
      <c r="F16" s="13" t="s">
        <v>15</v>
      </c>
      <c r="G16" s="14">
        <v>20309651</v>
      </c>
      <c r="H16" s="13" t="s">
        <v>130</v>
      </c>
      <c r="I16" s="13" t="s">
        <v>62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46104</v>
      </c>
      <c r="E17" s="13">
        <v>1588406</v>
      </c>
      <c r="F17" s="13" t="s">
        <v>131</v>
      </c>
      <c r="G17" s="14">
        <v>20407946</v>
      </c>
      <c r="H17" s="13" t="s">
        <v>132</v>
      </c>
      <c r="I17" s="13" t="s">
        <v>83</v>
      </c>
      <c r="J17" s="14">
        <v>1</v>
      </c>
      <c r="K17" s="14">
        <v>5</v>
      </c>
      <c r="L17" s="15">
        <v>52.8</v>
      </c>
      <c r="M17" s="15">
        <v>52.8</v>
      </c>
    </row>
    <row r="18" spans="4:13">
      <c r="D18" s="12">
        <v>46104</v>
      </c>
      <c r="E18" s="13">
        <v>1588406</v>
      </c>
      <c r="F18" s="13" t="s">
        <v>65</v>
      </c>
      <c r="G18" s="14">
        <v>20321529</v>
      </c>
      <c r="H18" s="13" t="s">
        <v>133</v>
      </c>
      <c r="I18" s="13" t="s">
        <v>83</v>
      </c>
      <c r="J18" s="14">
        <v>7</v>
      </c>
      <c r="K18" s="14">
        <v>49</v>
      </c>
      <c r="L18" s="15">
        <v>23.1</v>
      </c>
      <c r="M18" s="15">
        <v>161.7</v>
      </c>
    </row>
    <row r="19" spans="4:13">
      <c r="D19" s="12">
        <v>46105</v>
      </c>
      <c r="E19" s="13">
        <v>1588719</v>
      </c>
      <c r="F19" s="13" t="s">
        <v>15</v>
      </c>
      <c r="G19" s="14">
        <v>20309652</v>
      </c>
      <c r="H19" s="13" t="s">
        <v>124</v>
      </c>
      <c r="I19" s="13" t="s">
        <v>96</v>
      </c>
      <c r="J19" s="14">
        <v>3</v>
      </c>
      <c r="K19" s="14">
        <v>12</v>
      </c>
      <c r="L19" s="15">
        <v>52.8</v>
      </c>
      <c r="M19" s="15">
        <v>158.4</v>
      </c>
    </row>
    <row r="20" spans="4:13">
      <c r="D20" s="12">
        <v>46105</v>
      </c>
      <c r="E20" s="13">
        <v>1588719</v>
      </c>
      <c r="F20" s="13" t="s">
        <v>15</v>
      </c>
      <c r="G20" s="14">
        <v>20309653</v>
      </c>
      <c r="H20" s="13" t="s">
        <v>125</v>
      </c>
      <c r="I20" s="13" t="s">
        <v>126</v>
      </c>
      <c r="J20" s="14">
        <v>2</v>
      </c>
      <c r="K20" s="14">
        <v>4</v>
      </c>
      <c r="L20" s="15">
        <v>26.4</v>
      </c>
      <c r="M20" s="15">
        <v>52.8</v>
      </c>
    </row>
    <row r="21" spans="4:13">
      <c r="D21" s="12">
        <v>46105</v>
      </c>
      <c r="E21" s="13">
        <v>1588719</v>
      </c>
      <c r="F21" s="13" t="s">
        <v>15</v>
      </c>
      <c r="G21" s="14">
        <v>20309650</v>
      </c>
      <c r="H21" s="13" t="s">
        <v>127</v>
      </c>
      <c r="I21" s="13" t="s">
        <v>128</v>
      </c>
      <c r="J21" s="14">
        <v>4</v>
      </c>
      <c r="K21" s="14">
        <v>4</v>
      </c>
      <c r="L21" s="15">
        <v>16.8</v>
      </c>
      <c r="M21" s="15">
        <v>67.2</v>
      </c>
    </row>
    <row r="22" spans="4:13">
      <c r="D22" s="12">
        <v>46105</v>
      </c>
      <c r="E22" s="13">
        <v>1588719</v>
      </c>
      <c r="F22" s="13" t="s">
        <v>15</v>
      </c>
      <c r="G22" s="14">
        <v>20376031</v>
      </c>
      <c r="H22" s="13" t="s">
        <v>129</v>
      </c>
      <c r="I22" s="13" t="s">
        <v>128</v>
      </c>
      <c r="J22" s="14">
        <v>1</v>
      </c>
      <c r="K22" s="14">
        <v>2</v>
      </c>
      <c r="L22" s="15">
        <v>26.4</v>
      </c>
      <c r="M22" s="15">
        <v>26.4</v>
      </c>
    </row>
    <row r="23" spans="4:13">
      <c r="D23" s="12">
        <v>46105</v>
      </c>
      <c r="E23" s="13">
        <v>1588719</v>
      </c>
      <c r="F23" s="13" t="s">
        <v>15</v>
      </c>
      <c r="G23" s="14">
        <v>20309651</v>
      </c>
      <c r="H23" s="13" t="s">
        <v>130</v>
      </c>
      <c r="I23" s="13" t="s">
        <v>62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46105</v>
      </c>
      <c r="E24" s="13">
        <v>1588719</v>
      </c>
      <c r="F24" s="13" t="s">
        <v>131</v>
      </c>
      <c r="G24" s="14">
        <v>20407946</v>
      </c>
      <c r="H24" s="13" t="s">
        <v>132</v>
      </c>
      <c r="I24" s="13" t="s">
        <v>83</v>
      </c>
      <c r="J24" s="14">
        <v>1</v>
      </c>
      <c r="K24" s="14">
        <v>5</v>
      </c>
      <c r="L24" s="15">
        <v>52.8</v>
      </c>
      <c r="M24" s="15">
        <v>52.8</v>
      </c>
    </row>
    <row r="25" spans="4:13">
      <c r="D25" s="12">
        <v>46105</v>
      </c>
      <c r="E25" s="13">
        <v>1588727</v>
      </c>
      <c r="F25" s="13" t="s">
        <v>20</v>
      </c>
      <c r="G25" s="14">
        <v>20303717</v>
      </c>
      <c r="H25" s="13" t="s">
        <v>70</v>
      </c>
      <c r="I25" s="13" t="s">
        <v>35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46105</v>
      </c>
      <c r="E26" s="13">
        <v>1588727</v>
      </c>
      <c r="F26" s="13" t="s">
        <v>20</v>
      </c>
      <c r="G26" s="14">
        <v>20321277</v>
      </c>
      <c r="H26" s="13" t="s">
        <v>134</v>
      </c>
      <c r="I26" s="13" t="s">
        <v>22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46105</v>
      </c>
      <c r="E27" s="13">
        <v>1588727</v>
      </c>
      <c r="F27" s="13" t="s">
        <v>20</v>
      </c>
      <c r="G27" s="14">
        <v>20316768</v>
      </c>
      <c r="H27" s="13" t="s">
        <v>122</v>
      </c>
      <c r="I27" s="13" t="s">
        <v>22</v>
      </c>
      <c r="J27" s="14">
        <v>1</v>
      </c>
      <c r="K27" s="14">
        <v>4</v>
      </c>
      <c r="L27" s="15">
        <v>13.2</v>
      </c>
      <c r="M27" s="15">
        <v>13.2</v>
      </c>
    </row>
    <row r="28" ht="25.5" spans="4:13">
      <c r="D28" s="12">
        <v>46105</v>
      </c>
      <c r="E28" s="13">
        <v>1588727</v>
      </c>
      <c r="F28" s="13" t="s">
        <v>20</v>
      </c>
      <c r="G28" s="14">
        <v>20309811</v>
      </c>
      <c r="H28" s="13" t="s">
        <v>135</v>
      </c>
      <c r="I28" s="13" t="s">
        <v>22</v>
      </c>
      <c r="J28" s="14">
        <v>1</v>
      </c>
      <c r="K28" s="14">
        <v>5</v>
      </c>
      <c r="L28" s="15">
        <v>16.5</v>
      </c>
      <c r="M28" s="15">
        <v>16.5</v>
      </c>
    </row>
    <row r="29" spans="4:13">
      <c r="D29" s="12">
        <v>46105</v>
      </c>
      <c r="E29" s="13">
        <v>1588727</v>
      </c>
      <c r="F29" s="13" t="s">
        <v>65</v>
      </c>
      <c r="G29" s="14">
        <v>20321529</v>
      </c>
      <c r="H29" s="13" t="s">
        <v>133</v>
      </c>
      <c r="I29" s="13" t="s">
        <v>83</v>
      </c>
      <c r="J29" s="14">
        <v>4</v>
      </c>
      <c r="K29" s="14">
        <v>28</v>
      </c>
      <c r="L29" s="15">
        <v>23.1</v>
      </c>
      <c r="M29" s="15">
        <v>92.4</v>
      </c>
    </row>
    <row r="30" spans="4:13">
      <c r="D30" s="12">
        <v>46106</v>
      </c>
      <c r="E30" s="13">
        <v>1589115</v>
      </c>
      <c r="F30" s="13" t="s">
        <v>15</v>
      </c>
      <c r="G30" s="14">
        <v>20309653</v>
      </c>
      <c r="H30" s="13" t="s">
        <v>125</v>
      </c>
      <c r="I30" s="13" t="s">
        <v>126</v>
      </c>
      <c r="J30" s="14">
        <v>5</v>
      </c>
      <c r="K30" s="14">
        <v>10</v>
      </c>
      <c r="L30" s="15">
        <v>26.4</v>
      </c>
      <c r="M30" s="15">
        <v>132</v>
      </c>
    </row>
    <row r="31" spans="4:13">
      <c r="D31" s="12">
        <v>46106</v>
      </c>
      <c r="E31" s="13">
        <v>1589115</v>
      </c>
      <c r="F31" s="13" t="s">
        <v>15</v>
      </c>
      <c r="G31" s="14">
        <v>20309650</v>
      </c>
      <c r="H31" s="13" t="s">
        <v>127</v>
      </c>
      <c r="I31" s="13" t="s">
        <v>128</v>
      </c>
      <c r="J31" s="14">
        <v>1</v>
      </c>
      <c r="K31" s="14">
        <v>1</v>
      </c>
      <c r="L31" s="15">
        <v>16.8</v>
      </c>
      <c r="M31" s="15">
        <v>16.8</v>
      </c>
    </row>
    <row r="32" spans="4:13">
      <c r="D32" s="12">
        <v>46106</v>
      </c>
      <c r="E32" s="13">
        <v>1589115</v>
      </c>
      <c r="F32" s="13" t="s">
        <v>15</v>
      </c>
      <c r="G32" s="14">
        <v>20376031</v>
      </c>
      <c r="H32" s="13" t="s">
        <v>129</v>
      </c>
      <c r="I32" s="13" t="s">
        <v>128</v>
      </c>
      <c r="J32" s="14">
        <v>2</v>
      </c>
      <c r="K32" s="14">
        <v>4</v>
      </c>
      <c r="L32" s="15">
        <v>26.4</v>
      </c>
      <c r="M32" s="15">
        <v>52.8</v>
      </c>
    </row>
    <row r="33" spans="4:13">
      <c r="D33" s="12">
        <v>46106</v>
      </c>
      <c r="E33" s="13">
        <v>1589115</v>
      </c>
      <c r="F33" s="13" t="s">
        <v>15</v>
      </c>
      <c r="G33" s="14">
        <v>20309651</v>
      </c>
      <c r="H33" s="13" t="s">
        <v>130</v>
      </c>
      <c r="I33" s="13" t="s">
        <v>62</v>
      </c>
      <c r="J33" s="14">
        <v>1</v>
      </c>
      <c r="K33" s="14">
        <v>1</v>
      </c>
      <c r="L33" s="15">
        <v>21</v>
      </c>
      <c r="M33" s="15">
        <v>21</v>
      </c>
    </row>
    <row r="34" spans="4:13">
      <c r="D34" s="12">
        <v>46107</v>
      </c>
      <c r="E34" s="13">
        <v>1589222</v>
      </c>
      <c r="F34" s="13" t="s">
        <v>65</v>
      </c>
      <c r="G34" s="14">
        <v>20321529</v>
      </c>
      <c r="H34" s="13" t="s">
        <v>133</v>
      </c>
      <c r="I34" s="13" t="s">
        <v>83</v>
      </c>
      <c r="J34" s="14">
        <v>5</v>
      </c>
      <c r="K34" s="14">
        <v>35</v>
      </c>
      <c r="L34" s="15">
        <v>23.1</v>
      </c>
      <c r="M34" s="15">
        <v>115.5</v>
      </c>
    </row>
    <row r="35" spans="4:13">
      <c r="D35" s="12">
        <v>46107</v>
      </c>
      <c r="E35" s="13">
        <v>1589410</v>
      </c>
      <c r="F35" s="13" t="s">
        <v>15</v>
      </c>
      <c r="G35" s="14">
        <v>20309653</v>
      </c>
      <c r="H35" s="13" t="s">
        <v>125</v>
      </c>
      <c r="I35" s="13" t="s">
        <v>126</v>
      </c>
      <c r="J35" s="14">
        <v>3</v>
      </c>
      <c r="K35" s="14">
        <v>6</v>
      </c>
      <c r="L35" s="15">
        <v>26.4</v>
      </c>
      <c r="M35" s="15">
        <v>79.2</v>
      </c>
    </row>
    <row r="36" spans="4:13">
      <c r="D36" s="12">
        <v>46107</v>
      </c>
      <c r="E36" s="13">
        <v>1589410</v>
      </c>
      <c r="F36" s="13" t="s">
        <v>15</v>
      </c>
      <c r="G36" s="14">
        <v>20309650</v>
      </c>
      <c r="H36" s="13" t="s">
        <v>127</v>
      </c>
      <c r="I36" s="13" t="s">
        <v>128</v>
      </c>
      <c r="J36" s="14">
        <v>1</v>
      </c>
      <c r="K36" s="14">
        <v>1</v>
      </c>
      <c r="L36" s="15">
        <v>16.8</v>
      </c>
      <c r="M36" s="15">
        <v>16.8</v>
      </c>
    </row>
    <row r="37" spans="4:13">
      <c r="D37" s="12">
        <v>46107</v>
      </c>
      <c r="E37" s="13">
        <v>1589410</v>
      </c>
      <c r="F37" s="13" t="s">
        <v>15</v>
      </c>
      <c r="G37" s="14">
        <v>20376031</v>
      </c>
      <c r="H37" s="13" t="s">
        <v>129</v>
      </c>
      <c r="I37" s="13" t="s">
        <v>128</v>
      </c>
      <c r="J37" s="14">
        <v>1</v>
      </c>
      <c r="K37" s="14">
        <v>2</v>
      </c>
      <c r="L37" s="15">
        <v>26.4</v>
      </c>
      <c r="M37" s="15">
        <v>26.4</v>
      </c>
    </row>
    <row r="38" spans="4:13">
      <c r="D38" s="12">
        <v>46107</v>
      </c>
      <c r="E38" s="13">
        <v>1589410</v>
      </c>
      <c r="F38" s="13" t="s">
        <v>15</v>
      </c>
      <c r="G38" s="14">
        <v>20309651</v>
      </c>
      <c r="H38" s="13" t="s">
        <v>130</v>
      </c>
      <c r="I38" s="13" t="s">
        <v>62</v>
      </c>
      <c r="J38" s="14">
        <v>1</v>
      </c>
      <c r="K38" s="14">
        <v>1</v>
      </c>
      <c r="L38" s="15">
        <v>21</v>
      </c>
      <c r="M38" s="15">
        <v>21</v>
      </c>
    </row>
    <row r="39" spans="4:13">
      <c r="D39" s="12">
        <v>46107</v>
      </c>
      <c r="E39" s="13">
        <v>1589411</v>
      </c>
      <c r="F39" s="13" t="s">
        <v>20</v>
      </c>
      <c r="G39" s="14">
        <v>20309564</v>
      </c>
      <c r="H39" s="13" t="s">
        <v>117</v>
      </c>
      <c r="I39" s="13" t="s">
        <v>105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46107</v>
      </c>
      <c r="E40" s="13">
        <v>1589411</v>
      </c>
      <c r="F40" s="13" t="s">
        <v>65</v>
      </c>
      <c r="G40" s="14">
        <v>20321529</v>
      </c>
      <c r="H40" s="13" t="s">
        <v>133</v>
      </c>
      <c r="I40" s="13" t="s">
        <v>83</v>
      </c>
      <c r="J40" s="14">
        <v>3</v>
      </c>
      <c r="K40" s="14">
        <v>21</v>
      </c>
      <c r="L40" s="15">
        <v>23.1</v>
      </c>
      <c r="M40" s="15">
        <v>69.3</v>
      </c>
    </row>
    <row r="41" spans="4:13">
      <c r="D41" s="12">
        <v>46108</v>
      </c>
      <c r="E41" s="13">
        <v>1589904</v>
      </c>
      <c r="F41" s="13" t="s">
        <v>15</v>
      </c>
      <c r="G41" s="14">
        <v>20309652</v>
      </c>
      <c r="H41" s="13" t="s">
        <v>124</v>
      </c>
      <c r="I41" s="13" t="s">
        <v>96</v>
      </c>
      <c r="J41" s="14">
        <v>2</v>
      </c>
      <c r="K41" s="14">
        <v>8</v>
      </c>
      <c r="L41" s="15">
        <v>52.8</v>
      </c>
      <c r="M41" s="15">
        <v>105.6</v>
      </c>
    </row>
    <row r="42" spans="4:13">
      <c r="D42" s="12">
        <v>46108</v>
      </c>
      <c r="E42" s="13">
        <v>1589904</v>
      </c>
      <c r="F42" s="13" t="s">
        <v>15</v>
      </c>
      <c r="G42" s="14">
        <v>20309653</v>
      </c>
      <c r="H42" s="13" t="s">
        <v>125</v>
      </c>
      <c r="I42" s="13" t="s">
        <v>126</v>
      </c>
      <c r="J42" s="14">
        <v>3</v>
      </c>
      <c r="K42" s="14">
        <v>6</v>
      </c>
      <c r="L42" s="15">
        <v>26.4</v>
      </c>
      <c r="M42" s="15">
        <v>79.2</v>
      </c>
    </row>
    <row r="43" spans="4:13">
      <c r="D43" s="12">
        <v>46108</v>
      </c>
      <c r="E43" s="13">
        <v>1589904</v>
      </c>
      <c r="F43" s="13" t="s">
        <v>15</v>
      </c>
      <c r="G43" s="14">
        <v>20309650</v>
      </c>
      <c r="H43" s="13" t="s">
        <v>127</v>
      </c>
      <c r="I43" s="13" t="s">
        <v>128</v>
      </c>
      <c r="J43" s="14">
        <v>2</v>
      </c>
      <c r="K43" s="14">
        <v>2</v>
      </c>
      <c r="L43" s="15">
        <v>16.8</v>
      </c>
      <c r="M43" s="15">
        <v>33.6</v>
      </c>
    </row>
    <row r="44" spans="4:13">
      <c r="D44" s="12">
        <v>46108</v>
      </c>
      <c r="E44" s="13">
        <v>1589904</v>
      </c>
      <c r="F44" s="13" t="s">
        <v>15</v>
      </c>
      <c r="G44" s="14">
        <v>20376031</v>
      </c>
      <c r="H44" s="13" t="s">
        <v>129</v>
      </c>
      <c r="I44" s="13" t="s">
        <v>128</v>
      </c>
      <c r="J44" s="14">
        <v>2</v>
      </c>
      <c r="K44" s="14">
        <v>4</v>
      </c>
      <c r="L44" s="15">
        <v>26.4</v>
      </c>
      <c r="M44" s="15">
        <v>52.8</v>
      </c>
    </row>
    <row r="45" spans="4:13">
      <c r="D45" s="12">
        <v>46108</v>
      </c>
      <c r="E45" s="13">
        <v>1589904</v>
      </c>
      <c r="F45" s="13" t="s">
        <v>15</v>
      </c>
      <c r="G45" s="14">
        <v>20309651</v>
      </c>
      <c r="H45" s="13" t="s">
        <v>130</v>
      </c>
      <c r="I45" s="13" t="s">
        <v>62</v>
      </c>
      <c r="J45" s="14">
        <v>1</v>
      </c>
      <c r="K45" s="14">
        <v>1</v>
      </c>
      <c r="L45" s="15">
        <v>21</v>
      </c>
      <c r="M45" s="15">
        <v>21</v>
      </c>
    </row>
    <row r="46" spans="4:13">
      <c r="D46" s="12">
        <v>46108</v>
      </c>
      <c r="E46" s="13">
        <v>1589904</v>
      </c>
      <c r="F46" s="13" t="s">
        <v>65</v>
      </c>
      <c r="G46" s="14">
        <v>20321529</v>
      </c>
      <c r="H46" s="13" t="s">
        <v>133</v>
      </c>
      <c r="I46" s="13" t="s">
        <v>83</v>
      </c>
      <c r="J46" s="14">
        <v>4</v>
      </c>
      <c r="K46" s="14">
        <v>28</v>
      </c>
      <c r="L46" s="15">
        <v>23.1</v>
      </c>
      <c r="M46" s="15">
        <v>92.4</v>
      </c>
    </row>
    <row r="47" spans="4:13">
      <c r="D47" s="12">
        <v>46111</v>
      </c>
      <c r="E47" s="13">
        <v>1590350</v>
      </c>
      <c r="F47" s="13" t="s">
        <v>15</v>
      </c>
      <c r="G47" s="14">
        <v>20309652</v>
      </c>
      <c r="H47" s="13" t="s">
        <v>124</v>
      </c>
      <c r="I47" s="13" t="s">
        <v>96</v>
      </c>
      <c r="J47" s="14">
        <v>1</v>
      </c>
      <c r="K47" s="14">
        <v>4</v>
      </c>
      <c r="L47" s="15">
        <v>52.8</v>
      </c>
      <c r="M47" s="15">
        <v>52.8</v>
      </c>
    </row>
    <row r="48" spans="4:13">
      <c r="D48" s="12">
        <v>46111</v>
      </c>
      <c r="E48" s="13">
        <v>1590350</v>
      </c>
      <c r="F48" s="13" t="s">
        <v>15</v>
      </c>
      <c r="G48" s="14">
        <v>20309653</v>
      </c>
      <c r="H48" s="13" t="s">
        <v>125</v>
      </c>
      <c r="I48" s="13" t="s">
        <v>126</v>
      </c>
      <c r="J48" s="14">
        <v>5</v>
      </c>
      <c r="K48" s="14">
        <v>10</v>
      </c>
      <c r="L48" s="15">
        <v>26.4</v>
      </c>
      <c r="M48" s="15">
        <v>132</v>
      </c>
    </row>
    <row r="49" spans="4:13">
      <c r="D49" s="12">
        <v>46111</v>
      </c>
      <c r="E49" s="13">
        <v>1590350</v>
      </c>
      <c r="F49" s="13" t="s">
        <v>15</v>
      </c>
      <c r="G49" s="14">
        <v>20309650</v>
      </c>
      <c r="H49" s="13" t="s">
        <v>127</v>
      </c>
      <c r="I49" s="13" t="s">
        <v>128</v>
      </c>
      <c r="J49" s="14">
        <v>4</v>
      </c>
      <c r="K49" s="14">
        <v>4</v>
      </c>
      <c r="L49" s="15">
        <v>16.8</v>
      </c>
      <c r="M49" s="15">
        <v>67.2</v>
      </c>
    </row>
    <row r="50" spans="4:13">
      <c r="D50" s="12">
        <v>46111</v>
      </c>
      <c r="E50" s="13">
        <v>1590350</v>
      </c>
      <c r="F50" s="13" t="s">
        <v>15</v>
      </c>
      <c r="G50" s="14">
        <v>20376031</v>
      </c>
      <c r="H50" s="13" t="s">
        <v>129</v>
      </c>
      <c r="I50" s="13" t="s">
        <v>128</v>
      </c>
      <c r="J50" s="14">
        <v>1</v>
      </c>
      <c r="K50" s="14">
        <v>2</v>
      </c>
      <c r="L50" s="15">
        <v>26.4</v>
      </c>
      <c r="M50" s="15">
        <v>26.4</v>
      </c>
    </row>
    <row r="51" spans="4:13">
      <c r="D51" s="12">
        <v>46111</v>
      </c>
      <c r="E51" s="13">
        <v>1590350</v>
      </c>
      <c r="F51" s="13" t="s">
        <v>15</v>
      </c>
      <c r="G51" s="14">
        <v>20309651</v>
      </c>
      <c r="H51" s="13" t="s">
        <v>130</v>
      </c>
      <c r="I51" s="13" t="s">
        <v>62</v>
      </c>
      <c r="J51" s="14">
        <v>1</v>
      </c>
      <c r="K51" s="14">
        <v>1</v>
      </c>
      <c r="L51" s="15">
        <v>21</v>
      </c>
      <c r="M51" s="15">
        <v>21</v>
      </c>
    </row>
    <row r="52" spans="4:13">
      <c r="D52" s="12">
        <v>46111</v>
      </c>
      <c r="E52" s="13">
        <v>1590422</v>
      </c>
      <c r="F52" s="13" t="s">
        <v>20</v>
      </c>
      <c r="G52" s="14">
        <v>20309808</v>
      </c>
      <c r="H52" s="13" t="s">
        <v>106</v>
      </c>
      <c r="I52" s="13" t="s">
        <v>57</v>
      </c>
      <c r="J52" s="14">
        <v>1</v>
      </c>
      <c r="K52" s="14">
        <v>1</v>
      </c>
      <c r="L52" s="15">
        <v>6.6</v>
      </c>
      <c r="M52" s="15">
        <v>6.6</v>
      </c>
    </row>
    <row r="53" spans="4:13">
      <c r="D53" s="12">
        <v>46111</v>
      </c>
      <c r="E53" s="13">
        <v>1590422</v>
      </c>
      <c r="F53" s="13" t="s">
        <v>20</v>
      </c>
      <c r="G53" s="14">
        <v>20305111</v>
      </c>
      <c r="H53" s="13" t="s">
        <v>136</v>
      </c>
      <c r="I53" s="13" t="s">
        <v>29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46111</v>
      </c>
      <c r="E54" s="13">
        <v>1590422</v>
      </c>
      <c r="F54" s="13" t="s">
        <v>20</v>
      </c>
      <c r="G54" s="14">
        <v>20379873</v>
      </c>
      <c r="H54" s="13" t="s">
        <v>137</v>
      </c>
      <c r="I54" s="13" t="s">
        <v>33</v>
      </c>
      <c r="J54" s="14">
        <v>1</v>
      </c>
      <c r="K54" s="14">
        <v>2</v>
      </c>
      <c r="L54" s="15">
        <v>8.1</v>
      </c>
      <c r="M54" s="15">
        <v>8.1</v>
      </c>
    </row>
    <row r="55" spans="4:13">
      <c r="D55" s="12">
        <v>46111</v>
      </c>
      <c r="E55" s="13">
        <v>1590422</v>
      </c>
      <c r="F55" s="13" t="s">
        <v>65</v>
      </c>
      <c r="G55" s="14">
        <v>20321529</v>
      </c>
      <c r="H55" s="13" t="s">
        <v>133</v>
      </c>
      <c r="I55" s="13" t="s">
        <v>83</v>
      </c>
      <c r="J55" s="14">
        <v>6</v>
      </c>
      <c r="K55" s="14">
        <v>42</v>
      </c>
      <c r="L55" s="15">
        <v>23.1</v>
      </c>
      <c r="M55" s="15">
        <v>138.6</v>
      </c>
    </row>
    <row r="56" spans="4:13">
      <c r="D56" s="12">
        <v>46111</v>
      </c>
      <c r="E56" s="13">
        <v>1590429</v>
      </c>
      <c r="F56" s="13" t="s">
        <v>20</v>
      </c>
      <c r="G56" s="14">
        <v>20313852</v>
      </c>
      <c r="H56" s="13" t="s">
        <v>138</v>
      </c>
      <c r="I56" s="13" t="s">
        <v>139</v>
      </c>
      <c r="J56" s="14">
        <v>1</v>
      </c>
      <c r="K56" s="14">
        <v>1</v>
      </c>
      <c r="L56" s="15">
        <v>4.8</v>
      </c>
      <c r="M56" s="15">
        <v>4.8</v>
      </c>
    </row>
    <row r="57" spans="4:13">
      <c r="D57" s="12">
        <v>46112</v>
      </c>
      <c r="E57" s="13">
        <v>1590864</v>
      </c>
      <c r="F57" s="13" t="s">
        <v>65</v>
      </c>
      <c r="G57" s="14">
        <v>20321529</v>
      </c>
      <c r="H57" s="13" t="s">
        <v>133</v>
      </c>
      <c r="I57" s="13" t="s">
        <v>83</v>
      </c>
      <c r="J57" s="14">
        <v>4</v>
      </c>
      <c r="K57" s="14">
        <v>28</v>
      </c>
      <c r="L57" s="15">
        <v>23.1</v>
      </c>
      <c r="M57" s="15">
        <v>92.4</v>
      </c>
    </row>
    <row r="58" spans="4:13">
      <c r="D58" s="12">
        <v>46112</v>
      </c>
      <c r="E58" s="13">
        <v>1590867</v>
      </c>
      <c r="F58" s="13" t="s">
        <v>15</v>
      </c>
      <c r="G58" s="14">
        <v>20309652</v>
      </c>
      <c r="H58" s="13" t="s">
        <v>124</v>
      </c>
      <c r="I58" s="13" t="s">
        <v>96</v>
      </c>
      <c r="J58" s="14">
        <v>3</v>
      </c>
      <c r="K58" s="14">
        <v>12</v>
      </c>
      <c r="L58" s="15">
        <v>52.8</v>
      </c>
      <c r="M58" s="15">
        <v>158.4</v>
      </c>
    </row>
    <row r="59" spans="4:13">
      <c r="D59" s="12">
        <v>46112</v>
      </c>
      <c r="E59" s="13">
        <v>1590867</v>
      </c>
      <c r="F59" s="13" t="s">
        <v>15</v>
      </c>
      <c r="G59" s="14">
        <v>20309653</v>
      </c>
      <c r="H59" s="13" t="s">
        <v>125</v>
      </c>
      <c r="I59" s="13" t="s">
        <v>126</v>
      </c>
      <c r="J59" s="14">
        <v>2</v>
      </c>
      <c r="K59" s="14">
        <v>4</v>
      </c>
      <c r="L59" s="15">
        <v>26.4</v>
      </c>
      <c r="M59" s="15">
        <v>52.8</v>
      </c>
    </row>
    <row r="60" spans="4:13">
      <c r="D60" s="12">
        <v>46112</v>
      </c>
      <c r="E60" s="13">
        <v>1590867</v>
      </c>
      <c r="F60" s="13" t="s">
        <v>15</v>
      </c>
      <c r="G60" s="14">
        <v>20309650</v>
      </c>
      <c r="H60" s="13" t="s">
        <v>127</v>
      </c>
      <c r="I60" s="13" t="s">
        <v>128</v>
      </c>
      <c r="J60" s="14">
        <v>3</v>
      </c>
      <c r="K60" s="14">
        <v>3</v>
      </c>
      <c r="L60" s="15">
        <v>16.8</v>
      </c>
      <c r="M60" s="15">
        <v>50.4</v>
      </c>
    </row>
    <row r="61" spans="4:13">
      <c r="D61" s="12">
        <v>46112</v>
      </c>
      <c r="E61" s="13">
        <v>1590867</v>
      </c>
      <c r="F61" s="13" t="s">
        <v>15</v>
      </c>
      <c r="G61" s="14">
        <v>20376031</v>
      </c>
      <c r="H61" s="13" t="s">
        <v>129</v>
      </c>
      <c r="I61" s="13" t="s">
        <v>128</v>
      </c>
      <c r="J61" s="14">
        <v>1</v>
      </c>
      <c r="K61" s="14">
        <v>2</v>
      </c>
      <c r="L61" s="15">
        <v>26.4</v>
      </c>
      <c r="M61" s="15">
        <v>26.4</v>
      </c>
    </row>
    <row r="62" spans="4:13">
      <c r="D62" s="12">
        <v>46112</v>
      </c>
      <c r="E62" s="13">
        <v>1590867</v>
      </c>
      <c r="F62" s="13" t="s">
        <v>15</v>
      </c>
      <c r="G62" s="14">
        <v>20309651</v>
      </c>
      <c r="H62" s="13" t="s">
        <v>130</v>
      </c>
      <c r="I62" s="13" t="s">
        <v>62</v>
      </c>
      <c r="J62" s="14">
        <v>1</v>
      </c>
      <c r="K62" s="14">
        <v>1</v>
      </c>
      <c r="L62" s="15">
        <v>21</v>
      </c>
      <c r="M62" s="15">
        <v>21</v>
      </c>
    </row>
    <row r="63" spans="4:13">
      <c r="D63" s="12">
        <v>46113</v>
      </c>
      <c r="E63" s="13">
        <v>1591127</v>
      </c>
      <c r="F63" s="13" t="s">
        <v>15</v>
      </c>
      <c r="G63" s="14">
        <v>20309652</v>
      </c>
      <c r="H63" s="13" t="s">
        <v>124</v>
      </c>
      <c r="I63" s="13" t="s">
        <v>96</v>
      </c>
      <c r="J63" s="14">
        <v>2</v>
      </c>
      <c r="K63" s="14">
        <v>8</v>
      </c>
      <c r="L63" s="15">
        <v>52.8</v>
      </c>
      <c r="M63" s="15">
        <v>105.6</v>
      </c>
    </row>
    <row r="64" spans="4:13">
      <c r="D64" s="12">
        <v>46113</v>
      </c>
      <c r="E64" s="13">
        <v>1591127</v>
      </c>
      <c r="F64" s="13" t="s">
        <v>15</v>
      </c>
      <c r="G64" s="14">
        <v>20309653</v>
      </c>
      <c r="H64" s="13" t="s">
        <v>125</v>
      </c>
      <c r="I64" s="13" t="s">
        <v>126</v>
      </c>
      <c r="J64" s="14">
        <v>4</v>
      </c>
      <c r="K64" s="14">
        <v>8</v>
      </c>
      <c r="L64" s="15">
        <v>26.4</v>
      </c>
      <c r="M64" s="15">
        <v>105.6</v>
      </c>
    </row>
    <row r="65" spans="4:13">
      <c r="D65" s="12">
        <v>46113</v>
      </c>
      <c r="E65" s="13">
        <v>1591127</v>
      </c>
      <c r="F65" s="13" t="s">
        <v>15</v>
      </c>
      <c r="G65" s="14">
        <v>20309650</v>
      </c>
      <c r="H65" s="13" t="s">
        <v>127</v>
      </c>
      <c r="I65" s="13" t="s">
        <v>128</v>
      </c>
      <c r="J65" s="14">
        <v>4</v>
      </c>
      <c r="K65" s="14">
        <v>4</v>
      </c>
      <c r="L65" s="15">
        <v>16.8</v>
      </c>
      <c r="M65" s="15">
        <v>67.2</v>
      </c>
    </row>
    <row r="66" spans="4:13">
      <c r="D66" s="12">
        <v>46113</v>
      </c>
      <c r="E66" s="13">
        <v>1591127</v>
      </c>
      <c r="F66" s="13" t="s">
        <v>15</v>
      </c>
      <c r="G66" s="14">
        <v>20376031</v>
      </c>
      <c r="H66" s="13" t="s">
        <v>129</v>
      </c>
      <c r="I66" s="13" t="s">
        <v>128</v>
      </c>
      <c r="J66" s="14">
        <v>1</v>
      </c>
      <c r="K66" s="14">
        <v>2</v>
      </c>
      <c r="L66" s="15">
        <v>26.4</v>
      </c>
      <c r="M66" s="15">
        <v>26.4</v>
      </c>
    </row>
    <row r="67" spans="4:13">
      <c r="D67" s="12">
        <v>46113</v>
      </c>
      <c r="E67" s="13">
        <v>1591127</v>
      </c>
      <c r="F67" s="13" t="s">
        <v>15</v>
      </c>
      <c r="G67" s="14">
        <v>20309651</v>
      </c>
      <c r="H67" s="13" t="s">
        <v>130</v>
      </c>
      <c r="I67" s="13" t="s">
        <v>62</v>
      </c>
      <c r="J67" s="14">
        <v>1</v>
      </c>
      <c r="K67" s="14">
        <v>1</v>
      </c>
      <c r="L67" s="15">
        <v>21</v>
      </c>
      <c r="M67" s="15">
        <v>21</v>
      </c>
    </row>
    <row r="68" ht="25.5" spans="4:13">
      <c r="D68" s="12">
        <v>46113</v>
      </c>
      <c r="E68" s="13">
        <v>1591202</v>
      </c>
      <c r="F68" s="13" t="s">
        <v>20</v>
      </c>
      <c r="G68" s="14">
        <v>20309811</v>
      </c>
      <c r="H68" s="13" t="s">
        <v>135</v>
      </c>
      <c r="I68" s="13" t="s">
        <v>22</v>
      </c>
      <c r="J68" s="14">
        <v>1</v>
      </c>
      <c r="K68" s="14">
        <v>5</v>
      </c>
      <c r="L68" s="15">
        <v>16.5</v>
      </c>
      <c r="M68" s="15">
        <v>16.5</v>
      </c>
    </row>
    <row r="69" spans="4:13">
      <c r="D69" s="12">
        <v>46113</v>
      </c>
      <c r="E69" s="13">
        <v>1591202</v>
      </c>
      <c r="F69" s="13" t="s">
        <v>20</v>
      </c>
      <c r="G69" s="14">
        <v>20309416</v>
      </c>
      <c r="H69" s="13" t="s">
        <v>140</v>
      </c>
      <c r="I69" s="13" t="s">
        <v>57</v>
      </c>
      <c r="J69" s="14">
        <v>1</v>
      </c>
      <c r="K69" s="14">
        <v>1</v>
      </c>
      <c r="L69" s="15">
        <v>6.6</v>
      </c>
      <c r="M69" s="15">
        <v>6.6</v>
      </c>
    </row>
    <row r="70" spans="4:13">
      <c r="D70" s="12">
        <v>46113</v>
      </c>
      <c r="E70" s="13">
        <v>1591202</v>
      </c>
      <c r="F70" s="13" t="s">
        <v>65</v>
      </c>
      <c r="G70" s="14">
        <v>20321529</v>
      </c>
      <c r="H70" s="13" t="s">
        <v>133</v>
      </c>
      <c r="I70" s="13" t="s">
        <v>83</v>
      </c>
      <c r="J70" s="14">
        <v>5</v>
      </c>
      <c r="K70" s="14">
        <v>35</v>
      </c>
      <c r="L70" s="15">
        <v>23.1</v>
      </c>
      <c r="M70" s="15">
        <v>115.5</v>
      </c>
    </row>
    <row r="71" spans="4:13">
      <c r="D71" s="12">
        <v>46114</v>
      </c>
      <c r="E71" s="13">
        <v>1591595</v>
      </c>
      <c r="F71" s="13" t="s">
        <v>15</v>
      </c>
      <c r="G71" s="14">
        <v>20309652</v>
      </c>
      <c r="H71" s="13" t="s">
        <v>124</v>
      </c>
      <c r="I71" s="13" t="s">
        <v>96</v>
      </c>
      <c r="J71" s="14">
        <v>2</v>
      </c>
      <c r="K71" s="14">
        <v>8</v>
      </c>
      <c r="L71" s="15">
        <v>52.8</v>
      </c>
      <c r="M71" s="15">
        <v>105.6</v>
      </c>
    </row>
    <row r="72" spans="4:13">
      <c r="D72" s="12">
        <v>46114</v>
      </c>
      <c r="E72" s="13">
        <v>1591595</v>
      </c>
      <c r="F72" s="13" t="s">
        <v>15</v>
      </c>
      <c r="G72" s="14">
        <v>20309653</v>
      </c>
      <c r="H72" s="13" t="s">
        <v>125</v>
      </c>
      <c r="I72" s="13" t="s">
        <v>126</v>
      </c>
      <c r="J72" s="14">
        <v>8</v>
      </c>
      <c r="K72" s="14">
        <v>16</v>
      </c>
      <c r="L72" s="15">
        <v>26.4</v>
      </c>
      <c r="M72" s="15">
        <v>211.2</v>
      </c>
    </row>
    <row r="73" spans="4:13">
      <c r="D73" s="12">
        <v>46114</v>
      </c>
      <c r="E73" s="13">
        <v>1591595</v>
      </c>
      <c r="F73" s="13" t="s">
        <v>15</v>
      </c>
      <c r="G73" s="14">
        <v>20309650</v>
      </c>
      <c r="H73" s="13" t="s">
        <v>127</v>
      </c>
      <c r="I73" s="13" t="s">
        <v>128</v>
      </c>
      <c r="J73" s="14">
        <v>7</v>
      </c>
      <c r="K73" s="14">
        <v>7</v>
      </c>
      <c r="L73" s="15">
        <v>16.8</v>
      </c>
      <c r="M73" s="15">
        <v>117.6</v>
      </c>
    </row>
    <row r="74" spans="4:13">
      <c r="D74" s="12">
        <v>46114</v>
      </c>
      <c r="E74" s="13">
        <v>1591595</v>
      </c>
      <c r="F74" s="13" t="s">
        <v>15</v>
      </c>
      <c r="G74" s="14">
        <v>20376031</v>
      </c>
      <c r="H74" s="13" t="s">
        <v>129</v>
      </c>
      <c r="I74" s="13" t="s">
        <v>128</v>
      </c>
      <c r="J74" s="14">
        <v>2</v>
      </c>
      <c r="K74" s="14">
        <v>4</v>
      </c>
      <c r="L74" s="15">
        <v>26.4</v>
      </c>
      <c r="M74" s="15">
        <v>52.8</v>
      </c>
    </row>
    <row r="75" spans="4:13">
      <c r="D75" s="12">
        <v>46114</v>
      </c>
      <c r="E75" s="13">
        <v>1591595</v>
      </c>
      <c r="F75" s="13" t="s">
        <v>15</v>
      </c>
      <c r="G75" s="14">
        <v>20309651</v>
      </c>
      <c r="H75" s="13" t="s">
        <v>130</v>
      </c>
      <c r="I75" s="13" t="s">
        <v>62</v>
      </c>
      <c r="J75" s="14">
        <v>1</v>
      </c>
      <c r="K75" s="14">
        <v>1</v>
      </c>
      <c r="L75" s="15">
        <v>21</v>
      </c>
      <c r="M75" s="15">
        <v>21</v>
      </c>
    </row>
    <row r="76" spans="4:13">
      <c r="D76" s="12">
        <v>46115</v>
      </c>
      <c r="E76" s="13">
        <v>1591701</v>
      </c>
      <c r="F76" s="13" t="s">
        <v>20</v>
      </c>
      <c r="G76" s="14">
        <v>20303717</v>
      </c>
      <c r="H76" s="13" t="s">
        <v>70</v>
      </c>
      <c r="I76" s="13" t="s">
        <v>35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46115</v>
      </c>
      <c r="E77" s="13">
        <v>1591701</v>
      </c>
      <c r="F77" s="13" t="s">
        <v>20</v>
      </c>
      <c r="G77" s="14">
        <v>20309758</v>
      </c>
      <c r="H77" s="13" t="s">
        <v>123</v>
      </c>
      <c r="I77" s="13" t="s">
        <v>57</v>
      </c>
      <c r="J77" s="14">
        <v>1</v>
      </c>
      <c r="K77" s="14">
        <v>1</v>
      </c>
      <c r="L77" s="15">
        <v>6.6</v>
      </c>
      <c r="M77" s="15">
        <v>6.6</v>
      </c>
    </row>
    <row r="78" spans="4:13">
      <c r="D78" s="12">
        <v>46115</v>
      </c>
      <c r="E78" s="13">
        <v>1591701</v>
      </c>
      <c r="F78" s="13" t="s">
        <v>65</v>
      </c>
      <c r="G78" s="14">
        <v>20321529</v>
      </c>
      <c r="H78" s="13" t="s">
        <v>133</v>
      </c>
      <c r="I78" s="13" t="s">
        <v>83</v>
      </c>
      <c r="J78" s="14">
        <v>11</v>
      </c>
      <c r="K78" s="14">
        <v>77</v>
      </c>
      <c r="L78" s="15">
        <v>23.1</v>
      </c>
      <c r="M78" s="15">
        <v>254.1</v>
      </c>
    </row>
    <row r="79" ht="25.5" spans="4:13">
      <c r="D79" s="12">
        <v>46115</v>
      </c>
      <c r="E79" s="13">
        <v>1591749</v>
      </c>
      <c r="F79" s="13" t="s">
        <v>24</v>
      </c>
      <c r="G79" s="14">
        <v>20306248</v>
      </c>
      <c r="H79" s="13" t="s">
        <v>37</v>
      </c>
      <c r="I79" s="13" t="s">
        <v>38</v>
      </c>
      <c r="J79" s="14">
        <v>1</v>
      </c>
      <c r="K79" s="14">
        <v>1</v>
      </c>
      <c r="L79" s="15">
        <v>21</v>
      </c>
      <c r="M79" s="15">
        <v>21</v>
      </c>
    </row>
    <row r="80" spans="4:13">
      <c r="D80" s="12">
        <v>46115</v>
      </c>
      <c r="E80" s="13">
        <v>1591965</v>
      </c>
      <c r="F80" s="13" t="s">
        <v>15</v>
      </c>
      <c r="G80" s="14">
        <v>20309652</v>
      </c>
      <c r="H80" s="13" t="s">
        <v>124</v>
      </c>
      <c r="I80" s="13" t="s">
        <v>96</v>
      </c>
      <c r="J80" s="14">
        <v>4</v>
      </c>
      <c r="K80" s="14">
        <v>16</v>
      </c>
      <c r="L80" s="15">
        <v>52.8</v>
      </c>
      <c r="M80" s="15">
        <v>211.2</v>
      </c>
    </row>
    <row r="81" spans="4:13">
      <c r="D81" s="12">
        <v>46115</v>
      </c>
      <c r="E81" s="13">
        <v>1591965</v>
      </c>
      <c r="F81" s="13" t="s">
        <v>15</v>
      </c>
      <c r="G81" s="14">
        <v>20315102</v>
      </c>
      <c r="H81" s="13" t="s">
        <v>141</v>
      </c>
      <c r="I81" s="13" t="s">
        <v>17</v>
      </c>
      <c r="J81" s="14">
        <v>1</v>
      </c>
      <c r="K81" s="14">
        <v>1</v>
      </c>
      <c r="L81" s="15">
        <v>13.2</v>
      </c>
      <c r="M81" s="15">
        <v>13.2</v>
      </c>
    </row>
    <row r="82" spans="4:13">
      <c r="D82" s="12">
        <v>46115</v>
      </c>
      <c r="E82" s="13">
        <v>1591965</v>
      </c>
      <c r="F82" s="13" t="s">
        <v>15</v>
      </c>
      <c r="G82" s="14">
        <v>20309653</v>
      </c>
      <c r="H82" s="13" t="s">
        <v>125</v>
      </c>
      <c r="I82" s="13" t="s">
        <v>126</v>
      </c>
      <c r="J82" s="14">
        <v>1</v>
      </c>
      <c r="K82" s="14">
        <v>2</v>
      </c>
      <c r="L82" s="15">
        <v>26.4</v>
      </c>
      <c r="M82" s="15">
        <v>26.4</v>
      </c>
    </row>
    <row r="83" spans="4:13">
      <c r="D83" s="12">
        <v>46115</v>
      </c>
      <c r="E83" s="13">
        <v>1591965</v>
      </c>
      <c r="F83" s="13" t="s">
        <v>15</v>
      </c>
      <c r="G83" s="14">
        <v>20309650</v>
      </c>
      <c r="H83" s="13" t="s">
        <v>127</v>
      </c>
      <c r="I83" s="13" t="s">
        <v>128</v>
      </c>
      <c r="J83" s="14">
        <v>1</v>
      </c>
      <c r="K83" s="14">
        <v>1</v>
      </c>
      <c r="L83" s="15">
        <v>16.8</v>
      </c>
      <c r="M83" s="15">
        <v>16.8</v>
      </c>
    </row>
    <row r="84" spans="4:13">
      <c r="D84" s="12">
        <v>46115</v>
      </c>
      <c r="E84" s="13">
        <v>1591965</v>
      </c>
      <c r="F84" s="13" t="s">
        <v>15</v>
      </c>
      <c r="G84" s="14">
        <v>20376031</v>
      </c>
      <c r="H84" s="13" t="s">
        <v>129</v>
      </c>
      <c r="I84" s="13" t="s">
        <v>128</v>
      </c>
      <c r="J84" s="14">
        <v>4</v>
      </c>
      <c r="K84" s="14">
        <v>8</v>
      </c>
      <c r="L84" s="15">
        <v>26.4</v>
      </c>
      <c r="M84" s="15">
        <v>105.6</v>
      </c>
    </row>
    <row r="85" spans="4:13">
      <c r="D85" s="12">
        <v>46115</v>
      </c>
      <c r="E85" s="13">
        <v>1591965</v>
      </c>
      <c r="F85" s="13" t="s">
        <v>15</v>
      </c>
      <c r="G85" s="14">
        <v>20309651</v>
      </c>
      <c r="H85" s="13" t="s">
        <v>130</v>
      </c>
      <c r="I85" s="13" t="s">
        <v>62</v>
      </c>
      <c r="J85" s="14">
        <v>1</v>
      </c>
      <c r="K85" s="14">
        <v>1</v>
      </c>
      <c r="L85" s="15">
        <v>21</v>
      </c>
      <c r="M85" s="15">
        <v>21</v>
      </c>
    </row>
    <row r="86" spans="4:13">
      <c r="D86" s="12">
        <v>46115</v>
      </c>
      <c r="E86" s="13">
        <v>1591965</v>
      </c>
      <c r="F86" s="13" t="s">
        <v>131</v>
      </c>
      <c r="G86" s="14">
        <v>20407946</v>
      </c>
      <c r="H86" s="13" t="s">
        <v>132</v>
      </c>
      <c r="I86" s="13" t="s">
        <v>83</v>
      </c>
      <c r="J86" s="14">
        <v>1</v>
      </c>
      <c r="K86" s="14">
        <v>5</v>
      </c>
      <c r="L86" s="15">
        <v>52.8</v>
      </c>
      <c r="M86" s="15">
        <v>52.8</v>
      </c>
    </row>
    <row r="87" spans="4:13">
      <c r="D87" s="12">
        <v>46115</v>
      </c>
      <c r="E87" s="13">
        <v>1591973</v>
      </c>
      <c r="F87" s="13" t="s">
        <v>20</v>
      </c>
      <c r="G87" s="14">
        <v>20303717</v>
      </c>
      <c r="H87" s="13" t="s">
        <v>70</v>
      </c>
      <c r="I87" s="13" t="s">
        <v>35</v>
      </c>
      <c r="J87" s="14">
        <v>1</v>
      </c>
      <c r="K87" s="14">
        <v>1</v>
      </c>
      <c r="L87" s="15">
        <v>4.8</v>
      </c>
      <c r="M87" s="15">
        <v>4.8</v>
      </c>
    </row>
    <row r="88" spans="4:13">
      <c r="D88" s="12">
        <v>46115</v>
      </c>
      <c r="E88" s="13">
        <v>1591973</v>
      </c>
      <c r="F88" s="13" t="s">
        <v>20</v>
      </c>
      <c r="G88" s="14">
        <v>20321277</v>
      </c>
      <c r="H88" s="13" t="s">
        <v>134</v>
      </c>
      <c r="I88" s="13" t="s">
        <v>22</v>
      </c>
      <c r="J88" s="14">
        <v>1</v>
      </c>
      <c r="K88" s="14">
        <v>4</v>
      </c>
      <c r="L88" s="15">
        <v>13.2</v>
      </c>
      <c r="M88" s="15">
        <v>13.2</v>
      </c>
    </row>
    <row r="89" spans="4:13">
      <c r="D89" s="12">
        <v>46115</v>
      </c>
      <c r="E89" s="13">
        <v>1591973</v>
      </c>
      <c r="F89" s="13" t="s">
        <v>20</v>
      </c>
      <c r="G89" s="14">
        <v>20316768</v>
      </c>
      <c r="H89" s="13" t="s">
        <v>122</v>
      </c>
      <c r="I89" s="13" t="s">
        <v>22</v>
      </c>
      <c r="J89" s="14">
        <v>1</v>
      </c>
      <c r="K89" s="14">
        <v>4</v>
      </c>
      <c r="L89" s="15">
        <v>13.2</v>
      </c>
      <c r="M89" s="15">
        <v>13.2</v>
      </c>
    </row>
    <row r="90" ht="25.5" spans="4:13">
      <c r="D90" s="12">
        <v>46115</v>
      </c>
      <c r="E90" s="13">
        <v>1591973</v>
      </c>
      <c r="F90" s="13" t="s">
        <v>20</v>
      </c>
      <c r="G90" s="14">
        <v>20309811</v>
      </c>
      <c r="H90" s="13" t="s">
        <v>135</v>
      </c>
      <c r="I90" s="13" t="s">
        <v>22</v>
      </c>
      <c r="J90" s="14">
        <v>2</v>
      </c>
      <c r="K90" s="14">
        <v>10</v>
      </c>
      <c r="L90" s="15">
        <v>16.5</v>
      </c>
      <c r="M90" s="15">
        <v>33</v>
      </c>
    </row>
    <row r="91" spans="4:13">
      <c r="D91" s="12">
        <v>46115</v>
      </c>
      <c r="E91" s="13">
        <v>1591973</v>
      </c>
      <c r="F91" s="13" t="s">
        <v>65</v>
      </c>
      <c r="G91" s="14">
        <v>20321529</v>
      </c>
      <c r="H91" s="13" t="s">
        <v>133</v>
      </c>
      <c r="I91" s="13" t="s">
        <v>83</v>
      </c>
      <c r="J91" s="14">
        <v>6</v>
      </c>
      <c r="K91" s="14">
        <v>42</v>
      </c>
      <c r="L91" s="15">
        <v>23.1</v>
      </c>
      <c r="M91" s="15">
        <v>138.6</v>
      </c>
    </row>
    <row r="92" spans="4:13">
      <c r="D92" s="12">
        <v>46119</v>
      </c>
      <c r="E92" s="13">
        <v>1592519</v>
      </c>
      <c r="F92" s="13" t="s">
        <v>15</v>
      </c>
      <c r="G92" s="14">
        <v>20309652</v>
      </c>
      <c r="H92" s="13" t="s">
        <v>124</v>
      </c>
      <c r="I92" s="13" t="s">
        <v>96</v>
      </c>
      <c r="J92" s="14">
        <v>2</v>
      </c>
      <c r="K92" s="14">
        <v>8</v>
      </c>
      <c r="L92" s="15">
        <v>52.8</v>
      </c>
      <c r="M92" s="15">
        <v>105.6</v>
      </c>
    </row>
    <row r="93" spans="4:13">
      <c r="D93" s="12">
        <v>46119</v>
      </c>
      <c r="E93" s="13">
        <v>1592519</v>
      </c>
      <c r="F93" s="13" t="s">
        <v>15</v>
      </c>
      <c r="G93" s="14">
        <v>20309653</v>
      </c>
      <c r="H93" s="13" t="s">
        <v>125</v>
      </c>
      <c r="I93" s="13" t="s">
        <v>126</v>
      </c>
      <c r="J93" s="14">
        <v>2</v>
      </c>
      <c r="K93" s="14">
        <v>4</v>
      </c>
      <c r="L93" s="15">
        <v>26.4</v>
      </c>
      <c r="M93" s="15">
        <v>52.8</v>
      </c>
    </row>
    <row r="94" spans="4:13">
      <c r="D94" s="12">
        <v>46119</v>
      </c>
      <c r="E94" s="13">
        <v>1592519</v>
      </c>
      <c r="F94" s="13" t="s">
        <v>15</v>
      </c>
      <c r="G94" s="14">
        <v>20309650</v>
      </c>
      <c r="H94" s="13" t="s">
        <v>127</v>
      </c>
      <c r="I94" s="13" t="s">
        <v>128</v>
      </c>
      <c r="J94" s="14">
        <v>4</v>
      </c>
      <c r="K94" s="14">
        <v>4</v>
      </c>
      <c r="L94" s="15">
        <v>16.8</v>
      </c>
      <c r="M94" s="15">
        <v>67.2</v>
      </c>
    </row>
    <row r="95" spans="4:13">
      <c r="D95" s="12">
        <v>46119</v>
      </c>
      <c r="E95" s="13">
        <v>1592519</v>
      </c>
      <c r="F95" s="13" t="s">
        <v>15</v>
      </c>
      <c r="G95" s="14">
        <v>20309651</v>
      </c>
      <c r="H95" s="13" t="s">
        <v>130</v>
      </c>
      <c r="I95" s="13" t="s">
        <v>62</v>
      </c>
      <c r="J95" s="14">
        <v>1</v>
      </c>
      <c r="K95" s="14">
        <v>1</v>
      </c>
      <c r="L95" s="15">
        <v>21</v>
      </c>
      <c r="M95" s="15">
        <v>21</v>
      </c>
    </row>
    <row r="96" spans="4:13">
      <c r="D96" s="12">
        <v>46119</v>
      </c>
      <c r="E96" s="13">
        <v>1592519</v>
      </c>
      <c r="F96" s="13" t="s">
        <v>131</v>
      </c>
      <c r="G96" s="14">
        <v>20407946</v>
      </c>
      <c r="H96" s="13" t="s">
        <v>132</v>
      </c>
      <c r="I96" s="13" t="s">
        <v>83</v>
      </c>
      <c r="J96" s="14">
        <v>1</v>
      </c>
      <c r="K96" s="14">
        <v>5</v>
      </c>
      <c r="L96" s="15">
        <v>52.8</v>
      </c>
      <c r="M96" s="15">
        <v>52.8</v>
      </c>
    </row>
    <row r="97" spans="4:13">
      <c r="D97" s="12">
        <v>46119</v>
      </c>
      <c r="E97" s="13">
        <v>1592604</v>
      </c>
      <c r="F97" s="13" t="s">
        <v>20</v>
      </c>
      <c r="G97" s="14">
        <v>20303717</v>
      </c>
      <c r="H97" s="13" t="s">
        <v>70</v>
      </c>
      <c r="I97" s="13" t="s">
        <v>35</v>
      </c>
      <c r="J97" s="14">
        <v>1</v>
      </c>
      <c r="K97" s="14">
        <v>1</v>
      </c>
      <c r="L97" s="15">
        <v>4.8</v>
      </c>
      <c r="M97" s="15">
        <v>4.8</v>
      </c>
    </row>
    <row r="98" ht="25.5" spans="4:13">
      <c r="D98" s="12">
        <v>46119</v>
      </c>
      <c r="E98" s="13">
        <v>1592604</v>
      </c>
      <c r="F98" s="13" t="s">
        <v>20</v>
      </c>
      <c r="G98" s="14">
        <v>20309811</v>
      </c>
      <c r="H98" s="13" t="s">
        <v>135</v>
      </c>
      <c r="I98" s="13" t="s">
        <v>22</v>
      </c>
      <c r="J98" s="14">
        <v>1</v>
      </c>
      <c r="K98" s="14">
        <v>5</v>
      </c>
      <c r="L98" s="15">
        <v>16.5</v>
      </c>
      <c r="M98" s="15">
        <v>16.5</v>
      </c>
    </row>
    <row r="99" spans="4:13">
      <c r="D99" s="12">
        <v>46119</v>
      </c>
      <c r="E99" s="13">
        <v>1592604</v>
      </c>
      <c r="F99" s="13" t="s">
        <v>65</v>
      </c>
      <c r="G99" s="14">
        <v>20321529</v>
      </c>
      <c r="H99" s="13" t="s">
        <v>133</v>
      </c>
      <c r="I99" s="13" t="s">
        <v>83</v>
      </c>
      <c r="J99" s="14">
        <v>4</v>
      </c>
      <c r="K99" s="14">
        <v>28</v>
      </c>
      <c r="L99" s="15">
        <v>23.1</v>
      </c>
      <c r="M99" s="15">
        <v>92.4</v>
      </c>
    </row>
    <row r="100" spans="4:13">
      <c r="D100" s="12">
        <v>46120</v>
      </c>
      <c r="E100" s="13">
        <v>1593023</v>
      </c>
      <c r="F100" s="13" t="s">
        <v>20</v>
      </c>
      <c r="G100" s="14">
        <v>20321277</v>
      </c>
      <c r="H100" s="13" t="s">
        <v>134</v>
      </c>
      <c r="I100" s="13" t="s">
        <v>22</v>
      </c>
      <c r="J100" s="14">
        <v>1</v>
      </c>
      <c r="K100" s="14">
        <v>4</v>
      </c>
      <c r="L100" s="15">
        <v>13.2</v>
      </c>
      <c r="M100" s="15">
        <v>13.2</v>
      </c>
    </row>
    <row r="101" ht="25.5" spans="4:13">
      <c r="D101" s="12">
        <v>46120</v>
      </c>
      <c r="E101" s="13">
        <v>1593023</v>
      </c>
      <c r="F101" s="13" t="s">
        <v>20</v>
      </c>
      <c r="G101" s="14">
        <v>20309811</v>
      </c>
      <c r="H101" s="13" t="s">
        <v>135</v>
      </c>
      <c r="I101" s="13" t="s">
        <v>22</v>
      </c>
      <c r="J101" s="14">
        <v>2</v>
      </c>
      <c r="K101" s="14">
        <v>10</v>
      </c>
      <c r="L101" s="15">
        <v>16.5</v>
      </c>
      <c r="M101" s="15">
        <v>33</v>
      </c>
    </row>
    <row r="102" spans="4:13">
      <c r="D102" s="12">
        <v>46120</v>
      </c>
      <c r="E102" s="13">
        <v>1593023</v>
      </c>
      <c r="F102" s="13" t="s">
        <v>20</v>
      </c>
      <c r="G102" s="14">
        <v>20381451</v>
      </c>
      <c r="H102" s="13" t="s">
        <v>142</v>
      </c>
      <c r="I102" s="13" t="s">
        <v>22</v>
      </c>
      <c r="J102" s="14">
        <v>1</v>
      </c>
      <c r="K102" s="14">
        <v>4</v>
      </c>
      <c r="L102" s="15">
        <v>13.2</v>
      </c>
      <c r="M102" s="15">
        <v>13.2</v>
      </c>
    </row>
    <row r="103" spans="4:13">
      <c r="D103" s="12">
        <v>46120</v>
      </c>
      <c r="E103" s="13">
        <v>1593023</v>
      </c>
      <c r="F103" s="13" t="s">
        <v>20</v>
      </c>
      <c r="G103" s="14">
        <v>20309758</v>
      </c>
      <c r="H103" s="13" t="s">
        <v>123</v>
      </c>
      <c r="I103" s="13" t="s">
        <v>57</v>
      </c>
      <c r="J103" s="14">
        <v>1</v>
      </c>
      <c r="K103" s="14">
        <v>1</v>
      </c>
      <c r="L103" s="15">
        <v>6.6</v>
      </c>
      <c r="M103" s="15">
        <v>6.6</v>
      </c>
    </row>
    <row r="104" spans="4:13">
      <c r="D104" s="12">
        <v>46120</v>
      </c>
      <c r="E104" s="13">
        <v>1593023</v>
      </c>
      <c r="F104" s="13" t="s">
        <v>20</v>
      </c>
      <c r="G104" s="14">
        <v>20309564</v>
      </c>
      <c r="H104" s="13" t="s">
        <v>117</v>
      </c>
      <c r="I104" s="13" t="s">
        <v>105</v>
      </c>
      <c r="J104" s="14">
        <v>1</v>
      </c>
      <c r="K104" s="14">
        <v>1</v>
      </c>
      <c r="L104" s="15">
        <v>4.8</v>
      </c>
      <c r="M104" s="15">
        <v>4.8</v>
      </c>
    </row>
    <row r="105" spans="4:13">
      <c r="D105" s="12">
        <v>46120</v>
      </c>
      <c r="E105" s="13">
        <v>1593023</v>
      </c>
      <c r="F105" s="13" t="s">
        <v>20</v>
      </c>
      <c r="G105" s="14">
        <v>20315086</v>
      </c>
      <c r="H105" s="13" t="s">
        <v>121</v>
      </c>
      <c r="I105" s="13" t="s">
        <v>105</v>
      </c>
      <c r="J105" s="14">
        <v>1</v>
      </c>
      <c r="K105" s="14">
        <v>1</v>
      </c>
      <c r="L105" s="15">
        <v>4.8</v>
      </c>
      <c r="M105" s="15">
        <v>4.8</v>
      </c>
    </row>
    <row r="106" spans="4:13">
      <c r="D106" s="12">
        <v>46120</v>
      </c>
      <c r="E106" s="13">
        <v>1593023</v>
      </c>
      <c r="F106" s="13" t="s">
        <v>65</v>
      </c>
      <c r="G106" s="14">
        <v>20321529</v>
      </c>
      <c r="H106" s="13" t="s">
        <v>133</v>
      </c>
      <c r="I106" s="13" t="s">
        <v>83</v>
      </c>
      <c r="J106" s="14">
        <v>9</v>
      </c>
      <c r="K106" s="14">
        <v>63</v>
      </c>
      <c r="L106" s="15">
        <v>23.1</v>
      </c>
      <c r="M106" s="15">
        <v>207.9</v>
      </c>
    </row>
    <row r="107" spans="4:13">
      <c r="D107" s="12">
        <v>46120</v>
      </c>
      <c r="E107" s="13">
        <v>1593034</v>
      </c>
      <c r="F107" s="13" t="s">
        <v>15</v>
      </c>
      <c r="G107" s="14">
        <v>20309652</v>
      </c>
      <c r="H107" s="13" t="s">
        <v>124</v>
      </c>
      <c r="I107" s="13" t="s">
        <v>96</v>
      </c>
      <c r="J107" s="14">
        <v>3</v>
      </c>
      <c r="K107" s="14">
        <v>12</v>
      </c>
      <c r="L107" s="15">
        <v>52.8</v>
      </c>
      <c r="M107" s="15">
        <v>158.4</v>
      </c>
    </row>
    <row r="108" spans="4:13">
      <c r="D108" s="12">
        <v>46120</v>
      </c>
      <c r="E108" s="13">
        <v>1593034</v>
      </c>
      <c r="F108" s="13" t="s">
        <v>15</v>
      </c>
      <c r="G108" s="14">
        <v>20309653</v>
      </c>
      <c r="H108" s="13" t="s">
        <v>125</v>
      </c>
      <c r="I108" s="13" t="s">
        <v>126</v>
      </c>
      <c r="J108" s="14">
        <v>5</v>
      </c>
      <c r="K108" s="14">
        <v>10</v>
      </c>
      <c r="L108" s="15">
        <v>26.4</v>
      </c>
      <c r="M108" s="15">
        <v>132</v>
      </c>
    </row>
    <row r="109" spans="4:13">
      <c r="D109" s="12">
        <v>46120</v>
      </c>
      <c r="E109" s="13">
        <v>1593034</v>
      </c>
      <c r="F109" s="13" t="s">
        <v>15</v>
      </c>
      <c r="G109" s="14">
        <v>20309650</v>
      </c>
      <c r="H109" s="13" t="s">
        <v>127</v>
      </c>
      <c r="I109" s="13" t="s">
        <v>128</v>
      </c>
      <c r="J109" s="14">
        <v>4</v>
      </c>
      <c r="K109" s="14">
        <v>4</v>
      </c>
      <c r="L109" s="15">
        <v>16.8</v>
      </c>
      <c r="M109" s="15">
        <v>67.2</v>
      </c>
    </row>
    <row r="110" spans="4:13">
      <c r="D110" s="12">
        <v>46120</v>
      </c>
      <c r="E110" s="13">
        <v>1593034</v>
      </c>
      <c r="F110" s="13" t="s">
        <v>15</v>
      </c>
      <c r="G110" s="14">
        <v>20376031</v>
      </c>
      <c r="H110" s="13" t="s">
        <v>129</v>
      </c>
      <c r="I110" s="13" t="s">
        <v>128</v>
      </c>
      <c r="J110" s="14">
        <v>2</v>
      </c>
      <c r="K110" s="14">
        <v>4</v>
      </c>
      <c r="L110" s="15">
        <v>26.4</v>
      </c>
      <c r="M110" s="15">
        <v>52.8</v>
      </c>
    </row>
    <row r="111" spans="4:13">
      <c r="D111" s="12">
        <v>46120</v>
      </c>
      <c r="E111" s="13">
        <v>1593034</v>
      </c>
      <c r="F111" s="13" t="s">
        <v>15</v>
      </c>
      <c r="G111" s="14">
        <v>20309651</v>
      </c>
      <c r="H111" s="13" t="s">
        <v>130</v>
      </c>
      <c r="I111" s="13" t="s">
        <v>62</v>
      </c>
      <c r="J111" s="14">
        <v>1</v>
      </c>
      <c r="K111" s="14">
        <v>1</v>
      </c>
      <c r="L111" s="15">
        <v>21</v>
      </c>
      <c r="M111" s="15">
        <v>21</v>
      </c>
    </row>
    <row r="112" spans="4:13">
      <c r="D112" s="12">
        <v>46121</v>
      </c>
      <c r="E112" s="13">
        <v>1593376</v>
      </c>
      <c r="F112" s="13" t="s">
        <v>20</v>
      </c>
      <c r="G112" s="14">
        <v>20376140</v>
      </c>
      <c r="H112" s="13" t="s">
        <v>143</v>
      </c>
      <c r="I112" s="13" t="s">
        <v>35</v>
      </c>
      <c r="J112" s="14">
        <v>1</v>
      </c>
      <c r="K112" s="14">
        <v>1</v>
      </c>
      <c r="L112" s="15">
        <v>4.8</v>
      </c>
      <c r="M112" s="15">
        <v>4.8</v>
      </c>
    </row>
    <row r="113" spans="4:13">
      <c r="D113" s="12">
        <v>46121</v>
      </c>
      <c r="E113" s="13">
        <v>1593376</v>
      </c>
      <c r="F113" s="13" t="s">
        <v>20</v>
      </c>
      <c r="G113" s="14">
        <v>20303717</v>
      </c>
      <c r="H113" s="13" t="s">
        <v>70</v>
      </c>
      <c r="I113" s="13" t="s">
        <v>35</v>
      </c>
      <c r="J113" s="14">
        <v>3</v>
      </c>
      <c r="K113" s="14">
        <v>3</v>
      </c>
      <c r="L113" s="15">
        <v>4.8</v>
      </c>
      <c r="M113" s="15">
        <v>14.4</v>
      </c>
    </row>
    <row r="114" spans="4:13">
      <c r="D114" s="12">
        <v>46121</v>
      </c>
      <c r="E114" s="13">
        <v>1593376</v>
      </c>
      <c r="F114" s="13" t="s">
        <v>20</v>
      </c>
      <c r="G114" s="14">
        <v>20321277</v>
      </c>
      <c r="H114" s="13" t="s">
        <v>134</v>
      </c>
      <c r="I114" s="13" t="s">
        <v>22</v>
      </c>
      <c r="J114" s="14">
        <v>1</v>
      </c>
      <c r="K114" s="14">
        <v>4</v>
      </c>
      <c r="L114" s="15">
        <v>13.2</v>
      </c>
      <c r="M114" s="15">
        <v>13.2</v>
      </c>
    </row>
    <row r="115" ht="25.5" spans="4:13">
      <c r="D115" s="12">
        <v>46121</v>
      </c>
      <c r="E115" s="13">
        <v>1593376</v>
      </c>
      <c r="F115" s="13" t="s">
        <v>20</v>
      </c>
      <c r="G115" s="14">
        <v>20309811</v>
      </c>
      <c r="H115" s="13" t="s">
        <v>135</v>
      </c>
      <c r="I115" s="13" t="s">
        <v>22</v>
      </c>
      <c r="J115" s="14">
        <v>1</v>
      </c>
      <c r="K115" s="14">
        <v>5</v>
      </c>
      <c r="L115" s="15">
        <v>16.5</v>
      </c>
      <c r="M115" s="15">
        <v>16.5</v>
      </c>
    </row>
    <row r="116" spans="4:13">
      <c r="D116" s="12">
        <v>46121</v>
      </c>
      <c r="E116" s="13">
        <v>1593376</v>
      </c>
      <c r="F116" s="13" t="s">
        <v>20</v>
      </c>
      <c r="G116" s="14">
        <v>20309416</v>
      </c>
      <c r="H116" s="13" t="s">
        <v>140</v>
      </c>
      <c r="I116" s="13" t="s">
        <v>57</v>
      </c>
      <c r="J116" s="14">
        <v>2</v>
      </c>
      <c r="K116" s="14">
        <v>2</v>
      </c>
      <c r="L116" s="15">
        <v>6.6</v>
      </c>
      <c r="M116" s="15">
        <v>13.2</v>
      </c>
    </row>
    <row r="117" spans="4:13">
      <c r="D117" s="12">
        <v>46121</v>
      </c>
      <c r="E117" s="13">
        <v>1593376</v>
      </c>
      <c r="F117" s="13" t="s">
        <v>20</v>
      </c>
      <c r="G117" s="14">
        <v>20309758</v>
      </c>
      <c r="H117" s="13" t="s">
        <v>123</v>
      </c>
      <c r="I117" s="13" t="s">
        <v>57</v>
      </c>
      <c r="J117" s="14">
        <v>3</v>
      </c>
      <c r="K117" s="14">
        <v>3</v>
      </c>
      <c r="L117" s="15">
        <v>6.6</v>
      </c>
      <c r="M117" s="15">
        <v>19.8</v>
      </c>
    </row>
    <row r="118" spans="4:13">
      <c r="D118" s="12">
        <v>46121</v>
      </c>
      <c r="E118" s="13">
        <v>1593376</v>
      </c>
      <c r="F118" s="13" t="s">
        <v>65</v>
      </c>
      <c r="G118" s="14">
        <v>20321529</v>
      </c>
      <c r="H118" s="13" t="s">
        <v>133</v>
      </c>
      <c r="I118" s="13" t="s">
        <v>83</v>
      </c>
      <c r="J118" s="14">
        <v>7</v>
      </c>
      <c r="K118" s="14">
        <v>49</v>
      </c>
      <c r="L118" s="15">
        <v>23.1</v>
      </c>
      <c r="M118" s="15">
        <v>161.7</v>
      </c>
    </row>
    <row r="119" spans="4:13">
      <c r="D119" s="12">
        <v>46121</v>
      </c>
      <c r="E119" s="13">
        <v>1593389</v>
      </c>
      <c r="F119" s="13" t="s">
        <v>15</v>
      </c>
      <c r="G119" s="14">
        <v>20309652</v>
      </c>
      <c r="H119" s="13" t="s">
        <v>124</v>
      </c>
      <c r="I119" s="13" t="s">
        <v>96</v>
      </c>
      <c r="J119" s="14">
        <v>3</v>
      </c>
      <c r="K119" s="14">
        <v>12</v>
      </c>
      <c r="L119" s="15">
        <v>52.8</v>
      </c>
      <c r="M119" s="15">
        <v>158.4</v>
      </c>
    </row>
    <row r="120" spans="4:13">
      <c r="D120" s="12">
        <v>46121</v>
      </c>
      <c r="E120" s="13">
        <v>1593389</v>
      </c>
      <c r="F120" s="13" t="s">
        <v>15</v>
      </c>
      <c r="G120" s="14">
        <v>20309650</v>
      </c>
      <c r="H120" s="13" t="s">
        <v>127</v>
      </c>
      <c r="I120" s="13" t="s">
        <v>128</v>
      </c>
      <c r="J120" s="14">
        <v>2</v>
      </c>
      <c r="K120" s="14">
        <v>2</v>
      </c>
      <c r="L120" s="15">
        <v>16.8</v>
      </c>
      <c r="M120" s="15">
        <v>33.6</v>
      </c>
    </row>
    <row r="121" spans="4:13">
      <c r="D121" s="12">
        <v>46121</v>
      </c>
      <c r="E121" s="13">
        <v>1593389</v>
      </c>
      <c r="F121" s="13" t="s">
        <v>15</v>
      </c>
      <c r="G121" s="14">
        <v>20376031</v>
      </c>
      <c r="H121" s="13" t="s">
        <v>129</v>
      </c>
      <c r="I121" s="13" t="s">
        <v>128</v>
      </c>
      <c r="J121" s="14">
        <v>2</v>
      </c>
      <c r="K121" s="14">
        <v>4</v>
      </c>
      <c r="L121" s="15">
        <v>26.4</v>
      </c>
      <c r="M121" s="15">
        <v>52.8</v>
      </c>
    </row>
    <row r="122" spans="4:13">
      <c r="D122" s="12">
        <v>46121</v>
      </c>
      <c r="E122" s="13">
        <v>1593389</v>
      </c>
      <c r="F122" s="13" t="s">
        <v>15</v>
      </c>
      <c r="G122" s="14">
        <v>20309651</v>
      </c>
      <c r="H122" s="13" t="s">
        <v>130</v>
      </c>
      <c r="I122" s="13" t="s">
        <v>62</v>
      </c>
      <c r="J122" s="14">
        <v>1</v>
      </c>
      <c r="K122" s="14">
        <v>1</v>
      </c>
      <c r="L122" s="15">
        <v>21</v>
      </c>
      <c r="M122" s="15">
        <v>21</v>
      </c>
    </row>
    <row r="123" spans="4:13">
      <c r="D123" s="12">
        <v>46121</v>
      </c>
      <c r="E123" s="13">
        <v>1593389</v>
      </c>
      <c r="F123" s="13" t="s">
        <v>131</v>
      </c>
      <c r="G123" s="14">
        <v>20407946</v>
      </c>
      <c r="H123" s="13" t="s">
        <v>132</v>
      </c>
      <c r="I123" s="13" t="s">
        <v>83</v>
      </c>
      <c r="J123" s="14">
        <v>1</v>
      </c>
      <c r="K123" s="14">
        <v>5</v>
      </c>
      <c r="L123" s="15">
        <v>52.8</v>
      </c>
      <c r="M123" s="15">
        <v>52.8</v>
      </c>
    </row>
    <row r="124" spans="4:13">
      <c r="D124" s="12">
        <v>46121</v>
      </c>
      <c r="E124" s="13">
        <v>1593391</v>
      </c>
      <c r="F124" s="13" t="s">
        <v>15</v>
      </c>
      <c r="G124" s="14">
        <v>20309652</v>
      </c>
      <c r="H124" s="13" t="s">
        <v>124</v>
      </c>
      <c r="I124" s="13" t="s">
        <v>96</v>
      </c>
      <c r="J124" s="14">
        <v>1</v>
      </c>
      <c r="K124" s="14">
        <v>4</v>
      </c>
      <c r="L124" s="15">
        <v>52.8</v>
      </c>
      <c r="M124" s="15">
        <v>52.8</v>
      </c>
    </row>
    <row r="125" spans="4:13">
      <c r="D125" s="12">
        <v>46122</v>
      </c>
      <c r="E125" s="13">
        <v>1593839</v>
      </c>
      <c r="F125" s="13" t="s">
        <v>15</v>
      </c>
      <c r="G125" s="14">
        <v>20309652</v>
      </c>
      <c r="H125" s="13" t="s">
        <v>124</v>
      </c>
      <c r="I125" s="13" t="s">
        <v>96</v>
      </c>
      <c r="J125" s="14">
        <v>1</v>
      </c>
      <c r="K125" s="14">
        <v>4</v>
      </c>
      <c r="L125" s="15">
        <v>52.8</v>
      </c>
      <c r="M125" s="15">
        <v>52.8</v>
      </c>
    </row>
    <row r="126" spans="4:13">
      <c r="D126" s="12">
        <v>46122</v>
      </c>
      <c r="E126" s="13">
        <v>1593839</v>
      </c>
      <c r="F126" s="13" t="s">
        <v>15</v>
      </c>
      <c r="G126" s="14">
        <v>20309653</v>
      </c>
      <c r="H126" s="13" t="s">
        <v>125</v>
      </c>
      <c r="I126" s="13" t="s">
        <v>126</v>
      </c>
      <c r="J126" s="14">
        <v>8</v>
      </c>
      <c r="K126" s="14">
        <v>16</v>
      </c>
      <c r="L126" s="15">
        <v>26.4</v>
      </c>
      <c r="M126" s="15">
        <v>211.2</v>
      </c>
    </row>
    <row r="127" spans="4:13">
      <c r="D127" s="12">
        <v>46122</v>
      </c>
      <c r="E127" s="13">
        <v>1593839</v>
      </c>
      <c r="F127" s="13" t="s">
        <v>15</v>
      </c>
      <c r="G127" s="14">
        <v>20309650</v>
      </c>
      <c r="H127" s="13" t="s">
        <v>127</v>
      </c>
      <c r="I127" s="13" t="s">
        <v>128</v>
      </c>
      <c r="J127" s="14">
        <v>2</v>
      </c>
      <c r="K127" s="14">
        <v>2</v>
      </c>
      <c r="L127" s="15">
        <v>16.8</v>
      </c>
      <c r="M127" s="15">
        <v>33.6</v>
      </c>
    </row>
    <row r="128" spans="4:13">
      <c r="D128" s="12">
        <v>46122</v>
      </c>
      <c r="E128" s="13">
        <v>1593839</v>
      </c>
      <c r="F128" s="13" t="s">
        <v>15</v>
      </c>
      <c r="G128" s="14">
        <v>20376031</v>
      </c>
      <c r="H128" s="13" t="s">
        <v>129</v>
      </c>
      <c r="I128" s="13" t="s">
        <v>128</v>
      </c>
      <c r="J128" s="14">
        <v>3</v>
      </c>
      <c r="K128" s="14">
        <v>6</v>
      </c>
      <c r="L128" s="15">
        <v>26.4</v>
      </c>
      <c r="M128" s="15">
        <v>79.2</v>
      </c>
    </row>
    <row r="129" spans="4:13">
      <c r="D129" s="12">
        <v>46122</v>
      </c>
      <c r="E129" s="13">
        <v>1593839</v>
      </c>
      <c r="F129" s="13" t="s">
        <v>15</v>
      </c>
      <c r="G129" s="14">
        <v>20309651</v>
      </c>
      <c r="H129" s="13" t="s">
        <v>130</v>
      </c>
      <c r="I129" s="13" t="s">
        <v>62</v>
      </c>
      <c r="J129" s="14">
        <v>1</v>
      </c>
      <c r="K129" s="14">
        <v>1</v>
      </c>
      <c r="L129" s="15">
        <v>21</v>
      </c>
      <c r="M129" s="15">
        <v>21</v>
      </c>
    </row>
    <row r="130" spans="4:13">
      <c r="D130" s="12">
        <v>46122</v>
      </c>
      <c r="E130" s="13">
        <v>1593842</v>
      </c>
      <c r="F130" s="13" t="s">
        <v>20</v>
      </c>
      <c r="G130" s="14">
        <v>20303878</v>
      </c>
      <c r="H130" s="13" t="s">
        <v>104</v>
      </c>
      <c r="I130" s="13" t="s">
        <v>105</v>
      </c>
      <c r="J130" s="14">
        <v>1</v>
      </c>
      <c r="K130" s="14">
        <v>1</v>
      </c>
      <c r="L130" s="15">
        <v>4.8</v>
      </c>
      <c r="M130" s="15">
        <v>4.8</v>
      </c>
    </row>
    <row r="131" spans="4:13">
      <c r="D131" s="12">
        <v>46122</v>
      </c>
      <c r="E131" s="13">
        <v>1593842</v>
      </c>
      <c r="F131" s="13" t="s">
        <v>20</v>
      </c>
      <c r="G131" s="14">
        <v>20303717</v>
      </c>
      <c r="H131" s="13" t="s">
        <v>70</v>
      </c>
      <c r="I131" s="13" t="s">
        <v>35</v>
      </c>
      <c r="J131" s="14">
        <v>1</v>
      </c>
      <c r="K131" s="14">
        <v>1</v>
      </c>
      <c r="L131" s="15">
        <v>4.8</v>
      </c>
      <c r="M131" s="15">
        <v>4.8</v>
      </c>
    </row>
    <row r="132" spans="4:13">
      <c r="D132" s="12">
        <v>46122</v>
      </c>
      <c r="E132" s="13">
        <v>1593842</v>
      </c>
      <c r="F132" s="13" t="s">
        <v>20</v>
      </c>
      <c r="G132" s="14">
        <v>20313852</v>
      </c>
      <c r="H132" s="13" t="s">
        <v>138</v>
      </c>
      <c r="I132" s="13" t="s">
        <v>139</v>
      </c>
      <c r="J132" s="14">
        <v>1</v>
      </c>
      <c r="K132" s="14">
        <v>1</v>
      </c>
      <c r="L132" s="15">
        <v>4.8</v>
      </c>
      <c r="M132" s="15">
        <v>4.8</v>
      </c>
    </row>
    <row r="133" spans="4:13">
      <c r="D133" s="12">
        <v>46122</v>
      </c>
      <c r="E133" s="13">
        <v>1593842</v>
      </c>
      <c r="F133" s="13" t="s">
        <v>20</v>
      </c>
      <c r="G133" s="14">
        <v>20309758</v>
      </c>
      <c r="H133" s="13" t="s">
        <v>123</v>
      </c>
      <c r="I133" s="13" t="s">
        <v>57</v>
      </c>
      <c r="J133" s="14">
        <v>3</v>
      </c>
      <c r="K133" s="14">
        <v>3</v>
      </c>
      <c r="L133" s="15">
        <v>6.6</v>
      </c>
      <c r="M133" s="15">
        <v>19.8</v>
      </c>
    </row>
    <row r="134" spans="4:13">
      <c r="D134" s="12">
        <v>46122</v>
      </c>
      <c r="E134" s="13">
        <v>1593842</v>
      </c>
      <c r="F134" s="13" t="s">
        <v>20</v>
      </c>
      <c r="G134" s="14">
        <v>20315086</v>
      </c>
      <c r="H134" s="13" t="s">
        <v>121</v>
      </c>
      <c r="I134" s="13" t="s">
        <v>105</v>
      </c>
      <c r="J134" s="14">
        <v>1</v>
      </c>
      <c r="K134" s="14">
        <v>1</v>
      </c>
      <c r="L134" s="15">
        <v>4.8</v>
      </c>
      <c r="M134" s="15">
        <v>4.8</v>
      </c>
    </row>
    <row r="135" spans="4:13">
      <c r="D135" s="12">
        <v>46122</v>
      </c>
      <c r="E135" s="13">
        <v>1593842</v>
      </c>
      <c r="F135" s="13" t="s">
        <v>65</v>
      </c>
      <c r="G135" s="14">
        <v>20321529</v>
      </c>
      <c r="H135" s="13" t="s">
        <v>133</v>
      </c>
      <c r="I135" s="13" t="s">
        <v>83</v>
      </c>
      <c r="J135" s="14">
        <v>7</v>
      </c>
      <c r="K135" s="14">
        <v>49</v>
      </c>
      <c r="L135" s="15">
        <v>23.1</v>
      </c>
      <c r="M135" s="15">
        <v>161.7</v>
      </c>
    </row>
    <row r="136" spans="4:13">
      <c r="D136" s="12">
        <v>46125</v>
      </c>
      <c r="E136" s="13">
        <v>1594270</v>
      </c>
      <c r="F136" s="13" t="s">
        <v>15</v>
      </c>
      <c r="G136" s="14">
        <v>20309653</v>
      </c>
      <c r="H136" s="13" t="s">
        <v>125</v>
      </c>
      <c r="I136" s="13" t="s">
        <v>126</v>
      </c>
      <c r="J136" s="14">
        <v>4</v>
      </c>
      <c r="K136" s="14">
        <v>8</v>
      </c>
      <c r="L136" s="15">
        <v>26.4</v>
      </c>
      <c r="M136" s="15">
        <v>105.6</v>
      </c>
    </row>
    <row r="137" spans="4:13">
      <c r="D137" s="12">
        <v>46125</v>
      </c>
      <c r="E137" s="13">
        <v>1594270</v>
      </c>
      <c r="F137" s="13" t="s">
        <v>15</v>
      </c>
      <c r="G137" s="14">
        <v>20309650</v>
      </c>
      <c r="H137" s="13" t="s">
        <v>127</v>
      </c>
      <c r="I137" s="13" t="s">
        <v>128</v>
      </c>
      <c r="J137" s="14">
        <v>2</v>
      </c>
      <c r="K137" s="14">
        <v>2</v>
      </c>
      <c r="L137" s="15">
        <v>16.8</v>
      </c>
      <c r="M137" s="15">
        <v>33.6</v>
      </c>
    </row>
    <row r="138" spans="4:13">
      <c r="D138" s="12">
        <v>46125</v>
      </c>
      <c r="E138" s="13">
        <v>1594270</v>
      </c>
      <c r="F138" s="13" t="s">
        <v>15</v>
      </c>
      <c r="G138" s="14">
        <v>20376031</v>
      </c>
      <c r="H138" s="13" t="s">
        <v>129</v>
      </c>
      <c r="I138" s="13" t="s">
        <v>128</v>
      </c>
      <c r="J138" s="14">
        <v>2</v>
      </c>
      <c r="K138" s="14">
        <v>4</v>
      </c>
      <c r="L138" s="15">
        <v>26.4</v>
      </c>
      <c r="M138" s="15">
        <v>52.8</v>
      </c>
    </row>
    <row r="139" spans="4:13">
      <c r="D139" s="12">
        <v>46125</v>
      </c>
      <c r="E139" s="13">
        <v>1594349</v>
      </c>
      <c r="F139" s="13" t="s">
        <v>20</v>
      </c>
      <c r="G139" s="14">
        <v>20309808</v>
      </c>
      <c r="H139" s="13" t="s">
        <v>106</v>
      </c>
      <c r="I139" s="13" t="s">
        <v>57</v>
      </c>
      <c r="J139" s="14">
        <v>1</v>
      </c>
      <c r="K139" s="14">
        <v>1</v>
      </c>
      <c r="L139" s="15">
        <v>6.6</v>
      </c>
      <c r="M139" s="15">
        <v>6.6</v>
      </c>
    </row>
    <row r="140" spans="4:13">
      <c r="D140" s="12">
        <v>46125</v>
      </c>
      <c r="E140" s="13">
        <v>1594349</v>
      </c>
      <c r="F140" s="13" t="s">
        <v>20</v>
      </c>
      <c r="G140" s="14">
        <v>20309564</v>
      </c>
      <c r="H140" s="13" t="s">
        <v>117</v>
      </c>
      <c r="I140" s="13" t="s">
        <v>105</v>
      </c>
      <c r="J140" s="14">
        <v>1</v>
      </c>
      <c r="K140" s="14">
        <v>1</v>
      </c>
      <c r="L140" s="15">
        <v>4.8</v>
      </c>
      <c r="M140" s="15">
        <v>4.8</v>
      </c>
    </row>
    <row r="141" spans="4:13">
      <c r="D141" s="12">
        <v>46125</v>
      </c>
      <c r="E141" s="13">
        <v>1594349</v>
      </c>
      <c r="F141" s="13" t="s">
        <v>15</v>
      </c>
      <c r="G141" s="14">
        <v>20309652</v>
      </c>
      <c r="H141" s="13" t="s">
        <v>124</v>
      </c>
      <c r="I141" s="13" t="s">
        <v>96</v>
      </c>
      <c r="J141" s="14">
        <v>1</v>
      </c>
      <c r="K141" s="14">
        <v>4</v>
      </c>
      <c r="L141" s="15">
        <v>52.8</v>
      </c>
      <c r="M141" s="15">
        <v>52.8</v>
      </c>
    </row>
    <row r="142" spans="4:13">
      <c r="D142" s="12">
        <v>46125</v>
      </c>
      <c r="E142" s="13">
        <v>1594349</v>
      </c>
      <c r="F142" s="13" t="s">
        <v>15</v>
      </c>
      <c r="G142" s="14">
        <v>20309651</v>
      </c>
      <c r="H142" s="13" t="s">
        <v>130</v>
      </c>
      <c r="I142" s="13" t="s">
        <v>62</v>
      </c>
      <c r="J142" s="14">
        <v>1</v>
      </c>
      <c r="K142" s="14">
        <v>1</v>
      </c>
      <c r="L142" s="15">
        <v>21</v>
      </c>
      <c r="M142" s="15">
        <v>21</v>
      </c>
    </row>
    <row r="143" spans="4:13">
      <c r="D143" s="12">
        <v>46125</v>
      </c>
      <c r="E143" s="13">
        <v>1594349</v>
      </c>
      <c r="F143" s="13" t="s">
        <v>65</v>
      </c>
      <c r="G143" s="14">
        <v>20321529</v>
      </c>
      <c r="H143" s="13" t="s">
        <v>133</v>
      </c>
      <c r="I143" s="13" t="s">
        <v>83</v>
      </c>
      <c r="J143" s="14">
        <v>5</v>
      </c>
      <c r="K143" s="14">
        <v>35</v>
      </c>
      <c r="L143" s="15">
        <v>23.1</v>
      </c>
      <c r="M143" s="15">
        <v>115.5</v>
      </c>
    </row>
    <row r="144" spans="4:13">
      <c r="D144" s="12">
        <v>46126</v>
      </c>
      <c r="E144" s="13">
        <v>1594789</v>
      </c>
      <c r="F144" s="13" t="s">
        <v>20</v>
      </c>
      <c r="G144" s="14">
        <v>20303717</v>
      </c>
      <c r="H144" s="13" t="s">
        <v>70</v>
      </c>
      <c r="I144" s="13" t="s">
        <v>35</v>
      </c>
      <c r="J144" s="14">
        <v>2</v>
      </c>
      <c r="K144" s="14">
        <v>2</v>
      </c>
      <c r="L144" s="15">
        <v>4.8</v>
      </c>
      <c r="M144" s="15">
        <v>9.6</v>
      </c>
    </row>
    <row r="145" spans="4:13">
      <c r="D145" s="12">
        <v>46126</v>
      </c>
      <c r="E145" s="13">
        <v>1594789</v>
      </c>
      <c r="F145" s="13" t="s">
        <v>20</v>
      </c>
      <c r="G145" s="14">
        <v>20321277</v>
      </c>
      <c r="H145" s="13" t="s">
        <v>134</v>
      </c>
      <c r="I145" s="13" t="s">
        <v>22</v>
      </c>
      <c r="J145" s="14">
        <v>1</v>
      </c>
      <c r="K145" s="14">
        <v>4</v>
      </c>
      <c r="L145" s="15">
        <v>13.2</v>
      </c>
      <c r="M145" s="15">
        <v>13.2</v>
      </c>
    </row>
    <row r="146" ht="25.5" spans="4:13">
      <c r="D146" s="12">
        <v>46126</v>
      </c>
      <c r="E146" s="13">
        <v>1594789</v>
      </c>
      <c r="F146" s="13" t="s">
        <v>20</v>
      </c>
      <c r="G146" s="14">
        <v>20309811</v>
      </c>
      <c r="H146" s="13" t="s">
        <v>135</v>
      </c>
      <c r="I146" s="13" t="s">
        <v>22</v>
      </c>
      <c r="J146" s="14">
        <v>1</v>
      </c>
      <c r="K146" s="14">
        <v>5</v>
      </c>
      <c r="L146" s="15">
        <v>16.5</v>
      </c>
      <c r="M146" s="15">
        <v>16.5</v>
      </c>
    </row>
    <row r="147" spans="4:13">
      <c r="D147" s="12">
        <v>46126</v>
      </c>
      <c r="E147" s="13">
        <v>1594789</v>
      </c>
      <c r="F147" s="13" t="s">
        <v>20</v>
      </c>
      <c r="G147" s="14">
        <v>20309758</v>
      </c>
      <c r="H147" s="13" t="s">
        <v>123</v>
      </c>
      <c r="I147" s="13" t="s">
        <v>57</v>
      </c>
      <c r="J147" s="14">
        <v>2</v>
      </c>
      <c r="K147" s="14">
        <v>2</v>
      </c>
      <c r="L147" s="15">
        <v>6.6</v>
      </c>
      <c r="M147" s="15">
        <v>13.2</v>
      </c>
    </row>
    <row r="148" spans="4:13">
      <c r="D148" s="12">
        <v>46126</v>
      </c>
      <c r="E148" s="13">
        <v>1594789</v>
      </c>
      <c r="F148" s="13" t="s">
        <v>20</v>
      </c>
      <c r="G148" s="14">
        <v>20316042</v>
      </c>
      <c r="H148" s="13" t="s">
        <v>34</v>
      </c>
      <c r="I148" s="13" t="s">
        <v>35</v>
      </c>
      <c r="J148" s="14">
        <v>1</v>
      </c>
      <c r="K148" s="14">
        <v>1</v>
      </c>
      <c r="L148" s="15">
        <v>4.8</v>
      </c>
      <c r="M148" s="15">
        <v>4.8</v>
      </c>
    </row>
    <row r="149" spans="4:13">
      <c r="D149" s="12">
        <v>46126</v>
      </c>
      <c r="E149" s="13">
        <v>1594789</v>
      </c>
      <c r="F149" s="13" t="s">
        <v>15</v>
      </c>
      <c r="G149" s="14">
        <v>20309652</v>
      </c>
      <c r="H149" s="13" t="s">
        <v>124</v>
      </c>
      <c r="I149" s="13" t="s">
        <v>96</v>
      </c>
      <c r="J149" s="14">
        <v>4</v>
      </c>
      <c r="K149" s="14">
        <v>16</v>
      </c>
      <c r="L149" s="15">
        <v>52.8</v>
      </c>
      <c r="M149" s="15">
        <v>211.2</v>
      </c>
    </row>
    <row r="150" spans="4:13">
      <c r="D150" s="12">
        <v>46126</v>
      </c>
      <c r="E150" s="13">
        <v>1594789</v>
      </c>
      <c r="F150" s="13" t="s">
        <v>15</v>
      </c>
      <c r="G150" s="14">
        <v>20309653</v>
      </c>
      <c r="H150" s="13" t="s">
        <v>125</v>
      </c>
      <c r="I150" s="13" t="s">
        <v>126</v>
      </c>
      <c r="J150" s="14">
        <v>4</v>
      </c>
      <c r="K150" s="14">
        <v>8</v>
      </c>
      <c r="L150" s="15">
        <v>26.4</v>
      </c>
      <c r="M150" s="15">
        <v>105.6</v>
      </c>
    </row>
    <row r="151" spans="4:13">
      <c r="D151" s="12">
        <v>46126</v>
      </c>
      <c r="E151" s="13">
        <v>1594789</v>
      </c>
      <c r="F151" s="13" t="s">
        <v>15</v>
      </c>
      <c r="G151" s="14">
        <v>20309650</v>
      </c>
      <c r="H151" s="13" t="s">
        <v>127</v>
      </c>
      <c r="I151" s="13" t="s">
        <v>128</v>
      </c>
      <c r="J151" s="14">
        <v>2</v>
      </c>
      <c r="K151" s="14">
        <v>2</v>
      </c>
      <c r="L151" s="15">
        <v>16.8</v>
      </c>
      <c r="M151" s="15">
        <v>33.6</v>
      </c>
    </row>
    <row r="152" spans="4:13">
      <c r="D152" s="12">
        <v>46126</v>
      </c>
      <c r="E152" s="13">
        <v>1594789</v>
      </c>
      <c r="F152" s="13" t="s">
        <v>15</v>
      </c>
      <c r="G152" s="14">
        <v>20376031</v>
      </c>
      <c r="H152" s="13" t="s">
        <v>129</v>
      </c>
      <c r="I152" s="13" t="s">
        <v>128</v>
      </c>
      <c r="J152" s="14">
        <v>3</v>
      </c>
      <c r="K152" s="14">
        <v>6</v>
      </c>
      <c r="L152" s="15">
        <v>26.4</v>
      </c>
      <c r="M152" s="15">
        <v>79.2</v>
      </c>
    </row>
    <row r="153" spans="4:13">
      <c r="D153" s="12">
        <v>46126</v>
      </c>
      <c r="E153" s="13">
        <v>1594789</v>
      </c>
      <c r="F153" s="13" t="s">
        <v>15</v>
      </c>
      <c r="G153" s="14">
        <v>20309651</v>
      </c>
      <c r="H153" s="13" t="s">
        <v>130</v>
      </c>
      <c r="I153" s="13" t="s">
        <v>62</v>
      </c>
      <c r="J153" s="14">
        <v>1</v>
      </c>
      <c r="K153" s="14">
        <v>1</v>
      </c>
      <c r="L153" s="15">
        <v>21</v>
      </c>
      <c r="M153" s="15">
        <v>21</v>
      </c>
    </row>
    <row r="154" spans="4:13">
      <c r="D154" s="12">
        <v>46126</v>
      </c>
      <c r="E154" s="13">
        <v>1594789</v>
      </c>
      <c r="F154" s="13" t="s">
        <v>131</v>
      </c>
      <c r="G154" s="14">
        <v>20407946</v>
      </c>
      <c r="H154" s="13" t="s">
        <v>132</v>
      </c>
      <c r="I154" s="13" t="s">
        <v>83</v>
      </c>
      <c r="J154" s="14">
        <v>1</v>
      </c>
      <c r="K154" s="14">
        <v>5</v>
      </c>
      <c r="L154" s="15">
        <v>52.8</v>
      </c>
      <c r="M154" s="15">
        <v>52.8</v>
      </c>
    </row>
    <row r="155" spans="4:13">
      <c r="D155" s="12">
        <v>46126</v>
      </c>
      <c r="E155" s="13">
        <v>1594789</v>
      </c>
      <c r="F155" s="13" t="s">
        <v>65</v>
      </c>
      <c r="G155" s="14">
        <v>20321529</v>
      </c>
      <c r="H155" s="13" t="s">
        <v>133</v>
      </c>
      <c r="I155" s="13" t="s">
        <v>83</v>
      </c>
      <c r="J155" s="14">
        <v>8</v>
      </c>
      <c r="K155" s="14">
        <v>56</v>
      </c>
      <c r="L155" s="15">
        <v>23.1</v>
      </c>
      <c r="M155" s="15">
        <v>184.8</v>
      </c>
    </row>
    <row r="156" spans="4:13">
      <c r="D156" s="12">
        <v>46126</v>
      </c>
      <c r="E156" s="13">
        <v>1594798</v>
      </c>
      <c r="F156" s="13" t="s">
        <v>65</v>
      </c>
      <c r="G156" s="14">
        <v>20321529</v>
      </c>
      <c r="H156" s="13" t="s">
        <v>133</v>
      </c>
      <c r="I156" s="13" t="s">
        <v>83</v>
      </c>
      <c r="J156" s="14">
        <v>1</v>
      </c>
      <c r="K156" s="14">
        <v>7</v>
      </c>
      <c r="L156" s="15">
        <v>23.1</v>
      </c>
      <c r="M156" s="15">
        <v>23.1</v>
      </c>
    </row>
    <row r="157" spans="4:13">
      <c r="D157" s="12">
        <v>46127</v>
      </c>
      <c r="E157" s="13">
        <v>1595140</v>
      </c>
      <c r="F157" s="13" t="s">
        <v>15</v>
      </c>
      <c r="G157" s="14">
        <v>20309653</v>
      </c>
      <c r="H157" s="13" t="s">
        <v>125</v>
      </c>
      <c r="I157" s="13" t="s">
        <v>126</v>
      </c>
      <c r="J157" s="14">
        <v>5</v>
      </c>
      <c r="K157" s="14">
        <v>10</v>
      </c>
      <c r="L157" s="15">
        <v>26.4</v>
      </c>
      <c r="M157" s="15">
        <v>132</v>
      </c>
    </row>
    <row r="158" spans="4:13">
      <c r="D158" s="12">
        <v>46127</v>
      </c>
      <c r="E158" s="13">
        <v>1595140</v>
      </c>
      <c r="F158" s="13" t="s">
        <v>15</v>
      </c>
      <c r="G158" s="14">
        <v>20309650</v>
      </c>
      <c r="H158" s="13" t="s">
        <v>127</v>
      </c>
      <c r="I158" s="13" t="s">
        <v>128</v>
      </c>
      <c r="J158" s="14">
        <v>1</v>
      </c>
      <c r="K158" s="14">
        <v>1</v>
      </c>
      <c r="L158" s="15">
        <v>16.8</v>
      </c>
      <c r="M158" s="15">
        <v>16.8</v>
      </c>
    </row>
    <row r="159" spans="4:13">
      <c r="D159" s="12">
        <v>46127</v>
      </c>
      <c r="E159" s="13">
        <v>1595140</v>
      </c>
      <c r="F159" s="13" t="s">
        <v>15</v>
      </c>
      <c r="G159" s="14">
        <v>20376031</v>
      </c>
      <c r="H159" s="13" t="s">
        <v>129</v>
      </c>
      <c r="I159" s="13" t="s">
        <v>128</v>
      </c>
      <c r="J159" s="14">
        <v>2</v>
      </c>
      <c r="K159" s="14">
        <v>4</v>
      </c>
      <c r="L159" s="15">
        <v>26.4</v>
      </c>
      <c r="M159" s="15">
        <v>52.8</v>
      </c>
    </row>
    <row r="160" spans="4:13">
      <c r="D160" s="12">
        <v>46127</v>
      </c>
      <c r="E160" s="13">
        <v>1595140</v>
      </c>
      <c r="F160" s="13" t="s">
        <v>15</v>
      </c>
      <c r="G160" s="14">
        <v>20309651</v>
      </c>
      <c r="H160" s="13" t="s">
        <v>130</v>
      </c>
      <c r="I160" s="13" t="s">
        <v>62</v>
      </c>
      <c r="J160" s="14">
        <v>2</v>
      </c>
      <c r="K160" s="14">
        <v>2</v>
      </c>
      <c r="L160" s="15">
        <v>21</v>
      </c>
      <c r="M160" s="15">
        <v>42</v>
      </c>
    </row>
    <row r="161" spans="4:13">
      <c r="D161" s="12">
        <v>46127</v>
      </c>
      <c r="E161" s="13">
        <v>1595140</v>
      </c>
      <c r="F161" s="13" t="s">
        <v>131</v>
      </c>
      <c r="G161" s="14">
        <v>20407946</v>
      </c>
      <c r="H161" s="13" t="s">
        <v>132</v>
      </c>
      <c r="I161" s="13" t="s">
        <v>83</v>
      </c>
      <c r="J161" s="14">
        <v>1</v>
      </c>
      <c r="K161" s="14">
        <v>5</v>
      </c>
      <c r="L161" s="15">
        <v>52.8</v>
      </c>
      <c r="M161" s="15">
        <v>52.8</v>
      </c>
    </row>
    <row r="162" spans="4:13">
      <c r="D162" s="12">
        <v>46127</v>
      </c>
      <c r="E162" s="13">
        <v>1595145</v>
      </c>
      <c r="F162" s="13" t="s">
        <v>20</v>
      </c>
      <c r="G162" s="14">
        <v>20376140</v>
      </c>
      <c r="H162" s="13" t="s">
        <v>143</v>
      </c>
      <c r="I162" s="13" t="s">
        <v>35</v>
      </c>
      <c r="J162" s="14">
        <v>1</v>
      </c>
      <c r="K162" s="14">
        <v>1</v>
      </c>
      <c r="L162" s="15">
        <v>4.8</v>
      </c>
      <c r="M162" s="15">
        <v>4.8</v>
      </c>
    </row>
    <row r="163" spans="4:13">
      <c r="D163" s="12">
        <v>46127</v>
      </c>
      <c r="E163" s="13">
        <v>1595145</v>
      </c>
      <c r="F163" s="13" t="s">
        <v>20</v>
      </c>
      <c r="G163" s="14">
        <v>20313852</v>
      </c>
      <c r="H163" s="13" t="s">
        <v>138</v>
      </c>
      <c r="I163" s="13" t="s">
        <v>139</v>
      </c>
      <c r="J163" s="14">
        <v>2</v>
      </c>
      <c r="K163" s="14">
        <v>2</v>
      </c>
      <c r="L163" s="15">
        <v>4.8</v>
      </c>
      <c r="M163" s="15">
        <v>9.6</v>
      </c>
    </row>
    <row r="164" spans="4:13">
      <c r="D164" s="12">
        <v>46127</v>
      </c>
      <c r="E164" s="13">
        <v>1595145</v>
      </c>
      <c r="F164" s="13" t="s">
        <v>20</v>
      </c>
      <c r="G164" s="14">
        <v>20309758</v>
      </c>
      <c r="H164" s="13" t="s">
        <v>123</v>
      </c>
      <c r="I164" s="13" t="s">
        <v>57</v>
      </c>
      <c r="J164" s="14">
        <v>1</v>
      </c>
      <c r="K164" s="14">
        <v>1</v>
      </c>
      <c r="L164" s="15">
        <v>6.6</v>
      </c>
      <c r="M164" s="15">
        <v>6.6</v>
      </c>
    </row>
    <row r="165" spans="4:13">
      <c r="D165" s="12">
        <v>46127</v>
      </c>
      <c r="E165" s="13">
        <v>1595145</v>
      </c>
      <c r="F165" s="13" t="s">
        <v>20</v>
      </c>
      <c r="G165" s="14">
        <v>20315086</v>
      </c>
      <c r="H165" s="13" t="s">
        <v>121</v>
      </c>
      <c r="I165" s="13" t="s">
        <v>105</v>
      </c>
      <c r="J165" s="14">
        <v>1</v>
      </c>
      <c r="K165" s="14">
        <v>1</v>
      </c>
      <c r="L165" s="15">
        <v>4.8</v>
      </c>
      <c r="M165" s="15">
        <v>4.8</v>
      </c>
    </row>
    <row r="166" spans="4:13">
      <c r="D166" s="12">
        <v>46127</v>
      </c>
      <c r="E166" s="13">
        <v>1595145</v>
      </c>
      <c r="F166" s="13" t="s">
        <v>65</v>
      </c>
      <c r="G166" s="14">
        <v>20321529</v>
      </c>
      <c r="H166" s="13" t="s">
        <v>133</v>
      </c>
      <c r="I166" s="13" t="s">
        <v>83</v>
      </c>
      <c r="J166" s="14">
        <v>7</v>
      </c>
      <c r="K166" s="14">
        <v>49</v>
      </c>
      <c r="L166" s="15">
        <v>23.1</v>
      </c>
      <c r="M166" s="15">
        <v>161.7</v>
      </c>
    </row>
    <row r="167" spans="4:13">
      <c r="D167" s="12">
        <v>46128</v>
      </c>
      <c r="E167" s="13">
        <v>1595593</v>
      </c>
      <c r="F167" s="13" t="s">
        <v>20</v>
      </c>
      <c r="G167" s="14">
        <v>20316768</v>
      </c>
      <c r="H167" s="13" t="s">
        <v>122</v>
      </c>
      <c r="I167" s="13" t="s">
        <v>22</v>
      </c>
      <c r="J167" s="14">
        <v>1</v>
      </c>
      <c r="K167" s="14">
        <v>4</v>
      </c>
      <c r="L167" s="15">
        <v>13.2</v>
      </c>
      <c r="M167" s="15">
        <v>13.2</v>
      </c>
    </row>
    <row r="168" ht="25.5" spans="4:13">
      <c r="D168" s="12">
        <v>46128</v>
      </c>
      <c r="E168" s="13">
        <v>1595593</v>
      </c>
      <c r="F168" s="13" t="s">
        <v>20</v>
      </c>
      <c r="G168" s="14">
        <v>20309811</v>
      </c>
      <c r="H168" s="13" t="s">
        <v>135</v>
      </c>
      <c r="I168" s="13" t="s">
        <v>22</v>
      </c>
      <c r="J168" s="14">
        <v>2</v>
      </c>
      <c r="K168" s="14">
        <v>10</v>
      </c>
      <c r="L168" s="15">
        <v>16.5</v>
      </c>
      <c r="M168" s="15">
        <v>33</v>
      </c>
    </row>
    <row r="169" spans="4:13">
      <c r="D169" s="12">
        <v>46128</v>
      </c>
      <c r="E169" s="13">
        <v>1595593</v>
      </c>
      <c r="F169" s="13" t="s">
        <v>20</v>
      </c>
      <c r="G169" s="14">
        <v>20309758</v>
      </c>
      <c r="H169" s="13" t="s">
        <v>123</v>
      </c>
      <c r="I169" s="13" t="s">
        <v>57</v>
      </c>
      <c r="J169" s="14">
        <v>2</v>
      </c>
      <c r="K169" s="14">
        <v>2</v>
      </c>
      <c r="L169" s="15">
        <v>6.6</v>
      </c>
      <c r="M169" s="15">
        <v>13.2</v>
      </c>
    </row>
    <row r="170" spans="4:13">
      <c r="D170" s="12">
        <v>46128</v>
      </c>
      <c r="E170" s="13">
        <v>1595593</v>
      </c>
      <c r="F170" s="13" t="s">
        <v>15</v>
      </c>
      <c r="G170" s="14">
        <v>20309652</v>
      </c>
      <c r="H170" s="13" t="s">
        <v>124</v>
      </c>
      <c r="I170" s="13" t="s">
        <v>96</v>
      </c>
      <c r="J170" s="14">
        <v>4</v>
      </c>
      <c r="K170" s="14">
        <v>16</v>
      </c>
      <c r="L170" s="15">
        <v>52.8</v>
      </c>
      <c r="M170" s="15">
        <v>211.2</v>
      </c>
    </row>
    <row r="171" spans="4:13">
      <c r="D171" s="12">
        <v>46128</v>
      </c>
      <c r="E171" s="13">
        <v>1595593</v>
      </c>
      <c r="F171" s="13" t="s">
        <v>15</v>
      </c>
      <c r="G171" s="14">
        <v>20309653</v>
      </c>
      <c r="H171" s="13" t="s">
        <v>125</v>
      </c>
      <c r="I171" s="13" t="s">
        <v>126</v>
      </c>
      <c r="J171" s="14">
        <v>6</v>
      </c>
      <c r="K171" s="14">
        <v>12</v>
      </c>
      <c r="L171" s="15">
        <v>26.4</v>
      </c>
      <c r="M171" s="15">
        <v>158.4</v>
      </c>
    </row>
    <row r="172" spans="4:13">
      <c r="D172" s="12">
        <v>46128</v>
      </c>
      <c r="E172" s="13">
        <v>1595593</v>
      </c>
      <c r="F172" s="13" t="s">
        <v>15</v>
      </c>
      <c r="G172" s="14">
        <v>20309650</v>
      </c>
      <c r="H172" s="13" t="s">
        <v>127</v>
      </c>
      <c r="I172" s="13" t="s">
        <v>128</v>
      </c>
      <c r="J172" s="14">
        <v>5</v>
      </c>
      <c r="K172" s="14">
        <v>5</v>
      </c>
      <c r="L172" s="15">
        <v>16.8</v>
      </c>
      <c r="M172" s="15">
        <v>84</v>
      </c>
    </row>
    <row r="173" spans="4:13">
      <c r="D173" s="12">
        <v>46128</v>
      </c>
      <c r="E173" s="13">
        <v>1595593</v>
      </c>
      <c r="F173" s="13" t="s">
        <v>15</v>
      </c>
      <c r="G173" s="14">
        <v>20376031</v>
      </c>
      <c r="H173" s="13" t="s">
        <v>129</v>
      </c>
      <c r="I173" s="13" t="s">
        <v>128</v>
      </c>
      <c r="J173" s="14">
        <v>3</v>
      </c>
      <c r="K173" s="14">
        <v>6</v>
      </c>
      <c r="L173" s="15">
        <v>26.4</v>
      </c>
      <c r="M173" s="15">
        <v>79.2</v>
      </c>
    </row>
    <row r="174" spans="4:13">
      <c r="D174" s="12">
        <v>46128</v>
      </c>
      <c r="E174" s="13">
        <v>1595593</v>
      </c>
      <c r="F174" s="13" t="s">
        <v>15</v>
      </c>
      <c r="G174" s="14">
        <v>20309651</v>
      </c>
      <c r="H174" s="13" t="s">
        <v>130</v>
      </c>
      <c r="I174" s="13" t="s">
        <v>62</v>
      </c>
      <c r="J174" s="14">
        <v>2</v>
      </c>
      <c r="K174" s="14">
        <v>2</v>
      </c>
      <c r="L174" s="15">
        <v>21</v>
      </c>
      <c r="M174" s="15">
        <v>42</v>
      </c>
    </row>
    <row r="175" spans="4:13">
      <c r="D175" s="12">
        <v>46128</v>
      </c>
      <c r="E175" s="13">
        <v>1595593</v>
      </c>
      <c r="F175" s="13" t="s">
        <v>65</v>
      </c>
      <c r="G175" s="14">
        <v>20321529</v>
      </c>
      <c r="H175" s="13" t="s">
        <v>133</v>
      </c>
      <c r="I175" s="13" t="s">
        <v>83</v>
      </c>
      <c r="J175" s="14">
        <v>9</v>
      </c>
      <c r="K175" s="14">
        <v>63</v>
      </c>
      <c r="L175" s="15">
        <v>23.1</v>
      </c>
      <c r="M175" s="15">
        <v>207.9</v>
      </c>
    </row>
    <row r="176" spans="4:13">
      <c r="D176" s="12">
        <v>46129</v>
      </c>
      <c r="E176" s="13">
        <v>1595788</v>
      </c>
      <c r="F176" s="13" t="s">
        <v>15</v>
      </c>
      <c r="G176" s="14">
        <v>20309653</v>
      </c>
      <c r="H176" s="13" t="s">
        <v>125</v>
      </c>
      <c r="I176" s="13" t="s">
        <v>126</v>
      </c>
      <c r="J176" s="14">
        <v>3</v>
      </c>
      <c r="K176" s="14">
        <v>6</v>
      </c>
      <c r="L176" s="15">
        <v>26.4</v>
      </c>
      <c r="M176" s="15">
        <v>79.2</v>
      </c>
    </row>
    <row r="177" spans="4:13">
      <c r="D177" s="12">
        <v>46129</v>
      </c>
      <c r="E177" s="13">
        <v>1595788</v>
      </c>
      <c r="F177" s="13" t="s">
        <v>15</v>
      </c>
      <c r="G177" s="14">
        <v>20309650</v>
      </c>
      <c r="H177" s="13" t="s">
        <v>127</v>
      </c>
      <c r="I177" s="13" t="s">
        <v>128</v>
      </c>
      <c r="J177" s="14">
        <v>1</v>
      </c>
      <c r="K177" s="14">
        <v>1</v>
      </c>
      <c r="L177" s="15">
        <v>16.8</v>
      </c>
      <c r="M177" s="15">
        <v>16.8</v>
      </c>
    </row>
    <row r="178" spans="4:13">
      <c r="D178" s="12">
        <v>46129</v>
      </c>
      <c r="E178" s="13">
        <v>1595788</v>
      </c>
      <c r="F178" s="13" t="s">
        <v>15</v>
      </c>
      <c r="G178" s="14">
        <v>20376031</v>
      </c>
      <c r="H178" s="13" t="s">
        <v>129</v>
      </c>
      <c r="I178" s="13" t="s">
        <v>128</v>
      </c>
      <c r="J178" s="14">
        <v>1</v>
      </c>
      <c r="K178" s="14">
        <v>2</v>
      </c>
      <c r="L178" s="15">
        <v>26.4</v>
      </c>
      <c r="M178" s="15">
        <v>26.4</v>
      </c>
    </row>
    <row r="179" spans="4:13">
      <c r="D179" s="12">
        <v>46129</v>
      </c>
      <c r="E179" s="13">
        <v>1595788</v>
      </c>
      <c r="F179" s="13" t="s">
        <v>15</v>
      </c>
      <c r="G179" s="14">
        <v>20309651</v>
      </c>
      <c r="H179" s="13" t="s">
        <v>130</v>
      </c>
      <c r="I179" s="13" t="s">
        <v>62</v>
      </c>
      <c r="J179" s="14">
        <v>1</v>
      </c>
      <c r="K179" s="14">
        <v>1</v>
      </c>
      <c r="L179" s="15">
        <v>21</v>
      </c>
      <c r="M179" s="15">
        <v>21</v>
      </c>
    </row>
    <row r="180" spans="4:13">
      <c r="D180" s="12">
        <v>46129</v>
      </c>
      <c r="E180" s="13">
        <v>1595846</v>
      </c>
      <c r="F180" s="13" t="s">
        <v>20</v>
      </c>
      <c r="G180" s="14">
        <v>20305111</v>
      </c>
      <c r="H180" s="13" t="s">
        <v>136</v>
      </c>
      <c r="I180" s="13" t="s">
        <v>29</v>
      </c>
      <c r="J180" s="14">
        <v>1</v>
      </c>
      <c r="K180" s="14">
        <v>1</v>
      </c>
      <c r="L180" s="15">
        <v>4.8</v>
      </c>
      <c r="M180" s="15">
        <v>4.8</v>
      </c>
    </row>
    <row r="181" spans="4:13">
      <c r="D181" s="12">
        <v>46129</v>
      </c>
      <c r="E181" s="13">
        <v>1595846</v>
      </c>
      <c r="F181" s="13" t="s">
        <v>20</v>
      </c>
      <c r="G181" s="14">
        <v>20309564</v>
      </c>
      <c r="H181" s="13" t="s">
        <v>117</v>
      </c>
      <c r="I181" s="13" t="s">
        <v>105</v>
      </c>
      <c r="J181" s="14">
        <v>1</v>
      </c>
      <c r="K181" s="14">
        <v>1</v>
      </c>
      <c r="L181" s="15">
        <v>4.8</v>
      </c>
      <c r="M181" s="15">
        <v>4.8</v>
      </c>
    </row>
    <row r="182" spans="4:13">
      <c r="D182" s="12">
        <v>46129</v>
      </c>
      <c r="E182" s="13">
        <v>1595846</v>
      </c>
      <c r="F182" s="13" t="s">
        <v>20</v>
      </c>
      <c r="G182" s="14">
        <v>20315086</v>
      </c>
      <c r="H182" s="13" t="s">
        <v>121</v>
      </c>
      <c r="I182" s="13" t="s">
        <v>105</v>
      </c>
      <c r="J182" s="14">
        <v>1</v>
      </c>
      <c r="K182" s="14">
        <v>1</v>
      </c>
      <c r="L182" s="15">
        <v>4.8</v>
      </c>
      <c r="M182" s="15">
        <v>4.8</v>
      </c>
    </row>
    <row r="183" spans="4:13">
      <c r="D183" s="12">
        <v>46129</v>
      </c>
      <c r="E183" s="13">
        <v>1595846</v>
      </c>
      <c r="F183" s="13" t="s">
        <v>65</v>
      </c>
      <c r="G183" s="14">
        <v>20321529</v>
      </c>
      <c r="H183" s="13" t="s">
        <v>133</v>
      </c>
      <c r="I183" s="13" t="s">
        <v>83</v>
      </c>
      <c r="J183" s="14">
        <v>3</v>
      </c>
      <c r="K183" s="14">
        <v>21</v>
      </c>
      <c r="L183" s="15">
        <v>23.1</v>
      </c>
      <c r="M183" s="15">
        <v>69.3</v>
      </c>
    </row>
    <row r="184" spans="4:13">
      <c r="D184" s="12">
        <v>46132</v>
      </c>
      <c r="E184" s="13">
        <v>1596375</v>
      </c>
      <c r="F184" s="13" t="s">
        <v>15</v>
      </c>
      <c r="G184" s="14">
        <v>20309653</v>
      </c>
      <c r="H184" s="13" t="s">
        <v>125</v>
      </c>
      <c r="I184" s="13" t="s">
        <v>126</v>
      </c>
      <c r="J184" s="14">
        <v>4</v>
      </c>
      <c r="K184" s="14">
        <v>8</v>
      </c>
      <c r="L184" s="15">
        <v>26.4</v>
      </c>
      <c r="M184" s="15">
        <v>105.6</v>
      </c>
    </row>
    <row r="185" spans="4:13">
      <c r="D185" s="12">
        <v>46132</v>
      </c>
      <c r="E185" s="13">
        <v>1596375</v>
      </c>
      <c r="F185" s="13" t="s">
        <v>15</v>
      </c>
      <c r="G185" s="14">
        <v>20376031</v>
      </c>
      <c r="H185" s="13" t="s">
        <v>129</v>
      </c>
      <c r="I185" s="13" t="s">
        <v>128</v>
      </c>
      <c r="J185" s="14">
        <v>2</v>
      </c>
      <c r="K185" s="14">
        <v>4</v>
      </c>
      <c r="L185" s="15">
        <v>26.4</v>
      </c>
      <c r="M185" s="15">
        <v>52.8</v>
      </c>
    </row>
    <row r="186" spans="4:13">
      <c r="D186" s="12">
        <v>46132</v>
      </c>
      <c r="E186" s="13">
        <v>1596375</v>
      </c>
      <c r="F186" s="13" t="s">
        <v>15</v>
      </c>
      <c r="G186" s="14">
        <v>20309651</v>
      </c>
      <c r="H186" s="13" t="s">
        <v>130</v>
      </c>
      <c r="I186" s="13" t="s">
        <v>62</v>
      </c>
      <c r="J186" s="14">
        <v>1</v>
      </c>
      <c r="K186" s="14">
        <v>1</v>
      </c>
      <c r="L186" s="15">
        <v>21</v>
      </c>
      <c r="M186" s="15">
        <v>21</v>
      </c>
    </row>
    <row r="187" spans="4:13">
      <c r="D187" s="12">
        <v>46132</v>
      </c>
      <c r="E187" s="13">
        <v>1596433</v>
      </c>
      <c r="F187" s="13" t="s">
        <v>20</v>
      </c>
      <c r="G187" s="14">
        <v>20309564</v>
      </c>
      <c r="H187" s="13" t="s">
        <v>117</v>
      </c>
      <c r="I187" s="13" t="s">
        <v>105</v>
      </c>
      <c r="J187" s="14">
        <v>1</v>
      </c>
      <c r="K187" s="14">
        <v>1</v>
      </c>
      <c r="L187" s="15">
        <v>4.8</v>
      </c>
      <c r="M187" s="15">
        <v>4.8</v>
      </c>
    </row>
    <row r="188" spans="4:13">
      <c r="D188" s="12">
        <v>46132</v>
      </c>
      <c r="E188" s="13">
        <v>1596433</v>
      </c>
      <c r="F188" s="13" t="s">
        <v>65</v>
      </c>
      <c r="G188" s="14">
        <v>20321529</v>
      </c>
      <c r="H188" s="13" t="s">
        <v>133</v>
      </c>
      <c r="I188" s="13" t="s">
        <v>83</v>
      </c>
      <c r="J188" s="14">
        <v>5</v>
      </c>
      <c r="K188" s="14">
        <v>35</v>
      </c>
      <c r="L188" s="15">
        <v>23.1</v>
      </c>
      <c r="M188" s="15">
        <v>115.5</v>
      </c>
    </row>
    <row r="189" ht="0.05" customHeight="1"/>
    <row r="190" spans="4:13">
      <c r="M190">
        <f>10215-16.8</f>
        <v>10198.2</v>
      </c>
    </row>
    <row r="197" spans="4:13">
      <c r="D197" s="21" t="s">
        <v>144</v>
      </c>
      <c r="E197" s="22"/>
      <c r="F197" s="22"/>
      <c r="G197" s="22"/>
      <c r="H197" s="22"/>
      <c r="I197" s="22"/>
      <c r="J197" s="22"/>
      <c r="K197" s="22"/>
      <c r="L197" s="22"/>
      <c r="M197" s="22"/>
    </row>
    <row r="198" spans="4:13"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 spans="4:13"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 spans="4:13">
      <c r="D200" s="23" t="s">
        <v>145</v>
      </c>
      <c r="E200" s="22"/>
      <c r="F200" s="22"/>
      <c r="G200" s="22"/>
      <c r="H200" s="22"/>
      <c r="I200" s="22"/>
      <c r="J200" s="22"/>
      <c r="K200" s="22"/>
      <c r="L200" s="22"/>
      <c r="M200" s="22"/>
    </row>
    <row r="201" spans="4:13"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 spans="4:13">
      <c r="D202" s="24" t="s">
        <v>146</v>
      </c>
      <c r="E202" s="24" t="s">
        <v>147</v>
      </c>
      <c r="F202" s="22"/>
      <c r="G202" s="24" t="s">
        <v>148</v>
      </c>
      <c r="H202" s="24" t="s">
        <v>149</v>
      </c>
      <c r="I202" s="24" t="s">
        <v>7</v>
      </c>
      <c r="J202" s="24" t="s">
        <v>150</v>
      </c>
      <c r="K202" s="24" t="s">
        <v>151</v>
      </c>
    </row>
    <row r="203" ht="15.75" spans="4:13">
      <c r="D203" s="25" t="s">
        <v>3</v>
      </c>
      <c r="E203" s="26" t="s">
        <v>2</v>
      </c>
      <c r="F203" s="26" t="s">
        <v>2</v>
      </c>
      <c r="G203" s="26" t="s">
        <v>2</v>
      </c>
      <c r="H203" s="26" t="s">
        <v>2</v>
      </c>
      <c r="I203" s="26" t="s">
        <v>2</v>
      </c>
      <c r="J203" s="27" t="s">
        <v>2</v>
      </c>
      <c r="K203" s="28"/>
    </row>
    <row r="204" ht="14.25" spans="4:13">
      <c r="D204" s="29" t="s">
        <v>120</v>
      </c>
      <c r="E204" s="26" t="s">
        <v>2</v>
      </c>
      <c r="F204" s="26" t="s">
        <v>2</v>
      </c>
      <c r="G204" s="26" t="s">
        <v>2</v>
      </c>
      <c r="H204" s="26" t="s">
        <v>2</v>
      </c>
      <c r="I204" s="26" t="s">
        <v>2</v>
      </c>
      <c r="J204" s="30" t="s">
        <v>2</v>
      </c>
      <c r="K204" s="31">
        <v>-16.8</v>
      </c>
    </row>
    <row r="205" spans="4:13">
      <c r="D205" s="32" t="s">
        <v>152</v>
      </c>
      <c r="E205" s="26" t="s">
        <v>2</v>
      </c>
      <c r="F205" s="26" t="s">
        <v>2</v>
      </c>
      <c r="G205" s="26" t="s">
        <v>2</v>
      </c>
      <c r="H205" s="26" t="s">
        <v>2</v>
      </c>
      <c r="I205" s="26" t="s">
        <v>2</v>
      </c>
      <c r="J205" s="33" t="s">
        <v>2</v>
      </c>
      <c r="K205" s="34">
        <v>-16.8</v>
      </c>
    </row>
    <row r="206" ht="38.25" spans="4:13">
      <c r="D206" s="35">
        <v>3006099303</v>
      </c>
      <c r="E206" s="36">
        <v>46133.4206620718</v>
      </c>
      <c r="F206" s="37" t="s">
        <v>2</v>
      </c>
      <c r="G206" s="38" t="s">
        <v>153</v>
      </c>
      <c r="H206" s="39">
        <v>46122.8385012384</v>
      </c>
      <c r="I206" s="40">
        <v>20309650</v>
      </c>
      <c r="J206" s="40" t="s">
        <v>127</v>
      </c>
      <c r="K206" s="41">
        <v>-16.8</v>
      </c>
    </row>
  </sheetData>
  <autoFilter xmlns:etc="http://www.wps.cn/officeDocument/2017/etCustomData" ref="A7:M188" etc:filterBottomFollowUsedRange="0">
    <extLst/>
  </autoFilter>
  <mergeCells count="12">
    <mergeCell ref="D8:I8"/>
    <mergeCell ref="E202:F202"/>
    <mergeCell ref="D203:I203"/>
    <mergeCell ref="D204:I204"/>
    <mergeCell ref="D205:I205"/>
    <mergeCell ref="E206:F206"/>
    <mergeCell ref="C7:C188"/>
    <mergeCell ref="B4:H5"/>
    <mergeCell ref="A7:B188"/>
    <mergeCell ref="C1:H2"/>
    <mergeCell ref="D197:M198"/>
    <mergeCell ref="D200:H201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showGridLines="0" view="pageBreakPreview" zoomScaleNormal="100" workbookViewId="0">
      <pane ySplit="6" topLeftCell="A39" activePane="bottomLeft" state="frozen"/>
      <selection/>
      <selection pane="bottomLeft" activeCell="M9" sqref="M9:M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122</v>
      </c>
      <c r="K8" s="10">
        <v>698</v>
      </c>
      <c r="L8" s="11"/>
      <c r="M8" s="11">
        <v>2387.1</v>
      </c>
    </row>
    <row r="9" spans="1:13">
      <c r="D9" s="12">
        <v>46104</v>
      </c>
      <c r="E9" s="13">
        <v>1588183</v>
      </c>
      <c r="F9" s="13" t="s">
        <v>20</v>
      </c>
      <c r="G9" s="14">
        <v>20361022</v>
      </c>
      <c r="H9" s="13" t="s">
        <v>155</v>
      </c>
      <c r="I9" s="13" t="s">
        <v>35</v>
      </c>
      <c r="J9" s="14">
        <v>2</v>
      </c>
      <c r="K9" s="14">
        <v>6</v>
      </c>
      <c r="L9" s="15">
        <v>9.9</v>
      </c>
      <c r="M9" s="15">
        <v>19.8</v>
      </c>
    </row>
    <row r="10" spans="1:13">
      <c r="D10" s="12">
        <v>46104</v>
      </c>
      <c r="E10" s="13">
        <v>1588183</v>
      </c>
      <c r="F10" s="13" t="s">
        <v>20</v>
      </c>
      <c r="G10" s="14">
        <v>20342479</v>
      </c>
      <c r="H10" s="13" t="s">
        <v>156</v>
      </c>
      <c r="I10" s="13" t="s">
        <v>33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46104</v>
      </c>
      <c r="E11" s="13">
        <v>1588183</v>
      </c>
      <c r="F11" s="13" t="s">
        <v>20</v>
      </c>
      <c r="G11" s="14">
        <v>20316042</v>
      </c>
      <c r="H11" s="13" t="s">
        <v>34</v>
      </c>
      <c r="I11" s="13" t="s">
        <v>35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46104</v>
      </c>
      <c r="E12" s="13">
        <v>1588183</v>
      </c>
      <c r="F12" s="13" t="s">
        <v>42</v>
      </c>
      <c r="G12" s="14">
        <v>20321455</v>
      </c>
      <c r="H12" s="13" t="s">
        <v>157</v>
      </c>
      <c r="I12" s="13" t="s">
        <v>83</v>
      </c>
      <c r="J12" s="14">
        <v>1</v>
      </c>
      <c r="K12" s="14">
        <v>9</v>
      </c>
      <c r="L12" s="15">
        <v>29.7</v>
      </c>
      <c r="M12" s="15">
        <v>29.7</v>
      </c>
    </row>
    <row r="13" spans="1:13">
      <c r="D13" s="12">
        <v>46104</v>
      </c>
      <c r="E13" s="13">
        <v>1588183</v>
      </c>
      <c r="F13" s="13" t="s">
        <v>47</v>
      </c>
      <c r="G13" s="14">
        <v>20303758</v>
      </c>
      <c r="H13" s="13" t="s">
        <v>158</v>
      </c>
      <c r="I13" s="13" t="s">
        <v>83</v>
      </c>
      <c r="J13" s="14">
        <v>5</v>
      </c>
      <c r="K13" s="14">
        <v>40</v>
      </c>
      <c r="L13" s="15">
        <v>26.4</v>
      </c>
      <c r="M13" s="15">
        <v>132</v>
      </c>
    </row>
    <row r="14" spans="1:13">
      <c r="D14" s="12">
        <v>46104</v>
      </c>
      <c r="E14" s="13">
        <v>1588183</v>
      </c>
      <c r="F14" s="13" t="s">
        <v>47</v>
      </c>
      <c r="G14" s="14">
        <v>20303761</v>
      </c>
      <c r="H14" s="13" t="s">
        <v>159</v>
      </c>
      <c r="I14" s="13" t="s">
        <v>160</v>
      </c>
      <c r="J14" s="14">
        <v>5</v>
      </c>
      <c r="K14" s="14">
        <v>45</v>
      </c>
      <c r="L14" s="15">
        <v>29.7</v>
      </c>
      <c r="M14" s="15">
        <v>148.5</v>
      </c>
    </row>
    <row r="15" spans="1:13">
      <c r="D15" s="12">
        <v>46104</v>
      </c>
      <c r="E15" s="13">
        <v>1588183</v>
      </c>
      <c r="F15" s="13" t="s">
        <v>65</v>
      </c>
      <c r="G15" s="14">
        <v>20344748</v>
      </c>
      <c r="H15" s="13" t="s">
        <v>161</v>
      </c>
      <c r="I15" s="13" t="s">
        <v>83</v>
      </c>
      <c r="J15" s="14">
        <v>1</v>
      </c>
      <c r="K15" s="14">
        <v>1</v>
      </c>
      <c r="L15" s="15">
        <v>9.9</v>
      </c>
      <c r="M15" s="15">
        <v>9.9</v>
      </c>
    </row>
    <row r="16" spans="1:13">
      <c r="D16" s="12">
        <v>46106</v>
      </c>
      <c r="E16" s="13">
        <v>1588938</v>
      </c>
      <c r="F16" s="13" t="s">
        <v>20</v>
      </c>
      <c r="G16" s="14">
        <v>20309808</v>
      </c>
      <c r="H16" s="13" t="s">
        <v>106</v>
      </c>
      <c r="I16" s="13" t="s">
        <v>57</v>
      </c>
      <c r="J16" s="14">
        <v>1</v>
      </c>
      <c r="K16" s="14">
        <v>1</v>
      </c>
      <c r="L16" s="15">
        <v>6.6</v>
      </c>
      <c r="M16" s="15">
        <v>6.6</v>
      </c>
    </row>
    <row r="17" spans="4:13">
      <c r="D17" s="12">
        <v>46106</v>
      </c>
      <c r="E17" s="13">
        <v>1588938</v>
      </c>
      <c r="F17" s="13" t="s">
        <v>20</v>
      </c>
      <c r="G17" s="14">
        <v>20367571</v>
      </c>
      <c r="H17" s="13" t="s">
        <v>162</v>
      </c>
      <c r="I17" s="13" t="s">
        <v>22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46106</v>
      </c>
      <c r="E18" s="13">
        <v>1588938</v>
      </c>
      <c r="F18" s="13" t="s">
        <v>47</v>
      </c>
      <c r="G18" s="14">
        <v>20303758</v>
      </c>
      <c r="H18" s="13" t="s">
        <v>158</v>
      </c>
      <c r="I18" s="13" t="s">
        <v>83</v>
      </c>
      <c r="J18" s="14">
        <v>4</v>
      </c>
      <c r="K18" s="14">
        <v>32</v>
      </c>
      <c r="L18" s="15">
        <v>26.4</v>
      </c>
      <c r="M18" s="15">
        <v>105.6</v>
      </c>
    </row>
    <row r="19" spans="4:13">
      <c r="D19" s="12">
        <v>46106</v>
      </c>
      <c r="E19" s="13">
        <v>1588938</v>
      </c>
      <c r="F19" s="13" t="s">
        <v>47</v>
      </c>
      <c r="G19" s="14">
        <v>20303761</v>
      </c>
      <c r="H19" s="13" t="s">
        <v>159</v>
      </c>
      <c r="I19" s="13" t="s">
        <v>160</v>
      </c>
      <c r="J19" s="14">
        <v>6</v>
      </c>
      <c r="K19" s="14">
        <v>54</v>
      </c>
      <c r="L19" s="15">
        <v>29.7</v>
      </c>
      <c r="M19" s="15">
        <v>178.2</v>
      </c>
    </row>
    <row r="20" spans="4:13">
      <c r="D20" s="12">
        <v>46107</v>
      </c>
      <c r="E20" s="13">
        <v>1589282</v>
      </c>
      <c r="F20" s="13" t="s">
        <v>163</v>
      </c>
      <c r="G20" s="14">
        <v>20309403</v>
      </c>
      <c r="H20" s="13" t="s">
        <v>164</v>
      </c>
      <c r="I20" s="13" t="s">
        <v>83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46107</v>
      </c>
      <c r="E21" s="13">
        <v>1589282</v>
      </c>
      <c r="F21" s="13" t="s">
        <v>42</v>
      </c>
      <c r="G21" s="14">
        <v>20321455</v>
      </c>
      <c r="H21" s="13" t="s">
        <v>157</v>
      </c>
      <c r="I21" s="13" t="s">
        <v>83</v>
      </c>
      <c r="J21" s="14">
        <v>1</v>
      </c>
      <c r="K21" s="14">
        <v>9</v>
      </c>
      <c r="L21" s="15">
        <v>29.7</v>
      </c>
      <c r="M21" s="15">
        <v>29.7</v>
      </c>
    </row>
    <row r="22" spans="4:13">
      <c r="D22" s="12">
        <v>46108</v>
      </c>
      <c r="E22" s="13">
        <v>1589680</v>
      </c>
      <c r="F22" s="13" t="s">
        <v>20</v>
      </c>
      <c r="G22" s="14">
        <v>20367571</v>
      </c>
      <c r="H22" s="13" t="s">
        <v>162</v>
      </c>
      <c r="I22" s="13" t="s">
        <v>22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46111</v>
      </c>
      <c r="E23" s="13">
        <v>1590228</v>
      </c>
      <c r="F23" s="13" t="s">
        <v>20</v>
      </c>
      <c r="G23" s="14">
        <v>20361022</v>
      </c>
      <c r="H23" s="13" t="s">
        <v>155</v>
      </c>
      <c r="I23" s="13" t="s">
        <v>35</v>
      </c>
      <c r="J23" s="14">
        <v>3</v>
      </c>
      <c r="K23" s="14">
        <v>9</v>
      </c>
      <c r="L23" s="15">
        <v>9.9</v>
      </c>
      <c r="M23" s="15">
        <v>29.7</v>
      </c>
    </row>
    <row r="24" spans="4:13">
      <c r="D24" s="12">
        <v>46111</v>
      </c>
      <c r="E24" s="13">
        <v>1590228</v>
      </c>
      <c r="F24" s="13" t="s">
        <v>20</v>
      </c>
      <c r="G24" s="14">
        <v>20305111</v>
      </c>
      <c r="H24" s="13" t="s">
        <v>136</v>
      </c>
      <c r="I24" s="13" t="s">
        <v>29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46111</v>
      </c>
      <c r="E25" s="13">
        <v>1590228</v>
      </c>
      <c r="F25" s="13" t="s">
        <v>20</v>
      </c>
      <c r="G25" s="14">
        <v>20367171</v>
      </c>
      <c r="H25" s="13" t="s">
        <v>165</v>
      </c>
      <c r="I25" s="13" t="s">
        <v>55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46111</v>
      </c>
      <c r="E26" s="13">
        <v>1590228</v>
      </c>
      <c r="F26" s="13" t="s">
        <v>20</v>
      </c>
      <c r="G26" s="14">
        <v>20348068</v>
      </c>
      <c r="H26" s="13" t="s">
        <v>166</v>
      </c>
      <c r="I26" s="13" t="s">
        <v>33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46111</v>
      </c>
      <c r="E27" s="13">
        <v>1590228</v>
      </c>
      <c r="F27" s="13" t="s">
        <v>20</v>
      </c>
      <c r="G27" s="14">
        <v>20349142</v>
      </c>
      <c r="H27" s="13" t="s">
        <v>167</v>
      </c>
      <c r="I27" s="13" t="s">
        <v>33</v>
      </c>
      <c r="J27" s="14">
        <v>1</v>
      </c>
      <c r="K27" s="14">
        <v>3</v>
      </c>
      <c r="L27" s="15">
        <v>9.9</v>
      </c>
      <c r="M27" s="15">
        <v>9.9</v>
      </c>
    </row>
    <row r="28" spans="4:13">
      <c r="D28" s="12">
        <v>46111</v>
      </c>
      <c r="E28" s="13">
        <v>1590228</v>
      </c>
      <c r="F28" s="13" t="s">
        <v>20</v>
      </c>
      <c r="G28" s="14">
        <v>20367571</v>
      </c>
      <c r="H28" s="13" t="s">
        <v>162</v>
      </c>
      <c r="I28" s="13" t="s">
        <v>22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46111</v>
      </c>
      <c r="E29" s="13">
        <v>1590228</v>
      </c>
      <c r="F29" s="13" t="s">
        <v>20</v>
      </c>
      <c r="G29" s="14">
        <v>20309402</v>
      </c>
      <c r="H29" s="13" t="s">
        <v>168</v>
      </c>
      <c r="I29" s="13" t="s">
        <v>139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46111</v>
      </c>
      <c r="E30" s="13">
        <v>1590228</v>
      </c>
      <c r="F30" s="13" t="s">
        <v>20</v>
      </c>
      <c r="G30" s="14">
        <v>20312103</v>
      </c>
      <c r="H30" s="13" t="s">
        <v>116</v>
      </c>
      <c r="I30" s="13" t="s">
        <v>105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46111</v>
      </c>
      <c r="E31" s="13">
        <v>1590228</v>
      </c>
      <c r="F31" s="13" t="s">
        <v>42</v>
      </c>
      <c r="G31" s="14">
        <v>20321455</v>
      </c>
      <c r="H31" s="13" t="s">
        <v>157</v>
      </c>
      <c r="I31" s="13" t="s">
        <v>83</v>
      </c>
      <c r="J31" s="14">
        <v>1</v>
      </c>
      <c r="K31" s="14">
        <v>9</v>
      </c>
      <c r="L31" s="15">
        <v>29.7</v>
      </c>
      <c r="M31" s="15">
        <v>29.7</v>
      </c>
    </row>
    <row r="32" spans="4:13">
      <c r="D32" s="12">
        <v>46111</v>
      </c>
      <c r="E32" s="13">
        <v>1590228</v>
      </c>
      <c r="F32" s="13" t="s">
        <v>47</v>
      </c>
      <c r="G32" s="14">
        <v>20303758</v>
      </c>
      <c r="H32" s="13" t="s">
        <v>158</v>
      </c>
      <c r="I32" s="13" t="s">
        <v>83</v>
      </c>
      <c r="J32" s="14">
        <v>2</v>
      </c>
      <c r="K32" s="14">
        <v>16</v>
      </c>
      <c r="L32" s="15">
        <v>26.4</v>
      </c>
      <c r="M32" s="15">
        <v>52.8</v>
      </c>
    </row>
    <row r="33" spans="4:13">
      <c r="D33" s="12">
        <v>46111</v>
      </c>
      <c r="E33" s="13">
        <v>1590228</v>
      </c>
      <c r="F33" s="13" t="s">
        <v>47</v>
      </c>
      <c r="G33" s="14">
        <v>20303761</v>
      </c>
      <c r="H33" s="13" t="s">
        <v>159</v>
      </c>
      <c r="I33" s="13" t="s">
        <v>160</v>
      </c>
      <c r="J33" s="14">
        <v>6</v>
      </c>
      <c r="K33" s="14">
        <v>54</v>
      </c>
      <c r="L33" s="15">
        <v>29.7</v>
      </c>
      <c r="M33" s="15">
        <v>178.2</v>
      </c>
    </row>
    <row r="34" spans="4:13">
      <c r="D34" s="12">
        <v>46111</v>
      </c>
      <c r="E34" s="13">
        <v>1590228</v>
      </c>
      <c r="F34" s="13" t="s">
        <v>65</v>
      </c>
      <c r="G34" s="14">
        <v>20344748</v>
      </c>
      <c r="H34" s="13" t="s">
        <v>161</v>
      </c>
      <c r="I34" s="13" t="s">
        <v>83</v>
      </c>
      <c r="J34" s="14">
        <v>1</v>
      </c>
      <c r="K34" s="14">
        <v>1</v>
      </c>
      <c r="L34" s="15">
        <v>9.9</v>
      </c>
      <c r="M34" s="15">
        <v>9.9</v>
      </c>
    </row>
    <row r="35" spans="4:13">
      <c r="D35" s="12">
        <v>46114</v>
      </c>
      <c r="E35" s="13">
        <v>1591398</v>
      </c>
      <c r="F35" s="13" t="s">
        <v>20</v>
      </c>
      <c r="G35" s="14">
        <v>20383688</v>
      </c>
      <c r="H35" s="13" t="s">
        <v>169</v>
      </c>
      <c r="I35" s="13" t="s">
        <v>170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46114</v>
      </c>
      <c r="E36" s="13">
        <v>1591398</v>
      </c>
      <c r="F36" s="13" t="s">
        <v>20</v>
      </c>
      <c r="G36" s="14">
        <v>20309758</v>
      </c>
      <c r="H36" s="13" t="s">
        <v>123</v>
      </c>
      <c r="I36" s="13" t="s">
        <v>57</v>
      </c>
      <c r="J36" s="14">
        <v>2</v>
      </c>
      <c r="K36" s="14">
        <v>2</v>
      </c>
      <c r="L36" s="15">
        <v>6.6</v>
      </c>
      <c r="M36" s="15">
        <v>13.2</v>
      </c>
    </row>
    <row r="37" spans="4:13">
      <c r="D37" s="12">
        <v>46114</v>
      </c>
      <c r="E37" s="13">
        <v>1591398</v>
      </c>
      <c r="F37" s="13" t="s">
        <v>20</v>
      </c>
      <c r="G37" s="14">
        <v>20309402</v>
      </c>
      <c r="H37" s="13" t="s">
        <v>168</v>
      </c>
      <c r="I37" s="13" t="s">
        <v>139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46114</v>
      </c>
      <c r="E38" s="13">
        <v>1591398</v>
      </c>
      <c r="F38" s="13" t="s">
        <v>20</v>
      </c>
      <c r="G38" s="14">
        <v>20382915</v>
      </c>
      <c r="H38" s="13" t="s">
        <v>171</v>
      </c>
      <c r="I38" s="13" t="s">
        <v>31</v>
      </c>
      <c r="J38" s="14">
        <v>1</v>
      </c>
      <c r="K38" s="14">
        <v>1</v>
      </c>
      <c r="L38" s="15">
        <v>6.6</v>
      </c>
      <c r="M38" s="15">
        <v>6.6</v>
      </c>
    </row>
    <row r="39" spans="4:13">
      <c r="D39" s="12">
        <v>46114</v>
      </c>
      <c r="E39" s="13">
        <v>1591398</v>
      </c>
      <c r="F39" s="13" t="s">
        <v>42</v>
      </c>
      <c r="G39" s="14">
        <v>20316857</v>
      </c>
      <c r="H39" s="13" t="s">
        <v>172</v>
      </c>
      <c r="I39" s="13" t="s">
        <v>83</v>
      </c>
      <c r="J39" s="14">
        <v>1</v>
      </c>
      <c r="K39" s="14">
        <v>10</v>
      </c>
      <c r="L39" s="15">
        <v>33</v>
      </c>
      <c r="M39" s="15">
        <v>33</v>
      </c>
    </row>
    <row r="40" spans="4:13">
      <c r="D40" s="12">
        <v>46114</v>
      </c>
      <c r="E40" s="13">
        <v>1591398</v>
      </c>
      <c r="F40" s="13" t="s">
        <v>42</v>
      </c>
      <c r="G40" s="14">
        <v>20321455</v>
      </c>
      <c r="H40" s="13" t="s">
        <v>157</v>
      </c>
      <c r="I40" s="13" t="s">
        <v>83</v>
      </c>
      <c r="J40" s="14">
        <v>1</v>
      </c>
      <c r="K40" s="14">
        <v>9</v>
      </c>
      <c r="L40" s="15">
        <v>29.7</v>
      </c>
      <c r="M40" s="15">
        <v>29.7</v>
      </c>
    </row>
    <row r="41" spans="4:13">
      <c r="D41" s="12">
        <v>46115</v>
      </c>
      <c r="E41" s="13">
        <v>1591809</v>
      </c>
      <c r="F41" s="13" t="s">
        <v>20</v>
      </c>
      <c r="G41" s="14">
        <v>20342479</v>
      </c>
      <c r="H41" s="13" t="s">
        <v>156</v>
      </c>
      <c r="I41" s="13" t="s">
        <v>33</v>
      </c>
      <c r="J41" s="14">
        <v>3</v>
      </c>
      <c r="K41" s="14">
        <v>9</v>
      </c>
      <c r="L41" s="15">
        <v>9.9</v>
      </c>
      <c r="M41" s="15">
        <v>29.7</v>
      </c>
    </row>
    <row r="42" spans="4:13">
      <c r="D42" s="12">
        <v>46115</v>
      </c>
      <c r="E42" s="13">
        <v>1591809</v>
      </c>
      <c r="F42" s="13" t="s">
        <v>20</v>
      </c>
      <c r="G42" s="14">
        <v>20389745</v>
      </c>
      <c r="H42" s="13" t="s">
        <v>173</v>
      </c>
      <c r="I42" s="13" t="s">
        <v>33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46115</v>
      </c>
      <c r="E43" s="13">
        <v>1591809</v>
      </c>
      <c r="F43" s="13" t="s">
        <v>20</v>
      </c>
      <c r="G43" s="14">
        <v>20316042</v>
      </c>
      <c r="H43" s="13" t="s">
        <v>34</v>
      </c>
      <c r="I43" s="13" t="s">
        <v>35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46115</v>
      </c>
      <c r="E44" s="13">
        <v>1591809</v>
      </c>
      <c r="F44" s="13" t="s">
        <v>47</v>
      </c>
      <c r="G44" s="14">
        <v>20303758</v>
      </c>
      <c r="H44" s="13" t="s">
        <v>158</v>
      </c>
      <c r="I44" s="13" t="s">
        <v>83</v>
      </c>
      <c r="J44" s="14">
        <v>4</v>
      </c>
      <c r="K44" s="14">
        <v>32</v>
      </c>
      <c r="L44" s="15">
        <v>26.4</v>
      </c>
      <c r="M44" s="15">
        <v>105.6</v>
      </c>
    </row>
    <row r="45" spans="4:13">
      <c r="D45" s="12">
        <v>46115</v>
      </c>
      <c r="E45" s="13">
        <v>1591809</v>
      </c>
      <c r="F45" s="13" t="s">
        <v>47</v>
      </c>
      <c r="G45" s="14">
        <v>20303761</v>
      </c>
      <c r="H45" s="13" t="s">
        <v>159</v>
      </c>
      <c r="I45" s="13" t="s">
        <v>160</v>
      </c>
      <c r="J45" s="14">
        <v>4</v>
      </c>
      <c r="K45" s="14">
        <v>36</v>
      </c>
      <c r="L45" s="15">
        <v>29.7</v>
      </c>
      <c r="M45" s="15">
        <v>118.8</v>
      </c>
    </row>
    <row r="46" spans="4:13">
      <c r="D46" s="12">
        <v>46119</v>
      </c>
      <c r="E46" s="13">
        <v>1592436</v>
      </c>
      <c r="F46" s="13" t="s">
        <v>20</v>
      </c>
      <c r="G46" s="14">
        <v>20361022</v>
      </c>
      <c r="H46" s="13" t="s">
        <v>155</v>
      </c>
      <c r="I46" s="13" t="s">
        <v>35</v>
      </c>
      <c r="J46" s="14">
        <v>2</v>
      </c>
      <c r="K46" s="14">
        <v>6</v>
      </c>
      <c r="L46" s="15">
        <v>9.9</v>
      </c>
      <c r="M46" s="15">
        <v>19.8</v>
      </c>
    </row>
    <row r="47" spans="4:13">
      <c r="D47" s="12">
        <v>46119</v>
      </c>
      <c r="E47" s="13">
        <v>1592436</v>
      </c>
      <c r="F47" s="13" t="s">
        <v>20</v>
      </c>
      <c r="G47" s="14">
        <v>20303863</v>
      </c>
      <c r="H47" s="13" t="s">
        <v>28</v>
      </c>
      <c r="I47" s="13" t="s">
        <v>29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46119</v>
      </c>
      <c r="E48" s="13">
        <v>1592436</v>
      </c>
      <c r="F48" s="13" t="s">
        <v>20</v>
      </c>
      <c r="G48" s="14">
        <v>20367571</v>
      </c>
      <c r="H48" s="13" t="s">
        <v>162</v>
      </c>
      <c r="I48" s="13" t="s">
        <v>22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46119</v>
      </c>
      <c r="E49" s="13">
        <v>1592436</v>
      </c>
      <c r="F49" s="13" t="s">
        <v>42</v>
      </c>
      <c r="G49" s="14">
        <v>20321455</v>
      </c>
      <c r="H49" s="13" t="s">
        <v>157</v>
      </c>
      <c r="I49" s="13" t="s">
        <v>83</v>
      </c>
      <c r="J49" s="14">
        <v>1</v>
      </c>
      <c r="K49" s="14">
        <v>9</v>
      </c>
      <c r="L49" s="15">
        <v>29.7</v>
      </c>
      <c r="M49" s="15">
        <v>29.7</v>
      </c>
    </row>
    <row r="50" spans="4:13">
      <c r="D50" s="12">
        <v>46119</v>
      </c>
      <c r="E50" s="13">
        <v>1592436</v>
      </c>
      <c r="F50" s="13" t="s">
        <v>65</v>
      </c>
      <c r="G50" s="14">
        <v>20344748</v>
      </c>
      <c r="H50" s="13" t="s">
        <v>161</v>
      </c>
      <c r="I50" s="13" t="s">
        <v>83</v>
      </c>
      <c r="J50" s="14">
        <v>1</v>
      </c>
      <c r="K50" s="14">
        <v>1</v>
      </c>
      <c r="L50" s="15">
        <v>9.9</v>
      </c>
      <c r="M50" s="15">
        <v>9.9</v>
      </c>
    </row>
    <row r="51" spans="4:13">
      <c r="D51" s="12">
        <v>46119</v>
      </c>
      <c r="E51" s="13">
        <v>1592478</v>
      </c>
      <c r="F51" s="13" t="s">
        <v>20</v>
      </c>
      <c r="G51" s="14">
        <v>20310105</v>
      </c>
      <c r="H51" s="13" t="s">
        <v>174</v>
      </c>
      <c r="I51" s="13" t="s">
        <v>33</v>
      </c>
      <c r="J51" s="14">
        <v>1</v>
      </c>
      <c r="K51" s="14">
        <v>3</v>
      </c>
      <c r="L51" s="15">
        <v>9.9</v>
      </c>
      <c r="M51" s="15">
        <v>9.9</v>
      </c>
    </row>
    <row r="52" spans="4:13">
      <c r="D52" s="12">
        <v>46121</v>
      </c>
      <c r="E52" s="13">
        <v>1593193</v>
      </c>
      <c r="F52" s="13" t="s">
        <v>20</v>
      </c>
      <c r="G52" s="14">
        <v>20303717</v>
      </c>
      <c r="H52" s="13" t="s">
        <v>70</v>
      </c>
      <c r="I52" s="13" t="s">
        <v>35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46121</v>
      </c>
      <c r="E53" s="13">
        <v>1593193</v>
      </c>
      <c r="F53" s="13" t="s">
        <v>20</v>
      </c>
      <c r="G53" s="14">
        <v>20313852</v>
      </c>
      <c r="H53" s="13" t="s">
        <v>138</v>
      </c>
      <c r="I53" s="13" t="s">
        <v>139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46121</v>
      </c>
      <c r="E54" s="13">
        <v>1593193</v>
      </c>
      <c r="F54" s="13" t="s">
        <v>20</v>
      </c>
      <c r="G54" s="14">
        <v>20367571</v>
      </c>
      <c r="H54" s="13" t="s">
        <v>162</v>
      </c>
      <c r="I54" s="13" t="s">
        <v>22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46121</v>
      </c>
      <c r="E55" s="13">
        <v>1593193</v>
      </c>
      <c r="F55" s="13" t="s">
        <v>42</v>
      </c>
      <c r="G55" s="14">
        <v>20321455</v>
      </c>
      <c r="H55" s="13" t="s">
        <v>157</v>
      </c>
      <c r="I55" s="13" t="s">
        <v>83</v>
      </c>
      <c r="J55" s="14">
        <v>1</v>
      </c>
      <c r="K55" s="14">
        <v>9</v>
      </c>
      <c r="L55" s="15">
        <v>29.7</v>
      </c>
      <c r="M55" s="15">
        <v>29.7</v>
      </c>
    </row>
    <row r="56" spans="4:13">
      <c r="D56" s="12">
        <v>46121</v>
      </c>
      <c r="E56" s="13">
        <v>1593193</v>
      </c>
      <c r="F56" s="13" t="s">
        <v>47</v>
      </c>
      <c r="G56" s="14">
        <v>20303758</v>
      </c>
      <c r="H56" s="13" t="s">
        <v>158</v>
      </c>
      <c r="I56" s="13" t="s">
        <v>83</v>
      </c>
      <c r="J56" s="14">
        <v>3</v>
      </c>
      <c r="K56" s="14">
        <v>24</v>
      </c>
      <c r="L56" s="15">
        <v>26.4</v>
      </c>
      <c r="M56" s="15">
        <v>79.2</v>
      </c>
    </row>
    <row r="57" spans="4:13">
      <c r="D57" s="12">
        <v>46121</v>
      </c>
      <c r="E57" s="13">
        <v>1593193</v>
      </c>
      <c r="F57" s="13" t="s">
        <v>47</v>
      </c>
      <c r="G57" s="14">
        <v>20303761</v>
      </c>
      <c r="H57" s="13" t="s">
        <v>159</v>
      </c>
      <c r="I57" s="13" t="s">
        <v>160</v>
      </c>
      <c r="J57" s="14">
        <v>3</v>
      </c>
      <c r="K57" s="14">
        <v>27</v>
      </c>
      <c r="L57" s="15">
        <v>29.7</v>
      </c>
      <c r="M57" s="15">
        <v>89.1</v>
      </c>
    </row>
    <row r="58" spans="4:13">
      <c r="D58" s="12">
        <v>46121</v>
      </c>
      <c r="E58" s="13">
        <v>1593193</v>
      </c>
      <c r="F58" s="13" t="s">
        <v>65</v>
      </c>
      <c r="G58" s="14">
        <v>20311913</v>
      </c>
      <c r="H58" s="13" t="s">
        <v>175</v>
      </c>
      <c r="I58" s="13" t="s">
        <v>83</v>
      </c>
      <c r="J58" s="14">
        <v>1</v>
      </c>
      <c r="K58" s="14">
        <v>8</v>
      </c>
      <c r="L58" s="15">
        <v>26.4</v>
      </c>
      <c r="M58" s="15">
        <v>26.4</v>
      </c>
    </row>
    <row r="59" spans="4:13">
      <c r="D59" s="12">
        <v>46122</v>
      </c>
      <c r="E59" s="13">
        <v>1593632</v>
      </c>
      <c r="F59" s="13" t="s">
        <v>20</v>
      </c>
      <c r="G59" s="14">
        <v>20303717</v>
      </c>
      <c r="H59" s="13" t="s">
        <v>70</v>
      </c>
      <c r="I59" s="13" t="s">
        <v>35</v>
      </c>
      <c r="J59" s="14">
        <v>2</v>
      </c>
      <c r="K59" s="14">
        <v>2</v>
      </c>
      <c r="L59" s="15">
        <v>4.8</v>
      </c>
      <c r="M59" s="15">
        <v>9.6</v>
      </c>
    </row>
    <row r="60" spans="4:13">
      <c r="D60" s="12">
        <v>46122</v>
      </c>
      <c r="E60" s="13">
        <v>1593632</v>
      </c>
      <c r="F60" s="13" t="s">
        <v>20</v>
      </c>
      <c r="G60" s="14">
        <v>20316042</v>
      </c>
      <c r="H60" s="13" t="s">
        <v>34</v>
      </c>
      <c r="I60" s="13" t="s">
        <v>35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46122</v>
      </c>
      <c r="E61" s="13">
        <v>1593632</v>
      </c>
      <c r="F61" s="13" t="s">
        <v>47</v>
      </c>
      <c r="G61" s="14">
        <v>20303758</v>
      </c>
      <c r="H61" s="13" t="s">
        <v>158</v>
      </c>
      <c r="I61" s="13" t="s">
        <v>83</v>
      </c>
      <c r="J61" s="14">
        <v>3</v>
      </c>
      <c r="K61" s="14">
        <v>24</v>
      </c>
      <c r="L61" s="15">
        <v>26.4</v>
      </c>
      <c r="M61" s="15">
        <v>79.2</v>
      </c>
    </row>
    <row r="62" spans="4:13">
      <c r="D62" s="12">
        <v>46122</v>
      </c>
      <c r="E62" s="13">
        <v>1593632</v>
      </c>
      <c r="F62" s="13" t="s">
        <v>47</v>
      </c>
      <c r="G62" s="14">
        <v>20303761</v>
      </c>
      <c r="H62" s="13" t="s">
        <v>159</v>
      </c>
      <c r="I62" s="13" t="s">
        <v>160</v>
      </c>
      <c r="J62" s="14">
        <v>2</v>
      </c>
      <c r="K62" s="14">
        <v>18</v>
      </c>
      <c r="L62" s="15">
        <v>29.7</v>
      </c>
      <c r="M62" s="15">
        <v>59.4</v>
      </c>
    </row>
    <row r="63" spans="4:13">
      <c r="D63" s="12">
        <v>46125</v>
      </c>
      <c r="E63" s="13">
        <v>1594146</v>
      </c>
      <c r="F63" s="13" t="s">
        <v>42</v>
      </c>
      <c r="G63" s="14">
        <v>20321455</v>
      </c>
      <c r="H63" s="13" t="s">
        <v>157</v>
      </c>
      <c r="I63" s="13" t="s">
        <v>83</v>
      </c>
      <c r="J63" s="14">
        <v>1</v>
      </c>
      <c r="K63" s="14">
        <v>9</v>
      </c>
      <c r="L63" s="15">
        <v>29.7</v>
      </c>
      <c r="M63" s="15">
        <v>29.7</v>
      </c>
    </row>
    <row r="64" spans="4:13">
      <c r="D64" s="12">
        <v>46128</v>
      </c>
      <c r="E64" s="13">
        <v>1595315</v>
      </c>
      <c r="F64" s="13" t="s">
        <v>20</v>
      </c>
      <c r="G64" s="14">
        <v>20367571</v>
      </c>
      <c r="H64" s="13" t="s">
        <v>162</v>
      </c>
      <c r="I64" s="13" t="s">
        <v>22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46128</v>
      </c>
      <c r="E65" s="13">
        <v>1595315</v>
      </c>
      <c r="F65" s="13" t="s">
        <v>42</v>
      </c>
      <c r="G65" s="14">
        <v>20303879</v>
      </c>
      <c r="H65" s="13" t="s">
        <v>176</v>
      </c>
      <c r="I65" s="13" t="s">
        <v>83</v>
      </c>
      <c r="J65" s="14">
        <v>1</v>
      </c>
      <c r="K65" s="14">
        <v>8</v>
      </c>
      <c r="L65" s="15">
        <v>26.4</v>
      </c>
      <c r="M65" s="15">
        <v>26.4</v>
      </c>
    </row>
    <row r="66" spans="4:13">
      <c r="D66" s="12">
        <v>46128</v>
      </c>
      <c r="E66" s="13">
        <v>1595315</v>
      </c>
      <c r="F66" s="13" t="s">
        <v>47</v>
      </c>
      <c r="G66" s="14">
        <v>20303758</v>
      </c>
      <c r="H66" s="13" t="s">
        <v>158</v>
      </c>
      <c r="I66" s="13" t="s">
        <v>83</v>
      </c>
      <c r="J66" s="14">
        <v>3</v>
      </c>
      <c r="K66" s="14">
        <v>24</v>
      </c>
      <c r="L66" s="15">
        <v>26.4</v>
      </c>
      <c r="M66" s="15">
        <v>79.2</v>
      </c>
    </row>
    <row r="67" spans="4:13">
      <c r="D67" s="12">
        <v>46128</v>
      </c>
      <c r="E67" s="13">
        <v>1595315</v>
      </c>
      <c r="F67" s="13" t="s">
        <v>47</v>
      </c>
      <c r="G67" s="14">
        <v>20303761</v>
      </c>
      <c r="H67" s="13" t="s">
        <v>159</v>
      </c>
      <c r="I67" s="13" t="s">
        <v>160</v>
      </c>
      <c r="J67" s="14">
        <v>5</v>
      </c>
      <c r="K67" s="14">
        <v>45</v>
      </c>
      <c r="L67" s="15">
        <v>29.7</v>
      </c>
      <c r="M67" s="15">
        <v>148.5</v>
      </c>
    </row>
    <row r="68" spans="4:13">
      <c r="D68" s="12">
        <v>46128</v>
      </c>
      <c r="E68" s="13">
        <v>1595315</v>
      </c>
      <c r="F68" s="13" t="s">
        <v>65</v>
      </c>
      <c r="G68" s="14">
        <v>20305200</v>
      </c>
      <c r="H68" s="13" t="s">
        <v>177</v>
      </c>
      <c r="I68" s="13" t="s">
        <v>83</v>
      </c>
      <c r="J68" s="14">
        <v>1</v>
      </c>
      <c r="K68" s="14">
        <v>4</v>
      </c>
      <c r="L68" s="15">
        <v>13.2</v>
      </c>
      <c r="M68" s="15">
        <v>13.2</v>
      </c>
    </row>
    <row r="69" spans="4:13">
      <c r="D69" s="12">
        <v>46132</v>
      </c>
      <c r="E69" s="13">
        <v>1596255</v>
      </c>
      <c r="F69" s="13" t="s">
        <v>20</v>
      </c>
      <c r="G69" s="14">
        <v>20361022</v>
      </c>
      <c r="H69" s="13" t="s">
        <v>155</v>
      </c>
      <c r="I69" s="13" t="s">
        <v>35</v>
      </c>
      <c r="J69" s="14">
        <v>1</v>
      </c>
      <c r="K69" s="14">
        <v>3</v>
      </c>
      <c r="L69" s="15">
        <v>9.9</v>
      </c>
      <c r="M69" s="15">
        <v>9.9</v>
      </c>
    </row>
    <row r="70" spans="4:13">
      <c r="D70" s="12">
        <v>46132</v>
      </c>
      <c r="E70" s="13">
        <v>1596255</v>
      </c>
      <c r="F70" s="13" t="s">
        <v>20</v>
      </c>
      <c r="G70" s="14">
        <v>20367571</v>
      </c>
      <c r="H70" s="13" t="s">
        <v>162</v>
      </c>
      <c r="I70" s="13" t="s">
        <v>22</v>
      </c>
      <c r="J70" s="14">
        <v>2</v>
      </c>
      <c r="K70" s="14">
        <v>2</v>
      </c>
      <c r="L70" s="15">
        <v>4.8</v>
      </c>
      <c r="M70" s="15">
        <v>9.6</v>
      </c>
    </row>
    <row r="71" spans="4:13">
      <c r="D71" s="12">
        <v>46132</v>
      </c>
      <c r="E71" s="13">
        <v>1596255</v>
      </c>
      <c r="F71" s="13" t="s">
        <v>42</v>
      </c>
      <c r="G71" s="14">
        <v>20303879</v>
      </c>
      <c r="H71" s="13" t="s">
        <v>176</v>
      </c>
      <c r="I71" s="13" t="s">
        <v>83</v>
      </c>
      <c r="J71" s="14">
        <v>1</v>
      </c>
      <c r="K71" s="14">
        <v>8</v>
      </c>
      <c r="L71" s="15">
        <v>26.4</v>
      </c>
      <c r="M71" s="15">
        <v>26.4</v>
      </c>
    </row>
    <row r="72" spans="4:13">
      <c r="D72" s="12">
        <v>46132</v>
      </c>
      <c r="E72" s="13">
        <v>1596255</v>
      </c>
      <c r="F72" s="13" t="s">
        <v>47</v>
      </c>
      <c r="G72" s="14">
        <v>20303758</v>
      </c>
      <c r="H72" s="13" t="s">
        <v>158</v>
      </c>
      <c r="I72" s="13" t="s">
        <v>83</v>
      </c>
      <c r="J72" s="14">
        <v>2</v>
      </c>
      <c r="K72" s="14">
        <v>16</v>
      </c>
      <c r="L72" s="15">
        <v>26.4</v>
      </c>
      <c r="M72" s="15">
        <v>52.8</v>
      </c>
    </row>
    <row r="73" spans="4:13">
      <c r="D73" s="12">
        <v>46132</v>
      </c>
      <c r="E73" s="13">
        <v>1596255</v>
      </c>
      <c r="F73" s="13" t="s">
        <v>47</v>
      </c>
      <c r="G73" s="14">
        <v>20303761</v>
      </c>
      <c r="H73" s="13" t="s">
        <v>159</v>
      </c>
      <c r="I73" s="13" t="s">
        <v>160</v>
      </c>
      <c r="J73" s="14">
        <v>3</v>
      </c>
      <c r="K73" s="14">
        <v>27</v>
      </c>
      <c r="L73" s="15">
        <v>29.7</v>
      </c>
      <c r="M73" s="15">
        <v>89.1</v>
      </c>
    </row>
    <row r="74" spans="4:13">
      <c r="D74" s="12">
        <v>46132</v>
      </c>
      <c r="E74" s="13">
        <v>1596255</v>
      </c>
      <c r="F74" s="13" t="s">
        <v>65</v>
      </c>
      <c r="G74" s="14">
        <v>20344748</v>
      </c>
      <c r="H74" s="13" t="s">
        <v>161</v>
      </c>
      <c r="I74" s="13" t="s">
        <v>83</v>
      </c>
      <c r="J74" s="14">
        <v>1</v>
      </c>
      <c r="K74" s="14">
        <v>1</v>
      </c>
      <c r="L74" s="15">
        <v>9.9</v>
      </c>
      <c r="M74" s="15">
        <v>9.9</v>
      </c>
    </row>
  </sheetData>
  <autoFilter xmlns:etc="http://www.wps.cn/officeDocument/2017/etCustomData" ref="A7:M74" etc:filterBottomFollowUsedRange="0">
    <extLst/>
  </autoFilter>
  <mergeCells count="5">
    <mergeCell ref="D8:I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5" customWidth="1"/>
    <col min="9" max="9" width="20.5416666666667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53</v>
      </c>
      <c r="K8" s="10">
        <v>53</v>
      </c>
      <c r="L8" s="11"/>
      <c r="M8" s="11">
        <v>374.4</v>
      </c>
    </row>
    <row r="9" spans="1:13">
      <c r="D9" s="12">
        <v>46107</v>
      </c>
      <c r="E9" s="13">
        <v>1589295</v>
      </c>
      <c r="F9" s="13" t="s">
        <v>20</v>
      </c>
      <c r="G9" s="14">
        <v>20309727</v>
      </c>
      <c r="H9" s="13" t="s">
        <v>179</v>
      </c>
      <c r="I9" s="13" t="s">
        <v>55</v>
      </c>
      <c r="J9" s="14">
        <v>6</v>
      </c>
      <c r="K9" s="14">
        <v>6</v>
      </c>
      <c r="L9" s="15">
        <v>7.8</v>
      </c>
      <c r="M9" s="15">
        <v>46.8</v>
      </c>
    </row>
    <row r="10" spans="1:13">
      <c r="D10" s="12">
        <v>46107</v>
      </c>
      <c r="E10" s="13">
        <v>1589295</v>
      </c>
      <c r="F10" s="13" t="s">
        <v>20</v>
      </c>
      <c r="G10" s="14">
        <v>20348438</v>
      </c>
      <c r="H10" s="13" t="s">
        <v>180</v>
      </c>
      <c r="I10" s="13" t="s">
        <v>139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46107</v>
      </c>
      <c r="E11" s="13">
        <v>1589295</v>
      </c>
      <c r="F11" s="13" t="s">
        <v>20</v>
      </c>
      <c r="G11" s="14">
        <v>20310470</v>
      </c>
      <c r="H11" s="13" t="s">
        <v>181</v>
      </c>
      <c r="I11" s="13" t="s">
        <v>139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46111</v>
      </c>
      <c r="E12" s="13">
        <v>1590229</v>
      </c>
      <c r="F12" s="13" t="s">
        <v>20</v>
      </c>
      <c r="G12" s="14">
        <v>20305111</v>
      </c>
      <c r="H12" s="13" t="s">
        <v>136</v>
      </c>
      <c r="I12" s="13" t="s">
        <v>29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46111</v>
      </c>
      <c r="E13" s="13">
        <v>1590229</v>
      </c>
      <c r="F13" s="13" t="s">
        <v>20</v>
      </c>
      <c r="G13" s="14">
        <v>20309727</v>
      </c>
      <c r="H13" s="13" t="s">
        <v>179</v>
      </c>
      <c r="I13" s="13" t="s">
        <v>55</v>
      </c>
      <c r="J13" s="14">
        <v>4</v>
      </c>
      <c r="K13" s="14">
        <v>4</v>
      </c>
      <c r="L13" s="15">
        <v>7.8</v>
      </c>
      <c r="M13" s="15">
        <v>31.2</v>
      </c>
    </row>
    <row r="14" spans="1:13">
      <c r="D14" s="12">
        <v>46113</v>
      </c>
      <c r="E14" s="13">
        <v>1591036</v>
      </c>
      <c r="F14" s="13" t="s">
        <v>20</v>
      </c>
      <c r="G14" s="14">
        <v>20305111</v>
      </c>
      <c r="H14" s="13" t="s">
        <v>136</v>
      </c>
      <c r="I14" s="13" t="s">
        <v>29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46113</v>
      </c>
      <c r="E15" s="13">
        <v>1591036</v>
      </c>
      <c r="F15" s="13" t="s">
        <v>20</v>
      </c>
      <c r="G15" s="14">
        <v>20309727</v>
      </c>
      <c r="H15" s="13" t="s">
        <v>179</v>
      </c>
      <c r="I15" s="13" t="s">
        <v>55</v>
      </c>
      <c r="J15" s="14">
        <v>8</v>
      </c>
      <c r="K15" s="14">
        <v>8</v>
      </c>
      <c r="L15" s="15">
        <v>7.8</v>
      </c>
      <c r="M15" s="15">
        <v>62.4</v>
      </c>
    </row>
    <row r="16" spans="1:13">
      <c r="D16" s="12">
        <v>46114</v>
      </c>
      <c r="E16" s="13">
        <v>1591393</v>
      </c>
      <c r="F16" s="13" t="s">
        <v>20</v>
      </c>
      <c r="G16" s="14">
        <v>20305111</v>
      </c>
      <c r="H16" s="13" t="s">
        <v>136</v>
      </c>
      <c r="I16" s="13" t="s">
        <v>29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46114</v>
      </c>
      <c r="E17" s="13">
        <v>1591393</v>
      </c>
      <c r="F17" s="13" t="s">
        <v>20</v>
      </c>
      <c r="G17" s="14">
        <v>20309727</v>
      </c>
      <c r="H17" s="13" t="s">
        <v>179</v>
      </c>
      <c r="I17" s="13" t="s">
        <v>55</v>
      </c>
      <c r="J17" s="14">
        <v>3</v>
      </c>
      <c r="K17" s="14">
        <v>3</v>
      </c>
      <c r="L17" s="15">
        <v>7.8</v>
      </c>
      <c r="M17" s="15">
        <v>23.4</v>
      </c>
    </row>
    <row r="18" spans="4:13">
      <c r="D18" s="12">
        <v>46115</v>
      </c>
      <c r="E18" s="13">
        <v>1591810</v>
      </c>
      <c r="F18" s="13" t="s">
        <v>20</v>
      </c>
      <c r="G18" s="14">
        <v>20305111</v>
      </c>
      <c r="H18" s="13" t="s">
        <v>136</v>
      </c>
      <c r="I18" s="13" t="s">
        <v>29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46115</v>
      </c>
      <c r="E19" s="13">
        <v>1591810</v>
      </c>
      <c r="F19" s="13" t="s">
        <v>20</v>
      </c>
      <c r="G19" s="14">
        <v>20309727</v>
      </c>
      <c r="H19" s="13" t="s">
        <v>179</v>
      </c>
      <c r="I19" s="13" t="s">
        <v>55</v>
      </c>
      <c r="J19" s="14">
        <v>4</v>
      </c>
      <c r="K19" s="14">
        <v>4</v>
      </c>
      <c r="L19" s="15">
        <v>7.8</v>
      </c>
      <c r="M19" s="15">
        <v>31.2</v>
      </c>
    </row>
    <row r="20" spans="4:13">
      <c r="D20" s="12">
        <v>46121</v>
      </c>
      <c r="E20" s="13">
        <v>1593179</v>
      </c>
      <c r="F20" s="13" t="s">
        <v>20</v>
      </c>
      <c r="G20" s="14">
        <v>20309727</v>
      </c>
      <c r="H20" s="13" t="s">
        <v>179</v>
      </c>
      <c r="I20" s="13" t="s">
        <v>55</v>
      </c>
      <c r="J20" s="14">
        <v>3</v>
      </c>
      <c r="K20" s="14">
        <v>3</v>
      </c>
      <c r="L20" s="15">
        <v>7.8</v>
      </c>
      <c r="M20" s="15">
        <v>23.4</v>
      </c>
    </row>
    <row r="21" spans="4:13">
      <c r="D21" s="12">
        <v>46121</v>
      </c>
      <c r="E21" s="13">
        <v>1593179</v>
      </c>
      <c r="F21" s="13" t="s">
        <v>20</v>
      </c>
      <c r="G21" s="14">
        <v>20348438</v>
      </c>
      <c r="H21" s="13" t="s">
        <v>180</v>
      </c>
      <c r="I21" s="13" t="s">
        <v>139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46125</v>
      </c>
      <c r="E22" s="13">
        <v>1594166</v>
      </c>
      <c r="F22" s="13" t="s">
        <v>20</v>
      </c>
      <c r="G22" s="14">
        <v>20305111</v>
      </c>
      <c r="H22" s="13" t="s">
        <v>136</v>
      </c>
      <c r="I22" s="13" t="s">
        <v>29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46125</v>
      </c>
      <c r="E23" s="13">
        <v>1594166</v>
      </c>
      <c r="F23" s="13" t="s">
        <v>20</v>
      </c>
      <c r="G23" s="14">
        <v>20309727</v>
      </c>
      <c r="H23" s="13" t="s">
        <v>179</v>
      </c>
      <c r="I23" s="13" t="s">
        <v>55</v>
      </c>
      <c r="J23" s="14">
        <v>4</v>
      </c>
      <c r="K23" s="14">
        <v>4</v>
      </c>
      <c r="L23" s="15">
        <v>7.8</v>
      </c>
      <c r="M23" s="15">
        <v>31.2</v>
      </c>
    </row>
    <row r="24" spans="4:13">
      <c r="D24" s="12">
        <v>46128</v>
      </c>
      <c r="E24" s="13">
        <v>1595321</v>
      </c>
      <c r="F24" s="13" t="s">
        <v>20</v>
      </c>
      <c r="G24" s="14">
        <v>20305111</v>
      </c>
      <c r="H24" s="13" t="s">
        <v>136</v>
      </c>
      <c r="I24" s="13" t="s">
        <v>29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46128</v>
      </c>
      <c r="E25" s="13">
        <v>1595321</v>
      </c>
      <c r="F25" s="13" t="s">
        <v>20</v>
      </c>
      <c r="G25" s="14">
        <v>20309727</v>
      </c>
      <c r="H25" s="13" t="s">
        <v>179</v>
      </c>
      <c r="I25" s="13" t="s">
        <v>55</v>
      </c>
      <c r="J25" s="14">
        <v>3</v>
      </c>
      <c r="K25" s="14">
        <v>3</v>
      </c>
      <c r="L25" s="15">
        <v>7.8</v>
      </c>
      <c r="M25" s="15">
        <v>23.4</v>
      </c>
    </row>
    <row r="26" spans="4:13">
      <c r="D26" s="12">
        <v>46132</v>
      </c>
      <c r="E26" s="13">
        <v>1596271</v>
      </c>
      <c r="F26" s="13" t="s">
        <v>20</v>
      </c>
      <c r="G26" s="14">
        <v>20305111</v>
      </c>
      <c r="H26" s="13" t="s">
        <v>136</v>
      </c>
      <c r="I26" s="13" t="s">
        <v>29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46132</v>
      </c>
      <c r="E27" s="13">
        <v>1596271</v>
      </c>
      <c r="F27" s="13" t="s">
        <v>20</v>
      </c>
      <c r="G27" s="14">
        <v>20309727</v>
      </c>
      <c r="H27" s="13" t="s">
        <v>179</v>
      </c>
      <c r="I27" s="13" t="s">
        <v>55</v>
      </c>
      <c r="J27" s="14">
        <v>5</v>
      </c>
      <c r="K27" s="14">
        <v>5</v>
      </c>
      <c r="L27" s="15">
        <v>7.8</v>
      </c>
      <c r="M27" s="15">
        <v>39</v>
      </c>
    </row>
  </sheetData>
  <mergeCells count="5">
    <mergeCell ref="D8:I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7.5" customWidth="1"/>
    <col min="10" max="10" width="6.475" customWidth="1"/>
    <col min="11" max="11" width="9.45" customWidth="1"/>
    <col min="12" max="12" width="10.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30</v>
      </c>
      <c r="L8" s="11"/>
      <c r="M8" s="11">
        <v>142.8</v>
      </c>
    </row>
    <row r="9" spans="1:13">
      <c r="D9" s="12">
        <v>46104</v>
      </c>
      <c r="E9" s="13">
        <v>1588397</v>
      </c>
      <c r="F9" s="13" t="s">
        <v>20</v>
      </c>
      <c r="G9" s="14">
        <v>20311063</v>
      </c>
      <c r="H9" s="13" t="s">
        <v>183</v>
      </c>
      <c r="I9" s="13" t="s">
        <v>29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46104</v>
      </c>
      <c r="E10" s="13">
        <v>1588397</v>
      </c>
      <c r="F10" s="13" t="s">
        <v>20</v>
      </c>
      <c r="G10" s="14">
        <v>20306250</v>
      </c>
      <c r="H10" s="13" t="s">
        <v>184</v>
      </c>
      <c r="I10" s="13" t="s">
        <v>55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46106</v>
      </c>
      <c r="E11" s="13">
        <v>1588939</v>
      </c>
      <c r="F11" s="13" t="s">
        <v>20</v>
      </c>
      <c r="G11" s="14">
        <v>20311063</v>
      </c>
      <c r="H11" s="13" t="s">
        <v>183</v>
      </c>
      <c r="I11" s="13" t="s">
        <v>29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46112</v>
      </c>
      <c r="E12" s="13">
        <v>1590672</v>
      </c>
      <c r="F12" s="13" t="s">
        <v>15</v>
      </c>
      <c r="G12" s="14">
        <v>20305206</v>
      </c>
      <c r="H12" s="13" t="s">
        <v>185</v>
      </c>
      <c r="I12" s="13" t="s">
        <v>186</v>
      </c>
      <c r="J12" s="14">
        <v>1</v>
      </c>
      <c r="K12" s="14">
        <v>1</v>
      </c>
      <c r="L12" s="15">
        <v>13.2</v>
      </c>
      <c r="M12" s="15">
        <v>13.2</v>
      </c>
    </row>
    <row r="13" spans="1:13">
      <c r="D13" s="12">
        <v>46114</v>
      </c>
      <c r="E13" s="13">
        <v>1591399</v>
      </c>
      <c r="F13" s="13" t="s">
        <v>20</v>
      </c>
      <c r="G13" s="14">
        <v>20303745</v>
      </c>
      <c r="H13" s="13" t="s">
        <v>187</v>
      </c>
      <c r="I13" s="13" t="s">
        <v>53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46114</v>
      </c>
      <c r="E14" s="13">
        <v>1591600</v>
      </c>
      <c r="F14" s="13" t="s">
        <v>20</v>
      </c>
      <c r="G14" s="14">
        <v>20305111</v>
      </c>
      <c r="H14" s="13" t="s">
        <v>136</v>
      </c>
      <c r="I14" s="13" t="s">
        <v>29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46114</v>
      </c>
      <c r="E15" s="13">
        <v>1591600</v>
      </c>
      <c r="F15" s="13" t="s">
        <v>20</v>
      </c>
      <c r="G15" s="14">
        <v>20303745</v>
      </c>
      <c r="H15" s="13" t="s">
        <v>187</v>
      </c>
      <c r="I15" s="13" t="s">
        <v>53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46114</v>
      </c>
      <c r="E16" s="13">
        <v>1591600</v>
      </c>
      <c r="F16" s="13" t="s">
        <v>15</v>
      </c>
      <c r="G16" s="14">
        <v>20305206</v>
      </c>
      <c r="H16" s="13" t="s">
        <v>185</v>
      </c>
      <c r="I16" s="13" t="s">
        <v>186</v>
      </c>
      <c r="J16" s="14">
        <v>1</v>
      </c>
      <c r="K16" s="14">
        <v>1</v>
      </c>
      <c r="L16" s="15">
        <v>13.2</v>
      </c>
      <c r="M16" s="15">
        <v>13.2</v>
      </c>
    </row>
    <row r="17" spans="4:13">
      <c r="D17" s="12">
        <v>46120</v>
      </c>
      <c r="E17" s="13">
        <v>1592792</v>
      </c>
      <c r="F17" s="13" t="s">
        <v>20</v>
      </c>
      <c r="G17" s="14">
        <v>20303745</v>
      </c>
      <c r="H17" s="13" t="s">
        <v>187</v>
      </c>
      <c r="I17" s="13" t="s">
        <v>53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46120</v>
      </c>
      <c r="E18" s="13">
        <v>1592792</v>
      </c>
      <c r="F18" s="13" t="s">
        <v>20</v>
      </c>
      <c r="G18" s="14">
        <v>20311063</v>
      </c>
      <c r="H18" s="13" t="s">
        <v>183</v>
      </c>
      <c r="I18" s="13" t="s">
        <v>29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46121</v>
      </c>
      <c r="E19" s="13">
        <v>1593377</v>
      </c>
      <c r="F19" s="13" t="s">
        <v>20</v>
      </c>
      <c r="G19" s="14">
        <v>20303745</v>
      </c>
      <c r="H19" s="13" t="s">
        <v>187</v>
      </c>
      <c r="I19" s="13" t="s">
        <v>53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46125</v>
      </c>
      <c r="E20" s="13">
        <v>1594150</v>
      </c>
      <c r="F20" s="13" t="s">
        <v>20</v>
      </c>
      <c r="G20" s="14">
        <v>20303745</v>
      </c>
      <c r="H20" s="13" t="s">
        <v>187</v>
      </c>
      <c r="I20" s="13" t="s">
        <v>53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46125</v>
      </c>
      <c r="E21" s="13">
        <v>1594193</v>
      </c>
      <c r="F21" s="13" t="s">
        <v>15</v>
      </c>
      <c r="G21" s="14">
        <v>20305206</v>
      </c>
      <c r="H21" s="13" t="s">
        <v>185</v>
      </c>
      <c r="I21" s="13" t="s">
        <v>186</v>
      </c>
      <c r="J21" s="14">
        <v>1</v>
      </c>
      <c r="K21" s="14">
        <v>1</v>
      </c>
      <c r="L21" s="15">
        <v>13.2</v>
      </c>
      <c r="M21" s="15">
        <v>13.2</v>
      </c>
    </row>
    <row r="22" spans="4:13">
      <c r="D22" s="12">
        <v>46127</v>
      </c>
      <c r="E22" s="13">
        <v>1595146</v>
      </c>
      <c r="F22" s="13" t="s">
        <v>20</v>
      </c>
      <c r="G22" s="14">
        <v>20303745</v>
      </c>
      <c r="H22" s="13" t="s">
        <v>187</v>
      </c>
      <c r="I22" s="13" t="s">
        <v>53</v>
      </c>
      <c r="J22" s="14">
        <v>1</v>
      </c>
      <c r="K22" s="14">
        <v>3</v>
      </c>
      <c r="L22" s="15">
        <v>9.9</v>
      </c>
      <c r="M22" s="15">
        <v>9.9</v>
      </c>
    </row>
    <row r="23" spans="4:13">
      <c r="D23" s="12">
        <v>46127</v>
      </c>
      <c r="E23" s="13">
        <v>1595146</v>
      </c>
      <c r="F23" s="13" t="s">
        <v>20</v>
      </c>
      <c r="G23" s="14">
        <v>20306250</v>
      </c>
      <c r="H23" s="13" t="s">
        <v>184</v>
      </c>
      <c r="I23" s="13" t="s">
        <v>55</v>
      </c>
      <c r="J23" s="14">
        <v>1</v>
      </c>
      <c r="K23" s="14">
        <v>2</v>
      </c>
      <c r="L23" s="15">
        <v>9.9</v>
      </c>
      <c r="M23" s="15">
        <v>9.9</v>
      </c>
    </row>
    <row r="24" ht="0.05" customHeight="1"/>
  </sheetData>
  <autoFilter xmlns:etc="http://www.wps.cn/officeDocument/2017/etCustomData" ref="A7:M23" etc:filterBottomFollowUsedRange="0">
    <extLst/>
  </autoFilter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workbookViewId="0">
      <pane ySplit="6" topLeftCell="A7" activePane="bottomLeft" state="frozen"/>
      <selection/>
      <selection pane="bottomLeft" activeCell="Q30" sqref="Q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" customWidth="1"/>
    <col min="9" max="9" width="17.875" customWidth="1"/>
    <col min="10" max="10" width="6.475" customWidth="1"/>
    <col min="11" max="11" width="9.45" customWidth="1"/>
    <col min="12" max="12" width="9.875" customWidth="1"/>
    <col min="13" max="13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4">
      <c r="D8" s="7" t="s">
        <v>188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/>
      <c r="K8" s="10"/>
      <c r="L8" s="11"/>
      <c r="M8" s="11"/>
    </row>
    <row r="9" spans="1:14">
      <c r="D9" s="12">
        <v>46110</v>
      </c>
      <c r="E9" s="13">
        <v>1590131</v>
      </c>
      <c r="F9" s="13" t="s">
        <v>189</v>
      </c>
      <c r="G9" s="14">
        <v>20309593</v>
      </c>
      <c r="H9" s="13" t="s">
        <v>190</v>
      </c>
      <c r="I9" s="13" t="s">
        <v>55</v>
      </c>
      <c r="J9" s="14">
        <v>1</v>
      </c>
      <c r="K9" s="14">
        <v>8</v>
      </c>
      <c r="L9" s="15">
        <v>26.4</v>
      </c>
      <c r="M9" s="15">
        <v>26.4</v>
      </c>
      <c r="N9" t="s">
        <v>188</v>
      </c>
    </row>
  </sheetData>
  <mergeCells count="5">
    <mergeCell ref="D8:I8"/>
    <mergeCell ref="C7:C9"/>
    <mergeCell ref="B4:H5"/>
    <mergeCell ref="C1:H2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5" customWidth="1"/>
    <col min="9" max="9" width="16.6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20</v>
      </c>
      <c r="K8" s="10">
        <v>92</v>
      </c>
      <c r="L8" s="11"/>
      <c r="M8" s="11">
        <v>316.5</v>
      </c>
    </row>
    <row r="9" spans="1:13">
      <c r="D9" s="12">
        <v>46104</v>
      </c>
      <c r="E9" s="13">
        <v>1588186</v>
      </c>
      <c r="F9" s="13" t="s">
        <v>42</v>
      </c>
      <c r="G9" s="14">
        <v>20373516</v>
      </c>
      <c r="H9" s="13" t="s">
        <v>192</v>
      </c>
      <c r="I9" s="13" t="s">
        <v>83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46105</v>
      </c>
      <c r="E10" s="13">
        <v>1588563</v>
      </c>
      <c r="F10" s="13" t="s">
        <v>20</v>
      </c>
      <c r="G10" s="14">
        <v>20380662</v>
      </c>
      <c r="H10" s="13" t="s">
        <v>187</v>
      </c>
      <c r="I10" s="13" t="s">
        <v>53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46107</v>
      </c>
      <c r="E11" s="13">
        <v>1589296</v>
      </c>
      <c r="F11" s="13" t="s">
        <v>42</v>
      </c>
      <c r="G11" s="14">
        <v>20373516</v>
      </c>
      <c r="H11" s="13" t="s">
        <v>192</v>
      </c>
      <c r="I11" s="13" t="s">
        <v>83</v>
      </c>
      <c r="J11" s="14">
        <v>1</v>
      </c>
      <c r="K11" s="14">
        <v>6</v>
      </c>
      <c r="L11" s="15">
        <v>19.8</v>
      </c>
      <c r="M11" s="15">
        <v>19.8</v>
      </c>
    </row>
    <row r="12" spans="1:13">
      <c r="D12" s="12">
        <v>46107</v>
      </c>
      <c r="E12" s="13">
        <v>1589296</v>
      </c>
      <c r="F12" s="13" t="s">
        <v>65</v>
      </c>
      <c r="G12" s="14">
        <v>20371205</v>
      </c>
      <c r="H12" s="13" t="s">
        <v>193</v>
      </c>
      <c r="I12" s="13" t="s">
        <v>44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46111</v>
      </c>
      <c r="E13" s="13">
        <v>1590230</v>
      </c>
      <c r="F13" s="13" t="s">
        <v>42</v>
      </c>
      <c r="G13" s="14">
        <v>20373516</v>
      </c>
      <c r="H13" s="13" t="s">
        <v>192</v>
      </c>
      <c r="I13" s="13" t="s">
        <v>83</v>
      </c>
      <c r="J13" s="14">
        <v>1</v>
      </c>
      <c r="K13" s="14">
        <v>6</v>
      </c>
      <c r="L13" s="15">
        <v>19.8</v>
      </c>
      <c r="M13" s="15">
        <v>19.8</v>
      </c>
    </row>
    <row r="14" spans="1:13">
      <c r="D14" s="12">
        <v>46111</v>
      </c>
      <c r="E14" s="13">
        <v>1590230</v>
      </c>
      <c r="F14" s="13" t="s">
        <v>65</v>
      </c>
      <c r="G14" s="14">
        <v>20371205</v>
      </c>
      <c r="H14" s="13" t="s">
        <v>193</v>
      </c>
      <c r="I14" s="13" t="s">
        <v>44</v>
      </c>
      <c r="J14" s="14">
        <v>1</v>
      </c>
      <c r="K14" s="14">
        <v>6</v>
      </c>
      <c r="L14" s="15">
        <v>19.8</v>
      </c>
      <c r="M14" s="15">
        <v>19.8</v>
      </c>
    </row>
    <row r="15" spans="1:13">
      <c r="D15" s="12">
        <v>46114</v>
      </c>
      <c r="E15" s="13">
        <v>1591385</v>
      </c>
      <c r="F15" s="13" t="s">
        <v>42</v>
      </c>
      <c r="G15" s="14">
        <v>20373516</v>
      </c>
      <c r="H15" s="13" t="s">
        <v>192</v>
      </c>
      <c r="I15" s="13" t="s">
        <v>83</v>
      </c>
      <c r="J15" s="14">
        <v>1</v>
      </c>
      <c r="K15" s="14">
        <v>6</v>
      </c>
      <c r="L15" s="15">
        <v>19.8</v>
      </c>
      <c r="M15" s="15">
        <v>19.8</v>
      </c>
    </row>
    <row r="16" spans="1:13">
      <c r="D16" s="12">
        <v>46119</v>
      </c>
      <c r="E16" s="13">
        <v>1592405</v>
      </c>
      <c r="F16" s="13" t="s">
        <v>20</v>
      </c>
      <c r="G16" s="14">
        <v>20380662</v>
      </c>
      <c r="H16" s="13" t="s">
        <v>187</v>
      </c>
      <c r="I16" s="13" t="s">
        <v>53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46119</v>
      </c>
      <c r="E17" s="13">
        <v>1592405</v>
      </c>
      <c r="F17" s="13" t="s">
        <v>20</v>
      </c>
      <c r="G17" s="14">
        <v>20310044</v>
      </c>
      <c r="H17" s="13" t="s">
        <v>194</v>
      </c>
      <c r="I17" s="13" t="s">
        <v>53</v>
      </c>
      <c r="J17" s="14">
        <v>2</v>
      </c>
      <c r="K17" s="14">
        <v>4</v>
      </c>
      <c r="L17" s="15">
        <v>9.9</v>
      </c>
      <c r="M17" s="15">
        <v>19.8</v>
      </c>
    </row>
    <row r="18" spans="4:13">
      <c r="D18" s="12">
        <v>46119</v>
      </c>
      <c r="E18" s="13">
        <v>1592405</v>
      </c>
      <c r="F18" s="13" t="s">
        <v>42</v>
      </c>
      <c r="G18" s="14">
        <v>20373516</v>
      </c>
      <c r="H18" s="13" t="s">
        <v>192</v>
      </c>
      <c r="I18" s="13" t="s">
        <v>83</v>
      </c>
      <c r="J18" s="14">
        <v>1</v>
      </c>
      <c r="K18" s="14">
        <v>6</v>
      </c>
      <c r="L18" s="15">
        <v>19.8</v>
      </c>
      <c r="M18" s="15">
        <v>19.8</v>
      </c>
    </row>
    <row r="19" spans="4:13">
      <c r="D19" s="12">
        <v>46119</v>
      </c>
      <c r="E19" s="13">
        <v>1592405</v>
      </c>
      <c r="F19" s="13" t="s">
        <v>65</v>
      </c>
      <c r="G19" s="14">
        <v>20371205</v>
      </c>
      <c r="H19" s="13" t="s">
        <v>193</v>
      </c>
      <c r="I19" s="13" t="s">
        <v>44</v>
      </c>
      <c r="J19" s="14">
        <v>1</v>
      </c>
      <c r="K19" s="14">
        <v>6</v>
      </c>
      <c r="L19" s="15">
        <v>19.8</v>
      </c>
      <c r="M19" s="15">
        <v>19.8</v>
      </c>
    </row>
    <row r="20" spans="4:13">
      <c r="D20" s="12">
        <v>46121</v>
      </c>
      <c r="E20" s="13">
        <v>1593178</v>
      </c>
      <c r="F20" s="13" t="s">
        <v>42</v>
      </c>
      <c r="G20" s="14">
        <v>20373516</v>
      </c>
      <c r="H20" s="13" t="s">
        <v>192</v>
      </c>
      <c r="I20" s="13" t="s">
        <v>83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46125</v>
      </c>
      <c r="E21" s="13">
        <v>1594160</v>
      </c>
      <c r="F21" s="13" t="s">
        <v>42</v>
      </c>
      <c r="G21" s="14">
        <v>20373516</v>
      </c>
      <c r="H21" s="13" t="s">
        <v>192</v>
      </c>
      <c r="I21" s="13" t="s">
        <v>83</v>
      </c>
      <c r="J21" s="14">
        <v>1</v>
      </c>
      <c r="K21" s="14">
        <v>6</v>
      </c>
      <c r="L21" s="15">
        <v>19.8</v>
      </c>
      <c r="M21" s="15">
        <v>19.8</v>
      </c>
    </row>
    <row r="22" spans="4:13">
      <c r="D22" s="12">
        <v>46128</v>
      </c>
      <c r="E22" s="13">
        <v>1595322</v>
      </c>
      <c r="F22" s="13" t="s">
        <v>20</v>
      </c>
      <c r="G22" s="14">
        <v>20355780</v>
      </c>
      <c r="H22" s="13" t="s">
        <v>195</v>
      </c>
      <c r="I22" s="13" t="s">
        <v>105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46128</v>
      </c>
      <c r="E23" s="13">
        <v>1595322</v>
      </c>
      <c r="F23" s="13" t="s">
        <v>20</v>
      </c>
      <c r="G23" s="14">
        <v>20310044</v>
      </c>
      <c r="H23" s="13" t="s">
        <v>194</v>
      </c>
      <c r="I23" s="13" t="s">
        <v>53</v>
      </c>
      <c r="J23" s="14">
        <v>1</v>
      </c>
      <c r="K23" s="14">
        <v>2</v>
      </c>
      <c r="L23" s="15">
        <v>9.9</v>
      </c>
      <c r="M23" s="15">
        <v>9.9</v>
      </c>
    </row>
    <row r="24" spans="4:13">
      <c r="D24" s="12">
        <v>46128</v>
      </c>
      <c r="E24" s="13">
        <v>1595322</v>
      </c>
      <c r="F24" s="13" t="s">
        <v>42</v>
      </c>
      <c r="G24" s="14">
        <v>20373516</v>
      </c>
      <c r="H24" s="13" t="s">
        <v>192</v>
      </c>
      <c r="I24" s="13" t="s">
        <v>83</v>
      </c>
      <c r="J24" s="14">
        <v>1</v>
      </c>
      <c r="K24" s="14">
        <v>6</v>
      </c>
      <c r="L24" s="15">
        <v>19.8</v>
      </c>
      <c r="M24" s="15">
        <v>19.8</v>
      </c>
    </row>
    <row r="25" spans="4:13">
      <c r="D25" s="12">
        <v>46128</v>
      </c>
      <c r="E25" s="13">
        <v>1595322</v>
      </c>
      <c r="F25" s="13" t="s">
        <v>65</v>
      </c>
      <c r="G25" s="14">
        <v>20371205</v>
      </c>
      <c r="H25" s="13" t="s">
        <v>193</v>
      </c>
      <c r="I25" s="13" t="s">
        <v>44</v>
      </c>
      <c r="J25" s="14">
        <v>1</v>
      </c>
      <c r="K25" s="14">
        <v>6</v>
      </c>
      <c r="L25" s="15">
        <v>19.8</v>
      </c>
      <c r="M25" s="15">
        <v>19.8</v>
      </c>
    </row>
    <row r="26" spans="4:13">
      <c r="D26" s="12">
        <v>46128</v>
      </c>
      <c r="E26" s="13">
        <v>1595467</v>
      </c>
      <c r="F26" s="13" t="s">
        <v>20</v>
      </c>
      <c r="G26" s="14">
        <v>20303977</v>
      </c>
      <c r="H26" s="13" t="s">
        <v>196</v>
      </c>
      <c r="I26" s="13" t="s">
        <v>33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46132</v>
      </c>
      <c r="E27" s="13">
        <v>1596265</v>
      </c>
      <c r="F27" s="13" t="s">
        <v>42</v>
      </c>
      <c r="G27" s="14">
        <v>20373516</v>
      </c>
      <c r="H27" s="13" t="s">
        <v>192</v>
      </c>
      <c r="I27" s="13" t="s">
        <v>83</v>
      </c>
      <c r="J27" s="14">
        <v>1</v>
      </c>
      <c r="K27" s="14">
        <v>6</v>
      </c>
      <c r="L27" s="15">
        <v>19.8</v>
      </c>
      <c r="M27" s="15">
        <v>19.8</v>
      </c>
    </row>
  </sheetData>
  <autoFilter xmlns:etc="http://www.wps.cn/officeDocument/2017/etCustomData" ref="A7:M27" etc:filterBottomFollowUsedRange="0">
    <extLst/>
  </autoFilter>
  <mergeCells count="5">
    <mergeCell ref="D8:I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125" customWidth="1"/>
    <col min="9" max="9" width="16.625" customWidth="1"/>
    <col min="10" max="10" width="6.475" customWidth="1"/>
    <col min="11" max="11" width="9.45" customWidth="1"/>
    <col min="12" max="12" width="9.37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42</v>
      </c>
      <c r="L8" s="11"/>
      <c r="M8" s="11">
        <v>138.6</v>
      </c>
    </row>
    <row r="9" spans="1:13">
      <c r="D9" s="12">
        <v>46105</v>
      </c>
      <c r="E9" s="13">
        <v>1588564</v>
      </c>
      <c r="F9" s="13" t="s">
        <v>20</v>
      </c>
      <c r="G9" s="14">
        <v>20310776</v>
      </c>
      <c r="H9" s="13" t="s">
        <v>198</v>
      </c>
      <c r="I9" s="13" t="s">
        <v>55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46111</v>
      </c>
      <c r="E10" s="13">
        <v>1590211</v>
      </c>
      <c r="F10" s="13" t="s">
        <v>20</v>
      </c>
      <c r="G10" s="14">
        <v>20310776</v>
      </c>
      <c r="H10" s="13" t="s">
        <v>198</v>
      </c>
      <c r="I10" s="13" t="s">
        <v>55</v>
      </c>
      <c r="J10" s="14">
        <v>1</v>
      </c>
      <c r="K10" s="14">
        <v>6</v>
      </c>
      <c r="L10" s="15">
        <v>19.8</v>
      </c>
      <c r="M10" s="15">
        <v>19.8</v>
      </c>
    </row>
    <row r="11" spans="1:13">
      <c r="D11" s="12">
        <v>46114</v>
      </c>
      <c r="E11" s="13">
        <v>1591386</v>
      </c>
      <c r="F11" s="13" t="s">
        <v>42</v>
      </c>
      <c r="G11" s="14">
        <v>20303862</v>
      </c>
      <c r="H11" s="13" t="s">
        <v>199</v>
      </c>
      <c r="I11" s="13" t="s">
        <v>83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46119</v>
      </c>
      <c r="E12" s="13">
        <v>1592387</v>
      </c>
      <c r="F12" s="13" t="s">
        <v>42</v>
      </c>
      <c r="G12" s="14">
        <v>20303862</v>
      </c>
      <c r="H12" s="13" t="s">
        <v>199</v>
      </c>
      <c r="I12" s="13" t="s">
        <v>83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46121</v>
      </c>
      <c r="E13" s="13">
        <v>1593180</v>
      </c>
      <c r="F13" s="13" t="s">
        <v>42</v>
      </c>
      <c r="G13" s="14">
        <v>20303862</v>
      </c>
      <c r="H13" s="13" t="s">
        <v>199</v>
      </c>
      <c r="I13" s="13" t="s">
        <v>83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46125</v>
      </c>
      <c r="E14" s="13">
        <v>1594161</v>
      </c>
      <c r="F14" s="13" t="s">
        <v>42</v>
      </c>
      <c r="G14" s="14">
        <v>20303862</v>
      </c>
      <c r="H14" s="13" t="s">
        <v>199</v>
      </c>
      <c r="I14" s="13" t="s">
        <v>83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46128</v>
      </c>
      <c r="E15" s="13">
        <v>1595323</v>
      </c>
      <c r="F15" s="13" t="s">
        <v>42</v>
      </c>
      <c r="G15" s="14">
        <v>20303862</v>
      </c>
      <c r="H15" s="13" t="s">
        <v>199</v>
      </c>
      <c r="I15" s="13" t="s">
        <v>83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46132</v>
      </c>
      <c r="E16" s="13">
        <v>1596266</v>
      </c>
      <c r="F16" s="13" t="s">
        <v>42</v>
      </c>
      <c r="G16" s="14">
        <v>20303862</v>
      </c>
      <c r="H16" s="13" t="s">
        <v>199</v>
      </c>
      <c r="I16" s="13" t="s">
        <v>83</v>
      </c>
      <c r="J16" s="14">
        <v>1</v>
      </c>
      <c r="K16" s="14">
        <v>5</v>
      </c>
      <c r="L16" s="15">
        <v>16.5</v>
      </c>
      <c r="M16" s="15">
        <v>16.5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" customWidth="1"/>
    <col min="9" max="9" width="17.5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44</v>
      </c>
      <c r="L8" s="11"/>
      <c r="M8" s="11">
        <v>145.2</v>
      </c>
    </row>
    <row r="9" spans="1:13">
      <c r="D9" s="12">
        <v>46104</v>
      </c>
      <c r="E9" s="13">
        <v>1588187</v>
      </c>
      <c r="F9" s="13" t="s">
        <v>42</v>
      </c>
      <c r="G9" s="14">
        <v>20303862</v>
      </c>
      <c r="H9" s="13" t="s">
        <v>199</v>
      </c>
      <c r="I9" s="13" t="s">
        <v>83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46105</v>
      </c>
      <c r="E10" s="13">
        <v>1588565</v>
      </c>
      <c r="F10" s="13" t="s">
        <v>20</v>
      </c>
      <c r="G10" s="14">
        <v>20309873</v>
      </c>
      <c r="H10" s="13" t="s">
        <v>201</v>
      </c>
      <c r="I10" s="13" t="s">
        <v>55</v>
      </c>
      <c r="J10" s="14">
        <v>1</v>
      </c>
      <c r="K10" s="14">
        <v>7</v>
      </c>
      <c r="L10" s="15">
        <v>23.1</v>
      </c>
      <c r="M10" s="15">
        <v>23.1</v>
      </c>
    </row>
    <row r="11" spans="1:13">
      <c r="D11" s="12">
        <v>46107</v>
      </c>
      <c r="E11" s="13">
        <v>1589283</v>
      </c>
      <c r="F11" s="13" t="s">
        <v>42</v>
      </c>
      <c r="G11" s="14">
        <v>20303862</v>
      </c>
      <c r="H11" s="13" t="s">
        <v>199</v>
      </c>
      <c r="I11" s="13" t="s">
        <v>83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46111</v>
      </c>
      <c r="E12" s="13">
        <v>1590212</v>
      </c>
      <c r="F12" s="13" t="s">
        <v>20</v>
      </c>
      <c r="G12" s="14">
        <v>20311622</v>
      </c>
      <c r="H12" s="13" t="s">
        <v>202</v>
      </c>
      <c r="I12" s="13" t="s">
        <v>55</v>
      </c>
      <c r="J12" s="14">
        <v>1</v>
      </c>
      <c r="K12" s="14">
        <v>8</v>
      </c>
      <c r="L12" s="15">
        <v>26.4</v>
      </c>
      <c r="M12" s="15">
        <v>26.4</v>
      </c>
    </row>
    <row r="13" spans="1:13">
      <c r="D13" s="12">
        <v>46111</v>
      </c>
      <c r="E13" s="13">
        <v>1590212</v>
      </c>
      <c r="F13" s="13" t="s">
        <v>42</v>
      </c>
      <c r="G13" s="14">
        <v>20303862</v>
      </c>
      <c r="H13" s="13" t="s">
        <v>199</v>
      </c>
      <c r="I13" s="13" t="s">
        <v>83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46128</v>
      </c>
      <c r="E14" s="13">
        <v>1595324</v>
      </c>
      <c r="F14" s="13" t="s">
        <v>20</v>
      </c>
      <c r="G14" s="14">
        <v>20309873</v>
      </c>
      <c r="H14" s="13" t="s">
        <v>201</v>
      </c>
      <c r="I14" s="13" t="s">
        <v>55</v>
      </c>
      <c r="J14" s="14">
        <v>2</v>
      </c>
      <c r="K14" s="14">
        <v>14</v>
      </c>
      <c r="L14" s="15">
        <v>23.1</v>
      </c>
      <c r="M14" s="15">
        <v>46.2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9.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46126</v>
      </c>
      <c r="E9" s="13">
        <v>1594577</v>
      </c>
      <c r="F9" s="13" t="s">
        <v>15</v>
      </c>
      <c r="G9" s="14">
        <v>20313522</v>
      </c>
      <c r="H9" s="13" t="s">
        <v>97</v>
      </c>
      <c r="I9" s="13" t="s">
        <v>98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24.8166666666667" customWidth="1"/>
    <col min="9" max="9" width="16.875" customWidth="1"/>
    <col min="10" max="10" width="6.475" customWidth="1"/>
    <col min="11" max="11" width="9.45" customWidth="1"/>
    <col min="12" max="12" width="9.87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65.4</v>
      </c>
    </row>
    <row r="9" spans="1:13">
      <c r="D9" s="12">
        <v>46114</v>
      </c>
      <c r="E9" s="13">
        <v>1591516</v>
      </c>
      <c r="F9" s="13" t="s">
        <v>20</v>
      </c>
      <c r="G9" s="14">
        <v>20315425</v>
      </c>
      <c r="H9" s="13" t="s">
        <v>21</v>
      </c>
      <c r="I9" s="13" t="s">
        <v>22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46114</v>
      </c>
      <c r="E10" s="13">
        <v>1591516</v>
      </c>
      <c r="F10" s="13" t="s">
        <v>15</v>
      </c>
      <c r="G10" s="14">
        <v>20313370</v>
      </c>
      <c r="H10" s="13" t="s">
        <v>16</v>
      </c>
      <c r="I10" s="13" t="s">
        <v>17</v>
      </c>
      <c r="J10" s="14">
        <v>3</v>
      </c>
      <c r="K10" s="14">
        <v>3</v>
      </c>
      <c r="L10" s="15">
        <v>13.2</v>
      </c>
      <c r="M10" s="15">
        <v>39.6</v>
      </c>
    </row>
    <row r="11" ht="25.5" spans="1:13">
      <c r="D11" s="12">
        <v>46115</v>
      </c>
      <c r="E11" s="13">
        <v>1591750</v>
      </c>
      <c r="F11" s="13" t="s">
        <v>24</v>
      </c>
      <c r="G11" s="14">
        <v>20306248</v>
      </c>
      <c r="H11" s="13" t="s">
        <v>37</v>
      </c>
      <c r="I11" s="13" t="s">
        <v>38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1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74</v>
      </c>
      <c r="K8" s="10">
        <v>308</v>
      </c>
      <c r="L8" s="11"/>
      <c r="M8" s="11">
        <v>1037.1</v>
      </c>
    </row>
    <row r="9" spans="1:13">
      <c r="D9" s="12">
        <v>46103</v>
      </c>
      <c r="E9" s="13">
        <v>1588109</v>
      </c>
      <c r="F9" s="13" t="s">
        <v>20</v>
      </c>
      <c r="G9" s="14">
        <v>20303943</v>
      </c>
      <c r="H9" s="13" t="s">
        <v>206</v>
      </c>
      <c r="I9" s="13" t="s">
        <v>31</v>
      </c>
      <c r="J9" s="14">
        <v>4</v>
      </c>
      <c r="K9" s="14">
        <v>12</v>
      </c>
      <c r="L9" s="15">
        <v>9.9</v>
      </c>
      <c r="M9" s="15">
        <v>39.6</v>
      </c>
    </row>
    <row r="10" spans="1:13">
      <c r="D10" s="12">
        <v>46103</v>
      </c>
      <c r="E10" s="13">
        <v>1588109</v>
      </c>
      <c r="F10" s="13" t="s">
        <v>20</v>
      </c>
      <c r="G10" s="14">
        <v>20303867</v>
      </c>
      <c r="H10" s="13" t="s">
        <v>207</v>
      </c>
      <c r="I10" s="13" t="s">
        <v>53</v>
      </c>
      <c r="J10" s="14">
        <v>2</v>
      </c>
      <c r="K10" s="14">
        <v>10</v>
      </c>
      <c r="L10" s="15">
        <v>16.5</v>
      </c>
      <c r="M10" s="15">
        <v>33</v>
      </c>
    </row>
    <row r="11" spans="1:13">
      <c r="D11" s="12">
        <v>46104</v>
      </c>
      <c r="E11" s="13">
        <v>1588188</v>
      </c>
      <c r="F11" s="13" t="s">
        <v>20</v>
      </c>
      <c r="G11" s="14">
        <v>20303943</v>
      </c>
      <c r="H11" s="13" t="s">
        <v>206</v>
      </c>
      <c r="I11" s="13" t="s">
        <v>31</v>
      </c>
      <c r="J11" s="14">
        <v>2</v>
      </c>
      <c r="K11" s="14">
        <v>6</v>
      </c>
      <c r="L11" s="15">
        <v>9.9</v>
      </c>
      <c r="M11" s="15">
        <v>19.8</v>
      </c>
    </row>
    <row r="12" spans="1:13">
      <c r="D12" s="12">
        <v>46104</v>
      </c>
      <c r="E12" s="13">
        <v>1588188</v>
      </c>
      <c r="F12" s="13" t="s">
        <v>42</v>
      </c>
      <c r="G12" s="14">
        <v>20303865</v>
      </c>
      <c r="H12" s="13" t="s">
        <v>208</v>
      </c>
      <c r="I12" s="13" t="s">
        <v>2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46107</v>
      </c>
      <c r="E13" s="13">
        <v>1589297</v>
      </c>
      <c r="F13" s="13" t="s">
        <v>20</v>
      </c>
      <c r="G13" s="14">
        <v>20303943</v>
      </c>
      <c r="H13" s="13" t="s">
        <v>206</v>
      </c>
      <c r="I13" s="13" t="s">
        <v>31</v>
      </c>
      <c r="J13" s="14">
        <v>4</v>
      </c>
      <c r="K13" s="14">
        <v>12</v>
      </c>
      <c r="L13" s="15">
        <v>9.9</v>
      </c>
      <c r="M13" s="15">
        <v>39.6</v>
      </c>
    </row>
    <row r="14" spans="1:13">
      <c r="D14" s="12">
        <v>46107</v>
      </c>
      <c r="E14" s="13">
        <v>1589297</v>
      </c>
      <c r="F14" s="13" t="s">
        <v>20</v>
      </c>
      <c r="G14" s="14">
        <v>20303867</v>
      </c>
      <c r="H14" s="13" t="s">
        <v>207</v>
      </c>
      <c r="I14" s="13" t="s">
        <v>53</v>
      </c>
      <c r="J14" s="14">
        <v>6</v>
      </c>
      <c r="K14" s="14">
        <v>30</v>
      </c>
      <c r="L14" s="15">
        <v>16.5</v>
      </c>
      <c r="M14" s="15">
        <v>99</v>
      </c>
    </row>
    <row r="15" spans="1:13">
      <c r="D15" s="12">
        <v>46107</v>
      </c>
      <c r="E15" s="13">
        <v>1589297</v>
      </c>
      <c r="F15" s="13" t="s">
        <v>20</v>
      </c>
      <c r="G15" s="14">
        <v>20360463</v>
      </c>
      <c r="H15" s="13" t="s">
        <v>209</v>
      </c>
      <c r="I15" s="13" t="s">
        <v>31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46107</v>
      </c>
      <c r="E16" s="13">
        <v>1589297</v>
      </c>
      <c r="F16" s="13" t="s">
        <v>42</v>
      </c>
      <c r="G16" s="14">
        <v>20303865</v>
      </c>
      <c r="H16" s="13" t="s">
        <v>208</v>
      </c>
      <c r="I16" s="13" t="s">
        <v>2</v>
      </c>
      <c r="J16" s="14">
        <v>1</v>
      </c>
      <c r="K16" s="14">
        <v>6</v>
      </c>
      <c r="L16" s="15">
        <v>19.8</v>
      </c>
      <c r="M16" s="15">
        <v>19.8</v>
      </c>
    </row>
    <row r="17" spans="4:13">
      <c r="D17" s="12">
        <v>46111</v>
      </c>
      <c r="E17" s="13">
        <v>1590231</v>
      </c>
      <c r="F17" s="13" t="s">
        <v>20</v>
      </c>
      <c r="G17" s="14">
        <v>20303943</v>
      </c>
      <c r="H17" s="13" t="s">
        <v>206</v>
      </c>
      <c r="I17" s="13" t="s">
        <v>31</v>
      </c>
      <c r="J17" s="14">
        <v>3</v>
      </c>
      <c r="K17" s="14">
        <v>9</v>
      </c>
      <c r="L17" s="15">
        <v>9.9</v>
      </c>
      <c r="M17" s="15">
        <v>29.7</v>
      </c>
    </row>
    <row r="18" spans="4:13">
      <c r="D18" s="12">
        <v>46111</v>
      </c>
      <c r="E18" s="13">
        <v>1590231</v>
      </c>
      <c r="F18" s="13" t="s">
        <v>20</v>
      </c>
      <c r="G18" s="14">
        <v>20303867</v>
      </c>
      <c r="H18" s="13" t="s">
        <v>207</v>
      </c>
      <c r="I18" s="13" t="s">
        <v>53</v>
      </c>
      <c r="J18" s="14">
        <v>4</v>
      </c>
      <c r="K18" s="14">
        <v>20</v>
      </c>
      <c r="L18" s="15">
        <v>16.5</v>
      </c>
      <c r="M18" s="15">
        <v>66</v>
      </c>
    </row>
    <row r="19" spans="4:13">
      <c r="D19" s="12">
        <v>46111</v>
      </c>
      <c r="E19" s="13">
        <v>1590231</v>
      </c>
      <c r="F19" s="13" t="s">
        <v>42</v>
      </c>
      <c r="G19" s="14">
        <v>20303865</v>
      </c>
      <c r="H19" s="13" t="s">
        <v>208</v>
      </c>
      <c r="I19" s="13" t="s">
        <v>2</v>
      </c>
      <c r="J19" s="14">
        <v>1</v>
      </c>
      <c r="K19" s="14">
        <v>6</v>
      </c>
      <c r="L19" s="15">
        <v>19.8</v>
      </c>
      <c r="M19" s="15">
        <v>19.8</v>
      </c>
    </row>
    <row r="20" spans="4:13">
      <c r="D20" s="12">
        <v>46114</v>
      </c>
      <c r="E20" s="13">
        <v>1591400</v>
      </c>
      <c r="F20" s="13" t="s">
        <v>20</v>
      </c>
      <c r="G20" s="14">
        <v>20303943</v>
      </c>
      <c r="H20" s="13" t="s">
        <v>206</v>
      </c>
      <c r="I20" s="13" t="s">
        <v>31</v>
      </c>
      <c r="J20" s="14">
        <v>2</v>
      </c>
      <c r="K20" s="14">
        <v>6</v>
      </c>
      <c r="L20" s="15">
        <v>9.9</v>
      </c>
      <c r="M20" s="15">
        <v>19.8</v>
      </c>
    </row>
    <row r="21" spans="4:13">
      <c r="D21" s="12">
        <v>46114</v>
      </c>
      <c r="E21" s="13">
        <v>1591400</v>
      </c>
      <c r="F21" s="13" t="s">
        <v>20</v>
      </c>
      <c r="G21" s="14">
        <v>20303867</v>
      </c>
      <c r="H21" s="13" t="s">
        <v>207</v>
      </c>
      <c r="I21" s="13" t="s">
        <v>53</v>
      </c>
      <c r="J21" s="14">
        <v>3</v>
      </c>
      <c r="K21" s="14">
        <v>15</v>
      </c>
      <c r="L21" s="15">
        <v>16.5</v>
      </c>
      <c r="M21" s="15">
        <v>49.5</v>
      </c>
    </row>
    <row r="22" spans="4:13">
      <c r="D22" s="12">
        <v>46114</v>
      </c>
      <c r="E22" s="13">
        <v>1591400</v>
      </c>
      <c r="F22" s="13" t="s">
        <v>20</v>
      </c>
      <c r="G22" s="14">
        <v>20360463</v>
      </c>
      <c r="H22" s="13" t="s">
        <v>209</v>
      </c>
      <c r="I22" s="13" t="s">
        <v>31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46114</v>
      </c>
      <c r="E23" s="13">
        <v>1591400</v>
      </c>
      <c r="F23" s="13" t="s">
        <v>42</v>
      </c>
      <c r="G23" s="14">
        <v>20303865</v>
      </c>
      <c r="H23" s="13" t="s">
        <v>208</v>
      </c>
      <c r="I23" s="13" t="s">
        <v>2</v>
      </c>
      <c r="J23" s="14">
        <v>1</v>
      </c>
      <c r="K23" s="14">
        <v>6</v>
      </c>
      <c r="L23" s="15">
        <v>19.8</v>
      </c>
      <c r="M23" s="15">
        <v>19.8</v>
      </c>
    </row>
    <row r="24" ht="25.5" spans="4:13">
      <c r="D24" s="12">
        <v>46115</v>
      </c>
      <c r="E24" s="13">
        <v>1591751</v>
      </c>
      <c r="F24" s="13" t="s">
        <v>24</v>
      </c>
      <c r="G24" s="14">
        <v>20378207</v>
      </c>
      <c r="H24" s="13" t="s">
        <v>210</v>
      </c>
      <c r="I24" s="13" t="s">
        <v>38</v>
      </c>
      <c r="J24" s="14">
        <v>1</v>
      </c>
      <c r="K24" s="14">
        <v>1</v>
      </c>
      <c r="L24" s="15">
        <v>21</v>
      </c>
      <c r="M24" s="15">
        <v>21</v>
      </c>
    </row>
    <row r="25" spans="4:13">
      <c r="D25" s="12">
        <v>46117</v>
      </c>
      <c r="E25" s="13">
        <v>1592221</v>
      </c>
      <c r="F25" s="13" t="s">
        <v>20</v>
      </c>
      <c r="G25" s="14">
        <v>20303943</v>
      </c>
      <c r="H25" s="13" t="s">
        <v>206</v>
      </c>
      <c r="I25" s="13" t="s">
        <v>31</v>
      </c>
      <c r="J25" s="14">
        <v>5</v>
      </c>
      <c r="K25" s="14">
        <v>15</v>
      </c>
      <c r="L25" s="15">
        <v>9.9</v>
      </c>
      <c r="M25" s="15">
        <v>49.5</v>
      </c>
    </row>
    <row r="26" spans="4:13">
      <c r="D26" s="12">
        <v>46117</v>
      </c>
      <c r="E26" s="13">
        <v>1592221</v>
      </c>
      <c r="F26" s="13" t="s">
        <v>20</v>
      </c>
      <c r="G26" s="14">
        <v>20303867</v>
      </c>
      <c r="H26" s="13" t="s">
        <v>207</v>
      </c>
      <c r="I26" s="13" t="s">
        <v>53</v>
      </c>
      <c r="J26" s="14">
        <v>3</v>
      </c>
      <c r="K26" s="14">
        <v>15</v>
      </c>
      <c r="L26" s="15">
        <v>16.5</v>
      </c>
      <c r="M26" s="15">
        <v>49.5</v>
      </c>
    </row>
    <row r="27" spans="4:13">
      <c r="D27" s="12">
        <v>46119</v>
      </c>
      <c r="E27" s="13">
        <v>1592393</v>
      </c>
      <c r="F27" s="13" t="s">
        <v>20</v>
      </c>
      <c r="G27" s="14">
        <v>20303943</v>
      </c>
      <c r="H27" s="13" t="s">
        <v>206</v>
      </c>
      <c r="I27" s="13" t="s">
        <v>31</v>
      </c>
      <c r="J27" s="14">
        <v>3</v>
      </c>
      <c r="K27" s="14">
        <v>9</v>
      </c>
      <c r="L27" s="15">
        <v>9.9</v>
      </c>
      <c r="M27" s="15">
        <v>29.7</v>
      </c>
    </row>
    <row r="28" spans="4:13">
      <c r="D28" s="12">
        <v>46119</v>
      </c>
      <c r="E28" s="13">
        <v>1592393</v>
      </c>
      <c r="F28" s="13" t="s">
        <v>20</v>
      </c>
      <c r="G28" s="14">
        <v>20303867</v>
      </c>
      <c r="H28" s="13" t="s">
        <v>207</v>
      </c>
      <c r="I28" s="13" t="s">
        <v>53</v>
      </c>
      <c r="J28" s="14">
        <v>2</v>
      </c>
      <c r="K28" s="14">
        <v>10</v>
      </c>
      <c r="L28" s="15">
        <v>16.5</v>
      </c>
      <c r="M28" s="15">
        <v>33</v>
      </c>
    </row>
    <row r="29" spans="4:13">
      <c r="D29" s="12">
        <v>46119</v>
      </c>
      <c r="E29" s="13">
        <v>1592393</v>
      </c>
      <c r="F29" s="13" t="s">
        <v>42</v>
      </c>
      <c r="G29" s="14">
        <v>20303865</v>
      </c>
      <c r="H29" s="13" t="s">
        <v>208</v>
      </c>
      <c r="I29" s="13" t="s">
        <v>2</v>
      </c>
      <c r="J29" s="14">
        <v>1</v>
      </c>
      <c r="K29" s="14">
        <v>6</v>
      </c>
      <c r="L29" s="15">
        <v>19.8</v>
      </c>
      <c r="M29" s="15">
        <v>19.8</v>
      </c>
    </row>
    <row r="30" spans="4:13">
      <c r="D30" s="12">
        <v>46121</v>
      </c>
      <c r="E30" s="13">
        <v>1593181</v>
      </c>
      <c r="F30" s="13" t="s">
        <v>20</v>
      </c>
      <c r="G30" s="14">
        <v>20315425</v>
      </c>
      <c r="H30" s="13" t="s">
        <v>21</v>
      </c>
      <c r="I30" s="13" t="s">
        <v>22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46121</v>
      </c>
      <c r="E31" s="13">
        <v>1593181</v>
      </c>
      <c r="F31" s="13" t="s">
        <v>42</v>
      </c>
      <c r="G31" s="14">
        <v>20303865</v>
      </c>
      <c r="H31" s="13" t="s">
        <v>208</v>
      </c>
      <c r="I31" s="13" t="s">
        <v>2</v>
      </c>
      <c r="J31" s="14">
        <v>1</v>
      </c>
      <c r="K31" s="14">
        <v>6</v>
      </c>
      <c r="L31" s="15">
        <v>19.8</v>
      </c>
      <c r="M31" s="15">
        <v>19.8</v>
      </c>
    </row>
    <row r="32" spans="4:13">
      <c r="D32" s="12">
        <v>46125</v>
      </c>
      <c r="E32" s="13">
        <v>1594151</v>
      </c>
      <c r="F32" s="13" t="s">
        <v>20</v>
      </c>
      <c r="G32" s="14">
        <v>20303943</v>
      </c>
      <c r="H32" s="13" t="s">
        <v>206</v>
      </c>
      <c r="I32" s="13" t="s">
        <v>31</v>
      </c>
      <c r="J32" s="14">
        <v>2</v>
      </c>
      <c r="K32" s="14">
        <v>6</v>
      </c>
      <c r="L32" s="15">
        <v>9.9</v>
      </c>
      <c r="M32" s="15">
        <v>19.8</v>
      </c>
    </row>
    <row r="33" spans="4:13">
      <c r="D33" s="12">
        <v>46125</v>
      </c>
      <c r="E33" s="13">
        <v>1594151</v>
      </c>
      <c r="F33" s="13" t="s">
        <v>20</v>
      </c>
      <c r="G33" s="14">
        <v>20303867</v>
      </c>
      <c r="H33" s="13" t="s">
        <v>207</v>
      </c>
      <c r="I33" s="13" t="s">
        <v>53</v>
      </c>
      <c r="J33" s="14">
        <v>6</v>
      </c>
      <c r="K33" s="14">
        <v>30</v>
      </c>
      <c r="L33" s="15">
        <v>16.5</v>
      </c>
      <c r="M33" s="15">
        <v>99</v>
      </c>
    </row>
    <row r="34" spans="4:13">
      <c r="D34" s="12">
        <v>46125</v>
      </c>
      <c r="E34" s="13">
        <v>1594151</v>
      </c>
      <c r="F34" s="13" t="s">
        <v>20</v>
      </c>
      <c r="G34" s="14">
        <v>20307293</v>
      </c>
      <c r="H34" s="13" t="s">
        <v>211</v>
      </c>
      <c r="I34" s="13" t="s">
        <v>22</v>
      </c>
      <c r="J34" s="14">
        <v>1</v>
      </c>
      <c r="K34" s="14">
        <v>2</v>
      </c>
      <c r="L34" s="15">
        <v>8.1</v>
      </c>
      <c r="M34" s="15">
        <v>8.1</v>
      </c>
    </row>
    <row r="35" spans="4:13">
      <c r="D35" s="12">
        <v>46125</v>
      </c>
      <c r="E35" s="13">
        <v>1594151</v>
      </c>
      <c r="F35" s="13" t="s">
        <v>42</v>
      </c>
      <c r="G35" s="14">
        <v>20303865</v>
      </c>
      <c r="H35" s="13" t="s">
        <v>208</v>
      </c>
      <c r="I35" s="13" t="s">
        <v>2</v>
      </c>
      <c r="J35" s="14">
        <v>1</v>
      </c>
      <c r="K35" s="14">
        <v>6</v>
      </c>
      <c r="L35" s="15">
        <v>19.8</v>
      </c>
      <c r="M35" s="15">
        <v>19.8</v>
      </c>
    </row>
    <row r="36" spans="4:13">
      <c r="D36" s="12">
        <v>46128</v>
      </c>
      <c r="E36" s="13">
        <v>1595325</v>
      </c>
      <c r="F36" s="13" t="s">
        <v>20</v>
      </c>
      <c r="G36" s="14">
        <v>20303943</v>
      </c>
      <c r="H36" s="13" t="s">
        <v>206</v>
      </c>
      <c r="I36" s="13" t="s">
        <v>31</v>
      </c>
      <c r="J36" s="14">
        <v>2</v>
      </c>
      <c r="K36" s="14">
        <v>6</v>
      </c>
      <c r="L36" s="15">
        <v>9.9</v>
      </c>
      <c r="M36" s="15">
        <v>19.8</v>
      </c>
    </row>
    <row r="37" spans="4:13">
      <c r="D37" s="12">
        <v>46128</v>
      </c>
      <c r="E37" s="13">
        <v>1595325</v>
      </c>
      <c r="F37" s="13" t="s">
        <v>20</v>
      </c>
      <c r="G37" s="14">
        <v>20303867</v>
      </c>
      <c r="H37" s="13" t="s">
        <v>207</v>
      </c>
      <c r="I37" s="13" t="s">
        <v>53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46128</v>
      </c>
      <c r="E38" s="13">
        <v>1595325</v>
      </c>
      <c r="F38" s="13" t="s">
        <v>42</v>
      </c>
      <c r="G38" s="14">
        <v>20303865</v>
      </c>
      <c r="H38" s="13" t="s">
        <v>208</v>
      </c>
      <c r="I38" s="13" t="s">
        <v>2</v>
      </c>
      <c r="J38" s="14">
        <v>1</v>
      </c>
      <c r="K38" s="14">
        <v>6</v>
      </c>
      <c r="L38" s="15">
        <v>19.8</v>
      </c>
      <c r="M38" s="15">
        <v>19.8</v>
      </c>
    </row>
    <row r="39" spans="4:13">
      <c r="D39" s="12">
        <v>46128</v>
      </c>
      <c r="E39" s="13">
        <v>1595389</v>
      </c>
      <c r="F39" s="13" t="s">
        <v>20</v>
      </c>
      <c r="G39" s="14">
        <v>20303943</v>
      </c>
      <c r="H39" s="13" t="s">
        <v>206</v>
      </c>
      <c r="I39" s="13" t="s">
        <v>31</v>
      </c>
      <c r="J39" s="14">
        <v>1</v>
      </c>
      <c r="K39" s="14">
        <v>3</v>
      </c>
      <c r="L39" s="15">
        <v>9.9</v>
      </c>
      <c r="M39" s="15">
        <v>9.9</v>
      </c>
    </row>
    <row r="40" spans="4:13">
      <c r="D40" s="12">
        <v>46132</v>
      </c>
      <c r="E40" s="13">
        <v>1596256</v>
      </c>
      <c r="F40" s="13" t="s">
        <v>20</v>
      </c>
      <c r="G40" s="14">
        <v>20303943</v>
      </c>
      <c r="H40" s="13" t="s">
        <v>206</v>
      </c>
      <c r="I40" s="13" t="s">
        <v>31</v>
      </c>
      <c r="J40" s="14">
        <v>2</v>
      </c>
      <c r="K40" s="14">
        <v>6</v>
      </c>
      <c r="L40" s="15">
        <v>9.9</v>
      </c>
      <c r="M40" s="15">
        <v>19.8</v>
      </c>
    </row>
    <row r="41" spans="4:13">
      <c r="D41" s="12">
        <v>46132</v>
      </c>
      <c r="E41" s="13">
        <v>1596256</v>
      </c>
      <c r="F41" s="13" t="s">
        <v>20</v>
      </c>
      <c r="G41" s="14">
        <v>20303867</v>
      </c>
      <c r="H41" s="13" t="s">
        <v>207</v>
      </c>
      <c r="I41" s="13" t="s">
        <v>53</v>
      </c>
      <c r="J41" s="14">
        <v>3</v>
      </c>
      <c r="K41" s="14">
        <v>15</v>
      </c>
      <c r="L41" s="15">
        <v>16.5</v>
      </c>
      <c r="M41" s="15">
        <v>49.5</v>
      </c>
    </row>
    <row r="42" spans="4:13">
      <c r="D42" s="12">
        <v>46132</v>
      </c>
      <c r="E42" s="13">
        <v>1596256</v>
      </c>
      <c r="F42" s="13" t="s">
        <v>42</v>
      </c>
      <c r="G42" s="14">
        <v>20303865</v>
      </c>
      <c r="H42" s="13" t="s">
        <v>208</v>
      </c>
      <c r="I42" s="13" t="s">
        <v>2</v>
      </c>
      <c r="J42" s="14">
        <v>1</v>
      </c>
      <c r="K42" s="14">
        <v>6</v>
      </c>
      <c r="L42" s="15">
        <v>19.8</v>
      </c>
      <c r="M42" s="15">
        <v>19.8</v>
      </c>
    </row>
  </sheetData>
  <autoFilter xmlns:etc="http://www.wps.cn/officeDocument/2017/etCustomData" ref="A7:M42" etc:filterBottomFollowUsedRange="0">
    <extLst/>
  </autoFilter>
  <mergeCells count="5">
    <mergeCell ref="D8:I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13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7</v>
      </c>
      <c r="L8" s="11"/>
      <c r="M8" s="11">
        <v>93.6</v>
      </c>
    </row>
    <row r="9" ht="25.5" spans="1:13">
      <c r="D9" s="12">
        <v>46112</v>
      </c>
      <c r="E9" s="13">
        <v>1590563</v>
      </c>
      <c r="F9" s="13" t="s">
        <v>24</v>
      </c>
      <c r="G9" s="14">
        <v>20306248</v>
      </c>
      <c r="H9" s="13" t="s">
        <v>37</v>
      </c>
      <c r="I9" s="13" t="s">
        <v>38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46132</v>
      </c>
      <c r="E10" s="13">
        <v>1596369</v>
      </c>
      <c r="F10" s="13" t="s">
        <v>20</v>
      </c>
      <c r="G10" s="14">
        <v>20315425</v>
      </c>
      <c r="H10" s="13" t="s">
        <v>21</v>
      </c>
      <c r="I10" s="13" t="s">
        <v>22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46132</v>
      </c>
      <c r="E11" s="13">
        <v>1596369</v>
      </c>
      <c r="F11" s="13" t="s">
        <v>15</v>
      </c>
      <c r="G11" s="14">
        <v>20386148</v>
      </c>
      <c r="H11" s="13" t="s">
        <v>213</v>
      </c>
      <c r="I11" s="13" t="s">
        <v>214</v>
      </c>
      <c r="J11" s="14">
        <v>1</v>
      </c>
      <c r="K11" s="14">
        <v>2</v>
      </c>
      <c r="L11" s="15">
        <v>26.4</v>
      </c>
      <c r="M11" s="15">
        <v>26.4</v>
      </c>
    </row>
    <row r="12" spans="1:13">
      <c r="D12" s="12">
        <v>46132</v>
      </c>
      <c r="E12" s="13">
        <v>1596369</v>
      </c>
      <c r="F12" s="13" t="s">
        <v>15</v>
      </c>
      <c r="G12" s="14">
        <v>20313370</v>
      </c>
      <c r="H12" s="13" t="s">
        <v>16</v>
      </c>
      <c r="I12" s="13" t="s">
        <v>17</v>
      </c>
      <c r="J12" s="14">
        <v>2</v>
      </c>
      <c r="K12" s="14">
        <v>2</v>
      </c>
      <c r="L12" s="15">
        <v>13.2</v>
      </c>
      <c r="M12" s="15">
        <v>26.4</v>
      </c>
    </row>
    <row r="13" spans="1:13">
      <c r="D13" s="12">
        <v>46132</v>
      </c>
      <c r="E13" s="13">
        <v>1596369</v>
      </c>
      <c r="F13" s="13" t="s">
        <v>15</v>
      </c>
      <c r="G13" s="14">
        <v>20313815</v>
      </c>
      <c r="H13" s="13" t="s">
        <v>18</v>
      </c>
      <c r="I13" s="13" t="s">
        <v>19</v>
      </c>
      <c r="J13" s="14">
        <v>1</v>
      </c>
      <c r="K13" s="14">
        <v>1</v>
      </c>
      <c r="L13" s="15">
        <v>15</v>
      </c>
      <c r="M13" s="15">
        <v>15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79.8</v>
      </c>
    </row>
    <row r="9" ht="25.5" spans="1:13">
      <c r="D9" s="12">
        <v>46107</v>
      </c>
      <c r="E9" s="13">
        <v>1589241</v>
      </c>
      <c r="F9" s="13" t="s">
        <v>24</v>
      </c>
      <c r="G9" s="14">
        <v>20306248</v>
      </c>
      <c r="H9" s="13" t="s">
        <v>37</v>
      </c>
      <c r="I9" s="13" t="s">
        <v>38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46107</v>
      </c>
      <c r="E10" s="13">
        <v>1589497</v>
      </c>
      <c r="F10" s="13" t="s">
        <v>15</v>
      </c>
      <c r="G10" s="14">
        <v>20313649</v>
      </c>
      <c r="H10" s="13" t="s">
        <v>216</v>
      </c>
      <c r="I10" s="13" t="s">
        <v>217</v>
      </c>
      <c r="J10" s="14">
        <v>1</v>
      </c>
      <c r="K10" s="14">
        <v>1</v>
      </c>
      <c r="L10" s="15">
        <v>16.8</v>
      </c>
      <c r="M10" s="15">
        <v>16.8</v>
      </c>
    </row>
    <row r="11" ht="25.5" spans="1:13">
      <c r="D11" s="12">
        <v>46108</v>
      </c>
      <c r="E11" s="13">
        <v>1589632</v>
      </c>
      <c r="F11" s="13" t="s">
        <v>24</v>
      </c>
      <c r="G11" s="14">
        <v>20306248</v>
      </c>
      <c r="H11" s="13" t="s">
        <v>37</v>
      </c>
      <c r="I11" s="13" t="s">
        <v>38</v>
      </c>
      <c r="J11" s="14">
        <v>1</v>
      </c>
      <c r="K11" s="14">
        <v>1</v>
      </c>
      <c r="L11" s="15">
        <v>21</v>
      </c>
      <c r="M11" s="15">
        <v>21</v>
      </c>
    </row>
    <row r="12" ht="25.5" spans="1:13">
      <c r="D12" s="12">
        <v>46122</v>
      </c>
      <c r="E12" s="13">
        <v>1593558</v>
      </c>
      <c r="F12" s="13" t="s">
        <v>24</v>
      </c>
      <c r="G12" s="14">
        <v>20306248</v>
      </c>
      <c r="H12" s="13" t="s">
        <v>37</v>
      </c>
      <c r="I12" s="13" t="s">
        <v>38</v>
      </c>
      <c r="J12" s="14">
        <v>1</v>
      </c>
      <c r="K12" s="14">
        <v>1</v>
      </c>
      <c r="L12" s="15">
        <v>21</v>
      </c>
      <c r="M12" s="15">
        <v>21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showGridLines="0" view="pageBreakPreview" zoomScaleNormal="100" workbookViewId="0">
      <pane ySplit="6" topLeftCell="A11" activePane="bottomLeft" state="frozen"/>
      <selection/>
      <selection pane="bottomLeft" activeCell="M9" sqref="M9:M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75" customWidth="1"/>
    <col min="10" max="10" width="6.475" customWidth="1"/>
    <col min="11" max="11" width="9.45" customWidth="1"/>
    <col min="12" max="12" width="9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150</v>
      </c>
      <c r="K8" s="10">
        <v>975</v>
      </c>
      <c r="L8" s="11"/>
      <c r="M8" s="11">
        <v>3333</v>
      </c>
    </row>
    <row r="9" spans="1:13">
      <c r="D9" s="12">
        <v>46102</v>
      </c>
      <c r="E9" s="13">
        <v>1588070</v>
      </c>
      <c r="F9" s="13" t="s">
        <v>219</v>
      </c>
      <c r="G9" s="14">
        <v>20309547</v>
      </c>
      <c r="H9" s="13" t="s">
        <v>220</v>
      </c>
      <c r="I9" s="13" t="s">
        <v>221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46105</v>
      </c>
      <c r="E10" s="13">
        <v>1588673</v>
      </c>
      <c r="F10" s="13" t="s">
        <v>47</v>
      </c>
      <c r="G10" s="14">
        <v>20315996</v>
      </c>
      <c r="H10" s="13" t="s">
        <v>222</v>
      </c>
      <c r="I10" s="13" t="s">
        <v>44</v>
      </c>
      <c r="J10" s="14">
        <v>5</v>
      </c>
      <c r="K10" s="14">
        <v>35</v>
      </c>
      <c r="L10" s="15">
        <v>23.1</v>
      </c>
      <c r="M10" s="15">
        <v>115.5</v>
      </c>
    </row>
    <row r="11" spans="1:13">
      <c r="D11" s="12">
        <v>46105</v>
      </c>
      <c r="E11" s="13">
        <v>1588728</v>
      </c>
      <c r="F11" s="13" t="s">
        <v>20</v>
      </c>
      <c r="G11" s="14">
        <v>20303717</v>
      </c>
      <c r="H11" s="13" t="s">
        <v>70</v>
      </c>
      <c r="I11" s="13" t="s">
        <v>35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46105</v>
      </c>
      <c r="E12" s="13">
        <v>1588728</v>
      </c>
      <c r="F12" s="13" t="s">
        <v>47</v>
      </c>
      <c r="G12" s="14">
        <v>20315996</v>
      </c>
      <c r="H12" s="13" t="s">
        <v>222</v>
      </c>
      <c r="I12" s="13" t="s">
        <v>44</v>
      </c>
      <c r="J12" s="14">
        <v>5</v>
      </c>
      <c r="K12" s="14">
        <v>35</v>
      </c>
      <c r="L12" s="15">
        <v>23.1</v>
      </c>
      <c r="M12" s="15">
        <v>115.5</v>
      </c>
    </row>
    <row r="13" spans="1:13">
      <c r="D13" s="12">
        <v>46106</v>
      </c>
      <c r="E13" s="13">
        <v>1588940</v>
      </c>
      <c r="F13" s="13" t="s">
        <v>20</v>
      </c>
      <c r="G13" s="14">
        <v>20316042</v>
      </c>
      <c r="H13" s="13" t="s">
        <v>34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46106</v>
      </c>
      <c r="E14" s="13">
        <v>1588940</v>
      </c>
      <c r="F14" s="13" t="s">
        <v>47</v>
      </c>
      <c r="G14" s="14">
        <v>20315996</v>
      </c>
      <c r="H14" s="13" t="s">
        <v>222</v>
      </c>
      <c r="I14" s="13" t="s">
        <v>44</v>
      </c>
      <c r="J14" s="14">
        <v>4</v>
      </c>
      <c r="K14" s="14">
        <v>28</v>
      </c>
      <c r="L14" s="15">
        <v>23.1</v>
      </c>
      <c r="M14" s="15">
        <v>92.4</v>
      </c>
    </row>
    <row r="15" spans="1:13">
      <c r="D15" s="12">
        <v>46107</v>
      </c>
      <c r="E15" s="13">
        <v>1589223</v>
      </c>
      <c r="F15" s="13" t="s">
        <v>47</v>
      </c>
      <c r="G15" s="14">
        <v>20315996</v>
      </c>
      <c r="H15" s="13" t="s">
        <v>222</v>
      </c>
      <c r="I15" s="13" t="s">
        <v>44</v>
      </c>
      <c r="J15" s="14">
        <v>8</v>
      </c>
      <c r="K15" s="14">
        <v>56</v>
      </c>
      <c r="L15" s="15">
        <v>23.1</v>
      </c>
      <c r="M15" s="15">
        <v>184.8</v>
      </c>
    </row>
    <row r="16" spans="1:13">
      <c r="D16" s="12">
        <v>46107</v>
      </c>
      <c r="E16" s="13">
        <v>1589412</v>
      </c>
      <c r="F16" s="13" t="s">
        <v>20</v>
      </c>
      <c r="G16" s="14">
        <v>20303977</v>
      </c>
      <c r="H16" s="13" t="s">
        <v>196</v>
      </c>
      <c r="I16" s="13" t="s">
        <v>33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46107</v>
      </c>
      <c r="E17" s="13">
        <v>1589412</v>
      </c>
      <c r="F17" s="13" t="s">
        <v>20</v>
      </c>
      <c r="G17" s="14">
        <v>20316042</v>
      </c>
      <c r="H17" s="13" t="s">
        <v>34</v>
      </c>
      <c r="I17" s="13" t="s">
        <v>35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46107</v>
      </c>
      <c r="E18" s="13">
        <v>1589412</v>
      </c>
      <c r="F18" s="13" t="s">
        <v>47</v>
      </c>
      <c r="G18" s="14">
        <v>20315996</v>
      </c>
      <c r="H18" s="13" t="s">
        <v>222</v>
      </c>
      <c r="I18" s="13" t="s">
        <v>44</v>
      </c>
      <c r="J18" s="14">
        <v>5</v>
      </c>
      <c r="K18" s="14">
        <v>35</v>
      </c>
      <c r="L18" s="15">
        <v>23.1</v>
      </c>
      <c r="M18" s="15">
        <v>115.5</v>
      </c>
    </row>
    <row r="19" spans="4:13">
      <c r="D19" s="12">
        <v>46107</v>
      </c>
      <c r="E19" s="13">
        <v>1589412</v>
      </c>
      <c r="F19" s="13" t="s">
        <v>47</v>
      </c>
      <c r="G19" s="14">
        <v>20321417</v>
      </c>
      <c r="H19" s="13" t="s">
        <v>223</v>
      </c>
      <c r="I19" s="13" t="s">
        <v>83</v>
      </c>
      <c r="J19" s="14">
        <v>1</v>
      </c>
      <c r="K19" s="14">
        <v>19</v>
      </c>
      <c r="L19" s="15">
        <v>62.7</v>
      </c>
      <c r="M19" s="15">
        <v>62.7</v>
      </c>
    </row>
    <row r="20" spans="4:13">
      <c r="D20" s="12">
        <v>46108</v>
      </c>
      <c r="E20" s="13">
        <v>1589902</v>
      </c>
      <c r="F20" s="13" t="s">
        <v>20</v>
      </c>
      <c r="G20" s="14">
        <v>20303717</v>
      </c>
      <c r="H20" s="13" t="s">
        <v>70</v>
      </c>
      <c r="I20" s="13" t="s">
        <v>35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46108</v>
      </c>
      <c r="E21" s="13">
        <v>1589902</v>
      </c>
      <c r="F21" s="13" t="s">
        <v>47</v>
      </c>
      <c r="G21" s="14">
        <v>20315996</v>
      </c>
      <c r="H21" s="13" t="s">
        <v>222</v>
      </c>
      <c r="I21" s="13" t="s">
        <v>44</v>
      </c>
      <c r="J21" s="14">
        <v>3</v>
      </c>
      <c r="K21" s="14">
        <v>21</v>
      </c>
      <c r="L21" s="15">
        <v>23.1</v>
      </c>
      <c r="M21" s="15">
        <v>69.3</v>
      </c>
    </row>
    <row r="22" spans="4:13">
      <c r="D22" s="12">
        <v>46110</v>
      </c>
      <c r="E22" s="13">
        <v>1590130</v>
      </c>
      <c r="F22" s="13" t="s">
        <v>219</v>
      </c>
      <c r="G22" s="14">
        <v>20309547</v>
      </c>
      <c r="H22" s="13" t="s">
        <v>220</v>
      </c>
      <c r="I22" s="13" t="s">
        <v>221</v>
      </c>
      <c r="J22" s="14">
        <v>1</v>
      </c>
      <c r="K22" s="14">
        <v>0</v>
      </c>
      <c r="L22" s="15">
        <v>21</v>
      </c>
      <c r="M22" s="15">
        <v>21</v>
      </c>
    </row>
    <row r="23" spans="4:13">
      <c r="D23" s="12">
        <v>46112</v>
      </c>
      <c r="E23" s="13">
        <v>1590863</v>
      </c>
      <c r="F23" s="13" t="s">
        <v>20</v>
      </c>
      <c r="G23" s="14">
        <v>20316042</v>
      </c>
      <c r="H23" s="13" t="s">
        <v>34</v>
      </c>
      <c r="I23" s="13" t="s">
        <v>35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46112</v>
      </c>
      <c r="E24" s="13">
        <v>1590863</v>
      </c>
      <c r="F24" s="13" t="s">
        <v>47</v>
      </c>
      <c r="G24" s="14">
        <v>20315996</v>
      </c>
      <c r="H24" s="13" t="s">
        <v>222</v>
      </c>
      <c r="I24" s="13" t="s">
        <v>44</v>
      </c>
      <c r="J24" s="14">
        <v>13</v>
      </c>
      <c r="K24" s="14">
        <v>91</v>
      </c>
      <c r="L24" s="15">
        <v>23.1</v>
      </c>
      <c r="M24" s="15">
        <v>300.3</v>
      </c>
    </row>
    <row r="25" spans="4:13">
      <c r="D25" s="12">
        <v>46113</v>
      </c>
      <c r="E25" s="13">
        <v>1591203</v>
      </c>
      <c r="F25" s="13" t="s">
        <v>20</v>
      </c>
      <c r="G25" s="14">
        <v>20316042</v>
      </c>
      <c r="H25" s="13" t="s">
        <v>34</v>
      </c>
      <c r="I25" s="13" t="s">
        <v>35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46113</v>
      </c>
      <c r="E26" s="13">
        <v>1591203</v>
      </c>
      <c r="F26" s="13" t="s">
        <v>47</v>
      </c>
      <c r="G26" s="14">
        <v>20315996</v>
      </c>
      <c r="H26" s="13" t="s">
        <v>222</v>
      </c>
      <c r="I26" s="13" t="s">
        <v>44</v>
      </c>
      <c r="J26" s="14">
        <v>9</v>
      </c>
      <c r="K26" s="14">
        <v>63</v>
      </c>
      <c r="L26" s="15">
        <v>23.1</v>
      </c>
      <c r="M26" s="15">
        <v>207.9</v>
      </c>
    </row>
    <row r="27" spans="4:13">
      <c r="D27" s="12">
        <v>46115</v>
      </c>
      <c r="E27" s="13">
        <v>1591702</v>
      </c>
      <c r="F27" s="13" t="s">
        <v>47</v>
      </c>
      <c r="G27" s="14">
        <v>20315996</v>
      </c>
      <c r="H27" s="13" t="s">
        <v>222</v>
      </c>
      <c r="I27" s="13" t="s">
        <v>44</v>
      </c>
      <c r="J27" s="14">
        <v>6</v>
      </c>
      <c r="K27" s="14">
        <v>42</v>
      </c>
      <c r="L27" s="15">
        <v>23.1</v>
      </c>
      <c r="M27" s="15">
        <v>138.6</v>
      </c>
    </row>
    <row r="28" spans="4:13">
      <c r="D28" s="12">
        <v>46115</v>
      </c>
      <c r="E28" s="13">
        <v>1591702</v>
      </c>
      <c r="F28" s="13" t="s">
        <v>47</v>
      </c>
      <c r="G28" s="14">
        <v>20321417</v>
      </c>
      <c r="H28" s="13" t="s">
        <v>223</v>
      </c>
      <c r="I28" s="13" t="s">
        <v>83</v>
      </c>
      <c r="J28" s="14">
        <v>1</v>
      </c>
      <c r="K28" s="14">
        <v>19</v>
      </c>
      <c r="L28" s="15">
        <v>62.7</v>
      </c>
      <c r="M28" s="15">
        <v>62.7</v>
      </c>
    </row>
    <row r="29" spans="4:13">
      <c r="D29" s="12">
        <v>46115</v>
      </c>
      <c r="E29" s="13">
        <v>1591975</v>
      </c>
      <c r="F29" s="13" t="s">
        <v>20</v>
      </c>
      <c r="G29" s="14">
        <v>20303717</v>
      </c>
      <c r="H29" s="13" t="s">
        <v>70</v>
      </c>
      <c r="I29" s="13" t="s">
        <v>35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46115</v>
      </c>
      <c r="E30" s="13">
        <v>1591975</v>
      </c>
      <c r="F30" s="13" t="s">
        <v>47</v>
      </c>
      <c r="G30" s="14">
        <v>20315996</v>
      </c>
      <c r="H30" s="13" t="s">
        <v>222</v>
      </c>
      <c r="I30" s="13" t="s">
        <v>44</v>
      </c>
      <c r="J30" s="14">
        <v>3</v>
      </c>
      <c r="K30" s="14">
        <v>21</v>
      </c>
      <c r="L30" s="15">
        <v>23.1</v>
      </c>
      <c r="M30" s="15">
        <v>69.3</v>
      </c>
    </row>
    <row r="31" spans="4:13">
      <c r="D31" s="12">
        <v>46117</v>
      </c>
      <c r="E31" s="13">
        <v>1592260</v>
      </c>
      <c r="F31" s="13" t="s">
        <v>219</v>
      </c>
      <c r="G31" s="14">
        <v>20316856</v>
      </c>
      <c r="H31" s="13" t="s">
        <v>224</v>
      </c>
      <c r="I31" s="13" t="s">
        <v>83</v>
      </c>
      <c r="J31" s="14">
        <v>1</v>
      </c>
      <c r="K31" s="14">
        <v>0</v>
      </c>
      <c r="L31" s="15">
        <v>18</v>
      </c>
      <c r="M31" s="15">
        <v>18</v>
      </c>
    </row>
    <row r="32" spans="4:13">
      <c r="D32" s="12">
        <v>46119</v>
      </c>
      <c r="E32" s="13">
        <v>1592605</v>
      </c>
      <c r="F32" s="13" t="s">
        <v>20</v>
      </c>
      <c r="G32" s="14">
        <v>20303863</v>
      </c>
      <c r="H32" s="13" t="s">
        <v>28</v>
      </c>
      <c r="I32" s="13" t="s">
        <v>29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46119</v>
      </c>
      <c r="E33" s="13">
        <v>1592605</v>
      </c>
      <c r="F33" s="13" t="s">
        <v>47</v>
      </c>
      <c r="G33" s="14">
        <v>20315996</v>
      </c>
      <c r="H33" s="13" t="s">
        <v>222</v>
      </c>
      <c r="I33" s="13" t="s">
        <v>44</v>
      </c>
      <c r="J33" s="14">
        <v>11</v>
      </c>
      <c r="K33" s="14">
        <v>77</v>
      </c>
      <c r="L33" s="15">
        <v>23.1</v>
      </c>
      <c r="M33" s="15">
        <v>254.1</v>
      </c>
    </row>
    <row r="34" spans="4:13">
      <c r="D34" s="12">
        <v>46120</v>
      </c>
      <c r="E34" s="13">
        <v>1592927</v>
      </c>
      <c r="F34" s="13" t="s">
        <v>20</v>
      </c>
      <c r="G34" s="14">
        <v>20364942</v>
      </c>
      <c r="H34" s="13" t="s">
        <v>225</v>
      </c>
      <c r="I34" s="13" t="s">
        <v>22</v>
      </c>
      <c r="J34" s="14">
        <v>1</v>
      </c>
      <c r="K34" s="14">
        <v>9</v>
      </c>
      <c r="L34" s="15">
        <v>29.7</v>
      </c>
      <c r="M34" s="15">
        <v>29.7</v>
      </c>
    </row>
    <row r="35" spans="4:13">
      <c r="D35" s="12">
        <v>46120</v>
      </c>
      <c r="E35" s="13">
        <v>1592927</v>
      </c>
      <c r="F35" s="13" t="s">
        <v>47</v>
      </c>
      <c r="G35" s="14">
        <v>20315996</v>
      </c>
      <c r="H35" s="13" t="s">
        <v>222</v>
      </c>
      <c r="I35" s="13" t="s">
        <v>44</v>
      </c>
      <c r="J35" s="14">
        <v>10</v>
      </c>
      <c r="K35" s="14">
        <v>70</v>
      </c>
      <c r="L35" s="15">
        <v>23.1</v>
      </c>
      <c r="M35" s="15">
        <v>231</v>
      </c>
    </row>
    <row r="36" spans="4:13">
      <c r="D36" s="12">
        <v>46122</v>
      </c>
      <c r="E36" s="13">
        <v>1593779</v>
      </c>
      <c r="F36" s="13" t="s">
        <v>20</v>
      </c>
      <c r="G36" s="14">
        <v>20303977</v>
      </c>
      <c r="H36" s="13" t="s">
        <v>196</v>
      </c>
      <c r="I36" s="13" t="s">
        <v>33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46122</v>
      </c>
      <c r="E37" s="13">
        <v>1593779</v>
      </c>
      <c r="F37" s="13" t="s">
        <v>47</v>
      </c>
      <c r="G37" s="14">
        <v>20315996</v>
      </c>
      <c r="H37" s="13" t="s">
        <v>222</v>
      </c>
      <c r="I37" s="13" t="s">
        <v>44</v>
      </c>
      <c r="J37" s="14">
        <v>10</v>
      </c>
      <c r="K37" s="14">
        <v>70</v>
      </c>
      <c r="L37" s="15">
        <v>23.1</v>
      </c>
      <c r="M37" s="15">
        <v>231</v>
      </c>
    </row>
    <row r="38" spans="4:13">
      <c r="D38" s="12">
        <v>46124</v>
      </c>
      <c r="E38" s="13">
        <v>1594099</v>
      </c>
      <c r="F38" s="13" t="s">
        <v>219</v>
      </c>
      <c r="G38" s="14">
        <v>20316856</v>
      </c>
      <c r="H38" s="13" t="s">
        <v>224</v>
      </c>
      <c r="I38" s="13" t="s">
        <v>83</v>
      </c>
      <c r="J38" s="14">
        <v>1</v>
      </c>
      <c r="K38" s="14">
        <v>0</v>
      </c>
      <c r="L38" s="15">
        <v>18</v>
      </c>
      <c r="M38" s="15">
        <v>18</v>
      </c>
    </row>
    <row r="39" spans="4:13">
      <c r="D39" s="12">
        <v>46126</v>
      </c>
      <c r="E39" s="13">
        <v>1594578</v>
      </c>
      <c r="F39" s="13" t="s">
        <v>47</v>
      </c>
      <c r="G39" s="14">
        <v>20315996</v>
      </c>
      <c r="H39" s="13" t="s">
        <v>222</v>
      </c>
      <c r="I39" s="13" t="s">
        <v>44</v>
      </c>
      <c r="J39" s="14">
        <v>6</v>
      </c>
      <c r="K39" s="14">
        <v>42</v>
      </c>
      <c r="L39" s="15">
        <v>23.1</v>
      </c>
      <c r="M39" s="15">
        <v>138.6</v>
      </c>
    </row>
    <row r="40" spans="4:13">
      <c r="D40" s="12">
        <v>46126</v>
      </c>
      <c r="E40" s="13">
        <v>1594791</v>
      </c>
      <c r="F40" s="13" t="s">
        <v>47</v>
      </c>
      <c r="G40" s="14">
        <v>20315996</v>
      </c>
      <c r="H40" s="13" t="s">
        <v>222</v>
      </c>
      <c r="I40" s="13" t="s">
        <v>44</v>
      </c>
      <c r="J40" s="14">
        <v>5</v>
      </c>
      <c r="K40" s="14">
        <v>35</v>
      </c>
      <c r="L40" s="15">
        <v>23.1</v>
      </c>
      <c r="M40" s="15">
        <v>115.5</v>
      </c>
    </row>
    <row r="41" spans="4:13">
      <c r="D41" s="12">
        <v>46127</v>
      </c>
      <c r="E41" s="13">
        <v>1594996</v>
      </c>
      <c r="F41" s="13" t="s">
        <v>47</v>
      </c>
      <c r="G41" s="14">
        <v>20315996</v>
      </c>
      <c r="H41" s="13" t="s">
        <v>222</v>
      </c>
      <c r="I41" s="13" t="s">
        <v>44</v>
      </c>
      <c r="J41" s="14">
        <v>5</v>
      </c>
      <c r="K41" s="14">
        <v>35</v>
      </c>
      <c r="L41" s="15">
        <v>23.1</v>
      </c>
      <c r="M41" s="15">
        <v>115.5</v>
      </c>
    </row>
    <row r="42" spans="4:13">
      <c r="D42" s="12">
        <v>46127</v>
      </c>
      <c r="E42" s="13">
        <v>1595148</v>
      </c>
      <c r="F42" s="13" t="s">
        <v>47</v>
      </c>
      <c r="G42" s="14">
        <v>20315996</v>
      </c>
      <c r="H42" s="13" t="s">
        <v>222</v>
      </c>
      <c r="I42" s="13" t="s">
        <v>44</v>
      </c>
      <c r="J42" s="14">
        <v>5</v>
      </c>
      <c r="K42" s="14">
        <v>35</v>
      </c>
      <c r="L42" s="15">
        <v>23.1</v>
      </c>
      <c r="M42" s="15">
        <v>115.5</v>
      </c>
    </row>
    <row r="43" spans="4:13">
      <c r="D43" s="12">
        <v>46128</v>
      </c>
      <c r="E43" s="13">
        <v>1595594</v>
      </c>
      <c r="F43" s="13" t="s">
        <v>47</v>
      </c>
      <c r="G43" s="14">
        <v>20315996</v>
      </c>
      <c r="H43" s="13" t="s">
        <v>222</v>
      </c>
      <c r="I43" s="13" t="s">
        <v>44</v>
      </c>
      <c r="J43" s="14">
        <v>6</v>
      </c>
      <c r="K43" s="14">
        <v>42</v>
      </c>
      <c r="L43" s="15">
        <v>23.1</v>
      </c>
      <c r="M43" s="15">
        <v>138.6</v>
      </c>
    </row>
    <row r="44" spans="4:13">
      <c r="D44" s="12">
        <v>46129</v>
      </c>
      <c r="E44" s="13">
        <v>1595913</v>
      </c>
      <c r="F44" s="13" t="s">
        <v>47</v>
      </c>
      <c r="G44" s="14">
        <v>20315996</v>
      </c>
      <c r="H44" s="13" t="s">
        <v>222</v>
      </c>
      <c r="I44" s="13" t="s">
        <v>44</v>
      </c>
      <c r="J44" s="14">
        <v>4</v>
      </c>
      <c r="K44" s="14">
        <v>28</v>
      </c>
      <c r="L44" s="15">
        <v>23.1</v>
      </c>
      <c r="M44" s="15">
        <v>92.4</v>
      </c>
    </row>
    <row r="45" spans="4:13">
      <c r="D45" s="12">
        <v>46130</v>
      </c>
      <c r="E45" s="13">
        <v>1596100</v>
      </c>
      <c r="F45" s="13" t="s">
        <v>219</v>
      </c>
      <c r="G45" s="14">
        <v>20309547</v>
      </c>
      <c r="H45" s="13" t="s">
        <v>220</v>
      </c>
      <c r="I45" s="13" t="s">
        <v>221</v>
      </c>
      <c r="J45" s="14">
        <v>1</v>
      </c>
      <c r="K45" s="14">
        <v>0</v>
      </c>
      <c r="L45" s="15">
        <v>21</v>
      </c>
      <c r="M45" s="15">
        <v>21</v>
      </c>
    </row>
    <row r="46" spans="4:13">
      <c r="D46" s="12">
        <v>46132</v>
      </c>
      <c r="E46" s="13">
        <v>1596434</v>
      </c>
      <c r="F46" s="13" t="s">
        <v>47</v>
      </c>
      <c r="G46" s="14">
        <v>20315996</v>
      </c>
      <c r="H46" s="13" t="s">
        <v>222</v>
      </c>
      <c r="I46" s="13" t="s">
        <v>44</v>
      </c>
      <c r="J46" s="14">
        <v>8</v>
      </c>
      <c r="K46" s="14">
        <v>56</v>
      </c>
      <c r="L46" s="15">
        <v>23.1</v>
      </c>
      <c r="M46" s="15">
        <v>184.8</v>
      </c>
    </row>
    <row r="47" ht="0.05" customHeight="1"/>
  </sheetData>
  <autoFilter xmlns:etc="http://www.wps.cn/officeDocument/2017/etCustomData" ref="A7:M46" etc:filterBottomFollowUsedRange="0">
    <extLst/>
  </autoFilter>
  <mergeCells count="5">
    <mergeCell ref="D8:I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showGridLines="0" view="pageBreakPreview" zoomScaleNormal="100" workbookViewId="0">
      <pane ySplit="6" topLeftCell="A7" activePane="bottomLeft" state="frozen"/>
      <selection/>
      <selection pane="bottomLeft" activeCell="M30" sqref="M30"/>
    </sheetView>
  </sheetViews>
  <sheetFormatPr defaultColWidth="9" defaultRowHeight="13.5"/>
  <cols>
    <col min="1" max="2" width="0.225" customWidth="1"/>
    <col min="3" max="3" width="0.433333333333333" customWidth="1"/>
    <col min="4" max="4" width="11.25" customWidth="1"/>
    <col min="5" max="5" width="8.93333333333333" customWidth="1"/>
    <col min="6" max="6" width="16.75" customWidth="1"/>
    <col min="7" max="7" width="9.36666666666667" customWidth="1"/>
    <col min="8" max="8" width="16.87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22-1</f>
        <v>21</v>
      </c>
      <c r="K8" s="10">
        <f>86-2</f>
        <v>84</v>
      </c>
      <c r="L8" s="11"/>
      <c r="M8" s="11">
        <f>647.1-26.4</f>
        <v>620.7</v>
      </c>
    </row>
    <row r="9" spans="1:13">
      <c r="D9" s="12">
        <v>46104</v>
      </c>
      <c r="E9" s="13">
        <v>1588189</v>
      </c>
      <c r="F9" s="13" t="s">
        <v>42</v>
      </c>
      <c r="G9" s="14">
        <v>20303872</v>
      </c>
      <c r="H9" s="13" t="s">
        <v>227</v>
      </c>
      <c r="I9" s="13" t="s">
        <v>44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46104</v>
      </c>
      <c r="E10" s="13">
        <v>1588374</v>
      </c>
      <c r="F10" s="13" t="s">
        <v>15</v>
      </c>
      <c r="G10" s="14">
        <v>20309794</v>
      </c>
      <c r="H10" s="13" t="s">
        <v>228</v>
      </c>
      <c r="I10" s="13" t="s">
        <v>128</v>
      </c>
      <c r="J10" s="14">
        <v>1</v>
      </c>
      <c r="K10" s="14">
        <v>4</v>
      </c>
      <c r="L10" s="15">
        <v>52.8</v>
      </c>
      <c r="M10" s="15">
        <v>52.8</v>
      </c>
    </row>
    <row r="11" spans="1:13">
      <c r="D11" s="12">
        <v>46107</v>
      </c>
      <c r="E11" s="13">
        <v>1589288</v>
      </c>
      <c r="F11" s="13" t="s">
        <v>42</v>
      </c>
      <c r="G11" s="14">
        <v>20303872</v>
      </c>
      <c r="H11" s="13" t="s">
        <v>227</v>
      </c>
      <c r="I11" s="13" t="s">
        <v>44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46111</v>
      </c>
      <c r="E12" s="13">
        <v>1590232</v>
      </c>
      <c r="F12" s="13" t="s">
        <v>42</v>
      </c>
      <c r="G12" s="14">
        <v>20303872</v>
      </c>
      <c r="H12" s="13" t="s">
        <v>227</v>
      </c>
      <c r="I12" s="13" t="s">
        <v>44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46111</v>
      </c>
      <c r="E13" s="13">
        <v>1590232</v>
      </c>
      <c r="F13" s="13" t="s">
        <v>47</v>
      </c>
      <c r="G13" s="14">
        <v>20303947</v>
      </c>
      <c r="H13" s="13" t="s">
        <v>229</v>
      </c>
      <c r="I13" s="13" t="s">
        <v>49</v>
      </c>
      <c r="J13" s="14">
        <v>1</v>
      </c>
      <c r="K13" s="14">
        <v>10</v>
      </c>
      <c r="L13" s="15">
        <v>33</v>
      </c>
      <c r="M13" s="15">
        <v>33</v>
      </c>
    </row>
    <row r="14" spans="1:13">
      <c r="D14" s="12">
        <v>46112</v>
      </c>
      <c r="E14" s="13">
        <v>1590619</v>
      </c>
      <c r="F14" s="13" t="s">
        <v>47</v>
      </c>
      <c r="G14" s="14">
        <v>20303947</v>
      </c>
      <c r="H14" s="13" t="s">
        <v>229</v>
      </c>
      <c r="I14" s="13" t="s">
        <v>49</v>
      </c>
      <c r="J14" s="14">
        <v>1</v>
      </c>
      <c r="K14" s="14">
        <v>10</v>
      </c>
      <c r="L14" s="15">
        <v>33</v>
      </c>
      <c r="M14" s="15">
        <v>33</v>
      </c>
    </row>
    <row r="15" spans="1:13">
      <c r="D15" s="12">
        <v>46113</v>
      </c>
      <c r="E15" s="13">
        <v>1591093</v>
      </c>
      <c r="F15" s="13" t="s">
        <v>15</v>
      </c>
      <c r="G15" s="14">
        <v>20309746</v>
      </c>
      <c r="H15" s="13" t="s">
        <v>230</v>
      </c>
      <c r="I15" s="13" t="s">
        <v>128</v>
      </c>
      <c r="J15" s="14">
        <v>1</v>
      </c>
      <c r="K15" s="14">
        <v>6</v>
      </c>
      <c r="L15" s="15">
        <v>66</v>
      </c>
      <c r="M15" s="15">
        <v>66</v>
      </c>
    </row>
    <row r="16" spans="1:13">
      <c r="D16" s="12">
        <v>46114</v>
      </c>
      <c r="E16" s="13">
        <v>1591391</v>
      </c>
      <c r="F16" s="13" t="s">
        <v>42</v>
      </c>
      <c r="G16" s="14">
        <v>20303872</v>
      </c>
      <c r="H16" s="13" t="s">
        <v>227</v>
      </c>
      <c r="I16" s="13" t="s">
        <v>44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46119</v>
      </c>
      <c r="E17" s="13">
        <v>1592410</v>
      </c>
      <c r="F17" s="13" t="s">
        <v>42</v>
      </c>
      <c r="G17" s="14">
        <v>20303872</v>
      </c>
      <c r="H17" s="13" t="s">
        <v>227</v>
      </c>
      <c r="I17" s="13" t="s">
        <v>44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46121</v>
      </c>
      <c r="E18" s="13">
        <v>1593192</v>
      </c>
      <c r="F18" s="13" t="s">
        <v>42</v>
      </c>
      <c r="G18" s="14">
        <v>20303872</v>
      </c>
      <c r="H18" s="13" t="s">
        <v>227</v>
      </c>
      <c r="I18" s="13" t="s">
        <v>44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46122</v>
      </c>
      <c r="E19" s="13">
        <v>1593840</v>
      </c>
      <c r="F19" s="13" t="s">
        <v>15</v>
      </c>
      <c r="G19" s="14">
        <v>20309793</v>
      </c>
      <c r="H19" s="13" t="s">
        <v>231</v>
      </c>
      <c r="I19" s="13" t="s">
        <v>128</v>
      </c>
      <c r="J19" s="14">
        <v>2</v>
      </c>
      <c r="K19" s="14">
        <v>10</v>
      </c>
      <c r="L19" s="15">
        <v>52.8</v>
      </c>
      <c r="M19" s="15">
        <v>105.6</v>
      </c>
    </row>
    <row r="20" spans="4:13">
      <c r="D20" s="12">
        <v>46125</v>
      </c>
      <c r="E20" s="13">
        <v>1594164</v>
      </c>
      <c r="F20" s="13" t="s">
        <v>42</v>
      </c>
      <c r="G20" s="14">
        <v>20303872</v>
      </c>
      <c r="H20" s="13" t="s">
        <v>227</v>
      </c>
      <c r="I20" s="13" t="s">
        <v>44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46125</v>
      </c>
      <c r="E21" s="13">
        <v>1594271</v>
      </c>
      <c r="F21" s="13" t="s">
        <v>15</v>
      </c>
      <c r="G21" s="14">
        <v>20309793</v>
      </c>
      <c r="H21" s="13" t="s">
        <v>231</v>
      </c>
      <c r="I21" s="13" t="s">
        <v>128</v>
      </c>
      <c r="J21" s="14">
        <v>1</v>
      </c>
      <c r="K21" s="14">
        <v>5</v>
      </c>
      <c r="L21" s="15">
        <v>52.8</v>
      </c>
      <c r="M21" s="15">
        <v>52.8</v>
      </c>
    </row>
    <row r="22" spans="4:13">
      <c r="D22" s="12">
        <v>46125</v>
      </c>
      <c r="E22" s="13">
        <v>1594271</v>
      </c>
      <c r="F22" s="13" t="s">
        <v>15</v>
      </c>
      <c r="G22" s="14">
        <v>20309653</v>
      </c>
      <c r="H22" s="13" t="s">
        <v>125</v>
      </c>
      <c r="I22" s="13" t="s">
        <v>126</v>
      </c>
      <c r="J22" s="14">
        <v>1</v>
      </c>
      <c r="K22" s="14">
        <v>2</v>
      </c>
      <c r="L22" s="15">
        <v>26.4</v>
      </c>
      <c r="M22" s="15">
        <v>26.4</v>
      </c>
    </row>
    <row r="23" spans="4:13">
      <c r="D23" s="12">
        <v>46125</v>
      </c>
      <c r="E23" s="13">
        <v>1594271</v>
      </c>
      <c r="F23" s="13" t="s">
        <v>15</v>
      </c>
      <c r="G23" s="14">
        <v>20314048</v>
      </c>
      <c r="H23" s="13" t="s">
        <v>232</v>
      </c>
      <c r="I23" s="13" t="s">
        <v>128</v>
      </c>
      <c r="J23" s="14">
        <v>1</v>
      </c>
      <c r="K23" s="14">
        <v>1</v>
      </c>
      <c r="L23" s="15">
        <v>16.8</v>
      </c>
      <c r="M23" s="15">
        <v>16.8</v>
      </c>
    </row>
    <row r="24" spans="4:13">
      <c r="D24" s="12">
        <v>46127</v>
      </c>
      <c r="E24" s="13">
        <v>1594997</v>
      </c>
      <c r="F24" s="13" t="s">
        <v>47</v>
      </c>
      <c r="G24" s="14">
        <v>20303947</v>
      </c>
      <c r="H24" s="13" t="s">
        <v>229</v>
      </c>
      <c r="I24" s="13" t="s">
        <v>49</v>
      </c>
      <c r="J24" s="14">
        <v>2</v>
      </c>
      <c r="K24" s="14">
        <v>20</v>
      </c>
      <c r="L24" s="15">
        <v>33</v>
      </c>
      <c r="M24" s="15">
        <v>66</v>
      </c>
    </row>
    <row r="25" spans="4:13">
      <c r="D25" s="12">
        <v>46127</v>
      </c>
      <c r="E25" s="13">
        <v>1595141</v>
      </c>
      <c r="F25" s="13" t="s">
        <v>15</v>
      </c>
      <c r="G25" s="14">
        <v>20309794</v>
      </c>
      <c r="H25" s="13" t="s">
        <v>228</v>
      </c>
      <c r="I25" s="13" t="s">
        <v>128</v>
      </c>
      <c r="J25" s="14">
        <v>1</v>
      </c>
      <c r="K25" s="14">
        <v>4</v>
      </c>
      <c r="L25" s="15">
        <v>52.8</v>
      </c>
      <c r="M25" s="15">
        <v>52.8</v>
      </c>
    </row>
    <row r="26" spans="4:13">
      <c r="D26" s="12">
        <v>46127</v>
      </c>
      <c r="E26" s="13">
        <v>1595141</v>
      </c>
      <c r="F26" s="13" t="s">
        <v>15</v>
      </c>
      <c r="G26" s="14">
        <v>20309793</v>
      </c>
      <c r="H26" s="13" t="s">
        <v>231</v>
      </c>
      <c r="I26" s="13" t="s">
        <v>128</v>
      </c>
      <c r="J26" s="14">
        <v>1</v>
      </c>
      <c r="K26" s="14">
        <v>5</v>
      </c>
      <c r="L26" s="15">
        <v>52.8</v>
      </c>
      <c r="M26" s="15">
        <v>52.8</v>
      </c>
    </row>
    <row r="27" spans="4:13">
      <c r="D27" s="12">
        <v>46128</v>
      </c>
      <c r="E27" s="13">
        <v>1595326</v>
      </c>
      <c r="F27" s="13" t="s">
        <v>42</v>
      </c>
      <c r="G27" s="14">
        <v>20303872</v>
      </c>
      <c r="H27" s="13" t="s">
        <v>227</v>
      </c>
      <c r="I27" s="13" t="s">
        <v>44</v>
      </c>
      <c r="J27" s="14">
        <v>1</v>
      </c>
      <c r="K27" s="14">
        <v>1</v>
      </c>
      <c r="L27" s="15">
        <v>9.9</v>
      </c>
      <c r="M27" s="15">
        <v>9.9</v>
      </c>
    </row>
    <row r="28" spans="4:13">
      <c r="D28" s="12">
        <v>46132</v>
      </c>
      <c r="E28" s="13">
        <v>1596270</v>
      </c>
      <c r="F28" s="13" t="s">
        <v>42</v>
      </c>
      <c r="G28" s="14">
        <v>20315836</v>
      </c>
      <c r="H28" s="13" t="s">
        <v>233</v>
      </c>
      <c r="I28" s="13" t="s">
        <v>44</v>
      </c>
      <c r="J28" s="14">
        <v>1</v>
      </c>
      <c r="K28" s="14">
        <v>1</v>
      </c>
      <c r="L28" s="15">
        <v>9.9</v>
      </c>
      <c r="M28" s="15">
        <v>9.9</v>
      </c>
    </row>
    <row r="29" spans="4:13">
      <c r="M29">
        <f>647.1-26.4</f>
        <v>620.7</v>
      </c>
    </row>
    <row r="34" spans="4:13">
      <c r="D34" s="21" t="s">
        <v>144</v>
      </c>
      <c r="E34" s="22"/>
      <c r="F34" s="22"/>
      <c r="G34" s="22"/>
      <c r="H34" s="22"/>
      <c r="I34" s="22"/>
      <c r="J34" s="22"/>
      <c r="K34" s="22"/>
      <c r="L34" s="22"/>
      <c r="M34" s="22"/>
    </row>
    <row r="35" spans="4:13"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4:13"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4:13">
      <c r="D37" s="23" t="s">
        <v>145</v>
      </c>
      <c r="E37" s="22"/>
      <c r="F37" s="22"/>
      <c r="G37" s="22"/>
      <c r="H37" s="22"/>
      <c r="I37" s="22"/>
      <c r="J37" s="22"/>
      <c r="K37" s="22"/>
      <c r="L37" s="22"/>
      <c r="M37" s="22"/>
    </row>
    <row r="38" spans="4:13"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4:13">
      <c r="D39" s="24" t="s">
        <v>146</v>
      </c>
      <c r="E39" s="24" t="s">
        <v>147</v>
      </c>
      <c r="F39" s="22"/>
      <c r="G39" s="24" t="s">
        <v>148</v>
      </c>
      <c r="H39" s="24" t="s">
        <v>149</v>
      </c>
      <c r="I39" s="24" t="s">
        <v>7</v>
      </c>
      <c r="J39" s="24" t="s">
        <v>150</v>
      </c>
      <c r="K39" s="24" t="s">
        <v>151</v>
      </c>
    </row>
    <row r="40" ht="15.75" spans="4:13">
      <c r="D40" s="25" t="s">
        <v>3</v>
      </c>
      <c r="E40" s="26" t="s">
        <v>2</v>
      </c>
      <c r="F40" s="26" t="s">
        <v>2</v>
      </c>
      <c r="G40" s="26" t="s">
        <v>2</v>
      </c>
      <c r="H40" s="26" t="s">
        <v>2</v>
      </c>
      <c r="I40" s="26" t="s">
        <v>2</v>
      </c>
      <c r="J40" s="27" t="s">
        <v>2</v>
      </c>
      <c r="K40" s="28"/>
    </row>
    <row r="41" ht="14.25" spans="4:13">
      <c r="D41" s="29" t="s">
        <v>226</v>
      </c>
      <c r="E41" s="26" t="s">
        <v>2</v>
      </c>
      <c r="F41" s="26" t="s">
        <v>2</v>
      </c>
      <c r="G41" s="26" t="s">
        <v>2</v>
      </c>
      <c r="H41" s="26" t="s">
        <v>2</v>
      </c>
      <c r="I41" s="26" t="s">
        <v>2</v>
      </c>
      <c r="J41" s="30" t="s">
        <v>2</v>
      </c>
      <c r="K41" s="31">
        <v>-26.4</v>
      </c>
    </row>
    <row r="42" spans="4:13">
      <c r="D42" s="32" t="s">
        <v>152</v>
      </c>
      <c r="E42" s="26" t="s">
        <v>2</v>
      </c>
      <c r="F42" s="26" t="s">
        <v>2</v>
      </c>
      <c r="G42" s="26" t="s">
        <v>2</v>
      </c>
      <c r="H42" s="26" t="s">
        <v>2</v>
      </c>
      <c r="I42" s="26" t="s">
        <v>2</v>
      </c>
      <c r="J42" s="33" t="s">
        <v>2</v>
      </c>
      <c r="K42" s="34">
        <v>-26.4</v>
      </c>
    </row>
    <row r="43" ht="37.5" spans="4:13">
      <c r="D43" s="35">
        <v>3005906714</v>
      </c>
      <c r="E43" s="36">
        <v>46133.4205392014</v>
      </c>
      <c r="F43" s="37" t="s">
        <v>2</v>
      </c>
      <c r="G43" s="38" t="s">
        <v>153</v>
      </c>
      <c r="H43" s="39">
        <v>46055.6777628819</v>
      </c>
      <c r="I43" s="40">
        <v>20309653</v>
      </c>
      <c r="J43" s="40" t="s">
        <v>125</v>
      </c>
      <c r="K43" s="41">
        <v>-26.4</v>
      </c>
    </row>
  </sheetData>
  <autoFilter xmlns:etc="http://www.wps.cn/officeDocument/2017/etCustomData" ref="A7:M29" etc:filterBottomFollowUsedRange="0">
    <extLst/>
  </autoFilter>
  <mergeCells count="12">
    <mergeCell ref="D8:I8"/>
    <mergeCell ref="E39:F39"/>
    <mergeCell ref="D40:I40"/>
    <mergeCell ref="D41:I41"/>
    <mergeCell ref="D42:I42"/>
    <mergeCell ref="E43:F43"/>
    <mergeCell ref="C7:C28"/>
    <mergeCell ref="B4:H5"/>
    <mergeCell ref="A7:B28"/>
    <mergeCell ref="C1:H2"/>
    <mergeCell ref="D34:M35"/>
    <mergeCell ref="D37:H38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18" activePane="bottomLeft" state="frozen"/>
      <selection/>
      <selection pane="bottomLeft" activeCell="M9" sqref="M9:M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48</v>
      </c>
      <c r="K8" s="10">
        <v>65</v>
      </c>
      <c r="L8" s="11"/>
      <c r="M8" s="11">
        <v>486</v>
      </c>
    </row>
    <row r="9" spans="1:13">
      <c r="D9" s="12">
        <v>46104</v>
      </c>
      <c r="E9" s="13">
        <v>1588190</v>
      </c>
      <c r="F9" s="13" t="s">
        <v>20</v>
      </c>
      <c r="G9" s="14">
        <v>20360486</v>
      </c>
      <c r="H9" s="13" t="s">
        <v>235</v>
      </c>
      <c r="I9" s="13" t="s">
        <v>139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46104</v>
      </c>
      <c r="E10" s="13">
        <v>1588289</v>
      </c>
      <c r="F10" s="13" t="s">
        <v>15</v>
      </c>
      <c r="G10" s="14">
        <v>20312434</v>
      </c>
      <c r="H10" s="13" t="s">
        <v>236</v>
      </c>
      <c r="I10" s="13" t="s">
        <v>221</v>
      </c>
      <c r="J10" s="14">
        <v>1</v>
      </c>
      <c r="K10" s="14">
        <v>8</v>
      </c>
      <c r="L10" s="15">
        <v>79.2</v>
      </c>
      <c r="M10" s="15">
        <v>79.2</v>
      </c>
    </row>
    <row r="11" spans="1:13">
      <c r="D11" s="12">
        <v>46106</v>
      </c>
      <c r="E11" s="13">
        <v>1588950</v>
      </c>
      <c r="F11" s="13" t="s">
        <v>20</v>
      </c>
      <c r="G11" s="14">
        <v>20357837</v>
      </c>
      <c r="H11" s="13" t="s">
        <v>237</v>
      </c>
      <c r="I11" s="13" t="s">
        <v>139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46106</v>
      </c>
      <c r="E12" s="13">
        <v>1588950</v>
      </c>
      <c r="F12" s="13" t="s">
        <v>20</v>
      </c>
      <c r="G12" s="14">
        <v>20356764</v>
      </c>
      <c r="H12" s="13" t="s">
        <v>238</v>
      </c>
      <c r="I12" s="13" t="s">
        <v>22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46106</v>
      </c>
      <c r="E13" s="13">
        <v>1588950</v>
      </c>
      <c r="F13" s="13" t="s">
        <v>15</v>
      </c>
      <c r="G13" s="14">
        <v>20315600</v>
      </c>
      <c r="H13" s="13" t="s">
        <v>239</v>
      </c>
      <c r="I13" s="13" t="s">
        <v>19</v>
      </c>
      <c r="J13" s="14">
        <v>1</v>
      </c>
      <c r="K13" s="14">
        <v>4</v>
      </c>
      <c r="L13" s="15">
        <v>52.8</v>
      </c>
      <c r="M13" s="15">
        <v>52.8</v>
      </c>
    </row>
    <row r="14" spans="1:13">
      <c r="D14" s="12">
        <v>46107</v>
      </c>
      <c r="E14" s="13">
        <v>1589298</v>
      </c>
      <c r="F14" s="13" t="s">
        <v>20</v>
      </c>
      <c r="G14" s="14">
        <v>20365887</v>
      </c>
      <c r="H14" s="13" t="s">
        <v>240</v>
      </c>
      <c r="I14" s="13" t="s">
        <v>139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46107</v>
      </c>
      <c r="E15" s="13">
        <v>1589298</v>
      </c>
      <c r="F15" s="13" t="s">
        <v>20</v>
      </c>
      <c r="G15" s="14">
        <v>20365890</v>
      </c>
      <c r="H15" s="13" t="s">
        <v>241</v>
      </c>
      <c r="I15" s="13" t="s">
        <v>139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46107</v>
      </c>
      <c r="E16" s="13">
        <v>1589298</v>
      </c>
      <c r="F16" s="13" t="s">
        <v>20</v>
      </c>
      <c r="G16" s="14">
        <v>20357838</v>
      </c>
      <c r="H16" s="13" t="s">
        <v>242</v>
      </c>
      <c r="I16" s="13" t="s">
        <v>139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46108</v>
      </c>
      <c r="E17" s="13">
        <v>1589681</v>
      </c>
      <c r="F17" s="13" t="s">
        <v>20</v>
      </c>
      <c r="G17" s="14">
        <v>20303717</v>
      </c>
      <c r="H17" s="13" t="s">
        <v>70</v>
      </c>
      <c r="I17" s="13" t="s">
        <v>35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46108</v>
      </c>
      <c r="E18" s="13">
        <v>1589681</v>
      </c>
      <c r="F18" s="13" t="s">
        <v>20</v>
      </c>
      <c r="G18" s="14">
        <v>20316042</v>
      </c>
      <c r="H18" s="13" t="s">
        <v>34</v>
      </c>
      <c r="I18" s="13" t="s">
        <v>35</v>
      </c>
      <c r="J18" s="14">
        <v>4</v>
      </c>
      <c r="K18" s="14">
        <v>4</v>
      </c>
      <c r="L18" s="15">
        <v>4.8</v>
      </c>
      <c r="M18" s="15">
        <v>19.2</v>
      </c>
    </row>
    <row r="19" ht="25.5" spans="4:13">
      <c r="D19" s="12">
        <v>46108</v>
      </c>
      <c r="E19" s="13">
        <v>1589681</v>
      </c>
      <c r="F19" s="13" t="s">
        <v>15</v>
      </c>
      <c r="G19" s="14">
        <v>20313522</v>
      </c>
      <c r="H19" s="13" t="s">
        <v>97</v>
      </c>
      <c r="I19" s="13" t="s">
        <v>98</v>
      </c>
      <c r="J19" s="14">
        <v>1</v>
      </c>
      <c r="K19" s="14">
        <v>1</v>
      </c>
      <c r="L19" s="15">
        <v>21</v>
      </c>
      <c r="M19" s="15">
        <v>21</v>
      </c>
    </row>
    <row r="20" spans="4:13">
      <c r="D20" s="12">
        <v>46111</v>
      </c>
      <c r="E20" s="13">
        <v>1590349</v>
      </c>
      <c r="F20" s="13" t="s">
        <v>15</v>
      </c>
      <c r="G20" s="14">
        <v>20313203</v>
      </c>
      <c r="H20" s="13" t="s">
        <v>243</v>
      </c>
      <c r="I20" s="13" t="s">
        <v>244</v>
      </c>
      <c r="J20" s="14">
        <v>2</v>
      </c>
      <c r="K20" s="14">
        <v>2</v>
      </c>
      <c r="L20" s="15">
        <v>15</v>
      </c>
      <c r="M20" s="15">
        <v>30</v>
      </c>
    </row>
    <row r="21" spans="4:13">
      <c r="D21" s="12">
        <v>46112</v>
      </c>
      <c r="E21" s="13">
        <v>1590620</v>
      </c>
      <c r="F21" s="13" t="s">
        <v>20</v>
      </c>
      <c r="G21" s="14">
        <v>20357838</v>
      </c>
      <c r="H21" s="13" t="s">
        <v>242</v>
      </c>
      <c r="I21" s="13" t="s">
        <v>139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46114</v>
      </c>
      <c r="E22" s="13">
        <v>1591390</v>
      </c>
      <c r="F22" s="13" t="s">
        <v>20</v>
      </c>
      <c r="G22" s="14">
        <v>20337510</v>
      </c>
      <c r="H22" s="13" t="s">
        <v>245</v>
      </c>
      <c r="I22" s="13" t="s">
        <v>139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46114</v>
      </c>
      <c r="E23" s="13">
        <v>1591390</v>
      </c>
      <c r="F23" s="13" t="s">
        <v>20</v>
      </c>
      <c r="G23" s="14">
        <v>20360486</v>
      </c>
      <c r="H23" s="13" t="s">
        <v>235</v>
      </c>
      <c r="I23" s="13" t="s">
        <v>139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46114</v>
      </c>
      <c r="E24" s="13">
        <v>1591390</v>
      </c>
      <c r="F24" s="13" t="s">
        <v>20</v>
      </c>
      <c r="G24" s="14">
        <v>20358525</v>
      </c>
      <c r="H24" s="13" t="s">
        <v>246</v>
      </c>
      <c r="I24" s="13" t="s">
        <v>139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46114</v>
      </c>
      <c r="E25" s="13">
        <v>1591390</v>
      </c>
      <c r="F25" s="13" t="s">
        <v>20</v>
      </c>
      <c r="G25" s="14">
        <v>20358526</v>
      </c>
      <c r="H25" s="13" t="s">
        <v>247</v>
      </c>
      <c r="I25" s="13" t="s">
        <v>139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46115</v>
      </c>
      <c r="E26" s="13">
        <v>1591811</v>
      </c>
      <c r="F26" s="13" t="s">
        <v>20</v>
      </c>
      <c r="G26" s="14">
        <v>20365887</v>
      </c>
      <c r="H26" s="13" t="s">
        <v>240</v>
      </c>
      <c r="I26" s="13" t="s">
        <v>139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46115</v>
      </c>
      <c r="E27" s="13">
        <v>1591811</v>
      </c>
      <c r="F27" s="13" t="s">
        <v>20</v>
      </c>
      <c r="G27" s="14">
        <v>20365890</v>
      </c>
      <c r="H27" s="13" t="s">
        <v>241</v>
      </c>
      <c r="I27" s="13" t="s">
        <v>139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46115</v>
      </c>
      <c r="E28" s="13">
        <v>1591811</v>
      </c>
      <c r="F28" s="13" t="s">
        <v>20</v>
      </c>
      <c r="G28" s="14">
        <v>20357837</v>
      </c>
      <c r="H28" s="13" t="s">
        <v>237</v>
      </c>
      <c r="I28" s="13" t="s">
        <v>139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46115</v>
      </c>
      <c r="E29" s="13">
        <v>1591811</v>
      </c>
      <c r="F29" s="13" t="s">
        <v>20</v>
      </c>
      <c r="G29" s="14">
        <v>20357838</v>
      </c>
      <c r="H29" s="13" t="s">
        <v>242</v>
      </c>
      <c r="I29" s="13" t="s">
        <v>139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46115</v>
      </c>
      <c r="E30" s="13">
        <v>1591976</v>
      </c>
      <c r="F30" s="13" t="s">
        <v>15</v>
      </c>
      <c r="G30" s="14">
        <v>20314741</v>
      </c>
      <c r="H30" s="13" t="s">
        <v>248</v>
      </c>
      <c r="I30" s="13" t="s">
        <v>128</v>
      </c>
      <c r="J30" s="14">
        <v>1</v>
      </c>
      <c r="K30" s="14">
        <v>1</v>
      </c>
      <c r="L30" s="15">
        <v>16.8</v>
      </c>
      <c r="M30" s="15">
        <v>16.8</v>
      </c>
    </row>
    <row r="31" spans="4:13">
      <c r="D31" s="12">
        <v>46119</v>
      </c>
      <c r="E31" s="13">
        <v>1592409</v>
      </c>
      <c r="F31" s="13" t="s">
        <v>20</v>
      </c>
      <c r="G31" s="14">
        <v>20360486</v>
      </c>
      <c r="H31" s="13" t="s">
        <v>235</v>
      </c>
      <c r="I31" s="13" t="s">
        <v>139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46119</v>
      </c>
      <c r="E32" s="13">
        <v>1592409</v>
      </c>
      <c r="F32" s="13" t="s">
        <v>20</v>
      </c>
      <c r="G32" s="14">
        <v>20303863</v>
      </c>
      <c r="H32" s="13" t="s">
        <v>28</v>
      </c>
      <c r="I32" s="13" t="s">
        <v>29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46119</v>
      </c>
      <c r="E33" s="13">
        <v>1592479</v>
      </c>
      <c r="F33" s="13" t="s">
        <v>15</v>
      </c>
      <c r="G33" s="14">
        <v>20312558</v>
      </c>
      <c r="H33" s="13" t="s">
        <v>249</v>
      </c>
      <c r="I33" s="13" t="s">
        <v>244</v>
      </c>
      <c r="J33" s="14">
        <v>1</v>
      </c>
      <c r="K33" s="14">
        <v>1</v>
      </c>
      <c r="L33" s="15">
        <v>15</v>
      </c>
      <c r="M33" s="15">
        <v>15</v>
      </c>
    </row>
    <row r="34" spans="4:13">
      <c r="D34" s="12">
        <v>46121</v>
      </c>
      <c r="E34" s="13">
        <v>1593190</v>
      </c>
      <c r="F34" s="13" t="s">
        <v>20</v>
      </c>
      <c r="G34" s="14">
        <v>20357837</v>
      </c>
      <c r="H34" s="13" t="s">
        <v>237</v>
      </c>
      <c r="I34" s="13" t="s">
        <v>139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46121</v>
      </c>
      <c r="E35" s="13">
        <v>1593190</v>
      </c>
      <c r="F35" s="13" t="s">
        <v>20</v>
      </c>
      <c r="G35" s="14">
        <v>20303946</v>
      </c>
      <c r="H35" s="13" t="s">
        <v>250</v>
      </c>
      <c r="I35" s="13" t="s">
        <v>139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46122</v>
      </c>
      <c r="E36" s="13">
        <v>1593633</v>
      </c>
      <c r="F36" s="13" t="s">
        <v>20</v>
      </c>
      <c r="G36" s="14">
        <v>20357838</v>
      </c>
      <c r="H36" s="13" t="s">
        <v>242</v>
      </c>
      <c r="I36" s="13" t="s">
        <v>139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46122</v>
      </c>
      <c r="E37" s="13">
        <v>1593633</v>
      </c>
      <c r="F37" s="13" t="s">
        <v>20</v>
      </c>
      <c r="G37" s="14">
        <v>20360486</v>
      </c>
      <c r="H37" s="13" t="s">
        <v>235</v>
      </c>
      <c r="I37" s="13" t="s">
        <v>139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46122</v>
      </c>
      <c r="E38" s="13">
        <v>1593633</v>
      </c>
      <c r="F38" s="13" t="s">
        <v>20</v>
      </c>
      <c r="G38" s="14">
        <v>20358525</v>
      </c>
      <c r="H38" s="13" t="s">
        <v>246</v>
      </c>
      <c r="I38" s="13" t="s">
        <v>139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46126</v>
      </c>
      <c r="E39" s="13">
        <v>1594579</v>
      </c>
      <c r="F39" s="13" t="s">
        <v>20</v>
      </c>
      <c r="G39" s="14">
        <v>20365890</v>
      </c>
      <c r="H39" s="13" t="s">
        <v>241</v>
      </c>
      <c r="I39" s="13" t="s">
        <v>139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46126</v>
      </c>
      <c r="E40" s="13">
        <v>1594579</v>
      </c>
      <c r="F40" s="13" t="s">
        <v>20</v>
      </c>
      <c r="G40" s="14">
        <v>20357838</v>
      </c>
      <c r="H40" s="13" t="s">
        <v>242</v>
      </c>
      <c r="I40" s="13" t="s">
        <v>139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46126</v>
      </c>
      <c r="E41" s="13">
        <v>1594579</v>
      </c>
      <c r="F41" s="13" t="s">
        <v>20</v>
      </c>
      <c r="G41" s="14">
        <v>20358525</v>
      </c>
      <c r="H41" s="13" t="s">
        <v>246</v>
      </c>
      <c r="I41" s="13" t="s">
        <v>139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46127</v>
      </c>
      <c r="E42" s="13">
        <v>1594998</v>
      </c>
      <c r="F42" s="13" t="s">
        <v>20</v>
      </c>
      <c r="G42" s="14">
        <v>20365887</v>
      </c>
      <c r="H42" s="13" t="s">
        <v>240</v>
      </c>
      <c r="I42" s="13" t="s">
        <v>139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46127</v>
      </c>
      <c r="E43" s="13">
        <v>1594998</v>
      </c>
      <c r="F43" s="13" t="s">
        <v>20</v>
      </c>
      <c r="G43" s="14">
        <v>20357837</v>
      </c>
      <c r="H43" s="13" t="s">
        <v>237</v>
      </c>
      <c r="I43" s="13" t="s">
        <v>139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46127</v>
      </c>
      <c r="E44" s="13">
        <v>1594998</v>
      </c>
      <c r="F44" s="13" t="s">
        <v>20</v>
      </c>
      <c r="G44" s="14">
        <v>20356764</v>
      </c>
      <c r="H44" s="13" t="s">
        <v>238</v>
      </c>
      <c r="I44" s="13" t="s">
        <v>22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46127</v>
      </c>
      <c r="E45" s="13">
        <v>1594998</v>
      </c>
      <c r="F45" s="13" t="s">
        <v>20</v>
      </c>
      <c r="G45" s="14">
        <v>20316042</v>
      </c>
      <c r="H45" s="13" t="s">
        <v>34</v>
      </c>
      <c r="I45" s="13" t="s">
        <v>35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46129</v>
      </c>
      <c r="E46" s="13">
        <v>1595750</v>
      </c>
      <c r="F46" s="13" t="s">
        <v>20</v>
      </c>
      <c r="G46" s="14">
        <v>20357838</v>
      </c>
      <c r="H46" s="13" t="s">
        <v>242</v>
      </c>
      <c r="I46" s="13" t="s">
        <v>139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46129</v>
      </c>
      <c r="E47" s="13">
        <v>1595750</v>
      </c>
      <c r="F47" s="13" t="s">
        <v>20</v>
      </c>
      <c r="G47" s="14">
        <v>20358525</v>
      </c>
      <c r="H47" s="13" t="s">
        <v>246</v>
      </c>
      <c r="I47" s="13" t="s">
        <v>139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46132</v>
      </c>
      <c r="E48" s="13">
        <v>1596269</v>
      </c>
      <c r="F48" s="13" t="s">
        <v>20</v>
      </c>
      <c r="G48" s="14">
        <v>20337510</v>
      </c>
      <c r="H48" s="13" t="s">
        <v>245</v>
      </c>
      <c r="I48" s="13" t="s">
        <v>139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46132</v>
      </c>
      <c r="E49" s="13">
        <v>1596269</v>
      </c>
      <c r="F49" s="13" t="s">
        <v>20</v>
      </c>
      <c r="G49" s="14">
        <v>20360486</v>
      </c>
      <c r="H49" s="13" t="s">
        <v>235</v>
      </c>
      <c r="I49" s="13" t="s">
        <v>139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46132</v>
      </c>
      <c r="E50" s="13">
        <v>1596269</v>
      </c>
      <c r="F50" s="13" t="s">
        <v>20</v>
      </c>
      <c r="G50" s="14">
        <v>20303717</v>
      </c>
      <c r="H50" s="13" t="s">
        <v>70</v>
      </c>
      <c r="I50" s="13" t="s">
        <v>35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46132</v>
      </c>
      <c r="E51" s="13">
        <v>1596269</v>
      </c>
      <c r="F51" s="13" t="s">
        <v>20</v>
      </c>
      <c r="G51" s="14">
        <v>20316042</v>
      </c>
      <c r="H51" s="13" t="s">
        <v>34</v>
      </c>
      <c r="I51" s="13" t="s">
        <v>35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46132</v>
      </c>
      <c r="E52" s="13">
        <v>1596374</v>
      </c>
      <c r="F52" s="13" t="s">
        <v>15</v>
      </c>
      <c r="G52" s="14">
        <v>20312434</v>
      </c>
      <c r="H52" s="13" t="s">
        <v>236</v>
      </c>
      <c r="I52" s="13" t="s">
        <v>221</v>
      </c>
      <c r="J52" s="14">
        <v>1</v>
      </c>
      <c r="K52" s="14">
        <v>8</v>
      </c>
      <c r="L52" s="15">
        <v>79.2</v>
      </c>
      <c r="M52" s="15">
        <v>79.2</v>
      </c>
    </row>
    <row r="53" ht="0.05" customHeight="1"/>
  </sheetData>
  <autoFilter xmlns:etc="http://www.wps.cn/officeDocument/2017/etCustomData" ref="A7:M52" etc:filterBottomFollowUsedRange="0">
    <extLst/>
  </autoFilter>
  <mergeCells count="5">
    <mergeCell ref="D8:I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21" sqref="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46132</v>
      </c>
      <c r="E9" s="13">
        <v>1596370</v>
      </c>
      <c r="F9" s="13" t="s">
        <v>20</v>
      </c>
      <c r="G9" s="14">
        <v>20315425</v>
      </c>
      <c r="H9" s="13" t="s">
        <v>21</v>
      </c>
      <c r="I9" s="13" t="s">
        <v>22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workbookViewId="0">
      <pane ySplit="6" topLeftCell="A7" activePane="bottomLeft" state="frozen"/>
      <selection/>
      <selection pane="bottomLeft" activeCell="M36" sqref="M9:M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" customWidth="1"/>
    <col min="9" max="9" width="16.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46</v>
      </c>
      <c r="K8" s="10">
        <v>219</v>
      </c>
      <c r="L8" s="11"/>
      <c r="M8" s="11">
        <v>722.7</v>
      </c>
    </row>
    <row r="9" spans="1:13">
      <c r="D9" s="12">
        <v>46104</v>
      </c>
      <c r="E9" s="13">
        <v>1588191</v>
      </c>
      <c r="F9" s="13" t="s">
        <v>42</v>
      </c>
      <c r="G9" s="14">
        <v>20303849</v>
      </c>
      <c r="H9" s="13" t="s">
        <v>253</v>
      </c>
      <c r="I9" s="13" t="s">
        <v>62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46107</v>
      </c>
      <c r="E10" s="13">
        <v>1589284</v>
      </c>
      <c r="F10" s="13" t="s">
        <v>42</v>
      </c>
      <c r="G10" s="14">
        <v>20303887</v>
      </c>
      <c r="H10" s="13" t="s">
        <v>61</v>
      </c>
      <c r="I10" s="13" t="s">
        <v>62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46111</v>
      </c>
      <c r="E11" s="13">
        <v>1590233</v>
      </c>
      <c r="F11" s="13" t="s">
        <v>42</v>
      </c>
      <c r="G11" s="14">
        <v>20303887</v>
      </c>
      <c r="H11" s="13" t="s">
        <v>61</v>
      </c>
      <c r="I11" s="13" t="s">
        <v>62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46114</v>
      </c>
      <c r="E12" s="13">
        <v>1591382</v>
      </c>
      <c r="F12" s="13" t="s">
        <v>42</v>
      </c>
      <c r="G12" s="14">
        <v>20303887</v>
      </c>
      <c r="H12" s="13" t="s">
        <v>61</v>
      </c>
      <c r="I12" s="13" t="s">
        <v>62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46119</v>
      </c>
      <c r="E13" s="13">
        <v>1592385</v>
      </c>
      <c r="F13" s="13" t="s">
        <v>42</v>
      </c>
      <c r="G13" s="14">
        <v>20303849</v>
      </c>
      <c r="H13" s="13" t="s">
        <v>253</v>
      </c>
      <c r="I13" s="13" t="s">
        <v>62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46121</v>
      </c>
      <c r="E14" s="13">
        <v>1593182</v>
      </c>
      <c r="F14" s="13" t="s">
        <v>42</v>
      </c>
      <c r="G14" s="14">
        <v>20303849</v>
      </c>
      <c r="H14" s="13" t="s">
        <v>253</v>
      </c>
      <c r="I14" s="13" t="s">
        <v>62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46125</v>
      </c>
      <c r="E15" s="13">
        <v>1594157</v>
      </c>
      <c r="F15" s="13" t="s">
        <v>42</v>
      </c>
      <c r="G15" s="14">
        <v>20303887</v>
      </c>
      <c r="H15" s="13" t="s">
        <v>61</v>
      </c>
      <c r="I15" s="13" t="s">
        <v>62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46128</v>
      </c>
      <c r="E16" s="13">
        <v>1595320</v>
      </c>
      <c r="F16" s="13" t="s">
        <v>42</v>
      </c>
      <c r="G16" s="14">
        <v>20303887</v>
      </c>
      <c r="H16" s="13" t="s">
        <v>61</v>
      </c>
      <c r="I16" s="13" t="s">
        <v>62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46132</v>
      </c>
      <c r="E17" s="13">
        <v>1596261</v>
      </c>
      <c r="F17" s="13" t="s">
        <v>42</v>
      </c>
      <c r="G17" s="14">
        <v>20303887</v>
      </c>
      <c r="H17" s="13" t="s">
        <v>61</v>
      </c>
      <c r="I17" s="13" t="s">
        <v>62</v>
      </c>
      <c r="J17" s="14">
        <v>1</v>
      </c>
      <c r="K17" s="14">
        <v>4</v>
      </c>
      <c r="L17" s="15">
        <v>13.2</v>
      </c>
      <c r="M17" s="15">
        <v>13.2</v>
      </c>
    </row>
    <row r="18" ht="17" customHeight="1" spans="4:13">
      <c r="D18" s="12">
        <v>46104</v>
      </c>
      <c r="E18" s="13">
        <v>1588184</v>
      </c>
      <c r="F18" s="13" t="s">
        <v>189</v>
      </c>
      <c r="G18" s="14">
        <v>20309584</v>
      </c>
      <c r="H18" s="13" t="s">
        <v>254</v>
      </c>
      <c r="I18" s="13" t="s">
        <v>55</v>
      </c>
      <c r="J18" s="14">
        <v>5</v>
      </c>
      <c r="K18" s="14">
        <v>25</v>
      </c>
      <c r="L18" s="15">
        <v>16.5</v>
      </c>
      <c r="M18" s="15">
        <v>82.5</v>
      </c>
    </row>
    <row r="19" spans="4:13">
      <c r="D19" s="12">
        <v>46104</v>
      </c>
      <c r="E19" s="13">
        <v>1588398</v>
      </c>
      <c r="F19" s="13" t="s">
        <v>189</v>
      </c>
      <c r="G19" s="14">
        <v>20310519</v>
      </c>
      <c r="H19" s="13" t="s">
        <v>255</v>
      </c>
      <c r="I19" s="13" t="s">
        <v>55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46106</v>
      </c>
      <c r="E20" s="13">
        <v>1589097</v>
      </c>
      <c r="F20" s="13" t="s">
        <v>189</v>
      </c>
      <c r="G20" s="14">
        <v>20309584</v>
      </c>
      <c r="H20" s="13" t="s">
        <v>254</v>
      </c>
      <c r="I20" s="13" t="s">
        <v>55</v>
      </c>
      <c r="J20" s="14">
        <v>3</v>
      </c>
      <c r="K20" s="14">
        <v>15</v>
      </c>
      <c r="L20" s="15">
        <v>16.5</v>
      </c>
      <c r="M20" s="15">
        <v>49.5</v>
      </c>
    </row>
    <row r="21" spans="4:13">
      <c r="D21" s="12">
        <v>46106</v>
      </c>
      <c r="E21" s="13">
        <v>1589097</v>
      </c>
      <c r="F21" s="13" t="s">
        <v>189</v>
      </c>
      <c r="G21" s="14">
        <v>20310519</v>
      </c>
      <c r="H21" s="13" t="s">
        <v>255</v>
      </c>
      <c r="I21" s="13" t="s">
        <v>55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46107</v>
      </c>
      <c r="E22" s="13">
        <v>1589496</v>
      </c>
      <c r="F22" s="13" t="s">
        <v>189</v>
      </c>
      <c r="G22" s="14">
        <v>20309584</v>
      </c>
      <c r="H22" s="13" t="s">
        <v>254</v>
      </c>
      <c r="I22" s="13" t="s">
        <v>55</v>
      </c>
      <c r="J22" s="14">
        <v>2</v>
      </c>
      <c r="K22" s="14">
        <v>10</v>
      </c>
      <c r="L22" s="15">
        <v>16.5</v>
      </c>
      <c r="M22" s="15">
        <v>33</v>
      </c>
    </row>
    <row r="23" spans="4:13">
      <c r="D23" s="12">
        <v>46108</v>
      </c>
      <c r="E23" s="13">
        <v>1589901</v>
      </c>
      <c r="F23" s="13" t="s">
        <v>189</v>
      </c>
      <c r="G23" s="14">
        <v>20309584</v>
      </c>
      <c r="H23" s="13" t="s">
        <v>254</v>
      </c>
      <c r="I23" s="13" t="s">
        <v>55</v>
      </c>
      <c r="J23" s="14">
        <v>2</v>
      </c>
      <c r="K23" s="14">
        <v>10</v>
      </c>
      <c r="L23" s="15">
        <v>16.5</v>
      </c>
      <c r="M23" s="15">
        <v>33</v>
      </c>
    </row>
    <row r="24" spans="4:13">
      <c r="D24" s="12">
        <v>46112</v>
      </c>
      <c r="E24" s="13">
        <v>1590739</v>
      </c>
      <c r="F24" s="13" t="s">
        <v>189</v>
      </c>
      <c r="G24" s="14">
        <v>20309584</v>
      </c>
      <c r="H24" s="13" t="s">
        <v>254</v>
      </c>
      <c r="I24" s="13" t="s">
        <v>55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46112</v>
      </c>
      <c r="E25" s="13">
        <v>1590739</v>
      </c>
      <c r="F25" s="13" t="s">
        <v>189</v>
      </c>
      <c r="G25" s="14">
        <v>20310519</v>
      </c>
      <c r="H25" s="13" t="s">
        <v>255</v>
      </c>
      <c r="I25" s="13" t="s">
        <v>55</v>
      </c>
      <c r="J25" s="14">
        <v>2</v>
      </c>
      <c r="K25" s="14">
        <v>10</v>
      </c>
      <c r="L25" s="15">
        <v>16.5</v>
      </c>
      <c r="M25" s="15">
        <v>33</v>
      </c>
    </row>
    <row r="26" spans="4:13">
      <c r="D26" s="12">
        <v>46113</v>
      </c>
      <c r="E26" s="13">
        <v>1591037</v>
      </c>
      <c r="F26" s="13" t="s">
        <v>20</v>
      </c>
      <c r="G26" s="14">
        <v>20354435</v>
      </c>
      <c r="H26" s="13" t="s">
        <v>39</v>
      </c>
      <c r="I26" s="13" t="s">
        <v>22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46113</v>
      </c>
      <c r="E27" s="13">
        <v>1591207</v>
      </c>
      <c r="F27" s="13" t="s">
        <v>189</v>
      </c>
      <c r="G27" s="14">
        <v>20309584</v>
      </c>
      <c r="H27" s="13" t="s">
        <v>254</v>
      </c>
      <c r="I27" s="13" t="s">
        <v>55</v>
      </c>
      <c r="J27" s="14">
        <v>2</v>
      </c>
      <c r="K27" s="14">
        <v>10</v>
      </c>
      <c r="L27" s="15">
        <v>16.5</v>
      </c>
      <c r="M27" s="15">
        <v>33</v>
      </c>
    </row>
    <row r="28" spans="4:13">
      <c r="D28" s="12">
        <v>46115</v>
      </c>
      <c r="E28" s="13">
        <v>1591974</v>
      </c>
      <c r="F28" s="13" t="s">
        <v>189</v>
      </c>
      <c r="G28" s="14">
        <v>20309584</v>
      </c>
      <c r="H28" s="13" t="s">
        <v>254</v>
      </c>
      <c r="I28" s="13" t="s">
        <v>55</v>
      </c>
      <c r="J28" s="14">
        <v>2</v>
      </c>
      <c r="K28" s="14">
        <v>10</v>
      </c>
      <c r="L28" s="15">
        <v>16.5</v>
      </c>
      <c r="M28" s="15">
        <v>33</v>
      </c>
    </row>
    <row r="29" spans="4:13">
      <c r="D29" s="12">
        <v>46115</v>
      </c>
      <c r="E29" s="13">
        <v>1591974</v>
      </c>
      <c r="F29" s="13" t="s">
        <v>189</v>
      </c>
      <c r="G29" s="14">
        <v>20310519</v>
      </c>
      <c r="H29" s="13" t="s">
        <v>255</v>
      </c>
      <c r="I29" s="13" t="s">
        <v>55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46120</v>
      </c>
      <c r="E30" s="13">
        <v>1592885</v>
      </c>
      <c r="F30" s="13" t="s">
        <v>189</v>
      </c>
      <c r="G30" s="14">
        <v>20309584</v>
      </c>
      <c r="H30" s="13" t="s">
        <v>254</v>
      </c>
      <c r="I30" s="13" t="s">
        <v>55</v>
      </c>
      <c r="J30" s="14">
        <v>3</v>
      </c>
      <c r="K30" s="14">
        <v>15</v>
      </c>
      <c r="L30" s="15">
        <v>16.5</v>
      </c>
      <c r="M30" s="15">
        <v>49.5</v>
      </c>
    </row>
    <row r="31" spans="4:13">
      <c r="D31" s="12">
        <v>46120</v>
      </c>
      <c r="E31" s="13">
        <v>1592885</v>
      </c>
      <c r="F31" s="13" t="s">
        <v>189</v>
      </c>
      <c r="G31" s="14">
        <v>20310519</v>
      </c>
      <c r="H31" s="13" t="s">
        <v>255</v>
      </c>
      <c r="I31" s="13" t="s">
        <v>55</v>
      </c>
      <c r="J31" s="14">
        <v>1</v>
      </c>
      <c r="K31" s="14">
        <v>5</v>
      </c>
      <c r="L31" s="15">
        <v>16.5</v>
      </c>
      <c r="M31" s="15">
        <v>16.5</v>
      </c>
    </row>
    <row r="32" spans="4:13">
      <c r="D32" s="12">
        <v>46121</v>
      </c>
      <c r="E32" s="13">
        <v>1593378</v>
      </c>
      <c r="F32" s="13" t="s">
        <v>189</v>
      </c>
      <c r="G32" s="14">
        <v>20309584</v>
      </c>
      <c r="H32" s="13" t="s">
        <v>254</v>
      </c>
      <c r="I32" s="13" t="s">
        <v>55</v>
      </c>
      <c r="J32" s="14">
        <v>2</v>
      </c>
      <c r="K32" s="14">
        <v>10</v>
      </c>
      <c r="L32" s="15">
        <v>16.5</v>
      </c>
      <c r="M32" s="15">
        <v>33</v>
      </c>
    </row>
    <row r="33" spans="4:13">
      <c r="D33" s="12">
        <v>46121</v>
      </c>
      <c r="E33" s="13">
        <v>1593378</v>
      </c>
      <c r="F33" s="13" t="s">
        <v>189</v>
      </c>
      <c r="G33" s="14">
        <v>20310519</v>
      </c>
      <c r="H33" s="13" t="s">
        <v>255</v>
      </c>
      <c r="I33" s="13" t="s">
        <v>55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46127</v>
      </c>
      <c r="E34" s="13">
        <v>1595012</v>
      </c>
      <c r="F34" s="13" t="s">
        <v>189</v>
      </c>
      <c r="G34" s="14">
        <v>20309584</v>
      </c>
      <c r="H34" s="13" t="s">
        <v>254</v>
      </c>
      <c r="I34" s="13" t="s">
        <v>55</v>
      </c>
      <c r="J34" s="14">
        <v>3</v>
      </c>
      <c r="K34" s="14">
        <v>15</v>
      </c>
      <c r="L34" s="15">
        <v>16.5</v>
      </c>
      <c r="M34" s="15">
        <v>49.5</v>
      </c>
    </row>
    <row r="35" spans="4:13">
      <c r="D35" s="12">
        <v>46127</v>
      </c>
      <c r="E35" s="13">
        <v>1595147</v>
      </c>
      <c r="F35" s="13" t="s">
        <v>189</v>
      </c>
      <c r="G35" s="14">
        <v>20309584</v>
      </c>
      <c r="H35" s="13" t="s">
        <v>254</v>
      </c>
      <c r="I35" s="13" t="s">
        <v>55</v>
      </c>
      <c r="J35" s="14">
        <v>3</v>
      </c>
      <c r="K35" s="14">
        <v>15</v>
      </c>
      <c r="L35" s="15">
        <v>16.5</v>
      </c>
      <c r="M35" s="15">
        <v>49.5</v>
      </c>
    </row>
    <row r="36" spans="4:13">
      <c r="D36" s="12">
        <v>46127</v>
      </c>
      <c r="E36" s="13">
        <v>1595147</v>
      </c>
      <c r="F36" s="13" t="s">
        <v>189</v>
      </c>
      <c r="G36" s="14">
        <v>20310519</v>
      </c>
      <c r="H36" s="13" t="s">
        <v>255</v>
      </c>
      <c r="I36" s="13" t="s">
        <v>55</v>
      </c>
      <c r="J36" s="14">
        <v>1</v>
      </c>
      <c r="K36" s="14">
        <v>5</v>
      </c>
      <c r="L36" s="15">
        <v>16.5</v>
      </c>
      <c r="M36" s="15">
        <v>16.5</v>
      </c>
    </row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25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71</v>
      </c>
      <c r="K8" s="10">
        <v>134</v>
      </c>
      <c r="L8" s="11"/>
      <c r="M8" s="11">
        <v>608.7</v>
      </c>
    </row>
    <row r="9" spans="1:13">
      <c r="D9" s="12">
        <v>46103</v>
      </c>
      <c r="E9" s="13">
        <v>1588110</v>
      </c>
      <c r="F9" s="13" t="s">
        <v>20</v>
      </c>
      <c r="G9" s="14">
        <v>20303863</v>
      </c>
      <c r="H9" s="13" t="s">
        <v>28</v>
      </c>
      <c r="I9" s="13" t="s">
        <v>29</v>
      </c>
      <c r="J9" s="14">
        <v>9</v>
      </c>
      <c r="K9" s="14">
        <v>9</v>
      </c>
      <c r="L9" s="15">
        <v>4.8</v>
      </c>
      <c r="M9" s="15">
        <v>43.2</v>
      </c>
    </row>
    <row r="10" spans="1:13">
      <c r="D10" s="12">
        <v>46103</v>
      </c>
      <c r="E10" s="13">
        <v>1588110</v>
      </c>
      <c r="F10" s="13" t="s">
        <v>20</v>
      </c>
      <c r="G10" s="14">
        <v>20303798</v>
      </c>
      <c r="H10" s="13" t="s">
        <v>257</v>
      </c>
      <c r="I10" s="13" t="s">
        <v>53</v>
      </c>
      <c r="J10" s="14">
        <v>5</v>
      </c>
      <c r="K10" s="14">
        <v>10</v>
      </c>
      <c r="L10" s="15">
        <v>9.9</v>
      </c>
      <c r="M10" s="15">
        <v>49.5</v>
      </c>
    </row>
    <row r="11" spans="1:13">
      <c r="D11" s="12">
        <v>46110</v>
      </c>
      <c r="E11" s="13">
        <v>1590132</v>
      </c>
      <c r="F11" s="13" t="s">
        <v>20</v>
      </c>
      <c r="G11" s="14">
        <v>20303859</v>
      </c>
      <c r="H11" s="13" t="s">
        <v>46</v>
      </c>
      <c r="I11" s="13" t="s">
        <v>35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46110</v>
      </c>
      <c r="E12" s="13">
        <v>1590132</v>
      </c>
      <c r="F12" s="13" t="s">
        <v>20</v>
      </c>
      <c r="G12" s="14">
        <v>20303863</v>
      </c>
      <c r="H12" s="13" t="s">
        <v>28</v>
      </c>
      <c r="I12" s="13" t="s">
        <v>29</v>
      </c>
      <c r="J12" s="14">
        <v>7</v>
      </c>
      <c r="K12" s="14">
        <v>7</v>
      </c>
      <c r="L12" s="15">
        <v>4.8</v>
      </c>
      <c r="M12" s="15">
        <v>33.6</v>
      </c>
    </row>
    <row r="13" spans="1:13">
      <c r="D13" s="12">
        <v>46110</v>
      </c>
      <c r="E13" s="13">
        <v>1590132</v>
      </c>
      <c r="F13" s="13" t="s">
        <v>20</v>
      </c>
      <c r="G13" s="14">
        <v>20310044</v>
      </c>
      <c r="H13" s="13" t="s">
        <v>194</v>
      </c>
      <c r="I13" s="13" t="s">
        <v>53</v>
      </c>
      <c r="J13" s="14">
        <v>5</v>
      </c>
      <c r="K13" s="14">
        <v>10</v>
      </c>
      <c r="L13" s="15">
        <v>9.9</v>
      </c>
      <c r="M13" s="15">
        <v>49.5</v>
      </c>
    </row>
    <row r="14" spans="1:13">
      <c r="D14" s="12">
        <v>46112</v>
      </c>
      <c r="E14" s="13">
        <v>1590621</v>
      </c>
      <c r="F14" s="13" t="s">
        <v>20</v>
      </c>
      <c r="G14" s="14">
        <v>20303863</v>
      </c>
      <c r="H14" s="13" t="s">
        <v>28</v>
      </c>
      <c r="I14" s="13" t="s">
        <v>29</v>
      </c>
      <c r="J14" s="14">
        <v>5</v>
      </c>
      <c r="K14" s="14">
        <v>5</v>
      </c>
      <c r="L14" s="15">
        <v>4.8</v>
      </c>
      <c r="M14" s="15">
        <v>24</v>
      </c>
    </row>
    <row r="15" spans="1:13">
      <c r="D15" s="12">
        <v>46112</v>
      </c>
      <c r="E15" s="13">
        <v>1590621</v>
      </c>
      <c r="F15" s="13" t="s">
        <v>20</v>
      </c>
      <c r="G15" s="14">
        <v>20303798</v>
      </c>
      <c r="H15" s="13" t="s">
        <v>257</v>
      </c>
      <c r="I15" s="13" t="s">
        <v>53</v>
      </c>
      <c r="J15" s="14">
        <v>2</v>
      </c>
      <c r="K15" s="14">
        <v>4</v>
      </c>
      <c r="L15" s="15">
        <v>9.9</v>
      </c>
      <c r="M15" s="15">
        <v>19.8</v>
      </c>
    </row>
    <row r="16" spans="1:13">
      <c r="D16" s="12">
        <v>46115</v>
      </c>
      <c r="E16" s="13">
        <v>1591812</v>
      </c>
      <c r="F16" s="13" t="s">
        <v>20</v>
      </c>
      <c r="G16" s="14">
        <v>20303798</v>
      </c>
      <c r="H16" s="13" t="s">
        <v>257</v>
      </c>
      <c r="I16" s="13" t="s">
        <v>53</v>
      </c>
      <c r="J16" s="14">
        <v>4</v>
      </c>
      <c r="K16" s="14">
        <v>8</v>
      </c>
      <c r="L16" s="15">
        <v>9.9</v>
      </c>
      <c r="M16" s="15">
        <v>39.6</v>
      </c>
    </row>
    <row r="17" spans="4:13">
      <c r="D17" s="12">
        <v>46115</v>
      </c>
      <c r="E17" s="13">
        <v>1591812</v>
      </c>
      <c r="F17" s="13" t="s">
        <v>65</v>
      </c>
      <c r="G17" s="14">
        <v>20321530</v>
      </c>
      <c r="H17" s="13" t="s">
        <v>258</v>
      </c>
      <c r="I17" s="13" t="s">
        <v>44</v>
      </c>
      <c r="J17" s="14">
        <v>1</v>
      </c>
      <c r="K17" s="14">
        <v>15</v>
      </c>
      <c r="L17" s="15">
        <v>49.5</v>
      </c>
      <c r="M17" s="15">
        <v>49.5</v>
      </c>
    </row>
    <row r="18" spans="4:13">
      <c r="D18" s="12">
        <v>46117</v>
      </c>
      <c r="E18" s="13">
        <v>1592222</v>
      </c>
      <c r="F18" s="13" t="s">
        <v>20</v>
      </c>
      <c r="G18" s="14">
        <v>20303863</v>
      </c>
      <c r="H18" s="13" t="s">
        <v>28</v>
      </c>
      <c r="I18" s="13" t="s">
        <v>29</v>
      </c>
      <c r="J18" s="14">
        <v>3</v>
      </c>
      <c r="K18" s="14">
        <v>3</v>
      </c>
      <c r="L18" s="15">
        <v>4.8</v>
      </c>
      <c r="M18" s="15">
        <v>14.4</v>
      </c>
    </row>
    <row r="19" spans="4:13">
      <c r="D19" s="12">
        <v>46117</v>
      </c>
      <c r="E19" s="13">
        <v>1592222</v>
      </c>
      <c r="F19" s="13" t="s">
        <v>20</v>
      </c>
      <c r="G19" s="14">
        <v>20303798</v>
      </c>
      <c r="H19" s="13" t="s">
        <v>257</v>
      </c>
      <c r="I19" s="13" t="s">
        <v>53</v>
      </c>
      <c r="J19" s="14">
        <v>3</v>
      </c>
      <c r="K19" s="14">
        <v>6</v>
      </c>
      <c r="L19" s="15">
        <v>9.9</v>
      </c>
      <c r="M19" s="15">
        <v>29.7</v>
      </c>
    </row>
    <row r="20" spans="4:13">
      <c r="D20" s="12">
        <v>46122</v>
      </c>
      <c r="E20" s="13">
        <v>1593634</v>
      </c>
      <c r="F20" s="13" t="s">
        <v>20</v>
      </c>
      <c r="G20" s="14">
        <v>20303798</v>
      </c>
      <c r="H20" s="13" t="s">
        <v>257</v>
      </c>
      <c r="I20" s="13" t="s">
        <v>53</v>
      </c>
      <c r="J20" s="14">
        <v>5</v>
      </c>
      <c r="K20" s="14">
        <v>10</v>
      </c>
      <c r="L20" s="15">
        <v>9.9</v>
      </c>
      <c r="M20" s="15">
        <v>49.5</v>
      </c>
    </row>
    <row r="21" spans="4:13">
      <c r="D21" s="12">
        <v>46124</v>
      </c>
      <c r="E21" s="13">
        <v>1594063</v>
      </c>
      <c r="F21" s="13" t="s">
        <v>20</v>
      </c>
      <c r="G21" s="14">
        <v>20303863</v>
      </c>
      <c r="H21" s="13" t="s">
        <v>28</v>
      </c>
      <c r="I21" s="13" t="s">
        <v>29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46124</v>
      </c>
      <c r="E22" s="13">
        <v>1594063</v>
      </c>
      <c r="F22" s="13" t="s">
        <v>20</v>
      </c>
      <c r="G22" s="14">
        <v>20303798</v>
      </c>
      <c r="H22" s="13" t="s">
        <v>257</v>
      </c>
      <c r="I22" s="13" t="s">
        <v>53</v>
      </c>
      <c r="J22" s="14">
        <v>2</v>
      </c>
      <c r="K22" s="14">
        <v>4</v>
      </c>
      <c r="L22" s="15">
        <v>9.9</v>
      </c>
      <c r="M22" s="15">
        <v>19.8</v>
      </c>
    </row>
    <row r="23" spans="4:13">
      <c r="D23" s="12">
        <v>46125</v>
      </c>
      <c r="E23" s="13">
        <v>1594145</v>
      </c>
      <c r="F23" s="13" t="s">
        <v>65</v>
      </c>
      <c r="G23" s="14">
        <v>20321530</v>
      </c>
      <c r="H23" s="13" t="s">
        <v>258</v>
      </c>
      <c r="I23" s="13" t="s">
        <v>44</v>
      </c>
      <c r="J23" s="14">
        <v>1</v>
      </c>
      <c r="K23" s="14">
        <v>15</v>
      </c>
      <c r="L23" s="15">
        <v>49.5</v>
      </c>
      <c r="M23" s="15">
        <v>49.5</v>
      </c>
    </row>
    <row r="24" spans="4:13">
      <c r="D24" s="12">
        <v>46129</v>
      </c>
      <c r="E24" s="13">
        <v>1595751</v>
      </c>
      <c r="F24" s="13" t="s">
        <v>20</v>
      </c>
      <c r="G24" s="14">
        <v>20303863</v>
      </c>
      <c r="H24" s="13" t="s">
        <v>28</v>
      </c>
      <c r="I24" s="13" t="s">
        <v>29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46129</v>
      </c>
      <c r="E25" s="13">
        <v>1595751</v>
      </c>
      <c r="F25" s="13" t="s">
        <v>20</v>
      </c>
      <c r="G25" s="14">
        <v>20303798</v>
      </c>
      <c r="H25" s="13" t="s">
        <v>257</v>
      </c>
      <c r="I25" s="13" t="s">
        <v>53</v>
      </c>
      <c r="J25" s="14">
        <v>5</v>
      </c>
      <c r="K25" s="14">
        <v>10</v>
      </c>
      <c r="L25" s="15">
        <v>9.9</v>
      </c>
      <c r="M25" s="15">
        <v>49.5</v>
      </c>
    </row>
    <row r="26" spans="4:13">
      <c r="D26" s="12">
        <v>46131</v>
      </c>
      <c r="E26" s="13">
        <v>1596172</v>
      </c>
      <c r="F26" s="13" t="s">
        <v>20</v>
      </c>
      <c r="G26" s="14">
        <v>20303863</v>
      </c>
      <c r="H26" s="13" t="s">
        <v>28</v>
      </c>
      <c r="I26" s="13" t="s">
        <v>29</v>
      </c>
      <c r="J26" s="14">
        <v>5</v>
      </c>
      <c r="K26" s="14">
        <v>5</v>
      </c>
      <c r="L26" s="15">
        <v>4.8</v>
      </c>
      <c r="M26" s="15">
        <v>24</v>
      </c>
    </row>
    <row r="27" spans="4:13">
      <c r="D27" s="12">
        <v>46131</v>
      </c>
      <c r="E27" s="13">
        <v>1596172</v>
      </c>
      <c r="F27" s="13" t="s">
        <v>20</v>
      </c>
      <c r="G27" s="14">
        <v>20303798</v>
      </c>
      <c r="H27" s="13" t="s">
        <v>257</v>
      </c>
      <c r="I27" s="13" t="s">
        <v>53</v>
      </c>
      <c r="J27" s="14">
        <v>4</v>
      </c>
      <c r="K27" s="14">
        <v>8</v>
      </c>
      <c r="L27" s="15">
        <v>9.9</v>
      </c>
      <c r="M27" s="15">
        <v>39.6</v>
      </c>
    </row>
  </sheetData>
  <autoFilter xmlns:etc="http://www.wps.cn/officeDocument/2017/etCustomData" ref="A7:M27" etc:filterBottomFollowUsedRange="0">
    <extLst/>
  </autoFilter>
  <mergeCells count="5">
    <mergeCell ref="D8:I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15" sqref="M9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37</v>
      </c>
      <c r="L8" s="11"/>
      <c r="M8" s="11">
        <v>151.8</v>
      </c>
    </row>
    <row r="9" spans="1:13">
      <c r="D9" s="12">
        <v>46107</v>
      </c>
      <c r="E9" s="13">
        <v>1589285</v>
      </c>
      <c r="F9" s="13" t="s">
        <v>42</v>
      </c>
      <c r="G9" s="14">
        <v>20303862</v>
      </c>
      <c r="H9" s="13" t="s">
        <v>199</v>
      </c>
      <c r="I9" s="13" t="s">
        <v>83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46114</v>
      </c>
      <c r="E10" s="13">
        <v>1591389</v>
      </c>
      <c r="F10" s="13" t="s">
        <v>42</v>
      </c>
      <c r="G10" s="14">
        <v>20303862</v>
      </c>
      <c r="H10" s="13" t="s">
        <v>199</v>
      </c>
      <c r="I10" s="13" t="s">
        <v>83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46119</v>
      </c>
      <c r="E11" s="13">
        <v>1592406</v>
      </c>
      <c r="F11" s="13" t="s">
        <v>20</v>
      </c>
      <c r="G11" s="14">
        <v>20378585</v>
      </c>
      <c r="H11" s="13" t="s">
        <v>260</v>
      </c>
      <c r="I11" s="13" t="s">
        <v>55</v>
      </c>
      <c r="J11" s="14">
        <v>1</v>
      </c>
      <c r="K11" s="14">
        <v>7</v>
      </c>
      <c r="L11" s="15">
        <v>23.1</v>
      </c>
      <c r="M11" s="15">
        <v>23.1</v>
      </c>
    </row>
    <row r="12" spans="1:13">
      <c r="D12" s="12">
        <v>46121</v>
      </c>
      <c r="E12" s="13">
        <v>1593191</v>
      </c>
      <c r="F12" s="13" t="s">
        <v>42</v>
      </c>
      <c r="G12" s="14">
        <v>20303862</v>
      </c>
      <c r="H12" s="13" t="s">
        <v>199</v>
      </c>
      <c r="I12" s="13" t="s">
        <v>83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46121</v>
      </c>
      <c r="E13" s="13">
        <v>1593210</v>
      </c>
      <c r="F13" s="13" t="s">
        <v>15</v>
      </c>
      <c r="G13" s="14">
        <v>20313370</v>
      </c>
      <c r="H13" s="13" t="s">
        <v>16</v>
      </c>
      <c r="I13" s="13" t="s">
        <v>17</v>
      </c>
      <c r="J13" s="14">
        <v>3</v>
      </c>
      <c r="K13" s="14">
        <v>3</v>
      </c>
      <c r="L13" s="15">
        <v>13.2</v>
      </c>
      <c r="M13" s="15">
        <v>39.6</v>
      </c>
    </row>
    <row r="14" spans="1:13">
      <c r="D14" s="12">
        <v>46127</v>
      </c>
      <c r="E14" s="13">
        <v>1594999</v>
      </c>
      <c r="F14" s="13" t="s">
        <v>20</v>
      </c>
      <c r="G14" s="14">
        <v>20378585</v>
      </c>
      <c r="H14" s="13" t="s">
        <v>260</v>
      </c>
      <c r="I14" s="13" t="s">
        <v>55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46128</v>
      </c>
      <c r="E15" s="13">
        <v>1595327</v>
      </c>
      <c r="F15" s="13" t="s">
        <v>42</v>
      </c>
      <c r="G15" s="14">
        <v>20303862</v>
      </c>
      <c r="H15" s="13" t="s">
        <v>199</v>
      </c>
      <c r="I15" s="13" t="s">
        <v>83</v>
      </c>
      <c r="J15" s="14">
        <v>1</v>
      </c>
      <c r="K15" s="14">
        <v>5</v>
      </c>
      <c r="L15" s="15">
        <v>16.5</v>
      </c>
      <c r="M15" s="15">
        <v>16.5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6</v>
      </c>
      <c r="L8" s="11"/>
      <c r="M8" s="11">
        <v>28.8</v>
      </c>
    </row>
    <row r="9" spans="1:13">
      <c r="D9" s="12">
        <v>46107</v>
      </c>
      <c r="E9" s="13">
        <v>1589299</v>
      </c>
      <c r="F9" s="13" t="s">
        <v>20</v>
      </c>
      <c r="G9" s="14">
        <v>20303717</v>
      </c>
      <c r="H9" s="13" t="s">
        <v>70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46111</v>
      </c>
      <c r="E10" s="13">
        <v>1590213</v>
      </c>
      <c r="F10" s="13" t="s">
        <v>20</v>
      </c>
      <c r="G10" s="14">
        <v>20303717</v>
      </c>
      <c r="H10" s="13" t="s">
        <v>70</v>
      </c>
      <c r="I10" s="13" t="s">
        <v>35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46114</v>
      </c>
      <c r="E11" s="13">
        <v>1591387</v>
      </c>
      <c r="F11" s="13" t="s">
        <v>20</v>
      </c>
      <c r="G11" s="14">
        <v>20303859</v>
      </c>
      <c r="H11" s="13" t="s">
        <v>46</v>
      </c>
      <c r="I11" s="13" t="s">
        <v>35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46114</v>
      </c>
      <c r="E12" s="13">
        <v>1591387</v>
      </c>
      <c r="F12" s="13" t="s">
        <v>20</v>
      </c>
      <c r="G12" s="14">
        <v>20303717</v>
      </c>
      <c r="H12" s="13" t="s">
        <v>70</v>
      </c>
      <c r="I12" s="13" t="s">
        <v>35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46114</v>
      </c>
      <c r="E13" s="13">
        <v>1591387</v>
      </c>
      <c r="F13" s="13" t="s">
        <v>20</v>
      </c>
      <c r="G13" s="14">
        <v>20316042</v>
      </c>
      <c r="H13" s="13" t="s">
        <v>34</v>
      </c>
      <c r="I13" s="13" t="s">
        <v>35</v>
      </c>
      <c r="J13" s="14">
        <v>2</v>
      </c>
      <c r="K13" s="14">
        <v>2</v>
      </c>
      <c r="L13" s="15">
        <v>4.8</v>
      </c>
      <c r="M13" s="15">
        <v>9.6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125" customWidth="1"/>
    <col min="9" max="9" width="16.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45</v>
      </c>
      <c r="L8" s="11"/>
      <c r="M8" s="11">
        <v>148.5</v>
      </c>
    </row>
    <row r="9" spans="1:13">
      <c r="D9" s="12">
        <v>46104</v>
      </c>
      <c r="E9" s="13">
        <v>1588192</v>
      </c>
      <c r="F9" s="13" t="s">
        <v>42</v>
      </c>
      <c r="G9" s="14">
        <v>20303862</v>
      </c>
      <c r="H9" s="13" t="s">
        <v>199</v>
      </c>
      <c r="I9" s="13" t="s">
        <v>83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46107</v>
      </c>
      <c r="E10" s="13">
        <v>1589286</v>
      </c>
      <c r="F10" s="13" t="s">
        <v>42</v>
      </c>
      <c r="G10" s="14">
        <v>20303862</v>
      </c>
      <c r="H10" s="13" t="s">
        <v>199</v>
      </c>
      <c r="I10" s="13" t="s">
        <v>83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46111</v>
      </c>
      <c r="E11" s="13">
        <v>1590215</v>
      </c>
      <c r="F11" s="13" t="s">
        <v>42</v>
      </c>
      <c r="G11" s="14">
        <v>20303862</v>
      </c>
      <c r="H11" s="13" t="s">
        <v>199</v>
      </c>
      <c r="I11" s="13" t="s">
        <v>83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46114</v>
      </c>
      <c r="E12" s="13">
        <v>1591388</v>
      </c>
      <c r="F12" s="13" t="s">
        <v>42</v>
      </c>
      <c r="G12" s="14">
        <v>20303862</v>
      </c>
      <c r="H12" s="13" t="s">
        <v>199</v>
      </c>
      <c r="I12" s="13" t="s">
        <v>83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46119</v>
      </c>
      <c r="E13" s="13">
        <v>1592384</v>
      </c>
      <c r="F13" s="13" t="s">
        <v>42</v>
      </c>
      <c r="G13" s="14">
        <v>20303862</v>
      </c>
      <c r="H13" s="13" t="s">
        <v>199</v>
      </c>
      <c r="I13" s="13" t="s">
        <v>83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46121</v>
      </c>
      <c r="E14" s="13">
        <v>1593174</v>
      </c>
      <c r="F14" s="13" t="s">
        <v>42</v>
      </c>
      <c r="G14" s="14">
        <v>20303862</v>
      </c>
      <c r="H14" s="13" t="s">
        <v>199</v>
      </c>
      <c r="I14" s="13" t="s">
        <v>83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46125</v>
      </c>
      <c r="E15" s="13">
        <v>1594162</v>
      </c>
      <c r="F15" s="13" t="s">
        <v>42</v>
      </c>
      <c r="G15" s="14">
        <v>20303862</v>
      </c>
      <c r="H15" s="13" t="s">
        <v>199</v>
      </c>
      <c r="I15" s="13" t="s">
        <v>83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46128</v>
      </c>
      <c r="E16" s="13">
        <v>1595328</v>
      </c>
      <c r="F16" s="13" t="s">
        <v>42</v>
      </c>
      <c r="G16" s="14">
        <v>20303862</v>
      </c>
      <c r="H16" s="13" t="s">
        <v>199</v>
      </c>
      <c r="I16" s="13" t="s">
        <v>83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46132</v>
      </c>
      <c r="E17" s="13">
        <v>1596267</v>
      </c>
      <c r="F17" s="13" t="s">
        <v>42</v>
      </c>
      <c r="G17" s="14">
        <v>20303862</v>
      </c>
      <c r="H17" s="13" t="s">
        <v>199</v>
      </c>
      <c r="I17" s="13" t="s">
        <v>83</v>
      </c>
      <c r="J17" s="14">
        <v>1</v>
      </c>
      <c r="K17" s="14">
        <v>5</v>
      </c>
      <c r="L17" s="15">
        <v>16.5</v>
      </c>
      <c r="M17" s="15">
        <v>16.5</v>
      </c>
    </row>
    <row r="18" ht="22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B26" sqref="B26"/>
    </sheetView>
  </sheetViews>
  <sheetFormatPr defaultColWidth="9" defaultRowHeight="13.5"/>
  <cols>
    <col min="1" max="1" width="26.0083333333333" style="22" customWidth="1"/>
    <col min="2" max="2" width="13.3416666666667" style="22" customWidth="1"/>
    <col min="3" max="3" width="26.0083333333333" style="22" customWidth="1"/>
    <col min="4" max="4" width="10.5083333333333" style="22" customWidth="1"/>
    <col min="5" max="6" width="9.34166666666667" style="22" customWidth="1"/>
    <col min="7" max="16384" width="9" style="22"/>
  </cols>
  <sheetData>
    <row r="1" s="22" customFormat="1" ht="28.5" customHeight="1" spans="1:6">
      <c r="A1" s="43" t="s">
        <v>261</v>
      </c>
      <c r="B1" s="44"/>
      <c r="C1" s="44"/>
      <c r="D1" s="44"/>
      <c r="E1" s="44"/>
      <c r="F1" s="45"/>
    </row>
    <row r="2" s="22" customFormat="1" ht="22.5" customHeight="1" spans="1:6">
      <c r="A2" s="46" t="s">
        <v>263</v>
      </c>
      <c r="B2" s="46" t="s">
        <v>264</v>
      </c>
      <c r="C2" s="46" t="s">
        <v>265</v>
      </c>
      <c r="D2" s="46" t="s">
        <v>266</v>
      </c>
      <c r="E2" s="46" t="s">
        <v>12</v>
      </c>
      <c r="F2" s="46" t="s">
        <v>151</v>
      </c>
    </row>
    <row r="3" s="22" customFormat="1" ht="22.5" customHeight="1" spans="1:6">
      <c r="A3" s="47" t="s">
        <v>267</v>
      </c>
      <c r="B3" s="48">
        <v>46107</v>
      </c>
      <c r="C3" s="49" t="s">
        <v>199</v>
      </c>
      <c r="D3" s="49">
        <v>1</v>
      </c>
      <c r="E3" s="50">
        <v>16.5</v>
      </c>
      <c r="F3" s="50">
        <v>16.5</v>
      </c>
    </row>
    <row r="4" s="22" customFormat="1" ht="22.5" customHeight="1" spans="1:6">
      <c r="A4" s="47"/>
      <c r="B4" s="48">
        <v>46114</v>
      </c>
      <c r="C4" s="49" t="s">
        <v>199</v>
      </c>
      <c r="D4" s="49">
        <v>1</v>
      </c>
      <c r="E4" s="50">
        <v>16.5</v>
      </c>
      <c r="F4" s="50">
        <v>16.5</v>
      </c>
    </row>
    <row r="5" s="22" customFormat="1" ht="22.5" customHeight="1" spans="1:6">
      <c r="A5" s="47"/>
      <c r="B5" s="48">
        <v>46119</v>
      </c>
      <c r="C5" s="49" t="s">
        <v>260</v>
      </c>
      <c r="D5" s="49">
        <v>1</v>
      </c>
      <c r="E5" s="50">
        <v>23.1</v>
      </c>
      <c r="F5" s="50">
        <v>23.1</v>
      </c>
    </row>
    <row r="6" s="22" customFormat="1" ht="22.5" customHeight="1" spans="1:6">
      <c r="A6" s="47"/>
      <c r="B6" s="48">
        <v>46121</v>
      </c>
      <c r="C6" s="49" t="s">
        <v>199</v>
      </c>
      <c r="D6" s="49">
        <v>1</v>
      </c>
      <c r="E6" s="50">
        <v>16.5</v>
      </c>
      <c r="F6" s="50">
        <v>16.5</v>
      </c>
    </row>
    <row r="7" s="22" customFormat="1" ht="22.5" customHeight="1" spans="1:6">
      <c r="A7" s="47"/>
      <c r="B7" s="48">
        <v>46121</v>
      </c>
      <c r="C7" s="49" t="s">
        <v>16</v>
      </c>
      <c r="D7" s="49">
        <v>3</v>
      </c>
      <c r="E7" s="50">
        <v>13.2</v>
      </c>
      <c r="F7" s="50">
        <v>39.6</v>
      </c>
    </row>
    <row r="8" s="22" customFormat="1" ht="22.5" customHeight="1" spans="1:6">
      <c r="A8" s="47"/>
      <c r="B8" s="48">
        <v>46127</v>
      </c>
      <c r="C8" s="49" t="s">
        <v>260</v>
      </c>
      <c r="D8" s="49">
        <v>1</v>
      </c>
      <c r="E8" s="50">
        <v>23.1</v>
      </c>
      <c r="F8" s="50">
        <v>23.1</v>
      </c>
    </row>
    <row r="9" s="22" customFormat="1" ht="22.5" customHeight="1" spans="1:6">
      <c r="A9" s="47"/>
      <c r="B9" s="48">
        <v>46128</v>
      </c>
      <c r="C9" s="49" t="s">
        <v>199</v>
      </c>
      <c r="D9" s="49">
        <v>1</v>
      </c>
      <c r="E9" s="50">
        <v>16.5</v>
      </c>
      <c r="F9" s="50">
        <v>16.5</v>
      </c>
    </row>
    <row r="10" s="22" customFormat="1" ht="22.5" customHeight="1" spans="1:6">
      <c r="A10" s="47"/>
      <c r="B10" s="51"/>
      <c r="C10" s="49"/>
      <c r="D10" s="49"/>
      <c r="E10" s="52"/>
      <c r="F10" s="52"/>
    </row>
    <row r="11" s="22" customFormat="1" ht="22.5" customHeight="1" spans="1:6">
      <c r="A11" s="53" t="s">
        <v>268</v>
      </c>
      <c r="B11" s="53"/>
      <c r="C11" s="53"/>
      <c r="D11" s="53"/>
      <c r="E11" s="53"/>
      <c r="F11" s="53">
        <v>151.8</v>
      </c>
    </row>
    <row r="12" s="22" customFormat="1" ht="22.5" customHeight="1" spans="1:6">
      <c r="A12" s="54"/>
      <c r="B12" s="54"/>
      <c r="C12" s="54"/>
      <c r="D12" s="54"/>
      <c r="E12" s="54"/>
      <c r="F12" s="54"/>
    </row>
    <row r="13" s="22" customFormat="1" ht="22.5" customHeight="1" spans="1:6">
      <c r="A13" s="54"/>
      <c r="B13" s="54"/>
      <c r="C13" s="54"/>
      <c r="D13" s="54"/>
      <c r="E13" s="54"/>
      <c r="F13" s="54"/>
    </row>
    <row r="14" s="22" customFormat="1" ht="28" customHeight="1" spans="1:6">
      <c r="A14" s="55" t="s">
        <v>262</v>
      </c>
      <c r="B14" s="55"/>
      <c r="C14" s="55"/>
      <c r="D14" s="55"/>
      <c r="E14" s="55"/>
      <c r="F14" s="55"/>
    </row>
    <row r="15" s="22" customFormat="1" ht="22.5" customHeight="1" spans="1:6">
      <c r="A15" s="46" t="s">
        <v>263</v>
      </c>
      <c r="B15" s="46" t="s">
        <v>264</v>
      </c>
      <c r="C15" s="46" t="s">
        <v>265</v>
      </c>
      <c r="D15" s="46" t="s">
        <v>266</v>
      </c>
      <c r="E15" s="46" t="s">
        <v>12</v>
      </c>
      <c r="F15" s="46" t="s">
        <v>151</v>
      </c>
    </row>
    <row r="16" s="22" customFormat="1" ht="22.5" customHeight="1" spans="1:6">
      <c r="A16" s="53" t="s">
        <v>267</v>
      </c>
      <c r="B16" s="48">
        <v>46104</v>
      </c>
      <c r="C16" s="49" t="s">
        <v>199</v>
      </c>
      <c r="D16" s="49">
        <v>1</v>
      </c>
      <c r="E16" s="50">
        <v>16.5</v>
      </c>
      <c r="F16" s="50">
        <v>16.5</v>
      </c>
    </row>
    <row r="17" s="22" customFormat="1" ht="22.5" customHeight="1" spans="1:11">
      <c r="A17" s="53"/>
      <c r="B17" s="48">
        <v>46107</v>
      </c>
      <c r="C17" s="49" t="s">
        <v>199</v>
      </c>
      <c r="D17" s="49">
        <v>1</v>
      </c>
      <c r="E17" s="50">
        <v>16.5</v>
      </c>
      <c r="F17" s="50">
        <v>16.5</v>
      </c>
    </row>
    <row r="18" s="22" customFormat="1" ht="22.5" customHeight="1" spans="1:11">
      <c r="A18" s="53"/>
      <c r="B18" s="48">
        <v>46111</v>
      </c>
      <c r="C18" s="49" t="s">
        <v>199</v>
      </c>
      <c r="D18" s="49">
        <v>1</v>
      </c>
      <c r="E18" s="50">
        <v>16.5</v>
      </c>
      <c r="F18" s="50">
        <v>16.5</v>
      </c>
    </row>
    <row r="19" s="22" customFormat="1" ht="22.5" customHeight="1" spans="1:11">
      <c r="A19" s="53"/>
      <c r="B19" s="48">
        <v>46114</v>
      </c>
      <c r="C19" s="49" t="s">
        <v>199</v>
      </c>
      <c r="D19" s="49">
        <v>1</v>
      </c>
      <c r="E19" s="50">
        <v>16.5</v>
      </c>
      <c r="F19" s="50">
        <v>16.5</v>
      </c>
    </row>
    <row r="20" s="22" customFormat="1" ht="22.5" customHeight="1" spans="1:11">
      <c r="A20" s="53"/>
      <c r="B20" s="48">
        <v>46119</v>
      </c>
      <c r="C20" s="49" t="s">
        <v>199</v>
      </c>
      <c r="D20" s="49">
        <v>1</v>
      </c>
      <c r="E20" s="50">
        <v>16.5</v>
      </c>
      <c r="F20" s="50">
        <v>16.5</v>
      </c>
    </row>
    <row r="21" s="22" customFormat="1" ht="22.5" customHeight="1" spans="1:11">
      <c r="A21" s="53"/>
      <c r="B21" s="48">
        <v>46121</v>
      </c>
      <c r="C21" s="49" t="s">
        <v>199</v>
      </c>
      <c r="D21" s="49">
        <v>1</v>
      </c>
      <c r="E21" s="50">
        <v>16.5</v>
      </c>
      <c r="F21" s="50">
        <v>16.5</v>
      </c>
    </row>
    <row r="22" s="22" customFormat="1" ht="22.5" customHeight="1" spans="1:11">
      <c r="A22" s="53"/>
      <c r="B22" s="48">
        <v>46125</v>
      </c>
      <c r="C22" s="49" t="s">
        <v>199</v>
      </c>
      <c r="D22" s="49">
        <v>1</v>
      </c>
      <c r="E22" s="50">
        <v>16.5</v>
      </c>
      <c r="F22" s="50">
        <v>16.5</v>
      </c>
    </row>
    <row r="23" s="22" customFormat="1" ht="22.5" customHeight="1" spans="1:11">
      <c r="A23" s="53"/>
      <c r="B23" s="48">
        <v>46128</v>
      </c>
      <c r="C23" s="49" t="s">
        <v>199</v>
      </c>
      <c r="D23" s="49">
        <v>1</v>
      </c>
      <c r="E23" s="50">
        <v>16.5</v>
      </c>
      <c r="F23" s="50">
        <v>16.5</v>
      </c>
    </row>
    <row r="24" s="22" customFormat="1" ht="22.5" customHeight="1" spans="1:11">
      <c r="A24" s="53"/>
      <c r="B24" s="48">
        <v>46132</v>
      </c>
      <c r="C24" s="49" t="s">
        <v>199</v>
      </c>
      <c r="D24" s="49">
        <v>1</v>
      </c>
      <c r="E24" s="50">
        <v>16.5</v>
      </c>
      <c r="F24" s="50">
        <v>16.5</v>
      </c>
    </row>
    <row r="25" s="22" customFormat="1" ht="22.5" customHeight="1" spans="1:11">
      <c r="A25" s="53" t="s">
        <v>268</v>
      </c>
      <c r="B25" s="53"/>
      <c r="C25" s="53"/>
      <c r="D25" s="53"/>
      <c r="E25" s="53"/>
      <c r="F25" s="53">
        <v>148.5</v>
      </c>
    </row>
    <row r="26" s="22" customFormat="1" ht="22.5" customHeight="1" spans="1:11">
      <c r="A26" s="56"/>
      <c r="B26" s="56"/>
      <c r="C26" s="56"/>
      <c r="D26" s="56"/>
      <c r="E26" s="56"/>
      <c r="F26" s="56"/>
      <c r="K26" s="57"/>
    </row>
    <row r="27" s="22" customFormat="1" ht="22.5" customHeight="1" spans="1:11">
      <c r="A27" s="56"/>
      <c r="B27" s="56"/>
      <c r="C27" s="56"/>
      <c r="D27" s="56"/>
      <c r="E27" s="56"/>
      <c r="F27" s="56"/>
      <c r="K27" s="57"/>
    </row>
    <row r="28" s="22" customFormat="1" ht="22.5" customHeight="1" spans="1:11">
      <c r="A28" s="58" t="s">
        <v>269</v>
      </c>
      <c r="B28" s="58"/>
      <c r="C28" s="58"/>
      <c r="D28" s="58"/>
      <c r="E28" s="58"/>
      <c r="F28" s="58"/>
      <c r="K28" s="57"/>
    </row>
    <row r="29" s="22" customFormat="1" ht="22.5" customHeight="1" spans="1:11">
      <c r="A29" s="46" t="s">
        <v>263</v>
      </c>
      <c r="B29" s="46" t="s">
        <v>270</v>
      </c>
      <c r="C29" s="46" t="s">
        <v>271</v>
      </c>
      <c r="D29" s="46" t="s">
        <v>272</v>
      </c>
      <c r="E29" s="46" t="s">
        <v>273</v>
      </c>
      <c r="F29" s="46"/>
    </row>
    <row r="30" s="22" customFormat="1" ht="22.5" customHeight="1" spans="1:11">
      <c r="A30" s="53" t="s">
        <v>267</v>
      </c>
      <c r="B30" s="53" t="s">
        <v>261</v>
      </c>
      <c r="C30" s="59" t="s">
        <v>274</v>
      </c>
      <c r="D30" s="53">
        <v>151.8</v>
      </c>
      <c r="E30" s="53">
        <v>151.8</v>
      </c>
      <c r="F30" s="53"/>
    </row>
    <row r="31" s="42" customFormat="1" ht="22.5" customHeight="1" spans="1:11">
      <c r="A31" s="53" t="s">
        <v>275</v>
      </c>
      <c r="B31" s="53" t="s">
        <v>261</v>
      </c>
      <c r="C31" s="59" t="s">
        <v>276</v>
      </c>
      <c r="D31" s="53">
        <v>148.5</v>
      </c>
      <c r="E31" s="53">
        <v>74.25</v>
      </c>
      <c r="F31" s="53"/>
    </row>
    <row r="32" s="42" customFormat="1" ht="22.5" customHeight="1" spans="1:11">
      <c r="A32" s="53"/>
      <c r="B32" s="53" t="s">
        <v>277</v>
      </c>
      <c r="C32" s="59"/>
      <c r="D32" s="53"/>
      <c r="E32" s="53">
        <v>74.25</v>
      </c>
      <c r="F32" s="53"/>
    </row>
    <row r="33" s="22" customFormat="1" spans="1:6">
      <c r="A33" s="60"/>
      <c r="B33" s="60"/>
      <c r="C33" s="60"/>
      <c r="D33" s="60"/>
      <c r="E33" s="60"/>
      <c r="F33" s="60"/>
    </row>
  </sheetData>
  <mergeCells count="15">
    <mergeCell ref="A1:F1"/>
    <mergeCell ref="A11:E11"/>
    <mergeCell ref="A14:F14"/>
    <mergeCell ref="A25:E25"/>
    <mergeCell ref="A28:F28"/>
    <mergeCell ref="E29:F29"/>
    <mergeCell ref="E30:F30"/>
    <mergeCell ref="E31:F31"/>
    <mergeCell ref="E32:F32"/>
    <mergeCell ref="A33:F33"/>
    <mergeCell ref="A3:A10"/>
    <mergeCell ref="A16:A24"/>
    <mergeCell ref="A31:A32"/>
    <mergeCell ref="C31:C32"/>
    <mergeCell ref="D31:D3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view="pageBreakPreview" zoomScaleNormal="100" workbookViewId="0">
      <pane ySplit="6" topLeftCell="A7" activePane="bottomLeft" state="frozen"/>
      <selection/>
      <selection pane="bottomLeft" activeCell="M20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</v>
      </c>
      <c r="K8" s="10">
        <v>45</v>
      </c>
      <c r="L8" s="11"/>
      <c r="M8" s="11">
        <v>173.7</v>
      </c>
    </row>
    <row r="9" spans="1:13">
      <c r="D9" s="12">
        <v>46104</v>
      </c>
      <c r="E9" s="13">
        <v>1588185</v>
      </c>
      <c r="F9" s="13" t="s">
        <v>42</v>
      </c>
      <c r="G9" s="14">
        <v>20303862</v>
      </c>
      <c r="H9" s="13" t="s">
        <v>199</v>
      </c>
      <c r="I9" s="13" t="s">
        <v>83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46111</v>
      </c>
      <c r="E10" s="13">
        <v>1590214</v>
      </c>
      <c r="F10" s="13" t="s">
        <v>42</v>
      </c>
      <c r="G10" s="14">
        <v>20303862</v>
      </c>
      <c r="H10" s="13" t="s">
        <v>199</v>
      </c>
      <c r="I10" s="13" t="s">
        <v>83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46119</v>
      </c>
      <c r="E11" s="13">
        <v>1592407</v>
      </c>
      <c r="F11" s="13" t="s">
        <v>20</v>
      </c>
      <c r="G11" s="14">
        <v>20303753</v>
      </c>
      <c r="H11" s="13" t="s">
        <v>260</v>
      </c>
      <c r="I11" s="13" t="s">
        <v>55</v>
      </c>
      <c r="J11" s="14">
        <v>1</v>
      </c>
      <c r="K11" s="14">
        <v>7</v>
      </c>
      <c r="L11" s="15">
        <v>23.1</v>
      </c>
      <c r="M11" s="15">
        <v>23.1</v>
      </c>
    </row>
    <row r="12" spans="1:13">
      <c r="D12" s="12">
        <v>46119</v>
      </c>
      <c r="E12" s="13">
        <v>1592407</v>
      </c>
      <c r="F12" s="13" t="s">
        <v>42</v>
      </c>
      <c r="G12" s="14">
        <v>20303862</v>
      </c>
      <c r="H12" s="13" t="s">
        <v>199</v>
      </c>
      <c r="I12" s="13" t="s">
        <v>83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46120</v>
      </c>
      <c r="E13" s="13">
        <v>1592793</v>
      </c>
      <c r="F13" s="13" t="s">
        <v>20</v>
      </c>
      <c r="G13" s="14">
        <v>20303717</v>
      </c>
      <c r="H13" s="13" t="s">
        <v>70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46120</v>
      </c>
      <c r="E14" s="13">
        <v>1592793</v>
      </c>
      <c r="F14" s="13" t="s">
        <v>20</v>
      </c>
      <c r="G14" s="14">
        <v>20316042</v>
      </c>
      <c r="H14" s="13" t="s">
        <v>34</v>
      </c>
      <c r="I14" s="13" t="s">
        <v>35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46121</v>
      </c>
      <c r="E15" s="13">
        <v>1593184</v>
      </c>
      <c r="F15" s="13" t="s">
        <v>20</v>
      </c>
      <c r="G15" s="14">
        <v>20315425</v>
      </c>
      <c r="H15" s="13" t="s">
        <v>21</v>
      </c>
      <c r="I15" s="13" t="s">
        <v>22</v>
      </c>
      <c r="J15" s="14">
        <v>2</v>
      </c>
      <c r="K15" s="14">
        <v>2</v>
      </c>
      <c r="L15" s="15">
        <v>4.8</v>
      </c>
      <c r="M15" s="15">
        <v>9.6</v>
      </c>
    </row>
    <row r="16" ht="25.5" spans="1:13">
      <c r="D16" s="12">
        <v>46122</v>
      </c>
      <c r="E16" s="13">
        <v>1593559</v>
      </c>
      <c r="F16" s="13" t="s">
        <v>24</v>
      </c>
      <c r="G16" s="14">
        <v>20306248</v>
      </c>
      <c r="H16" s="13" t="s">
        <v>37</v>
      </c>
      <c r="I16" s="13" t="s">
        <v>38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46125</v>
      </c>
      <c r="E17" s="13">
        <v>1594163</v>
      </c>
      <c r="F17" s="13" t="s">
        <v>20</v>
      </c>
      <c r="G17" s="14">
        <v>20303753</v>
      </c>
      <c r="H17" s="13" t="s">
        <v>260</v>
      </c>
      <c r="I17" s="13" t="s">
        <v>55</v>
      </c>
      <c r="J17" s="14">
        <v>1</v>
      </c>
      <c r="K17" s="14">
        <v>7</v>
      </c>
      <c r="L17" s="15">
        <v>23.1</v>
      </c>
      <c r="M17" s="15">
        <v>23.1</v>
      </c>
    </row>
    <row r="18" spans="4:13">
      <c r="D18" s="12">
        <v>46125</v>
      </c>
      <c r="E18" s="13">
        <v>1594163</v>
      </c>
      <c r="F18" s="13" t="s">
        <v>20</v>
      </c>
      <c r="G18" s="14">
        <v>20316042</v>
      </c>
      <c r="H18" s="13" t="s">
        <v>34</v>
      </c>
      <c r="I18" s="13" t="s">
        <v>35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46125</v>
      </c>
      <c r="E19" s="13">
        <v>1594163</v>
      </c>
      <c r="F19" s="13" t="s">
        <v>42</v>
      </c>
      <c r="G19" s="14">
        <v>20303862</v>
      </c>
      <c r="H19" s="13" t="s">
        <v>199</v>
      </c>
      <c r="I19" s="13" t="s">
        <v>83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46132</v>
      </c>
      <c r="E20" s="13">
        <v>1596268</v>
      </c>
      <c r="F20" s="13" t="s">
        <v>42</v>
      </c>
      <c r="G20" s="14">
        <v>20303862</v>
      </c>
      <c r="H20" s="13" t="s">
        <v>199</v>
      </c>
      <c r="I20" s="13" t="s">
        <v>83</v>
      </c>
      <c r="J20" s="14">
        <v>1</v>
      </c>
      <c r="K20" s="14">
        <v>5</v>
      </c>
      <c r="L20" s="15">
        <v>16.5</v>
      </c>
      <c r="M20" s="15">
        <v>16.5</v>
      </c>
    </row>
    <row r="21" ht="0.05" customHeight="1"/>
  </sheetData>
  <mergeCells count="5">
    <mergeCell ref="D8:I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93</v>
      </c>
      <c r="K8" s="10">
        <v>0</v>
      </c>
      <c r="L8" s="11"/>
      <c r="M8" s="11">
        <v>1953</v>
      </c>
    </row>
    <row r="9" spans="1:13">
      <c r="D9" s="12">
        <v>46102</v>
      </c>
      <c r="E9" s="13">
        <v>1588071</v>
      </c>
      <c r="F9" s="13" t="s">
        <v>219</v>
      </c>
      <c r="G9" s="14">
        <v>20309547</v>
      </c>
      <c r="H9" s="13" t="s">
        <v>220</v>
      </c>
      <c r="I9" s="13" t="s">
        <v>221</v>
      </c>
      <c r="J9" s="14">
        <v>4</v>
      </c>
      <c r="K9" s="14">
        <v>0</v>
      </c>
      <c r="L9" s="15">
        <v>21</v>
      </c>
      <c r="M9" s="15">
        <v>84</v>
      </c>
    </row>
    <row r="10" spans="1:13">
      <c r="D10" s="12">
        <v>46105</v>
      </c>
      <c r="E10" s="13">
        <v>1588672</v>
      </c>
      <c r="F10" s="13" t="s">
        <v>219</v>
      </c>
      <c r="G10" s="14">
        <v>20309547</v>
      </c>
      <c r="H10" s="13" t="s">
        <v>220</v>
      </c>
      <c r="I10" s="13" t="s">
        <v>221</v>
      </c>
      <c r="J10" s="14">
        <v>5</v>
      </c>
      <c r="K10" s="14">
        <v>0</v>
      </c>
      <c r="L10" s="15">
        <v>21</v>
      </c>
      <c r="M10" s="15">
        <v>105</v>
      </c>
    </row>
    <row r="11" spans="1:13">
      <c r="D11" s="12">
        <v>46106</v>
      </c>
      <c r="E11" s="13">
        <v>1589034</v>
      </c>
      <c r="F11" s="13" t="s">
        <v>219</v>
      </c>
      <c r="G11" s="14">
        <v>20309547</v>
      </c>
      <c r="H11" s="13" t="s">
        <v>220</v>
      </c>
      <c r="I11" s="13" t="s">
        <v>221</v>
      </c>
      <c r="J11" s="14">
        <v>4</v>
      </c>
      <c r="K11" s="14">
        <v>0</v>
      </c>
      <c r="L11" s="15">
        <v>21</v>
      </c>
      <c r="M11" s="15">
        <v>84</v>
      </c>
    </row>
    <row r="12" spans="1:13">
      <c r="D12" s="12">
        <v>46107</v>
      </c>
      <c r="E12" s="13">
        <v>1589413</v>
      </c>
      <c r="F12" s="13" t="s">
        <v>219</v>
      </c>
      <c r="G12" s="14">
        <v>20309547</v>
      </c>
      <c r="H12" s="13" t="s">
        <v>220</v>
      </c>
      <c r="I12" s="13" t="s">
        <v>221</v>
      </c>
      <c r="J12" s="14">
        <v>4</v>
      </c>
      <c r="K12" s="14">
        <v>0</v>
      </c>
      <c r="L12" s="15">
        <v>21</v>
      </c>
      <c r="M12" s="15">
        <v>84</v>
      </c>
    </row>
    <row r="13" spans="1:13">
      <c r="D13" s="12">
        <v>46108</v>
      </c>
      <c r="E13" s="13">
        <v>1589796</v>
      </c>
      <c r="F13" s="13" t="s">
        <v>219</v>
      </c>
      <c r="G13" s="14">
        <v>20309547</v>
      </c>
      <c r="H13" s="13" t="s">
        <v>220</v>
      </c>
      <c r="I13" s="13" t="s">
        <v>221</v>
      </c>
      <c r="J13" s="14">
        <v>5</v>
      </c>
      <c r="K13" s="14">
        <v>0</v>
      </c>
      <c r="L13" s="15">
        <v>21</v>
      </c>
      <c r="M13" s="15">
        <v>105</v>
      </c>
    </row>
    <row r="14" spans="1:13">
      <c r="D14" s="12">
        <v>46110</v>
      </c>
      <c r="E14" s="13">
        <v>1590138</v>
      </c>
      <c r="F14" s="13" t="s">
        <v>219</v>
      </c>
      <c r="G14" s="14">
        <v>20309547</v>
      </c>
      <c r="H14" s="13" t="s">
        <v>220</v>
      </c>
      <c r="I14" s="13" t="s">
        <v>221</v>
      </c>
      <c r="J14" s="14">
        <v>4</v>
      </c>
      <c r="K14" s="14">
        <v>0</v>
      </c>
      <c r="L14" s="15">
        <v>21</v>
      </c>
      <c r="M14" s="15">
        <v>84</v>
      </c>
    </row>
    <row r="15" spans="1:13">
      <c r="D15" s="12">
        <v>46112</v>
      </c>
      <c r="E15" s="13">
        <v>1590740</v>
      </c>
      <c r="F15" s="13" t="s">
        <v>219</v>
      </c>
      <c r="G15" s="14">
        <v>20309547</v>
      </c>
      <c r="H15" s="13" t="s">
        <v>220</v>
      </c>
      <c r="I15" s="13" t="s">
        <v>221</v>
      </c>
      <c r="J15" s="14">
        <v>5</v>
      </c>
      <c r="K15" s="14">
        <v>0</v>
      </c>
      <c r="L15" s="15">
        <v>21</v>
      </c>
      <c r="M15" s="15">
        <v>105</v>
      </c>
    </row>
    <row r="16" spans="1:13">
      <c r="D16" s="12">
        <v>46113</v>
      </c>
      <c r="E16" s="13">
        <v>1591128</v>
      </c>
      <c r="F16" s="13" t="s">
        <v>219</v>
      </c>
      <c r="G16" s="14">
        <v>20309547</v>
      </c>
      <c r="H16" s="13" t="s">
        <v>220</v>
      </c>
      <c r="I16" s="13" t="s">
        <v>221</v>
      </c>
      <c r="J16" s="14">
        <v>4</v>
      </c>
      <c r="K16" s="14">
        <v>0</v>
      </c>
      <c r="L16" s="15">
        <v>21</v>
      </c>
      <c r="M16" s="15">
        <v>84</v>
      </c>
    </row>
    <row r="17" spans="4:13">
      <c r="D17" s="12">
        <v>46114</v>
      </c>
      <c r="E17" s="13">
        <v>1591517</v>
      </c>
      <c r="F17" s="13" t="s">
        <v>219</v>
      </c>
      <c r="G17" s="14">
        <v>20309547</v>
      </c>
      <c r="H17" s="13" t="s">
        <v>220</v>
      </c>
      <c r="I17" s="13" t="s">
        <v>221</v>
      </c>
      <c r="J17" s="14">
        <v>4</v>
      </c>
      <c r="K17" s="14">
        <v>0</v>
      </c>
      <c r="L17" s="15">
        <v>21</v>
      </c>
      <c r="M17" s="15">
        <v>84</v>
      </c>
    </row>
    <row r="18" spans="4:13">
      <c r="D18" s="12">
        <v>46114</v>
      </c>
      <c r="E18" s="13">
        <v>1591547</v>
      </c>
      <c r="F18" s="13" t="s">
        <v>219</v>
      </c>
      <c r="G18" s="14">
        <v>20309547</v>
      </c>
      <c r="H18" s="13" t="s">
        <v>220</v>
      </c>
      <c r="I18" s="13" t="s">
        <v>221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46115</v>
      </c>
      <c r="E19" s="13">
        <v>1591873</v>
      </c>
      <c r="F19" s="13" t="s">
        <v>219</v>
      </c>
      <c r="G19" s="14">
        <v>20309547</v>
      </c>
      <c r="H19" s="13" t="s">
        <v>220</v>
      </c>
      <c r="I19" s="13" t="s">
        <v>221</v>
      </c>
      <c r="J19" s="14">
        <v>4</v>
      </c>
      <c r="K19" s="14">
        <v>0</v>
      </c>
      <c r="L19" s="15">
        <v>21</v>
      </c>
      <c r="M19" s="15">
        <v>84</v>
      </c>
    </row>
    <row r="20" spans="4:13">
      <c r="D20" s="12">
        <v>46117</v>
      </c>
      <c r="E20" s="13">
        <v>1592223</v>
      </c>
      <c r="F20" s="13" t="s">
        <v>219</v>
      </c>
      <c r="G20" s="14">
        <v>20309547</v>
      </c>
      <c r="H20" s="13" t="s">
        <v>220</v>
      </c>
      <c r="I20" s="13" t="s">
        <v>221</v>
      </c>
      <c r="J20" s="14">
        <v>5</v>
      </c>
      <c r="K20" s="14">
        <v>0</v>
      </c>
      <c r="L20" s="15">
        <v>21</v>
      </c>
      <c r="M20" s="15">
        <v>105</v>
      </c>
    </row>
    <row r="21" spans="4:13">
      <c r="D21" s="12">
        <v>46120</v>
      </c>
      <c r="E21" s="13">
        <v>1592886</v>
      </c>
      <c r="F21" s="13" t="s">
        <v>219</v>
      </c>
      <c r="G21" s="14">
        <v>20309547</v>
      </c>
      <c r="H21" s="13" t="s">
        <v>220</v>
      </c>
      <c r="I21" s="13" t="s">
        <v>221</v>
      </c>
      <c r="J21" s="14">
        <v>5</v>
      </c>
      <c r="K21" s="14">
        <v>0</v>
      </c>
      <c r="L21" s="15">
        <v>21</v>
      </c>
      <c r="M21" s="15">
        <v>105</v>
      </c>
    </row>
    <row r="22" spans="4:13">
      <c r="D22" s="12">
        <v>46121</v>
      </c>
      <c r="E22" s="13">
        <v>1593305</v>
      </c>
      <c r="F22" s="13" t="s">
        <v>219</v>
      </c>
      <c r="G22" s="14">
        <v>20309547</v>
      </c>
      <c r="H22" s="13" t="s">
        <v>220</v>
      </c>
      <c r="I22" s="13" t="s">
        <v>221</v>
      </c>
      <c r="J22" s="14">
        <v>5</v>
      </c>
      <c r="K22" s="14">
        <v>0</v>
      </c>
      <c r="L22" s="15">
        <v>21</v>
      </c>
      <c r="M22" s="15">
        <v>105</v>
      </c>
    </row>
    <row r="23" spans="4:13">
      <c r="D23" s="12">
        <v>46122</v>
      </c>
      <c r="E23" s="13">
        <v>1593689</v>
      </c>
      <c r="F23" s="13" t="s">
        <v>219</v>
      </c>
      <c r="G23" s="14">
        <v>20309547</v>
      </c>
      <c r="H23" s="13" t="s">
        <v>220</v>
      </c>
      <c r="I23" s="13" t="s">
        <v>221</v>
      </c>
      <c r="J23" s="14">
        <v>4</v>
      </c>
      <c r="K23" s="14">
        <v>0</v>
      </c>
      <c r="L23" s="15">
        <v>21</v>
      </c>
      <c r="M23" s="15">
        <v>84</v>
      </c>
    </row>
    <row r="24" spans="4:13">
      <c r="D24" s="12">
        <v>46124</v>
      </c>
      <c r="E24" s="13">
        <v>1594057</v>
      </c>
      <c r="F24" s="13" t="s">
        <v>219</v>
      </c>
      <c r="G24" s="14">
        <v>20309547</v>
      </c>
      <c r="H24" s="13" t="s">
        <v>220</v>
      </c>
      <c r="I24" s="13" t="s">
        <v>221</v>
      </c>
      <c r="J24" s="14">
        <v>5</v>
      </c>
      <c r="K24" s="14">
        <v>0</v>
      </c>
      <c r="L24" s="15">
        <v>21</v>
      </c>
      <c r="M24" s="15">
        <v>105</v>
      </c>
    </row>
    <row r="25" spans="4:13">
      <c r="D25" s="12">
        <v>46126</v>
      </c>
      <c r="E25" s="13">
        <v>1594686</v>
      </c>
      <c r="F25" s="13" t="s">
        <v>219</v>
      </c>
      <c r="G25" s="14">
        <v>20309547</v>
      </c>
      <c r="H25" s="13" t="s">
        <v>220</v>
      </c>
      <c r="I25" s="13" t="s">
        <v>221</v>
      </c>
      <c r="J25" s="14">
        <v>6</v>
      </c>
      <c r="K25" s="14">
        <v>0</v>
      </c>
      <c r="L25" s="15">
        <v>21</v>
      </c>
      <c r="M25" s="15">
        <v>126</v>
      </c>
    </row>
    <row r="26" spans="4:13">
      <c r="D26" s="12">
        <v>46127</v>
      </c>
      <c r="E26" s="13">
        <v>1595067</v>
      </c>
      <c r="F26" s="13" t="s">
        <v>219</v>
      </c>
      <c r="G26" s="14">
        <v>20309547</v>
      </c>
      <c r="H26" s="13" t="s">
        <v>220</v>
      </c>
      <c r="I26" s="13" t="s">
        <v>221</v>
      </c>
      <c r="J26" s="14">
        <v>4</v>
      </c>
      <c r="K26" s="14">
        <v>0</v>
      </c>
      <c r="L26" s="15">
        <v>21</v>
      </c>
      <c r="M26" s="15">
        <v>84</v>
      </c>
    </row>
    <row r="27" spans="4:13">
      <c r="D27" s="12">
        <v>46128</v>
      </c>
      <c r="E27" s="13">
        <v>1595449</v>
      </c>
      <c r="F27" s="13" t="s">
        <v>219</v>
      </c>
      <c r="G27" s="14">
        <v>20309547</v>
      </c>
      <c r="H27" s="13" t="s">
        <v>220</v>
      </c>
      <c r="I27" s="13" t="s">
        <v>221</v>
      </c>
      <c r="J27" s="14">
        <v>5</v>
      </c>
      <c r="K27" s="14">
        <v>0</v>
      </c>
      <c r="L27" s="15">
        <v>21</v>
      </c>
      <c r="M27" s="15">
        <v>105</v>
      </c>
    </row>
    <row r="28" spans="4:13">
      <c r="D28" s="12">
        <v>46129</v>
      </c>
      <c r="E28" s="13">
        <v>1595821</v>
      </c>
      <c r="F28" s="13" t="s">
        <v>219</v>
      </c>
      <c r="G28" s="14">
        <v>20309547</v>
      </c>
      <c r="H28" s="13" t="s">
        <v>220</v>
      </c>
      <c r="I28" s="13" t="s">
        <v>221</v>
      </c>
      <c r="J28" s="14">
        <v>5</v>
      </c>
      <c r="K28" s="14">
        <v>0</v>
      </c>
      <c r="L28" s="15">
        <v>21</v>
      </c>
      <c r="M28" s="15">
        <v>105</v>
      </c>
    </row>
    <row r="29" spans="4:13">
      <c r="D29" s="12">
        <v>46130</v>
      </c>
      <c r="E29" s="13">
        <v>1596101</v>
      </c>
      <c r="F29" s="13" t="s">
        <v>219</v>
      </c>
      <c r="G29" s="14">
        <v>20309547</v>
      </c>
      <c r="H29" s="13" t="s">
        <v>220</v>
      </c>
      <c r="I29" s="13" t="s">
        <v>221</v>
      </c>
      <c r="J29" s="14">
        <v>5</v>
      </c>
      <c r="K29" s="14">
        <v>0</v>
      </c>
      <c r="L29" s="15">
        <v>21</v>
      </c>
      <c r="M29" s="15">
        <v>105</v>
      </c>
    </row>
    <row r="30" ht="0.05" customHeight="1"/>
  </sheetData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3</v>
      </c>
      <c r="L8" s="11"/>
      <c r="M8" s="11">
        <v>30.6</v>
      </c>
    </row>
    <row r="9" ht="25.5" spans="1:13">
      <c r="D9" s="12">
        <v>46105</v>
      </c>
      <c r="E9" s="13">
        <v>1588547</v>
      </c>
      <c r="F9" s="13" t="s">
        <v>24</v>
      </c>
      <c r="G9" s="14">
        <v>20306248</v>
      </c>
      <c r="H9" s="13" t="s">
        <v>37</v>
      </c>
      <c r="I9" s="13" t="s">
        <v>38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46127</v>
      </c>
      <c r="E10" s="13">
        <v>1595000</v>
      </c>
      <c r="F10" s="13" t="s">
        <v>20</v>
      </c>
      <c r="G10" s="14">
        <v>20315425</v>
      </c>
      <c r="H10" s="13" t="s">
        <v>21</v>
      </c>
      <c r="I10" s="13" t="s">
        <v>22</v>
      </c>
      <c r="J10" s="14">
        <v>2</v>
      </c>
      <c r="K10" s="14">
        <v>2</v>
      </c>
      <c r="L10" s="15">
        <v>4.8</v>
      </c>
      <c r="M10" s="15">
        <v>9.6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25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9</v>
      </c>
      <c r="L8" s="11"/>
      <c r="M8" s="11">
        <v>89.1</v>
      </c>
    </row>
    <row r="9" spans="1:13">
      <c r="D9" s="12">
        <v>46104</v>
      </c>
      <c r="E9" s="13">
        <v>1588193</v>
      </c>
      <c r="F9" s="13" t="s">
        <v>42</v>
      </c>
      <c r="G9" s="14">
        <v>20303900</v>
      </c>
      <c r="H9" s="13" t="s">
        <v>227</v>
      </c>
      <c r="I9" s="13" t="s">
        <v>44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46107</v>
      </c>
      <c r="E10" s="13">
        <v>1589287</v>
      </c>
      <c r="F10" s="13" t="s">
        <v>42</v>
      </c>
      <c r="G10" s="14">
        <v>20303900</v>
      </c>
      <c r="H10" s="13" t="s">
        <v>227</v>
      </c>
      <c r="I10" s="13" t="s">
        <v>44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46111</v>
      </c>
      <c r="E11" s="13">
        <v>1590234</v>
      </c>
      <c r="F11" s="13" t="s">
        <v>42</v>
      </c>
      <c r="G11" s="14">
        <v>20303900</v>
      </c>
      <c r="H11" s="13" t="s">
        <v>227</v>
      </c>
      <c r="I11" s="13" t="s">
        <v>44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46114</v>
      </c>
      <c r="E12" s="13">
        <v>1591392</v>
      </c>
      <c r="F12" s="13" t="s">
        <v>42</v>
      </c>
      <c r="G12" s="14">
        <v>20303900</v>
      </c>
      <c r="H12" s="13" t="s">
        <v>227</v>
      </c>
      <c r="I12" s="13" t="s">
        <v>44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46119</v>
      </c>
      <c r="E13" s="13">
        <v>1592411</v>
      </c>
      <c r="F13" s="13" t="s">
        <v>42</v>
      </c>
      <c r="G13" s="14">
        <v>20303900</v>
      </c>
      <c r="H13" s="13" t="s">
        <v>227</v>
      </c>
      <c r="I13" s="13" t="s">
        <v>44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46121</v>
      </c>
      <c r="E14" s="13">
        <v>1593185</v>
      </c>
      <c r="F14" s="13" t="s">
        <v>42</v>
      </c>
      <c r="G14" s="14">
        <v>20303900</v>
      </c>
      <c r="H14" s="13" t="s">
        <v>227</v>
      </c>
      <c r="I14" s="13" t="s">
        <v>44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46125</v>
      </c>
      <c r="E15" s="13">
        <v>1594165</v>
      </c>
      <c r="F15" s="13" t="s">
        <v>42</v>
      </c>
      <c r="G15" s="14">
        <v>20303900</v>
      </c>
      <c r="H15" s="13" t="s">
        <v>227</v>
      </c>
      <c r="I15" s="13" t="s">
        <v>44</v>
      </c>
      <c r="J15" s="14">
        <v>1</v>
      </c>
      <c r="K15" s="14">
        <v>1</v>
      </c>
      <c r="L15" s="15">
        <v>9.9</v>
      </c>
      <c r="M15" s="15">
        <v>9.9</v>
      </c>
    </row>
    <row r="16" spans="1:13">
      <c r="D16" s="12">
        <v>46128</v>
      </c>
      <c r="E16" s="13">
        <v>1595329</v>
      </c>
      <c r="F16" s="13" t="s">
        <v>42</v>
      </c>
      <c r="G16" s="14">
        <v>20303900</v>
      </c>
      <c r="H16" s="13" t="s">
        <v>227</v>
      </c>
      <c r="I16" s="13" t="s">
        <v>44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46132</v>
      </c>
      <c r="E17" s="13">
        <v>1596272</v>
      </c>
      <c r="F17" s="13" t="s">
        <v>42</v>
      </c>
      <c r="G17" s="14">
        <v>20303900</v>
      </c>
      <c r="H17" s="13" t="s">
        <v>227</v>
      </c>
      <c r="I17" s="13" t="s">
        <v>44</v>
      </c>
      <c r="J17" s="14">
        <v>1</v>
      </c>
      <c r="K17" s="14">
        <v>1</v>
      </c>
      <c r="L17" s="15">
        <v>9.9</v>
      </c>
      <c r="M17" s="15">
        <v>9.9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showGridLines="0" view="pageBreakPreview" zoomScaleNormal="100" workbookViewId="0">
      <pane ySplit="6" topLeftCell="A39" activePane="bottomLeft" state="frozen"/>
      <selection/>
      <selection pane="bottomLeft" activeCell="M9" sqref="M9:M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375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152</v>
      </c>
      <c r="K8" s="10">
        <v>438</v>
      </c>
      <c r="L8" s="11"/>
      <c r="M8" s="11">
        <v>1467.9</v>
      </c>
    </row>
    <row r="9" spans="1:13">
      <c r="D9" s="12">
        <v>46103</v>
      </c>
      <c r="E9" s="13">
        <v>1588111</v>
      </c>
      <c r="F9" s="13" t="s">
        <v>20</v>
      </c>
      <c r="G9" s="14">
        <v>20310681</v>
      </c>
      <c r="H9" s="13" t="s">
        <v>283</v>
      </c>
      <c r="I9" s="13" t="s">
        <v>53</v>
      </c>
      <c r="J9" s="14">
        <v>9</v>
      </c>
      <c r="K9" s="14">
        <v>27</v>
      </c>
      <c r="L9" s="15">
        <v>9.9</v>
      </c>
      <c r="M9" s="15">
        <v>89.1</v>
      </c>
    </row>
    <row r="10" spans="1:13">
      <c r="D10" s="12">
        <v>46103</v>
      </c>
      <c r="E10" s="13">
        <v>1588111</v>
      </c>
      <c r="F10" s="13" t="s">
        <v>42</v>
      </c>
      <c r="G10" s="14">
        <v>20303736</v>
      </c>
      <c r="H10" s="13" t="s">
        <v>284</v>
      </c>
      <c r="I10" s="13" t="s">
        <v>44</v>
      </c>
      <c r="J10" s="14">
        <v>2</v>
      </c>
      <c r="K10" s="14">
        <v>6</v>
      </c>
      <c r="L10" s="15">
        <v>9.9</v>
      </c>
      <c r="M10" s="15">
        <v>19.8</v>
      </c>
    </row>
    <row r="11" spans="1:13">
      <c r="D11" s="12">
        <v>46104</v>
      </c>
      <c r="E11" s="13">
        <v>1588194</v>
      </c>
      <c r="F11" s="13" t="s">
        <v>20</v>
      </c>
      <c r="G11" s="14">
        <v>20310681</v>
      </c>
      <c r="H11" s="13" t="s">
        <v>283</v>
      </c>
      <c r="I11" s="13" t="s">
        <v>53</v>
      </c>
      <c r="J11" s="14">
        <v>2</v>
      </c>
      <c r="K11" s="14">
        <v>6</v>
      </c>
      <c r="L11" s="15">
        <v>9.9</v>
      </c>
      <c r="M11" s="15">
        <v>19.8</v>
      </c>
    </row>
    <row r="12" spans="1:13">
      <c r="D12" s="12">
        <v>46104</v>
      </c>
      <c r="E12" s="13">
        <v>1588194</v>
      </c>
      <c r="F12" s="13" t="s">
        <v>42</v>
      </c>
      <c r="G12" s="14">
        <v>20303736</v>
      </c>
      <c r="H12" s="13" t="s">
        <v>284</v>
      </c>
      <c r="I12" s="13" t="s">
        <v>44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46105</v>
      </c>
      <c r="E13" s="13">
        <v>1588566</v>
      </c>
      <c r="F13" s="13" t="s">
        <v>20</v>
      </c>
      <c r="G13" s="14">
        <v>20303717</v>
      </c>
      <c r="H13" s="13" t="s">
        <v>70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46105</v>
      </c>
      <c r="E14" s="13">
        <v>1588566</v>
      </c>
      <c r="F14" s="13" t="s">
        <v>20</v>
      </c>
      <c r="G14" s="14">
        <v>20310681</v>
      </c>
      <c r="H14" s="13" t="s">
        <v>283</v>
      </c>
      <c r="I14" s="13" t="s">
        <v>53</v>
      </c>
      <c r="J14" s="14">
        <v>5</v>
      </c>
      <c r="K14" s="14">
        <v>15</v>
      </c>
      <c r="L14" s="15">
        <v>9.9</v>
      </c>
      <c r="M14" s="15">
        <v>49.5</v>
      </c>
    </row>
    <row r="15" spans="1:13">
      <c r="D15" s="12">
        <v>46105</v>
      </c>
      <c r="E15" s="13">
        <v>1588566</v>
      </c>
      <c r="F15" s="13" t="s">
        <v>42</v>
      </c>
      <c r="G15" s="14">
        <v>20303736</v>
      </c>
      <c r="H15" s="13" t="s">
        <v>284</v>
      </c>
      <c r="I15" s="13" t="s">
        <v>44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46106</v>
      </c>
      <c r="E16" s="13">
        <v>1588941</v>
      </c>
      <c r="F16" s="13" t="s">
        <v>20</v>
      </c>
      <c r="G16" s="14">
        <v>20303717</v>
      </c>
      <c r="H16" s="13" t="s">
        <v>70</v>
      </c>
      <c r="I16" s="13" t="s">
        <v>35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46106</v>
      </c>
      <c r="E17" s="13">
        <v>1588941</v>
      </c>
      <c r="F17" s="13" t="s">
        <v>20</v>
      </c>
      <c r="G17" s="14">
        <v>20310681</v>
      </c>
      <c r="H17" s="13" t="s">
        <v>283</v>
      </c>
      <c r="I17" s="13" t="s">
        <v>53</v>
      </c>
      <c r="J17" s="14">
        <v>5</v>
      </c>
      <c r="K17" s="14">
        <v>15</v>
      </c>
      <c r="L17" s="15">
        <v>9.9</v>
      </c>
      <c r="M17" s="15">
        <v>49.5</v>
      </c>
    </row>
    <row r="18" spans="4:13">
      <c r="D18" s="12">
        <v>46106</v>
      </c>
      <c r="E18" s="13">
        <v>1588941</v>
      </c>
      <c r="F18" s="13" t="s">
        <v>42</v>
      </c>
      <c r="G18" s="14">
        <v>20303736</v>
      </c>
      <c r="H18" s="13" t="s">
        <v>284</v>
      </c>
      <c r="I18" s="13" t="s">
        <v>44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46107</v>
      </c>
      <c r="E19" s="13">
        <v>1589300</v>
      </c>
      <c r="F19" s="13" t="s">
        <v>20</v>
      </c>
      <c r="G19" s="14">
        <v>20303717</v>
      </c>
      <c r="H19" s="13" t="s">
        <v>70</v>
      </c>
      <c r="I19" s="13" t="s">
        <v>35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46107</v>
      </c>
      <c r="E20" s="13">
        <v>1589300</v>
      </c>
      <c r="F20" s="13" t="s">
        <v>20</v>
      </c>
      <c r="G20" s="14">
        <v>20309873</v>
      </c>
      <c r="H20" s="13" t="s">
        <v>201</v>
      </c>
      <c r="I20" s="13" t="s">
        <v>55</v>
      </c>
      <c r="J20" s="14">
        <v>1</v>
      </c>
      <c r="K20" s="14">
        <v>7</v>
      </c>
      <c r="L20" s="15">
        <v>23.1</v>
      </c>
      <c r="M20" s="15">
        <v>23.1</v>
      </c>
    </row>
    <row r="21" spans="4:13">
      <c r="D21" s="12">
        <v>46107</v>
      </c>
      <c r="E21" s="13">
        <v>1589300</v>
      </c>
      <c r="F21" s="13" t="s">
        <v>20</v>
      </c>
      <c r="G21" s="14">
        <v>20310681</v>
      </c>
      <c r="H21" s="13" t="s">
        <v>283</v>
      </c>
      <c r="I21" s="13" t="s">
        <v>53</v>
      </c>
      <c r="J21" s="14">
        <v>2</v>
      </c>
      <c r="K21" s="14">
        <v>6</v>
      </c>
      <c r="L21" s="15">
        <v>9.9</v>
      </c>
      <c r="M21" s="15">
        <v>19.8</v>
      </c>
    </row>
    <row r="22" spans="4:13">
      <c r="D22" s="12">
        <v>46107</v>
      </c>
      <c r="E22" s="13">
        <v>1589300</v>
      </c>
      <c r="F22" s="13" t="s">
        <v>42</v>
      </c>
      <c r="G22" s="14">
        <v>20303736</v>
      </c>
      <c r="H22" s="13" t="s">
        <v>284</v>
      </c>
      <c r="I22" s="13" t="s">
        <v>44</v>
      </c>
      <c r="J22" s="14">
        <v>1</v>
      </c>
      <c r="K22" s="14">
        <v>3</v>
      </c>
      <c r="L22" s="15">
        <v>9.9</v>
      </c>
      <c r="M22" s="15">
        <v>9.9</v>
      </c>
    </row>
    <row r="23" spans="4:13">
      <c r="D23" s="12">
        <v>46108</v>
      </c>
      <c r="E23" s="13">
        <v>1589682</v>
      </c>
      <c r="F23" s="13" t="s">
        <v>20</v>
      </c>
      <c r="G23" s="14">
        <v>20310681</v>
      </c>
      <c r="H23" s="13" t="s">
        <v>283</v>
      </c>
      <c r="I23" s="13" t="s">
        <v>53</v>
      </c>
      <c r="J23" s="14">
        <v>5</v>
      </c>
      <c r="K23" s="14">
        <v>15</v>
      </c>
      <c r="L23" s="15">
        <v>9.9</v>
      </c>
      <c r="M23" s="15">
        <v>49.5</v>
      </c>
    </row>
    <row r="24" spans="4:13">
      <c r="D24" s="12">
        <v>46108</v>
      </c>
      <c r="E24" s="13">
        <v>1589682</v>
      </c>
      <c r="F24" s="13" t="s">
        <v>42</v>
      </c>
      <c r="G24" s="14">
        <v>20303736</v>
      </c>
      <c r="H24" s="13" t="s">
        <v>284</v>
      </c>
      <c r="I24" s="13" t="s">
        <v>44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46110</v>
      </c>
      <c r="E25" s="13">
        <v>1590133</v>
      </c>
      <c r="F25" s="13" t="s">
        <v>20</v>
      </c>
      <c r="G25" s="14">
        <v>20303717</v>
      </c>
      <c r="H25" s="13" t="s">
        <v>70</v>
      </c>
      <c r="I25" s="13" t="s">
        <v>35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46110</v>
      </c>
      <c r="E26" s="13">
        <v>1590133</v>
      </c>
      <c r="F26" s="13" t="s">
        <v>20</v>
      </c>
      <c r="G26" s="14">
        <v>20310681</v>
      </c>
      <c r="H26" s="13" t="s">
        <v>283</v>
      </c>
      <c r="I26" s="13" t="s">
        <v>53</v>
      </c>
      <c r="J26" s="14">
        <v>7</v>
      </c>
      <c r="K26" s="14">
        <v>21</v>
      </c>
      <c r="L26" s="15">
        <v>9.9</v>
      </c>
      <c r="M26" s="15">
        <v>69.3</v>
      </c>
    </row>
    <row r="27" spans="4:13">
      <c r="D27" s="12">
        <v>46110</v>
      </c>
      <c r="E27" s="13">
        <v>1590133</v>
      </c>
      <c r="F27" s="13" t="s">
        <v>42</v>
      </c>
      <c r="G27" s="14">
        <v>20303736</v>
      </c>
      <c r="H27" s="13" t="s">
        <v>284</v>
      </c>
      <c r="I27" s="13" t="s">
        <v>44</v>
      </c>
      <c r="J27" s="14">
        <v>2</v>
      </c>
      <c r="K27" s="14">
        <v>6</v>
      </c>
      <c r="L27" s="15">
        <v>9.9</v>
      </c>
      <c r="M27" s="15">
        <v>19.8</v>
      </c>
    </row>
    <row r="28" spans="4:13">
      <c r="D28" s="12">
        <v>46111</v>
      </c>
      <c r="E28" s="13">
        <v>1590235</v>
      </c>
      <c r="F28" s="13" t="s">
        <v>20</v>
      </c>
      <c r="G28" s="14">
        <v>20310681</v>
      </c>
      <c r="H28" s="13" t="s">
        <v>283</v>
      </c>
      <c r="I28" s="13" t="s">
        <v>53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46111</v>
      </c>
      <c r="E29" s="13">
        <v>1590235</v>
      </c>
      <c r="F29" s="13" t="s">
        <v>42</v>
      </c>
      <c r="G29" s="14">
        <v>20303736</v>
      </c>
      <c r="H29" s="13" t="s">
        <v>284</v>
      </c>
      <c r="I29" s="13" t="s">
        <v>44</v>
      </c>
      <c r="J29" s="14">
        <v>1</v>
      </c>
      <c r="K29" s="14">
        <v>3</v>
      </c>
      <c r="L29" s="15">
        <v>9.9</v>
      </c>
      <c r="M29" s="15">
        <v>9.9</v>
      </c>
    </row>
    <row r="30" spans="4:13">
      <c r="D30" s="12">
        <v>46112</v>
      </c>
      <c r="E30" s="13">
        <v>1590622</v>
      </c>
      <c r="F30" s="13" t="s">
        <v>20</v>
      </c>
      <c r="G30" s="14">
        <v>20303717</v>
      </c>
      <c r="H30" s="13" t="s">
        <v>70</v>
      </c>
      <c r="I30" s="13" t="s">
        <v>35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46112</v>
      </c>
      <c r="E31" s="13">
        <v>1590622</v>
      </c>
      <c r="F31" s="13" t="s">
        <v>20</v>
      </c>
      <c r="G31" s="14">
        <v>20310681</v>
      </c>
      <c r="H31" s="13" t="s">
        <v>283</v>
      </c>
      <c r="I31" s="13" t="s">
        <v>53</v>
      </c>
      <c r="J31" s="14">
        <v>4</v>
      </c>
      <c r="K31" s="14">
        <v>12</v>
      </c>
      <c r="L31" s="15">
        <v>9.9</v>
      </c>
      <c r="M31" s="15">
        <v>39.6</v>
      </c>
    </row>
    <row r="32" spans="4:13">
      <c r="D32" s="12">
        <v>46112</v>
      </c>
      <c r="E32" s="13">
        <v>1590622</v>
      </c>
      <c r="F32" s="13" t="s">
        <v>42</v>
      </c>
      <c r="G32" s="14">
        <v>20303736</v>
      </c>
      <c r="H32" s="13" t="s">
        <v>284</v>
      </c>
      <c r="I32" s="13" t="s">
        <v>44</v>
      </c>
      <c r="J32" s="14">
        <v>1</v>
      </c>
      <c r="K32" s="14">
        <v>3</v>
      </c>
      <c r="L32" s="15">
        <v>9.9</v>
      </c>
      <c r="M32" s="15">
        <v>9.9</v>
      </c>
    </row>
    <row r="33" spans="4:13">
      <c r="D33" s="12">
        <v>46113</v>
      </c>
      <c r="E33" s="13">
        <v>1591038</v>
      </c>
      <c r="F33" s="13" t="s">
        <v>20</v>
      </c>
      <c r="G33" s="14">
        <v>20303717</v>
      </c>
      <c r="H33" s="13" t="s">
        <v>70</v>
      </c>
      <c r="I33" s="13" t="s">
        <v>35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46113</v>
      </c>
      <c r="E34" s="13">
        <v>1591038</v>
      </c>
      <c r="F34" s="13" t="s">
        <v>20</v>
      </c>
      <c r="G34" s="14">
        <v>20310681</v>
      </c>
      <c r="H34" s="13" t="s">
        <v>283</v>
      </c>
      <c r="I34" s="13" t="s">
        <v>53</v>
      </c>
      <c r="J34" s="14">
        <v>5</v>
      </c>
      <c r="K34" s="14">
        <v>15</v>
      </c>
      <c r="L34" s="15">
        <v>9.9</v>
      </c>
      <c r="M34" s="15">
        <v>49.5</v>
      </c>
    </row>
    <row r="35" spans="4:13">
      <c r="D35" s="12">
        <v>46113</v>
      </c>
      <c r="E35" s="13">
        <v>1591038</v>
      </c>
      <c r="F35" s="13" t="s">
        <v>42</v>
      </c>
      <c r="G35" s="14">
        <v>20303736</v>
      </c>
      <c r="H35" s="13" t="s">
        <v>284</v>
      </c>
      <c r="I35" s="13" t="s">
        <v>44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46114</v>
      </c>
      <c r="E36" s="13">
        <v>1591401</v>
      </c>
      <c r="F36" s="13" t="s">
        <v>20</v>
      </c>
      <c r="G36" s="14">
        <v>20310681</v>
      </c>
      <c r="H36" s="13" t="s">
        <v>283</v>
      </c>
      <c r="I36" s="13" t="s">
        <v>53</v>
      </c>
      <c r="J36" s="14">
        <v>1</v>
      </c>
      <c r="K36" s="14">
        <v>3</v>
      </c>
      <c r="L36" s="15">
        <v>9.9</v>
      </c>
      <c r="M36" s="15">
        <v>9.9</v>
      </c>
    </row>
    <row r="37" spans="4:13">
      <c r="D37" s="12">
        <v>46114</v>
      </c>
      <c r="E37" s="13">
        <v>1591401</v>
      </c>
      <c r="F37" s="13" t="s">
        <v>42</v>
      </c>
      <c r="G37" s="14">
        <v>20303736</v>
      </c>
      <c r="H37" s="13" t="s">
        <v>284</v>
      </c>
      <c r="I37" s="13" t="s">
        <v>44</v>
      </c>
      <c r="J37" s="14">
        <v>1</v>
      </c>
      <c r="K37" s="14">
        <v>3</v>
      </c>
      <c r="L37" s="15">
        <v>9.9</v>
      </c>
      <c r="M37" s="15">
        <v>9.9</v>
      </c>
    </row>
    <row r="38" spans="4:13">
      <c r="D38" s="12">
        <v>46115</v>
      </c>
      <c r="E38" s="13">
        <v>1591813</v>
      </c>
      <c r="F38" s="13" t="s">
        <v>20</v>
      </c>
      <c r="G38" s="14">
        <v>20310681</v>
      </c>
      <c r="H38" s="13" t="s">
        <v>283</v>
      </c>
      <c r="I38" s="13" t="s">
        <v>53</v>
      </c>
      <c r="J38" s="14">
        <v>5</v>
      </c>
      <c r="K38" s="14">
        <v>15</v>
      </c>
      <c r="L38" s="15">
        <v>9.9</v>
      </c>
      <c r="M38" s="15">
        <v>49.5</v>
      </c>
    </row>
    <row r="39" spans="4:13">
      <c r="D39" s="12">
        <v>46115</v>
      </c>
      <c r="E39" s="13">
        <v>1591813</v>
      </c>
      <c r="F39" s="13" t="s">
        <v>42</v>
      </c>
      <c r="G39" s="14">
        <v>20303736</v>
      </c>
      <c r="H39" s="13" t="s">
        <v>284</v>
      </c>
      <c r="I39" s="13" t="s">
        <v>44</v>
      </c>
      <c r="J39" s="14">
        <v>1</v>
      </c>
      <c r="K39" s="14">
        <v>3</v>
      </c>
      <c r="L39" s="15">
        <v>9.9</v>
      </c>
      <c r="M39" s="15">
        <v>9.9</v>
      </c>
    </row>
    <row r="40" spans="4:13">
      <c r="D40" s="12">
        <v>46117</v>
      </c>
      <c r="E40" s="13">
        <v>1592224</v>
      </c>
      <c r="F40" s="13" t="s">
        <v>20</v>
      </c>
      <c r="G40" s="14">
        <v>20303717</v>
      </c>
      <c r="H40" s="13" t="s">
        <v>70</v>
      </c>
      <c r="I40" s="13" t="s">
        <v>35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46117</v>
      </c>
      <c r="E41" s="13">
        <v>1592224</v>
      </c>
      <c r="F41" s="13" t="s">
        <v>20</v>
      </c>
      <c r="G41" s="14">
        <v>20309873</v>
      </c>
      <c r="H41" s="13" t="s">
        <v>201</v>
      </c>
      <c r="I41" s="13" t="s">
        <v>55</v>
      </c>
      <c r="J41" s="14">
        <v>1</v>
      </c>
      <c r="K41" s="14">
        <v>7</v>
      </c>
      <c r="L41" s="15">
        <v>23.1</v>
      </c>
      <c r="M41" s="15">
        <v>23.1</v>
      </c>
    </row>
    <row r="42" spans="4:13">
      <c r="D42" s="12">
        <v>46117</v>
      </c>
      <c r="E42" s="13">
        <v>1592224</v>
      </c>
      <c r="F42" s="13" t="s">
        <v>20</v>
      </c>
      <c r="G42" s="14">
        <v>20310681</v>
      </c>
      <c r="H42" s="13" t="s">
        <v>283</v>
      </c>
      <c r="I42" s="13" t="s">
        <v>53</v>
      </c>
      <c r="J42" s="14">
        <v>6</v>
      </c>
      <c r="K42" s="14">
        <v>18</v>
      </c>
      <c r="L42" s="15">
        <v>9.9</v>
      </c>
      <c r="M42" s="15">
        <v>59.4</v>
      </c>
    </row>
    <row r="43" spans="4:13">
      <c r="D43" s="12">
        <v>46117</v>
      </c>
      <c r="E43" s="13">
        <v>1592224</v>
      </c>
      <c r="F43" s="13" t="s">
        <v>42</v>
      </c>
      <c r="G43" s="14">
        <v>20303736</v>
      </c>
      <c r="H43" s="13" t="s">
        <v>284</v>
      </c>
      <c r="I43" s="13" t="s">
        <v>44</v>
      </c>
      <c r="J43" s="14">
        <v>2</v>
      </c>
      <c r="K43" s="14">
        <v>6</v>
      </c>
      <c r="L43" s="15">
        <v>9.9</v>
      </c>
      <c r="M43" s="15">
        <v>19.8</v>
      </c>
    </row>
    <row r="44" spans="4:13">
      <c r="D44" s="12">
        <v>46119</v>
      </c>
      <c r="E44" s="13">
        <v>1592394</v>
      </c>
      <c r="F44" s="13" t="s">
        <v>20</v>
      </c>
      <c r="G44" s="14">
        <v>20310681</v>
      </c>
      <c r="H44" s="13" t="s">
        <v>283</v>
      </c>
      <c r="I44" s="13" t="s">
        <v>53</v>
      </c>
      <c r="J44" s="14">
        <v>3</v>
      </c>
      <c r="K44" s="14">
        <v>9</v>
      </c>
      <c r="L44" s="15">
        <v>9.9</v>
      </c>
      <c r="M44" s="15">
        <v>29.7</v>
      </c>
    </row>
    <row r="45" spans="4:13">
      <c r="D45" s="12">
        <v>46119</v>
      </c>
      <c r="E45" s="13">
        <v>1592394</v>
      </c>
      <c r="F45" s="13" t="s">
        <v>42</v>
      </c>
      <c r="G45" s="14">
        <v>20303736</v>
      </c>
      <c r="H45" s="13" t="s">
        <v>284</v>
      </c>
      <c r="I45" s="13" t="s">
        <v>44</v>
      </c>
      <c r="J45" s="14">
        <v>1</v>
      </c>
      <c r="K45" s="14">
        <v>3</v>
      </c>
      <c r="L45" s="15">
        <v>9.9</v>
      </c>
      <c r="M45" s="15">
        <v>9.9</v>
      </c>
    </row>
    <row r="46" spans="4:13">
      <c r="D46" s="12">
        <v>46120</v>
      </c>
      <c r="E46" s="13">
        <v>1592794</v>
      </c>
      <c r="F46" s="13" t="s">
        <v>20</v>
      </c>
      <c r="G46" s="14">
        <v>20303717</v>
      </c>
      <c r="H46" s="13" t="s">
        <v>70</v>
      </c>
      <c r="I46" s="13" t="s">
        <v>35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46120</v>
      </c>
      <c r="E47" s="13">
        <v>1592794</v>
      </c>
      <c r="F47" s="13" t="s">
        <v>20</v>
      </c>
      <c r="G47" s="14">
        <v>20310681</v>
      </c>
      <c r="H47" s="13" t="s">
        <v>283</v>
      </c>
      <c r="I47" s="13" t="s">
        <v>53</v>
      </c>
      <c r="J47" s="14">
        <v>6</v>
      </c>
      <c r="K47" s="14">
        <v>18</v>
      </c>
      <c r="L47" s="15">
        <v>9.9</v>
      </c>
      <c r="M47" s="15">
        <v>59.4</v>
      </c>
    </row>
    <row r="48" spans="4:13">
      <c r="D48" s="12">
        <v>46120</v>
      </c>
      <c r="E48" s="13">
        <v>1592794</v>
      </c>
      <c r="F48" s="13" t="s">
        <v>42</v>
      </c>
      <c r="G48" s="14">
        <v>20303736</v>
      </c>
      <c r="H48" s="13" t="s">
        <v>284</v>
      </c>
      <c r="I48" s="13" t="s">
        <v>44</v>
      </c>
      <c r="J48" s="14">
        <v>1</v>
      </c>
      <c r="K48" s="14">
        <v>3</v>
      </c>
      <c r="L48" s="15">
        <v>9.9</v>
      </c>
      <c r="M48" s="15">
        <v>9.9</v>
      </c>
    </row>
    <row r="49" spans="4:13">
      <c r="D49" s="12">
        <v>46121</v>
      </c>
      <c r="E49" s="13">
        <v>1593183</v>
      </c>
      <c r="F49" s="13" t="s">
        <v>20</v>
      </c>
      <c r="G49" s="14">
        <v>20310681</v>
      </c>
      <c r="H49" s="13" t="s">
        <v>283</v>
      </c>
      <c r="I49" s="13" t="s">
        <v>53</v>
      </c>
      <c r="J49" s="14">
        <v>2</v>
      </c>
      <c r="K49" s="14">
        <v>6</v>
      </c>
      <c r="L49" s="15">
        <v>9.9</v>
      </c>
      <c r="M49" s="15">
        <v>19.8</v>
      </c>
    </row>
    <row r="50" spans="4:13">
      <c r="D50" s="12">
        <v>46121</v>
      </c>
      <c r="E50" s="13">
        <v>1593183</v>
      </c>
      <c r="F50" s="13" t="s">
        <v>42</v>
      </c>
      <c r="G50" s="14">
        <v>20303736</v>
      </c>
      <c r="H50" s="13" t="s">
        <v>284</v>
      </c>
      <c r="I50" s="13" t="s">
        <v>44</v>
      </c>
      <c r="J50" s="14">
        <v>1</v>
      </c>
      <c r="K50" s="14">
        <v>3</v>
      </c>
      <c r="L50" s="15">
        <v>9.9</v>
      </c>
      <c r="M50" s="15">
        <v>9.9</v>
      </c>
    </row>
    <row r="51" spans="4:13">
      <c r="D51" s="12">
        <v>46122</v>
      </c>
      <c r="E51" s="13">
        <v>1593635</v>
      </c>
      <c r="F51" s="13" t="s">
        <v>20</v>
      </c>
      <c r="G51" s="14">
        <v>20303717</v>
      </c>
      <c r="H51" s="13" t="s">
        <v>70</v>
      </c>
      <c r="I51" s="13" t="s">
        <v>35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46122</v>
      </c>
      <c r="E52" s="13">
        <v>1593635</v>
      </c>
      <c r="F52" s="13" t="s">
        <v>20</v>
      </c>
      <c r="G52" s="14">
        <v>20310681</v>
      </c>
      <c r="H52" s="13" t="s">
        <v>283</v>
      </c>
      <c r="I52" s="13" t="s">
        <v>53</v>
      </c>
      <c r="J52" s="14">
        <v>4</v>
      </c>
      <c r="K52" s="14">
        <v>12</v>
      </c>
      <c r="L52" s="15">
        <v>9.9</v>
      </c>
      <c r="M52" s="15">
        <v>39.6</v>
      </c>
    </row>
    <row r="53" spans="4:13">
      <c r="D53" s="12">
        <v>46122</v>
      </c>
      <c r="E53" s="13">
        <v>1593635</v>
      </c>
      <c r="F53" s="13" t="s">
        <v>42</v>
      </c>
      <c r="G53" s="14">
        <v>20303736</v>
      </c>
      <c r="H53" s="13" t="s">
        <v>284</v>
      </c>
      <c r="I53" s="13" t="s">
        <v>44</v>
      </c>
      <c r="J53" s="14">
        <v>1</v>
      </c>
      <c r="K53" s="14">
        <v>3</v>
      </c>
      <c r="L53" s="15">
        <v>9.9</v>
      </c>
      <c r="M53" s="15">
        <v>9.9</v>
      </c>
    </row>
    <row r="54" spans="4:13">
      <c r="D54" s="12">
        <v>46124</v>
      </c>
      <c r="E54" s="13">
        <v>1594064</v>
      </c>
      <c r="F54" s="13" t="s">
        <v>20</v>
      </c>
      <c r="G54" s="14">
        <v>20303717</v>
      </c>
      <c r="H54" s="13" t="s">
        <v>70</v>
      </c>
      <c r="I54" s="13" t="s">
        <v>35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46124</v>
      </c>
      <c r="E55" s="13">
        <v>1594064</v>
      </c>
      <c r="F55" s="13" t="s">
        <v>20</v>
      </c>
      <c r="G55" s="14">
        <v>20309873</v>
      </c>
      <c r="H55" s="13" t="s">
        <v>201</v>
      </c>
      <c r="I55" s="13" t="s">
        <v>55</v>
      </c>
      <c r="J55" s="14">
        <v>1</v>
      </c>
      <c r="K55" s="14">
        <v>7</v>
      </c>
      <c r="L55" s="15">
        <v>23.1</v>
      </c>
      <c r="M55" s="15">
        <v>23.1</v>
      </c>
    </row>
    <row r="56" spans="4:13">
      <c r="D56" s="12">
        <v>46124</v>
      </c>
      <c r="E56" s="13">
        <v>1594064</v>
      </c>
      <c r="F56" s="13" t="s">
        <v>20</v>
      </c>
      <c r="G56" s="14">
        <v>20310681</v>
      </c>
      <c r="H56" s="13" t="s">
        <v>283</v>
      </c>
      <c r="I56" s="13" t="s">
        <v>53</v>
      </c>
      <c r="J56" s="14">
        <v>6</v>
      </c>
      <c r="K56" s="14">
        <v>18</v>
      </c>
      <c r="L56" s="15">
        <v>9.9</v>
      </c>
      <c r="M56" s="15">
        <v>59.4</v>
      </c>
    </row>
    <row r="57" spans="4:13">
      <c r="D57" s="12">
        <v>46124</v>
      </c>
      <c r="E57" s="13">
        <v>1594064</v>
      </c>
      <c r="F57" s="13" t="s">
        <v>42</v>
      </c>
      <c r="G57" s="14">
        <v>20303736</v>
      </c>
      <c r="H57" s="13" t="s">
        <v>284</v>
      </c>
      <c r="I57" s="13" t="s">
        <v>44</v>
      </c>
      <c r="J57" s="14">
        <v>2</v>
      </c>
      <c r="K57" s="14">
        <v>6</v>
      </c>
      <c r="L57" s="15">
        <v>9.9</v>
      </c>
      <c r="M57" s="15">
        <v>19.8</v>
      </c>
    </row>
    <row r="58" spans="4:13">
      <c r="D58" s="12">
        <v>46125</v>
      </c>
      <c r="E58" s="13">
        <v>1594152</v>
      </c>
      <c r="F58" s="13" t="s">
        <v>20</v>
      </c>
      <c r="G58" s="14">
        <v>20310681</v>
      </c>
      <c r="H58" s="13" t="s">
        <v>283</v>
      </c>
      <c r="I58" s="13" t="s">
        <v>53</v>
      </c>
      <c r="J58" s="14">
        <v>2</v>
      </c>
      <c r="K58" s="14">
        <v>6</v>
      </c>
      <c r="L58" s="15">
        <v>9.9</v>
      </c>
      <c r="M58" s="15">
        <v>19.8</v>
      </c>
    </row>
    <row r="59" spans="4:13">
      <c r="D59" s="12">
        <v>46125</v>
      </c>
      <c r="E59" s="13">
        <v>1594152</v>
      </c>
      <c r="F59" s="13" t="s">
        <v>42</v>
      </c>
      <c r="G59" s="14">
        <v>20303736</v>
      </c>
      <c r="H59" s="13" t="s">
        <v>284</v>
      </c>
      <c r="I59" s="13" t="s">
        <v>44</v>
      </c>
      <c r="J59" s="14">
        <v>1</v>
      </c>
      <c r="K59" s="14">
        <v>3</v>
      </c>
      <c r="L59" s="15">
        <v>9.9</v>
      </c>
      <c r="M59" s="15">
        <v>9.9</v>
      </c>
    </row>
    <row r="60" spans="4:13">
      <c r="D60" s="12">
        <v>46126</v>
      </c>
      <c r="E60" s="13">
        <v>1594580</v>
      </c>
      <c r="F60" s="13" t="s">
        <v>20</v>
      </c>
      <c r="G60" s="14">
        <v>20303717</v>
      </c>
      <c r="H60" s="13" t="s">
        <v>70</v>
      </c>
      <c r="I60" s="13" t="s">
        <v>35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46126</v>
      </c>
      <c r="E61" s="13">
        <v>1594580</v>
      </c>
      <c r="F61" s="13" t="s">
        <v>20</v>
      </c>
      <c r="G61" s="14">
        <v>20310681</v>
      </c>
      <c r="H61" s="13" t="s">
        <v>283</v>
      </c>
      <c r="I61" s="13" t="s">
        <v>53</v>
      </c>
      <c r="J61" s="14">
        <v>5</v>
      </c>
      <c r="K61" s="14">
        <v>15</v>
      </c>
      <c r="L61" s="15">
        <v>9.9</v>
      </c>
      <c r="M61" s="15">
        <v>49.5</v>
      </c>
    </row>
    <row r="62" spans="4:13">
      <c r="D62" s="12">
        <v>46126</v>
      </c>
      <c r="E62" s="13">
        <v>1594580</v>
      </c>
      <c r="F62" s="13" t="s">
        <v>42</v>
      </c>
      <c r="G62" s="14">
        <v>20303736</v>
      </c>
      <c r="H62" s="13" t="s">
        <v>284</v>
      </c>
      <c r="I62" s="13" t="s">
        <v>44</v>
      </c>
      <c r="J62" s="14">
        <v>1</v>
      </c>
      <c r="K62" s="14">
        <v>3</v>
      </c>
      <c r="L62" s="15">
        <v>9.9</v>
      </c>
      <c r="M62" s="15">
        <v>9.9</v>
      </c>
    </row>
    <row r="63" spans="4:13">
      <c r="D63" s="12">
        <v>46127</v>
      </c>
      <c r="E63" s="13">
        <v>1595002</v>
      </c>
      <c r="F63" s="13" t="s">
        <v>20</v>
      </c>
      <c r="G63" s="14">
        <v>20310681</v>
      </c>
      <c r="H63" s="13" t="s">
        <v>283</v>
      </c>
      <c r="I63" s="13" t="s">
        <v>53</v>
      </c>
      <c r="J63" s="14">
        <v>4</v>
      </c>
      <c r="K63" s="14">
        <v>12</v>
      </c>
      <c r="L63" s="15">
        <v>9.9</v>
      </c>
      <c r="M63" s="15">
        <v>39.6</v>
      </c>
    </row>
    <row r="64" spans="4:13">
      <c r="D64" s="12">
        <v>46127</v>
      </c>
      <c r="E64" s="13">
        <v>1595002</v>
      </c>
      <c r="F64" s="13" t="s">
        <v>42</v>
      </c>
      <c r="G64" s="14">
        <v>20303736</v>
      </c>
      <c r="H64" s="13" t="s">
        <v>284</v>
      </c>
      <c r="I64" s="13" t="s">
        <v>44</v>
      </c>
      <c r="J64" s="14">
        <v>1</v>
      </c>
      <c r="K64" s="14">
        <v>3</v>
      </c>
      <c r="L64" s="15">
        <v>9.9</v>
      </c>
      <c r="M64" s="15">
        <v>9.9</v>
      </c>
    </row>
    <row r="65" spans="4:13">
      <c r="D65" s="12">
        <v>46128</v>
      </c>
      <c r="E65" s="13">
        <v>1595316</v>
      </c>
      <c r="F65" s="13" t="s">
        <v>20</v>
      </c>
      <c r="G65" s="14">
        <v>20303717</v>
      </c>
      <c r="H65" s="13" t="s">
        <v>70</v>
      </c>
      <c r="I65" s="13" t="s">
        <v>35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46128</v>
      </c>
      <c r="E66" s="13">
        <v>1595316</v>
      </c>
      <c r="F66" s="13" t="s">
        <v>20</v>
      </c>
      <c r="G66" s="14">
        <v>20310681</v>
      </c>
      <c r="H66" s="13" t="s">
        <v>283</v>
      </c>
      <c r="I66" s="13" t="s">
        <v>53</v>
      </c>
      <c r="J66" s="14">
        <v>3</v>
      </c>
      <c r="K66" s="14">
        <v>9</v>
      </c>
      <c r="L66" s="15">
        <v>9.9</v>
      </c>
      <c r="M66" s="15">
        <v>29.7</v>
      </c>
    </row>
    <row r="67" spans="4:13">
      <c r="D67" s="12">
        <v>46128</v>
      </c>
      <c r="E67" s="13">
        <v>1595316</v>
      </c>
      <c r="F67" s="13" t="s">
        <v>42</v>
      </c>
      <c r="G67" s="14">
        <v>20303736</v>
      </c>
      <c r="H67" s="13" t="s">
        <v>284</v>
      </c>
      <c r="I67" s="13" t="s">
        <v>44</v>
      </c>
      <c r="J67" s="14">
        <v>1</v>
      </c>
      <c r="K67" s="14">
        <v>3</v>
      </c>
      <c r="L67" s="15">
        <v>9.9</v>
      </c>
      <c r="M67" s="15">
        <v>9.9</v>
      </c>
    </row>
    <row r="68" spans="4:13">
      <c r="D68" s="12">
        <v>46129</v>
      </c>
      <c r="E68" s="13">
        <v>1595752</v>
      </c>
      <c r="F68" s="13" t="s">
        <v>20</v>
      </c>
      <c r="G68" s="14">
        <v>20303717</v>
      </c>
      <c r="H68" s="13" t="s">
        <v>70</v>
      </c>
      <c r="I68" s="13" t="s">
        <v>35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46129</v>
      </c>
      <c r="E69" s="13">
        <v>1595752</v>
      </c>
      <c r="F69" s="13" t="s">
        <v>20</v>
      </c>
      <c r="G69" s="14">
        <v>20310681</v>
      </c>
      <c r="H69" s="13" t="s">
        <v>283</v>
      </c>
      <c r="I69" s="13" t="s">
        <v>53</v>
      </c>
      <c r="J69" s="14">
        <v>4</v>
      </c>
      <c r="K69" s="14">
        <v>12</v>
      </c>
      <c r="L69" s="15">
        <v>9.9</v>
      </c>
      <c r="M69" s="15">
        <v>39.6</v>
      </c>
    </row>
    <row r="70" spans="4:13">
      <c r="D70" s="12">
        <v>46129</v>
      </c>
      <c r="E70" s="13">
        <v>1595752</v>
      </c>
      <c r="F70" s="13" t="s">
        <v>42</v>
      </c>
      <c r="G70" s="14">
        <v>20303736</v>
      </c>
      <c r="H70" s="13" t="s">
        <v>284</v>
      </c>
      <c r="I70" s="13" t="s">
        <v>44</v>
      </c>
      <c r="J70" s="14">
        <v>1</v>
      </c>
      <c r="K70" s="14">
        <v>3</v>
      </c>
      <c r="L70" s="15">
        <v>9.9</v>
      </c>
      <c r="M70" s="15">
        <v>9.9</v>
      </c>
    </row>
    <row r="71" spans="4:13">
      <c r="D71" s="12">
        <v>46131</v>
      </c>
      <c r="E71" s="13">
        <v>1596173</v>
      </c>
      <c r="F71" s="13" t="s">
        <v>20</v>
      </c>
      <c r="G71" s="14">
        <v>20303717</v>
      </c>
      <c r="H71" s="13" t="s">
        <v>70</v>
      </c>
      <c r="I71" s="13" t="s">
        <v>35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46131</v>
      </c>
      <c r="E72" s="13">
        <v>1596173</v>
      </c>
      <c r="F72" s="13" t="s">
        <v>20</v>
      </c>
      <c r="G72" s="14">
        <v>20310681</v>
      </c>
      <c r="H72" s="13" t="s">
        <v>283</v>
      </c>
      <c r="I72" s="13" t="s">
        <v>53</v>
      </c>
      <c r="J72" s="14">
        <v>8</v>
      </c>
      <c r="K72" s="14">
        <v>24</v>
      </c>
      <c r="L72" s="15">
        <v>9.9</v>
      </c>
      <c r="M72" s="15">
        <v>79.2</v>
      </c>
    </row>
    <row r="73" spans="4:13">
      <c r="D73" s="12">
        <v>46131</v>
      </c>
      <c r="E73" s="13">
        <v>1596173</v>
      </c>
      <c r="F73" s="13" t="s">
        <v>42</v>
      </c>
      <c r="G73" s="14">
        <v>20303736</v>
      </c>
      <c r="H73" s="13" t="s">
        <v>284</v>
      </c>
      <c r="I73" s="13" t="s">
        <v>44</v>
      </c>
      <c r="J73" s="14">
        <v>2</v>
      </c>
      <c r="K73" s="14">
        <v>6</v>
      </c>
      <c r="L73" s="15">
        <v>9.9</v>
      </c>
      <c r="M73" s="15">
        <v>19.8</v>
      </c>
    </row>
    <row r="74" spans="4:13">
      <c r="D74" s="12">
        <v>46132</v>
      </c>
      <c r="E74" s="13">
        <v>1596257</v>
      </c>
      <c r="F74" s="13" t="s">
        <v>42</v>
      </c>
      <c r="G74" s="14">
        <v>20303736</v>
      </c>
      <c r="H74" s="13" t="s">
        <v>284</v>
      </c>
      <c r="I74" s="13" t="s">
        <v>44</v>
      </c>
      <c r="J74" s="14">
        <v>1</v>
      </c>
      <c r="K74" s="14">
        <v>3</v>
      </c>
      <c r="L74" s="15">
        <v>9.9</v>
      </c>
      <c r="M74" s="15">
        <v>9.9</v>
      </c>
    </row>
  </sheetData>
  <autoFilter xmlns:etc="http://www.wps.cn/officeDocument/2017/etCustomData" ref="A7:M74" etc:filterBottomFollowUsedRange="0">
    <extLst/>
  </autoFilter>
  <mergeCells count="5">
    <mergeCell ref="D8:I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showGridLines="0" view="pageBreakPreview" zoomScaleNormal="100" workbookViewId="0">
      <pane ySplit="6" topLeftCell="A12" activePane="bottomLeft" state="frozen"/>
      <selection/>
      <selection pane="bottomLeft" activeCell="M9" sqref="M9:M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625" customWidth="1"/>
    <col min="9" max="9" width="19.125" customWidth="1"/>
    <col min="10" max="10" width="6.475" customWidth="1"/>
    <col min="11" max="11" width="9.45" customWidth="1"/>
    <col min="12" max="12" width="10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72</v>
      </c>
      <c r="K8" s="10">
        <v>72</v>
      </c>
      <c r="L8" s="11"/>
      <c r="M8" s="11">
        <v>345.6</v>
      </c>
    </row>
    <row r="9" spans="1:13">
      <c r="D9" s="12">
        <v>46104</v>
      </c>
      <c r="E9" s="13">
        <v>1588196</v>
      </c>
      <c r="F9" s="13" t="s">
        <v>20</v>
      </c>
      <c r="G9" s="14">
        <v>20303717</v>
      </c>
      <c r="H9" s="13" t="s">
        <v>70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46105</v>
      </c>
      <c r="E10" s="13">
        <v>1588567</v>
      </c>
      <c r="F10" s="13" t="s">
        <v>20</v>
      </c>
      <c r="G10" s="14">
        <v>20303717</v>
      </c>
      <c r="H10" s="13" t="s">
        <v>70</v>
      </c>
      <c r="I10" s="13" t="s">
        <v>35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46106</v>
      </c>
      <c r="E11" s="13">
        <v>1588942</v>
      </c>
      <c r="F11" s="13" t="s">
        <v>20</v>
      </c>
      <c r="G11" s="14">
        <v>20303717</v>
      </c>
      <c r="H11" s="13" t="s">
        <v>70</v>
      </c>
      <c r="I11" s="13" t="s">
        <v>35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46106</v>
      </c>
      <c r="E12" s="13">
        <v>1588942</v>
      </c>
      <c r="F12" s="13" t="s">
        <v>20</v>
      </c>
      <c r="G12" s="14">
        <v>20404937</v>
      </c>
      <c r="H12" s="13" t="s">
        <v>286</v>
      </c>
      <c r="I12" s="13" t="s">
        <v>22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46106</v>
      </c>
      <c r="E13" s="13">
        <v>1588942</v>
      </c>
      <c r="F13" s="13" t="s">
        <v>20</v>
      </c>
      <c r="G13" s="14">
        <v>20316042</v>
      </c>
      <c r="H13" s="13" t="s">
        <v>34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46107</v>
      </c>
      <c r="E14" s="13">
        <v>1589301</v>
      </c>
      <c r="F14" s="13" t="s">
        <v>20</v>
      </c>
      <c r="G14" s="14">
        <v>20303717</v>
      </c>
      <c r="H14" s="13" t="s">
        <v>70</v>
      </c>
      <c r="I14" s="13" t="s">
        <v>35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46108</v>
      </c>
      <c r="E15" s="13">
        <v>1589683</v>
      </c>
      <c r="F15" s="13" t="s">
        <v>20</v>
      </c>
      <c r="G15" s="14">
        <v>20303717</v>
      </c>
      <c r="H15" s="13" t="s">
        <v>70</v>
      </c>
      <c r="I15" s="13" t="s">
        <v>35</v>
      </c>
      <c r="J15" s="14">
        <v>3</v>
      </c>
      <c r="K15" s="14">
        <v>3</v>
      </c>
      <c r="L15" s="15">
        <v>4.8</v>
      </c>
      <c r="M15" s="15">
        <v>14.4</v>
      </c>
    </row>
    <row r="16" spans="1:13">
      <c r="D16" s="12">
        <v>46108</v>
      </c>
      <c r="E16" s="13">
        <v>1589683</v>
      </c>
      <c r="F16" s="13" t="s">
        <v>20</v>
      </c>
      <c r="G16" s="14">
        <v>20404937</v>
      </c>
      <c r="H16" s="13" t="s">
        <v>286</v>
      </c>
      <c r="I16" s="13" t="s">
        <v>22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46108</v>
      </c>
      <c r="E17" s="13">
        <v>1589683</v>
      </c>
      <c r="F17" s="13" t="s">
        <v>20</v>
      </c>
      <c r="G17" s="14">
        <v>20316042</v>
      </c>
      <c r="H17" s="13" t="s">
        <v>34</v>
      </c>
      <c r="I17" s="13" t="s">
        <v>35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46110</v>
      </c>
      <c r="E18" s="13">
        <v>1590134</v>
      </c>
      <c r="F18" s="13" t="s">
        <v>20</v>
      </c>
      <c r="G18" s="14">
        <v>20303717</v>
      </c>
      <c r="H18" s="13" t="s">
        <v>70</v>
      </c>
      <c r="I18" s="13" t="s">
        <v>35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46110</v>
      </c>
      <c r="E19" s="13">
        <v>1590134</v>
      </c>
      <c r="F19" s="13" t="s">
        <v>20</v>
      </c>
      <c r="G19" s="14">
        <v>20316042</v>
      </c>
      <c r="H19" s="13" t="s">
        <v>34</v>
      </c>
      <c r="I19" s="13" t="s">
        <v>35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46111</v>
      </c>
      <c r="E20" s="13">
        <v>1590236</v>
      </c>
      <c r="F20" s="13" t="s">
        <v>20</v>
      </c>
      <c r="G20" s="14">
        <v>20303717</v>
      </c>
      <c r="H20" s="13" t="s">
        <v>70</v>
      </c>
      <c r="I20" s="13" t="s">
        <v>35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46111</v>
      </c>
      <c r="E21" s="13">
        <v>1590236</v>
      </c>
      <c r="F21" s="13" t="s">
        <v>20</v>
      </c>
      <c r="G21" s="14">
        <v>20404937</v>
      </c>
      <c r="H21" s="13" t="s">
        <v>286</v>
      </c>
      <c r="I21" s="13" t="s">
        <v>22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46111</v>
      </c>
      <c r="E22" s="13">
        <v>1590236</v>
      </c>
      <c r="F22" s="13" t="s">
        <v>20</v>
      </c>
      <c r="G22" s="14">
        <v>20316042</v>
      </c>
      <c r="H22" s="13" t="s">
        <v>34</v>
      </c>
      <c r="I22" s="13" t="s">
        <v>35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46113</v>
      </c>
      <c r="E23" s="13">
        <v>1591039</v>
      </c>
      <c r="F23" s="13" t="s">
        <v>20</v>
      </c>
      <c r="G23" s="14">
        <v>20303717</v>
      </c>
      <c r="H23" s="13" t="s">
        <v>70</v>
      </c>
      <c r="I23" s="13" t="s">
        <v>35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46114</v>
      </c>
      <c r="E24" s="13">
        <v>1591383</v>
      </c>
      <c r="F24" s="13" t="s">
        <v>20</v>
      </c>
      <c r="G24" s="14">
        <v>20316042</v>
      </c>
      <c r="H24" s="13" t="s">
        <v>34</v>
      </c>
      <c r="I24" s="13" t="s">
        <v>35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46115</v>
      </c>
      <c r="E25" s="13">
        <v>1591814</v>
      </c>
      <c r="F25" s="13" t="s">
        <v>20</v>
      </c>
      <c r="G25" s="14">
        <v>20303717</v>
      </c>
      <c r="H25" s="13" t="s">
        <v>70</v>
      </c>
      <c r="I25" s="13" t="s">
        <v>35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46115</v>
      </c>
      <c r="E26" s="13">
        <v>1591814</v>
      </c>
      <c r="F26" s="13" t="s">
        <v>20</v>
      </c>
      <c r="G26" s="14">
        <v>20316042</v>
      </c>
      <c r="H26" s="13" t="s">
        <v>34</v>
      </c>
      <c r="I26" s="13" t="s">
        <v>35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46117</v>
      </c>
      <c r="E27" s="13">
        <v>1592225</v>
      </c>
      <c r="F27" s="13" t="s">
        <v>20</v>
      </c>
      <c r="G27" s="14">
        <v>20303717</v>
      </c>
      <c r="H27" s="13" t="s">
        <v>70</v>
      </c>
      <c r="I27" s="13" t="s">
        <v>35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46117</v>
      </c>
      <c r="E28" s="13">
        <v>1592225</v>
      </c>
      <c r="F28" s="13" t="s">
        <v>20</v>
      </c>
      <c r="G28" s="14">
        <v>20316042</v>
      </c>
      <c r="H28" s="13" t="s">
        <v>34</v>
      </c>
      <c r="I28" s="13" t="s">
        <v>35</v>
      </c>
      <c r="J28" s="14">
        <v>3</v>
      </c>
      <c r="K28" s="14">
        <v>3</v>
      </c>
      <c r="L28" s="15">
        <v>4.8</v>
      </c>
      <c r="M28" s="15">
        <v>14.4</v>
      </c>
    </row>
    <row r="29" spans="4:13">
      <c r="D29" s="12">
        <v>46119</v>
      </c>
      <c r="E29" s="13">
        <v>1592397</v>
      </c>
      <c r="F29" s="13" t="s">
        <v>20</v>
      </c>
      <c r="G29" s="14">
        <v>20303717</v>
      </c>
      <c r="H29" s="13" t="s">
        <v>70</v>
      </c>
      <c r="I29" s="13" t="s">
        <v>35</v>
      </c>
      <c r="J29" s="14">
        <v>2</v>
      </c>
      <c r="K29" s="14">
        <v>2</v>
      </c>
      <c r="L29" s="15">
        <v>4.8</v>
      </c>
      <c r="M29" s="15">
        <v>9.6</v>
      </c>
    </row>
    <row r="30" spans="4:13">
      <c r="D30" s="12">
        <v>46119</v>
      </c>
      <c r="E30" s="13">
        <v>1592397</v>
      </c>
      <c r="F30" s="13" t="s">
        <v>20</v>
      </c>
      <c r="G30" s="14">
        <v>20316042</v>
      </c>
      <c r="H30" s="13" t="s">
        <v>34</v>
      </c>
      <c r="I30" s="13" t="s">
        <v>35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46120</v>
      </c>
      <c r="E31" s="13">
        <v>1592795</v>
      </c>
      <c r="F31" s="13" t="s">
        <v>20</v>
      </c>
      <c r="G31" s="14">
        <v>20303717</v>
      </c>
      <c r="H31" s="13" t="s">
        <v>70</v>
      </c>
      <c r="I31" s="13" t="s">
        <v>35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46120</v>
      </c>
      <c r="E32" s="13">
        <v>1592795</v>
      </c>
      <c r="F32" s="13" t="s">
        <v>20</v>
      </c>
      <c r="G32" s="14">
        <v>20316042</v>
      </c>
      <c r="H32" s="13" t="s">
        <v>34</v>
      </c>
      <c r="I32" s="13" t="s">
        <v>35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46121</v>
      </c>
      <c r="E33" s="13">
        <v>1593188</v>
      </c>
      <c r="F33" s="13" t="s">
        <v>20</v>
      </c>
      <c r="G33" s="14">
        <v>20303717</v>
      </c>
      <c r="H33" s="13" t="s">
        <v>70</v>
      </c>
      <c r="I33" s="13" t="s">
        <v>35</v>
      </c>
      <c r="J33" s="14">
        <v>3</v>
      </c>
      <c r="K33" s="14">
        <v>3</v>
      </c>
      <c r="L33" s="15">
        <v>4.8</v>
      </c>
      <c r="M33" s="15">
        <v>14.4</v>
      </c>
    </row>
    <row r="34" spans="4:13">
      <c r="D34" s="12">
        <v>46121</v>
      </c>
      <c r="E34" s="13">
        <v>1593188</v>
      </c>
      <c r="F34" s="13" t="s">
        <v>20</v>
      </c>
      <c r="G34" s="14">
        <v>20316042</v>
      </c>
      <c r="H34" s="13" t="s">
        <v>34</v>
      </c>
      <c r="I34" s="13" t="s">
        <v>35</v>
      </c>
      <c r="J34" s="14">
        <v>3</v>
      </c>
      <c r="K34" s="14">
        <v>3</v>
      </c>
      <c r="L34" s="15">
        <v>4.8</v>
      </c>
      <c r="M34" s="15">
        <v>14.4</v>
      </c>
    </row>
    <row r="35" spans="4:13">
      <c r="D35" s="12">
        <v>46122</v>
      </c>
      <c r="E35" s="13">
        <v>1593636</v>
      </c>
      <c r="F35" s="13" t="s">
        <v>20</v>
      </c>
      <c r="G35" s="14">
        <v>20303717</v>
      </c>
      <c r="H35" s="13" t="s">
        <v>70</v>
      </c>
      <c r="I35" s="13" t="s">
        <v>35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46122</v>
      </c>
      <c r="E36" s="13">
        <v>1593636</v>
      </c>
      <c r="F36" s="13" t="s">
        <v>20</v>
      </c>
      <c r="G36" s="14">
        <v>20316042</v>
      </c>
      <c r="H36" s="13" t="s">
        <v>34</v>
      </c>
      <c r="I36" s="13" t="s">
        <v>35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46124</v>
      </c>
      <c r="E37" s="13">
        <v>1594065</v>
      </c>
      <c r="F37" s="13" t="s">
        <v>20</v>
      </c>
      <c r="G37" s="14">
        <v>20303717</v>
      </c>
      <c r="H37" s="13" t="s">
        <v>70</v>
      </c>
      <c r="I37" s="13" t="s">
        <v>35</v>
      </c>
      <c r="J37" s="14">
        <v>5</v>
      </c>
      <c r="K37" s="14">
        <v>5</v>
      </c>
      <c r="L37" s="15">
        <v>4.8</v>
      </c>
      <c r="M37" s="15">
        <v>24</v>
      </c>
    </row>
    <row r="38" spans="4:13">
      <c r="D38" s="12">
        <v>46124</v>
      </c>
      <c r="E38" s="13">
        <v>1594065</v>
      </c>
      <c r="F38" s="13" t="s">
        <v>20</v>
      </c>
      <c r="G38" s="14">
        <v>20316042</v>
      </c>
      <c r="H38" s="13" t="s">
        <v>34</v>
      </c>
      <c r="I38" s="13" t="s">
        <v>35</v>
      </c>
      <c r="J38" s="14">
        <v>4</v>
      </c>
      <c r="K38" s="14">
        <v>4</v>
      </c>
      <c r="L38" s="15">
        <v>4.8</v>
      </c>
      <c r="M38" s="15">
        <v>19.2</v>
      </c>
    </row>
    <row r="39" spans="4:13">
      <c r="D39" s="12">
        <v>46125</v>
      </c>
      <c r="E39" s="13">
        <v>1594156</v>
      </c>
      <c r="F39" s="13" t="s">
        <v>20</v>
      </c>
      <c r="G39" s="14">
        <v>20303717</v>
      </c>
      <c r="H39" s="13" t="s">
        <v>70</v>
      </c>
      <c r="I39" s="13" t="s">
        <v>35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46127</v>
      </c>
      <c r="E40" s="13">
        <v>1595003</v>
      </c>
      <c r="F40" s="13" t="s">
        <v>20</v>
      </c>
      <c r="G40" s="14">
        <v>20303717</v>
      </c>
      <c r="H40" s="13" t="s">
        <v>70</v>
      </c>
      <c r="I40" s="13" t="s">
        <v>35</v>
      </c>
      <c r="J40" s="14">
        <v>3</v>
      </c>
      <c r="K40" s="14">
        <v>3</v>
      </c>
      <c r="L40" s="15">
        <v>4.8</v>
      </c>
      <c r="M40" s="15">
        <v>14.4</v>
      </c>
    </row>
    <row r="41" spans="4:13">
      <c r="D41" s="12">
        <v>46127</v>
      </c>
      <c r="E41" s="13">
        <v>1595003</v>
      </c>
      <c r="F41" s="13" t="s">
        <v>20</v>
      </c>
      <c r="G41" s="14">
        <v>20316042</v>
      </c>
      <c r="H41" s="13" t="s">
        <v>34</v>
      </c>
      <c r="I41" s="13" t="s">
        <v>35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46128</v>
      </c>
      <c r="E42" s="13">
        <v>1595330</v>
      </c>
      <c r="F42" s="13" t="s">
        <v>20</v>
      </c>
      <c r="G42" s="14">
        <v>20303717</v>
      </c>
      <c r="H42" s="13" t="s">
        <v>70</v>
      </c>
      <c r="I42" s="13" t="s">
        <v>35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46129</v>
      </c>
      <c r="E43" s="13">
        <v>1595753</v>
      </c>
      <c r="F43" s="13" t="s">
        <v>20</v>
      </c>
      <c r="G43" s="14">
        <v>20303717</v>
      </c>
      <c r="H43" s="13" t="s">
        <v>70</v>
      </c>
      <c r="I43" s="13" t="s">
        <v>35</v>
      </c>
      <c r="J43" s="14">
        <v>2</v>
      </c>
      <c r="K43" s="14">
        <v>2</v>
      </c>
      <c r="L43" s="15">
        <v>4.8</v>
      </c>
      <c r="M43" s="15">
        <v>9.6</v>
      </c>
    </row>
    <row r="44" spans="4:13">
      <c r="D44" s="12">
        <v>46129</v>
      </c>
      <c r="E44" s="13">
        <v>1595753</v>
      </c>
      <c r="F44" s="13" t="s">
        <v>20</v>
      </c>
      <c r="G44" s="14">
        <v>20316042</v>
      </c>
      <c r="H44" s="13" t="s">
        <v>34</v>
      </c>
      <c r="I44" s="13" t="s">
        <v>35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46131</v>
      </c>
      <c r="E45" s="13">
        <v>1596174</v>
      </c>
      <c r="F45" s="13" t="s">
        <v>20</v>
      </c>
      <c r="G45" s="14">
        <v>20303717</v>
      </c>
      <c r="H45" s="13" t="s">
        <v>70</v>
      </c>
      <c r="I45" s="13" t="s">
        <v>35</v>
      </c>
      <c r="J45" s="14">
        <v>3</v>
      </c>
      <c r="K45" s="14">
        <v>3</v>
      </c>
      <c r="L45" s="15">
        <v>4.8</v>
      </c>
      <c r="M45" s="15">
        <v>14.4</v>
      </c>
    </row>
    <row r="46" spans="4:13">
      <c r="D46" s="12">
        <v>46131</v>
      </c>
      <c r="E46" s="13">
        <v>1596174</v>
      </c>
      <c r="F46" s="13" t="s">
        <v>20</v>
      </c>
      <c r="G46" s="14">
        <v>20404937</v>
      </c>
      <c r="H46" s="13" t="s">
        <v>286</v>
      </c>
      <c r="I46" s="13" t="s">
        <v>22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46131</v>
      </c>
      <c r="E47" s="13">
        <v>1596174</v>
      </c>
      <c r="F47" s="13" t="s">
        <v>20</v>
      </c>
      <c r="G47" s="14">
        <v>20316042</v>
      </c>
      <c r="H47" s="13" t="s">
        <v>34</v>
      </c>
      <c r="I47" s="13" t="s">
        <v>35</v>
      </c>
      <c r="J47" s="14">
        <v>2</v>
      </c>
      <c r="K47" s="14">
        <v>2</v>
      </c>
      <c r="L47" s="15">
        <v>4.8</v>
      </c>
      <c r="M47" s="15">
        <v>9.6</v>
      </c>
    </row>
    <row r="48" ht="0.05" customHeight="1"/>
  </sheetData>
  <mergeCells count="5">
    <mergeCell ref="D8:I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375" customWidth="1"/>
    <col min="9" max="9" width="17.125" customWidth="1"/>
    <col min="10" max="10" width="6.475" customWidth="1"/>
    <col min="11" max="11" width="9.45" customWidth="1"/>
    <col min="12" max="12" width="10.125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9</v>
      </c>
      <c r="L8" s="11"/>
      <c r="M8" s="11">
        <v>59.4</v>
      </c>
    </row>
    <row r="9" spans="1:13">
      <c r="D9" s="12">
        <v>46104</v>
      </c>
      <c r="E9" s="13">
        <v>1588195</v>
      </c>
      <c r="F9" s="13" t="s">
        <v>20</v>
      </c>
      <c r="G9" s="14">
        <v>20364629</v>
      </c>
      <c r="H9" s="13" t="s">
        <v>288</v>
      </c>
      <c r="I9" s="13" t="s">
        <v>31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46107</v>
      </c>
      <c r="E10" s="13">
        <v>1589289</v>
      </c>
      <c r="F10" s="13" t="s">
        <v>20</v>
      </c>
      <c r="G10" s="14">
        <v>20364629</v>
      </c>
      <c r="H10" s="13" t="s">
        <v>288</v>
      </c>
      <c r="I10" s="13" t="s">
        <v>31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46111</v>
      </c>
      <c r="E11" s="13">
        <v>1590218</v>
      </c>
      <c r="F11" s="13" t="s">
        <v>20</v>
      </c>
      <c r="G11" s="14">
        <v>20364629</v>
      </c>
      <c r="H11" s="13" t="s">
        <v>288</v>
      </c>
      <c r="I11" s="13" t="s">
        <v>31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46114</v>
      </c>
      <c r="E12" s="13">
        <v>1591402</v>
      </c>
      <c r="F12" s="13" t="s">
        <v>20</v>
      </c>
      <c r="G12" s="14">
        <v>20364629</v>
      </c>
      <c r="H12" s="13" t="s">
        <v>288</v>
      </c>
      <c r="I12" s="13" t="s">
        <v>31</v>
      </c>
      <c r="J12" s="14">
        <v>1</v>
      </c>
      <c r="K12" s="14">
        <v>1</v>
      </c>
      <c r="L12" s="15">
        <v>6.6</v>
      </c>
      <c r="M12" s="15">
        <v>6.6</v>
      </c>
    </row>
    <row r="13" spans="1:13">
      <c r="D13" s="12">
        <v>46119</v>
      </c>
      <c r="E13" s="13">
        <v>1592412</v>
      </c>
      <c r="F13" s="13" t="s">
        <v>20</v>
      </c>
      <c r="G13" s="14">
        <v>20364629</v>
      </c>
      <c r="H13" s="13" t="s">
        <v>288</v>
      </c>
      <c r="I13" s="13" t="s">
        <v>31</v>
      </c>
      <c r="J13" s="14">
        <v>1</v>
      </c>
      <c r="K13" s="14">
        <v>1</v>
      </c>
      <c r="L13" s="15">
        <v>6.6</v>
      </c>
      <c r="M13" s="15">
        <v>6.6</v>
      </c>
    </row>
    <row r="14" spans="1:13">
      <c r="D14" s="12">
        <v>46121</v>
      </c>
      <c r="E14" s="13">
        <v>1593189</v>
      </c>
      <c r="F14" s="13" t="s">
        <v>20</v>
      </c>
      <c r="G14" s="14">
        <v>20364629</v>
      </c>
      <c r="H14" s="13" t="s">
        <v>288</v>
      </c>
      <c r="I14" s="13" t="s">
        <v>31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46125</v>
      </c>
      <c r="E15" s="13">
        <v>1594147</v>
      </c>
      <c r="F15" s="13" t="s">
        <v>20</v>
      </c>
      <c r="G15" s="14">
        <v>20364629</v>
      </c>
      <c r="H15" s="13" t="s">
        <v>288</v>
      </c>
      <c r="I15" s="13" t="s">
        <v>31</v>
      </c>
      <c r="J15" s="14">
        <v>1</v>
      </c>
      <c r="K15" s="14">
        <v>1</v>
      </c>
      <c r="L15" s="15">
        <v>6.6</v>
      </c>
      <c r="M15" s="15">
        <v>6.6</v>
      </c>
    </row>
    <row r="16" spans="1:13">
      <c r="D16" s="12">
        <v>46128</v>
      </c>
      <c r="E16" s="13">
        <v>1595317</v>
      </c>
      <c r="F16" s="13" t="s">
        <v>20</v>
      </c>
      <c r="G16" s="14">
        <v>20364629</v>
      </c>
      <c r="H16" s="13" t="s">
        <v>288</v>
      </c>
      <c r="I16" s="13" t="s">
        <v>31</v>
      </c>
      <c r="J16" s="14">
        <v>1</v>
      </c>
      <c r="K16" s="14">
        <v>1</v>
      </c>
      <c r="L16" s="15">
        <v>6.6</v>
      </c>
      <c r="M16" s="15">
        <v>6.6</v>
      </c>
    </row>
    <row r="17" spans="4:13">
      <c r="D17" s="12">
        <v>46132</v>
      </c>
      <c r="E17" s="13">
        <v>1596259</v>
      </c>
      <c r="F17" s="13" t="s">
        <v>20</v>
      </c>
      <c r="G17" s="14">
        <v>20364629</v>
      </c>
      <c r="H17" s="13" t="s">
        <v>288</v>
      </c>
      <c r="I17" s="13" t="s">
        <v>31</v>
      </c>
      <c r="J17" s="14">
        <v>1</v>
      </c>
      <c r="K17" s="14">
        <v>1</v>
      </c>
      <c r="L17" s="15">
        <v>6.6</v>
      </c>
      <c r="M17" s="15">
        <v>6.6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</v>
      </c>
      <c r="K8" s="10">
        <v>47</v>
      </c>
      <c r="L8" s="11"/>
      <c r="M8" s="11">
        <v>192</v>
      </c>
    </row>
    <row r="9" spans="1:13">
      <c r="D9" s="12">
        <v>46104</v>
      </c>
      <c r="E9" s="13">
        <v>1588197</v>
      </c>
      <c r="F9" s="13" t="s">
        <v>20</v>
      </c>
      <c r="G9" s="14">
        <v>20303746</v>
      </c>
      <c r="H9" s="13" t="s">
        <v>290</v>
      </c>
      <c r="I9" s="13" t="s">
        <v>31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46111</v>
      </c>
      <c r="E10" s="13">
        <v>1590216</v>
      </c>
      <c r="F10" s="13" t="s">
        <v>20</v>
      </c>
      <c r="G10" s="14">
        <v>20303746</v>
      </c>
      <c r="H10" s="13" t="s">
        <v>290</v>
      </c>
      <c r="I10" s="13" t="s">
        <v>31</v>
      </c>
      <c r="J10" s="14">
        <v>1</v>
      </c>
      <c r="K10" s="14">
        <v>4</v>
      </c>
      <c r="L10" s="15">
        <v>13.2</v>
      </c>
      <c r="M10" s="15">
        <v>13.2</v>
      </c>
    </row>
    <row r="11" ht="25.5" spans="1:13">
      <c r="D11" s="12">
        <v>46113</v>
      </c>
      <c r="E11" s="13">
        <v>1590979</v>
      </c>
      <c r="F11" s="13" t="s">
        <v>24</v>
      </c>
      <c r="G11" s="14">
        <v>20306248</v>
      </c>
      <c r="H11" s="13" t="s">
        <v>37</v>
      </c>
      <c r="I11" s="13" t="s">
        <v>38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46115</v>
      </c>
      <c r="E12" s="13">
        <v>1591815</v>
      </c>
      <c r="F12" s="13" t="s">
        <v>20</v>
      </c>
      <c r="G12" s="14">
        <v>20303746</v>
      </c>
      <c r="H12" s="13" t="s">
        <v>290</v>
      </c>
      <c r="I12" s="13" t="s">
        <v>31</v>
      </c>
      <c r="J12" s="14">
        <v>3</v>
      </c>
      <c r="K12" s="14">
        <v>12</v>
      </c>
      <c r="L12" s="15">
        <v>13.2</v>
      </c>
      <c r="M12" s="15">
        <v>39.6</v>
      </c>
    </row>
    <row r="13" spans="1:13">
      <c r="D13" s="12">
        <v>46119</v>
      </c>
      <c r="E13" s="13">
        <v>1592402</v>
      </c>
      <c r="F13" s="13" t="s">
        <v>20</v>
      </c>
      <c r="G13" s="14">
        <v>20303746</v>
      </c>
      <c r="H13" s="13" t="s">
        <v>290</v>
      </c>
      <c r="I13" s="13" t="s">
        <v>31</v>
      </c>
      <c r="J13" s="14">
        <v>2</v>
      </c>
      <c r="K13" s="14">
        <v>8</v>
      </c>
      <c r="L13" s="15">
        <v>13.2</v>
      </c>
      <c r="M13" s="15">
        <v>26.4</v>
      </c>
    </row>
    <row r="14" spans="1:13">
      <c r="D14" s="12">
        <v>46122</v>
      </c>
      <c r="E14" s="13">
        <v>1593637</v>
      </c>
      <c r="F14" s="13" t="s">
        <v>20</v>
      </c>
      <c r="G14" s="14">
        <v>20303717</v>
      </c>
      <c r="H14" s="13" t="s">
        <v>70</v>
      </c>
      <c r="I14" s="13" t="s">
        <v>35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46122</v>
      </c>
      <c r="E15" s="13">
        <v>1593637</v>
      </c>
      <c r="F15" s="13" t="s">
        <v>20</v>
      </c>
      <c r="G15" s="14">
        <v>20303746</v>
      </c>
      <c r="H15" s="13" t="s">
        <v>290</v>
      </c>
      <c r="I15" s="13" t="s">
        <v>31</v>
      </c>
      <c r="J15" s="14">
        <v>1</v>
      </c>
      <c r="K15" s="14">
        <v>4</v>
      </c>
      <c r="L15" s="15">
        <v>13.2</v>
      </c>
      <c r="M15" s="15">
        <v>13.2</v>
      </c>
    </row>
    <row r="16" ht="25.5" spans="1:13">
      <c r="D16" s="12">
        <v>46123</v>
      </c>
      <c r="E16" s="13">
        <v>1593965</v>
      </c>
      <c r="F16" s="13" t="s">
        <v>24</v>
      </c>
      <c r="G16" s="14">
        <v>20306248</v>
      </c>
      <c r="H16" s="13" t="s">
        <v>37</v>
      </c>
      <c r="I16" s="13" t="s">
        <v>38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46126</v>
      </c>
      <c r="E17" s="13">
        <v>1594581</v>
      </c>
      <c r="F17" s="13" t="s">
        <v>20</v>
      </c>
      <c r="G17" s="14">
        <v>20303746</v>
      </c>
      <c r="H17" s="13" t="s">
        <v>290</v>
      </c>
      <c r="I17" s="13" t="s">
        <v>31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46132</v>
      </c>
      <c r="E18" s="13">
        <v>1596263</v>
      </c>
      <c r="F18" s="13" t="s">
        <v>20</v>
      </c>
      <c r="G18" s="14">
        <v>20303746</v>
      </c>
      <c r="H18" s="13" t="s">
        <v>290</v>
      </c>
      <c r="I18" s="13" t="s">
        <v>31</v>
      </c>
      <c r="J18" s="14">
        <v>1</v>
      </c>
      <c r="K18" s="14">
        <v>4</v>
      </c>
      <c r="L18" s="15">
        <v>13.2</v>
      </c>
      <c r="M18" s="15">
        <v>13.2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showGridLines="0" view="pageBreakPreview" zoomScaleNormal="100" workbookViewId="0">
      <pane ySplit="6" topLeftCell="A26" activePane="bottomLeft" state="frozen"/>
      <selection/>
      <selection pane="bottomLeft" activeCell="M9" sqref="M9:M6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76</v>
      </c>
      <c r="K8" s="10">
        <v>207</v>
      </c>
      <c r="L8" s="11"/>
      <c r="M8" s="11">
        <v>888.3</v>
      </c>
    </row>
    <row r="9" spans="1:13">
      <c r="D9" s="12">
        <v>46104</v>
      </c>
      <c r="E9" s="13">
        <v>1588198</v>
      </c>
      <c r="F9" s="13" t="s">
        <v>20</v>
      </c>
      <c r="G9" s="14">
        <v>20316853</v>
      </c>
      <c r="H9" s="13" t="s">
        <v>292</v>
      </c>
      <c r="I9" s="13" t="s">
        <v>31</v>
      </c>
      <c r="J9" s="14">
        <v>2</v>
      </c>
      <c r="K9" s="14">
        <v>2</v>
      </c>
      <c r="L9" s="15">
        <v>6.6</v>
      </c>
      <c r="M9" s="15">
        <v>13.2</v>
      </c>
    </row>
    <row r="10" spans="1:13">
      <c r="D10" s="12">
        <v>46104</v>
      </c>
      <c r="E10" s="13">
        <v>1588198</v>
      </c>
      <c r="F10" s="13" t="s">
        <v>20</v>
      </c>
      <c r="G10" s="14">
        <v>20309559</v>
      </c>
      <c r="H10" s="13" t="s">
        <v>293</v>
      </c>
      <c r="I10" s="13" t="s">
        <v>31</v>
      </c>
      <c r="J10" s="14">
        <v>4</v>
      </c>
      <c r="K10" s="14">
        <v>16</v>
      </c>
      <c r="L10" s="15">
        <v>13.2</v>
      </c>
      <c r="M10" s="15">
        <v>52.8</v>
      </c>
    </row>
    <row r="11" spans="1:13">
      <c r="D11" s="12">
        <v>46104</v>
      </c>
      <c r="E11" s="13">
        <v>1588198</v>
      </c>
      <c r="F11" s="13" t="s">
        <v>42</v>
      </c>
      <c r="G11" s="14">
        <v>20303887</v>
      </c>
      <c r="H11" s="13" t="s">
        <v>61</v>
      </c>
      <c r="I11" s="13" t="s">
        <v>62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46106</v>
      </c>
      <c r="E12" s="13">
        <v>1588943</v>
      </c>
      <c r="F12" s="13" t="s">
        <v>20</v>
      </c>
      <c r="G12" s="14">
        <v>20316853</v>
      </c>
      <c r="H12" s="13" t="s">
        <v>292</v>
      </c>
      <c r="I12" s="13" t="s">
        <v>31</v>
      </c>
      <c r="J12" s="14">
        <v>2</v>
      </c>
      <c r="K12" s="14">
        <v>2</v>
      </c>
      <c r="L12" s="15">
        <v>6.6</v>
      </c>
      <c r="M12" s="15">
        <v>13.2</v>
      </c>
    </row>
    <row r="13" spans="1:13">
      <c r="D13" s="12">
        <v>46106</v>
      </c>
      <c r="E13" s="13">
        <v>1588943</v>
      </c>
      <c r="F13" s="13" t="s">
        <v>20</v>
      </c>
      <c r="G13" s="14">
        <v>20309559</v>
      </c>
      <c r="H13" s="13" t="s">
        <v>293</v>
      </c>
      <c r="I13" s="13" t="s">
        <v>31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46107</v>
      </c>
      <c r="E14" s="13">
        <v>1589302</v>
      </c>
      <c r="F14" s="13" t="s">
        <v>20</v>
      </c>
      <c r="G14" s="14">
        <v>20309559</v>
      </c>
      <c r="H14" s="13" t="s">
        <v>293</v>
      </c>
      <c r="I14" s="13" t="s">
        <v>31</v>
      </c>
      <c r="J14" s="14">
        <v>2</v>
      </c>
      <c r="K14" s="14">
        <v>8</v>
      </c>
      <c r="L14" s="15">
        <v>13.2</v>
      </c>
      <c r="M14" s="15">
        <v>26.4</v>
      </c>
    </row>
    <row r="15" spans="1:13">
      <c r="D15" s="12">
        <v>46107</v>
      </c>
      <c r="E15" s="13">
        <v>1589302</v>
      </c>
      <c r="F15" s="13" t="s">
        <v>42</v>
      </c>
      <c r="G15" s="14">
        <v>20303887</v>
      </c>
      <c r="H15" s="13" t="s">
        <v>61</v>
      </c>
      <c r="I15" s="13" t="s">
        <v>62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46108</v>
      </c>
      <c r="E16" s="13">
        <v>1589684</v>
      </c>
      <c r="F16" s="13" t="s">
        <v>20</v>
      </c>
      <c r="G16" s="14">
        <v>20309404</v>
      </c>
      <c r="H16" s="13" t="s">
        <v>294</v>
      </c>
      <c r="I16" s="13" t="s">
        <v>22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46108</v>
      </c>
      <c r="E17" s="13">
        <v>1589684</v>
      </c>
      <c r="F17" s="13" t="s">
        <v>20</v>
      </c>
      <c r="G17" s="14">
        <v>20309559</v>
      </c>
      <c r="H17" s="13" t="s">
        <v>293</v>
      </c>
      <c r="I17" s="13" t="s">
        <v>31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46108</v>
      </c>
      <c r="E18" s="13">
        <v>1589684</v>
      </c>
      <c r="F18" s="13" t="s">
        <v>15</v>
      </c>
      <c r="G18" s="14">
        <v>20313370</v>
      </c>
      <c r="H18" s="13" t="s">
        <v>16</v>
      </c>
      <c r="I18" s="13" t="s">
        <v>17</v>
      </c>
      <c r="J18" s="14">
        <v>1</v>
      </c>
      <c r="K18" s="14">
        <v>1</v>
      </c>
      <c r="L18" s="15">
        <v>13.2</v>
      </c>
      <c r="M18" s="15">
        <v>13.2</v>
      </c>
    </row>
    <row r="19" spans="4:13">
      <c r="D19" s="12">
        <v>46111</v>
      </c>
      <c r="E19" s="13">
        <v>1590237</v>
      </c>
      <c r="F19" s="13" t="s">
        <v>20</v>
      </c>
      <c r="G19" s="14">
        <v>20309559</v>
      </c>
      <c r="H19" s="13" t="s">
        <v>293</v>
      </c>
      <c r="I19" s="13" t="s">
        <v>31</v>
      </c>
      <c r="J19" s="14">
        <v>3</v>
      </c>
      <c r="K19" s="14">
        <v>12</v>
      </c>
      <c r="L19" s="15">
        <v>13.2</v>
      </c>
      <c r="M19" s="15">
        <v>39.6</v>
      </c>
    </row>
    <row r="20" spans="4:13">
      <c r="D20" s="12">
        <v>46111</v>
      </c>
      <c r="E20" s="13">
        <v>1590237</v>
      </c>
      <c r="F20" s="13" t="s">
        <v>42</v>
      </c>
      <c r="G20" s="14">
        <v>20303887</v>
      </c>
      <c r="H20" s="13" t="s">
        <v>61</v>
      </c>
      <c r="I20" s="13" t="s">
        <v>62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46112</v>
      </c>
      <c r="E21" s="13">
        <v>1590623</v>
      </c>
      <c r="F21" s="13" t="s">
        <v>20</v>
      </c>
      <c r="G21" s="14">
        <v>20303954</v>
      </c>
      <c r="H21" s="13" t="s">
        <v>295</v>
      </c>
      <c r="I21" s="13" t="s">
        <v>29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46112</v>
      </c>
      <c r="E22" s="13">
        <v>1590623</v>
      </c>
      <c r="F22" s="13" t="s">
        <v>20</v>
      </c>
      <c r="G22" s="14">
        <v>20309559</v>
      </c>
      <c r="H22" s="13" t="s">
        <v>293</v>
      </c>
      <c r="I22" s="13" t="s">
        <v>31</v>
      </c>
      <c r="J22" s="14">
        <v>2</v>
      </c>
      <c r="K22" s="14">
        <v>8</v>
      </c>
      <c r="L22" s="15">
        <v>13.2</v>
      </c>
      <c r="M22" s="15">
        <v>26.4</v>
      </c>
    </row>
    <row r="23" spans="4:13">
      <c r="D23" s="12">
        <v>46113</v>
      </c>
      <c r="E23" s="13">
        <v>1591040</v>
      </c>
      <c r="F23" s="13" t="s">
        <v>20</v>
      </c>
      <c r="G23" s="14">
        <v>20309559</v>
      </c>
      <c r="H23" s="13" t="s">
        <v>293</v>
      </c>
      <c r="I23" s="13" t="s">
        <v>31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46113</v>
      </c>
      <c r="E24" s="13">
        <v>1591040</v>
      </c>
      <c r="F24" s="13" t="s">
        <v>15</v>
      </c>
      <c r="G24" s="14">
        <v>20313370</v>
      </c>
      <c r="H24" s="13" t="s">
        <v>16</v>
      </c>
      <c r="I24" s="13" t="s">
        <v>17</v>
      </c>
      <c r="J24" s="14">
        <v>1</v>
      </c>
      <c r="K24" s="14">
        <v>1</v>
      </c>
      <c r="L24" s="15">
        <v>13.2</v>
      </c>
      <c r="M24" s="15">
        <v>13.2</v>
      </c>
    </row>
    <row r="25" spans="4:13">
      <c r="D25" s="12">
        <v>46114</v>
      </c>
      <c r="E25" s="13">
        <v>1591440</v>
      </c>
      <c r="F25" s="13" t="s">
        <v>20</v>
      </c>
      <c r="G25" s="14">
        <v>20315425</v>
      </c>
      <c r="H25" s="13" t="s">
        <v>21</v>
      </c>
      <c r="I25" s="13" t="s">
        <v>22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46114</v>
      </c>
      <c r="E26" s="13">
        <v>1591440</v>
      </c>
      <c r="F26" s="13" t="s">
        <v>20</v>
      </c>
      <c r="G26" s="14">
        <v>20316853</v>
      </c>
      <c r="H26" s="13" t="s">
        <v>292</v>
      </c>
      <c r="I26" s="13" t="s">
        <v>31</v>
      </c>
      <c r="J26" s="14">
        <v>2</v>
      </c>
      <c r="K26" s="14">
        <v>2</v>
      </c>
      <c r="L26" s="15">
        <v>6.6</v>
      </c>
      <c r="M26" s="15">
        <v>13.2</v>
      </c>
    </row>
    <row r="27" spans="4:13">
      <c r="D27" s="12">
        <v>46114</v>
      </c>
      <c r="E27" s="13">
        <v>1591440</v>
      </c>
      <c r="F27" s="13" t="s">
        <v>15</v>
      </c>
      <c r="G27" s="14">
        <v>20310569</v>
      </c>
      <c r="H27" s="13" t="s">
        <v>296</v>
      </c>
      <c r="I27" s="13" t="s">
        <v>19</v>
      </c>
      <c r="J27" s="14">
        <v>1</v>
      </c>
      <c r="K27" s="14">
        <v>2</v>
      </c>
      <c r="L27" s="15">
        <v>26.4</v>
      </c>
      <c r="M27" s="15">
        <v>26.4</v>
      </c>
    </row>
    <row r="28" ht="25.5" spans="4:13">
      <c r="D28" s="12">
        <v>46114</v>
      </c>
      <c r="E28" s="13">
        <v>1591440</v>
      </c>
      <c r="F28" s="13" t="s">
        <v>15</v>
      </c>
      <c r="G28" s="14">
        <v>20313522</v>
      </c>
      <c r="H28" s="13" t="s">
        <v>97</v>
      </c>
      <c r="I28" s="13" t="s">
        <v>98</v>
      </c>
      <c r="J28" s="14">
        <v>1</v>
      </c>
      <c r="K28" s="14">
        <v>1</v>
      </c>
      <c r="L28" s="15">
        <v>21</v>
      </c>
      <c r="M28" s="15">
        <v>21</v>
      </c>
    </row>
    <row r="29" spans="4:13">
      <c r="D29" s="12">
        <v>46114</v>
      </c>
      <c r="E29" s="13">
        <v>1591440</v>
      </c>
      <c r="F29" s="13" t="s">
        <v>42</v>
      </c>
      <c r="G29" s="14">
        <v>20303887</v>
      </c>
      <c r="H29" s="13" t="s">
        <v>61</v>
      </c>
      <c r="I29" s="13" t="s">
        <v>62</v>
      </c>
      <c r="J29" s="14">
        <v>1</v>
      </c>
      <c r="K29" s="14">
        <v>4</v>
      </c>
      <c r="L29" s="15">
        <v>13.2</v>
      </c>
      <c r="M29" s="15">
        <v>13.2</v>
      </c>
    </row>
    <row r="30" spans="4:13">
      <c r="D30" s="12">
        <v>46115</v>
      </c>
      <c r="E30" s="13">
        <v>1591816</v>
      </c>
      <c r="F30" s="13" t="s">
        <v>20</v>
      </c>
      <c r="G30" s="14">
        <v>20315425</v>
      </c>
      <c r="H30" s="13" t="s">
        <v>21</v>
      </c>
      <c r="I30" s="13" t="s">
        <v>22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46115</v>
      </c>
      <c r="E31" s="13">
        <v>1591816</v>
      </c>
      <c r="F31" s="13" t="s">
        <v>20</v>
      </c>
      <c r="G31" s="14">
        <v>20309559</v>
      </c>
      <c r="H31" s="13" t="s">
        <v>293</v>
      </c>
      <c r="I31" s="13" t="s">
        <v>31</v>
      </c>
      <c r="J31" s="14">
        <v>2</v>
      </c>
      <c r="K31" s="14">
        <v>8</v>
      </c>
      <c r="L31" s="15">
        <v>13.2</v>
      </c>
      <c r="M31" s="15">
        <v>26.4</v>
      </c>
    </row>
    <row r="32" spans="4:13">
      <c r="D32" s="12">
        <v>46119</v>
      </c>
      <c r="E32" s="13">
        <v>1592437</v>
      </c>
      <c r="F32" s="13" t="s">
        <v>20</v>
      </c>
      <c r="G32" s="14">
        <v>20316853</v>
      </c>
      <c r="H32" s="13" t="s">
        <v>292</v>
      </c>
      <c r="I32" s="13" t="s">
        <v>31</v>
      </c>
      <c r="J32" s="14">
        <v>2</v>
      </c>
      <c r="K32" s="14">
        <v>2</v>
      </c>
      <c r="L32" s="15">
        <v>6.6</v>
      </c>
      <c r="M32" s="15">
        <v>13.2</v>
      </c>
    </row>
    <row r="33" spans="4:13">
      <c r="D33" s="12">
        <v>46119</v>
      </c>
      <c r="E33" s="13">
        <v>1592437</v>
      </c>
      <c r="F33" s="13" t="s">
        <v>20</v>
      </c>
      <c r="G33" s="14">
        <v>20309559</v>
      </c>
      <c r="H33" s="13" t="s">
        <v>293</v>
      </c>
      <c r="I33" s="13" t="s">
        <v>31</v>
      </c>
      <c r="J33" s="14">
        <v>3</v>
      </c>
      <c r="K33" s="14">
        <v>12</v>
      </c>
      <c r="L33" s="15">
        <v>13.2</v>
      </c>
      <c r="M33" s="15">
        <v>39.6</v>
      </c>
    </row>
    <row r="34" spans="4:13">
      <c r="D34" s="12">
        <v>46119</v>
      </c>
      <c r="E34" s="13">
        <v>1592437</v>
      </c>
      <c r="F34" s="13" t="s">
        <v>15</v>
      </c>
      <c r="G34" s="14">
        <v>20313370</v>
      </c>
      <c r="H34" s="13" t="s">
        <v>16</v>
      </c>
      <c r="I34" s="13" t="s">
        <v>17</v>
      </c>
      <c r="J34" s="14">
        <v>1</v>
      </c>
      <c r="K34" s="14">
        <v>1</v>
      </c>
      <c r="L34" s="15">
        <v>13.2</v>
      </c>
      <c r="M34" s="15">
        <v>13.2</v>
      </c>
    </row>
    <row r="35" ht="25.5" spans="4:13">
      <c r="D35" s="12">
        <v>46119</v>
      </c>
      <c r="E35" s="13">
        <v>1592437</v>
      </c>
      <c r="F35" s="13" t="s">
        <v>15</v>
      </c>
      <c r="G35" s="14">
        <v>20313522</v>
      </c>
      <c r="H35" s="13" t="s">
        <v>97</v>
      </c>
      <c r="I35" s="13" t="s">
        <v>98</v>
      </c>
      <c r="J35" s="14">
        <v>1</v>
      </c>
      <c r="K35" s="14">
        <v>1</v>
      </c>
      <c r="L35" s="15">
        <v>21</v>
      </c>
      <c r="M35" s="15">
        <v>21</v>
      </c>
    </row>
    <row r="36" spans="4:13">
      <c r="D36" s="12">
        <v>46119</v>
      </c>
      <c r="E36" s="13">
        <v>1592437</v>
      </c>
      <c r="F36" s="13" t="s">
        <v>42</v>
      </c>
      <c r="G36" s="14">
        <v>20303887</v>
      </c>
      <c r="H36" s="13" t="s">
        <v>61</v>
      </c>
      <c r="I36" s="13" t="s">
        <v>62</v>
      </c>
      <c r="J36" s="14">
        <v>1</v>
      </c>
      <c r="K36" s="14">
        <v>4</v>
      </c>
      <c r="L36" s="15">
        <v>13.2</v>
      </c>
      <c r="M36" s="15">
        <v>13.2</v>
      </c>
    </row>
    <row r="37" spans="4:13">
      <c r="D37" s="12">
        <v>46119</v>
      </c>
      <c r="E37" s="13">
        <v>1592606</v>
      </c>
      <c r="F37" s="13" t="s">
        <v>15</v>
      </c>
      <c r="G37" s="14">
        <v>20342928</v>
      </c>
      <c r="H37" s="13" t="s">
        <v>297</v>
      </c>
      <c r="I37" s="13" t="s">
        <v>298</v>
      </c>
      <c r="J37" s="14">
        <v>1</v>
      </c>
      <c r="K37" s="14">
        <v>1</v>
      </c>
      <c r="L37" s="15">
        <v>13.2</v>
      </c>
      <c r="M37" s="15">
        <v>13.2</v>
      </c>
    </row>
    <row r="38" spans="4:13">
      <c r="D38" s="12">
        <v>46119</v>
      </c>
      <c r="E38" s="13">
        <v>1592606</v>
      </c>
      <c r="F38" s="13" t="s">
        <v>15</v>
      </c>
      <c r="G38" s="14">
        <v>20406454</v>
      </c>
      <c r="H38" s="13" t="s">
        <v>299</v>
      </c>
      <c r="I38" s="13" t="s">
        <v>62</v>
      </c>
      <c r="J38" s="14">
        <v>1</v>
      </c>
      <c r="K38" s="14">
        <v>2</v>
      </c>
      <c r="L38" s="15">
        <v>26.4</v>
      </c>
      <c r="M38" s="15">
        <v>26.4</v>
      </c>
    </row>
    <row r="39" spans="4:13">
      <c r="D39" s="12">
        <v>46119</v>
      </c>
      <c r="E39" s="13">
        <v>1592615</v>
      </c>
      <c r="F39" s="13" t="s">
        <v>20</v>
      </c>
      <c r="G39" s="14">
        <v>20303954</v>
      </c>
      <c r="H39" s="13" t="s">
        <v>295</v>
      </c>
      <c r="I39" s="13" t="s">
        <v>29</v>
      </c>
      <c r="J39" s="14">
        <v>2</v>
      </c>
      <c r="K39" s="14">
        <v>2</v>
      </c>
      <c r="L39" s="15">
        <v>4.8</v>
      </c>
      <c r="M39" s="15">
        <v>9.6</v>
      </c>
    </row>
    <row r="40" spans="4:13">
      <c r="D40" s="12">
        <v>46120</v>
      </c>
      <c r="E40" s="13">
        <v>1592796</v>
      </c>
      <c r="F40" s="13" t="s">
        <v>20</v>
      </c>
      <c r="G40" s="14">
        <v>20309559</v>
      </c>
      <c r="H40" s="13" t="s">
        <v>293</v>
      </c>
      <c r="I40" s="13" t="s">
        <v>31</v>
      </c>
      <c r="J40" s="14">
        <v>2</v>
      </c>
      <c r="K40" s="14">
        <v>8</v>
      </c>
      <c r="L40" s="15">
        <v>13.2</v>
      </c>
      <c r="M40" s="15">
        <v>26.4</v>
      </c>
    </row>
    <row r="41" spans="4:13">
      <c r="D41" s="12">
        <v>46121</v>
      </c>
      <c r="E41" s="13">
        <v>1593186</v>
      </c>
      <c r="F41" s="13" t="s">
        <v>20</v>
      </c>
      <c r="G41" s="14">
        <v>20309404</v>
      </c>
      <c r="H41" s="13" t="s">
        <v>294</v>
      </c>
      <c r="I41" s="13" t="s">
        <v>22</v>
      </c>
      <c r="J41" s="14">
        <v>1</v>
      </c>
      <c r="K41" s="14">
        <v>3</v>
      </c>
      <c r="L41" s="15">
        <v>9.9</v>
      </c>
      <c r="M41" s="15">
        <v>9.9</v>
      </c>
    </row>
    <row r="42" spans="4:13">
      <c r="D42" s="12">
        <v>46121</v>
      </c>
      <c r="E42" s="13">
        <v>1593186</v>
      </c>
      <c r="F42" s="13" t="s">
        <v>20</v>
      </c>
      <c r="G42" s="14">
        <v>20309559</v>
      </c>
      <c r="H42" s="13" t="s">
        <v>293</v>
      </c>
      <c r="I42" s="13" t="s">
        <v>31</v>
      </c>
      <c r="J42" s="14">
        <v>1</v>
      </c>
      <c r="K42" s="14">
        <v>4</v>
      </c>
      <c r="L42" s="15">
        <v>13.2</v>
      </c>
      <c r="M42" s="15">
        <v>13.2</v>
      </c>
    </row>
    <row r="43" spans="4:13">
      <c r="D43" s="12">
        <v>46121</v>
      </c>
      <c r="E43" s="13">
        <v>1593186</v>
      </c>
      <c r="F43" s="13" t="s">
        <v>42</v>
      </c>
      <c r="G43" s="14">
        <v>20303887</v>
      </c>
      <c r="H43" s="13" t="s">
        <v>61</v>
      </c>
      <c r="I43" s="13" t="s">
        <v>62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46122</v>
      </c>
      <c r="E44" s="13">
        <v>1593638</v>
      </c>
      <c r="F44" s="13" t="s">
        <v>20</v>
      </c>
      <c r="G44" s="14">
        <v>20309559</v>
      </c>
      <c r="H44" s="13" t="s">
        <v>293</v>
      </c>
      <c r="I44" s="13" t="s">
        <v>31</v>
      </c>
      <c r="J44" s="14">
        <v>1</v>
      </c>
      <c r="K44" s="14">
        <v>4</v>
      </c>
      <c r="L44" s="15">
        <v>13.2</v>
      </c>
      <c r="M44" s="15">
        <v>13.2</v>
      </c>
    </row>
    <row r="45" spans="4:13">
      <c r="D45" s="12">
        <v>46125</v>
      </c>
      <c r="E45" s="13">
        <v>1594159</v>
      </c>
      <c r="F45" s="13" t="s">
        <v>20</v>
      </c>
      <c r="G45" s="14">
        <v>20356158</v>
      </c>
      <c r="H45" s="13" t="s">
        <v>300</v>
      </c>
      <c r="I45" s="13" t="s">
        <v>53</v>
      </c>
      <c r="J45" s="14">
        <v>1</v>
      </c>
      <c r="K45" s="14">
        <v>3</v>
      </c>
      <c r="L45" s="15">
        <v>9.9</v>
      </c>
      <c r="M45" s="15">
        <v>9.9</v>
      </c>
    </row>
    <row r="46" spans="4:13">
      <c r="D46" s="12">
        <v>46125</v>
      </c>
      <c r="E46" s="13">
        <v>1594159</v>
      </c>
      <c r="F46" s="13" t="s">
        <v>20</v>
      </c>
      <c r="G46" s="14">
        <v>20309559</v>
      </c>
      <c r="H46" s="13" t="s">
        <v>293</v>
      </c>
      <c r="I46" s="13" t="s">
        <v>31</v>
      </c>
      <c r="J46" s="14">
        <v>4</v>
      </c>
      <c r="K46" s="14">
        <v>16</v>
      </c>
      <c r="L46" s="15">
        <v>13.2</v>
      </c>
      <c r="M46" s="15">
        <v>52.8</v>
      </c>
    </row>
    <row r="47" spans="4:13">
      <c r="D47" s="12">
        <v>46125</v>
      </c>
      <c r="E47" s="13">
        <v>1594159</v>
      </c>
      <c r="F47" s="13" t="s">
        <v>42</v>
      </c>
      <c r="G47" s="14">
        <v>20303887</v>
      </c>
      <c r="H47" s="13" t="s">
        <v>61</v>
      </c>
      <c r="I47" s="13" t="s">
        <v>62</v>
      </c>
      <c r="J47" s="14">
        <v>1</v>
      </c>
      <c r="K47" s="14">
        <v>4</v>
      </c>
      <c r="L47" s="15">
        <v>13.2</v>
      </c>
      <c r="M47" s="15">
        <v>13.2</v>
      </c>
    </row>
    <row r="48" spans="4:13">
      <c r="D48" s="12">
        <v>46126</v>
      </c>
      <c r="E48" s="13">
        <v>1594582</v>
      </c>
      <c r="F48" s="13" t="s">
        <v>20</v>
      </c>
      <c r="G48" s="14">
        <v>20316853</v>
      </c>
      <c r="H48" s="13" t="s">
        <v>292</v>
      </c>
      <c r="I48" s="13" t="s">
        <v>31</v>
      </c>
      <c r="J48" s="14">
        <v>2</v>
      </c>
      <c r="K48" s="14">
        <v>2</v>
      </c>
      <c r="L48" s="15">
        <v>6.6</v>
      </c>
      <c r="M48" s="15">
        <v>13.2</v>
      </c>
    </row>
    <row r="49" spans="4:13">
      <c r="D49" s="12">
        <v>46127</v>
      </c>
      <c r="E49" s="13">
        <v>1595007</v>
      </c>
      <c r="F49" s="13" t="s">
        <v>20</v>
      </c>
      <c r="G49" s="14">
        <v>20309559</v>
      </c>
      <c r="H49" s="13" t="s">
        <v>293</v>
      </c>
      <c r="I49" s="13" t="s">
        <v>31</v>
      </c>
      <c r="J49" s="14">
        <v>1</v>
      </c>
      <c r="K49" s="14">
        <v>4</v>
      </c>
      <c r="L49" s="15">
        <v>13.2</v>
      </c>
      <c r="M49" s="15">
        <v>13.2</v>
      </c>
    </row>
    <row r="50" spans="4:13">
      <c r="D50" s="12">
        <v>46128</v>
      </c>
      <c r="E50" s="13">
        <v>1595331</v>
      </c>
      <c r="F50" s="13" t="s">
        <v>20</v>
      </c>
      <c r="G50" s="14">
        <v>20309559</v>
      </c>
      <c r="H50" s="13" t="s">
        <v>293</v>
      </c>
      <c r="I50" s="13" t="s">
        <v>31</v>
      </c>
      <c r="J50" s="14">
        <v>1</v>
      </c>
      <c r="K50" s="14">
        <v>4</v>
      </c>
      <c r="L50" s="15">
        <v>13.2</v>
      </c>
      <c r="M50" s="15">
        <v>13.2</v>
      </c>
    </row>
    <row r="51" spans="4:13">
      <c r="D51" s="12">
        <v>46128</v>
      </c>
      <c r="E51" s="13">
        <v>1595331</v>
      </c>
      <c r="F51" s="13" t="s">
        <v>15</v>
      </c>
      <c r="G51" s="14">
        <v>20313370</v>
      </c>
      <c r="H51" s="13" t="s">
        <v>16</v>
      </c>
      <c r="I51" s="13" t="s">
        <v>17</v>
      </c>
      <c r="J51" s="14">
        <v>2</v>
      </c>
      <c r="K51" s="14">
        <v>2</v>
      </c>
      <c r="L51" s="15">
        <v>13.2</v>
      </c>
      <c r="M51" s="15">
        <v>26.4</v>
      </c>
    </row>
    <row r="52" spans="4:13">
      <c r="D52" s="12">
        <v>46128</v>
      </c>
      <c r="E52" s="13">
        <v>1595331</v>
      </c>
      <c r="F52" s="13" t="s">
        <v>42</v>
      </c>
      <c r="G52" s="14">
        <v>20303887</v>
      </c>
      <c r="H52" s="13" t="s">
        <v>61</v>
      </c>
      <c r="I52" s="13" t="s">
        <v>62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46129</v>
      </c>
      <c r="E53" s="13">
        <v>1595754</v>
      </c>
      <c r="F53" s="13" t="s">
        <v>20</v>
      </c>
      <c r="G53" s="14">
        <v>20303954</v>
      </c>
      <c r="H53" s="13" t="s">
        <v>295</v>
      </c>
      <c r="I53" s="13" t="s">
        <v>29</v>
      </c>
      <c r="J53" s="14">
        <v>2</v>
      </c>
      <c r="K53" s="14">
        <v>2</v>
      </c>
      <c r="L53" s="15">
        <v>4.8</v>
      </c>
      <c r="M53" s="15">
        <v>9.6</v>
      </c>
    </row>
    <row r="54" spans="4:13">
      <c r="D54" s="12">
        <v>46129</v>
      </c>
      <c r="E54" s="13">
        <v>1595754</v>
      </c>
      <c r="F54" s="13" t="s">
        <v>20</v>
      </c>
      <c r="G54" s="14">
        <v>20309559</v>
      </c>
      <c r="H54" s="13" t="s">
        <v>293</v>
      </c>
      <c r="I54" s="13" t="s">
        <v>31</v>
      </c>
      <c r="J54" s="14">
        <v>1</v>
      </c>
      <c r="K54" s="14">
        <v>4</v>
      </c>
      <c r="L54" s="15">
        <v>13.2</v>
      </c>
      <c r="M54" s="15">
        <v>13.2</v>
      </c>
    </row>
    <row r="55" spans="4:13">
      <c r="D55" s="12">
        <v>46132</v>
      </c>
      <c r="E55" s="13">
        <v>1596264</v>
      </c>
      <c r="F55" s="13" t="s">
        <v>20</v>
      </c>
      <c r="G55" s="14">
        <v>20316853</v>
      </c>
      <c r="H55" s="13" t="s">
        <v>292</v>
      </c>
      <c r="I55" s="13" t="s">
        <v>31</v>
      </c>
      <c r="J55" s="14">
        <v>2</v>
      </c>
      <c r="K55" s="14">
        <v>2</v>
      </c>
      <c r="L55" s="15">
        <v>6.6</v>
      </c>
      <c r="M55" s="15">
        <v>13.2</v>
      </c>
    </row>
    <row r="56" spans="4:13">
      <c r="D56" s="12">
        <v>46132</v>
      </c>
      <c r="E56" s="13">
        <v>1596264</v>
      </c>
      <c r="F56" s="13" t="s">
        <v>20</v>
      </c>
      <c r="G56" s="14">
        <v>20309559</v>
      </c>
      <c r="H56" s="13" t="s">
        <v>293</v>
      </c>
      <c r="I56" s="13" t="s">
        <v>31</v>
      </c>
      <c r="J56" s="14">
        <v>2</v>
      </c>
      <c r="K56" s="14">
        <v>8</v>
      </c>
      <c r="L56" s="15">
        <v>13.2</v>
      </c>
      <c r="M56" s="15">
        <v>26.4</v>
      </c>
    </row>
    <row r="57" spans="4:13">
      <c r="D57" s="12">
        <v>46132</v>
      </c>
      <c r="E57" s="13">
        <v>1596264</v>
      </c>
      <c r="F57" s="13" t="s">
        <v>20</v>
      </c>
      <c r="G57" s="14">
        <v>20311063</v>
      </c>
      <c r="H57" s="13" t="s">
        <v>183</v>
      </c>
      <c r="I57" s="13" t="s">
        <v>29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46132</v>
      </c>
      <c r="E58" s="13">
        <v>1596264</v>
      </c>
      <c r="F58" s="13" t="s">
        <v>42</v>
      </c>
      <c r="G58" s="14">
        <v>20303887</v>
      </c>
      <c r="H58" s="13" t="s">
        <v>61</v>
      </c>
      <c r="I58" s="13" t="s">
        <v>62</v>
      </c>
      <c r="J58" s="14">
        <v>1</v>
      </c>
      <c r="K58" s="14">
        <v>4</v>
      </c>
      <c r="L58" s="15">
        <v>13.2</v>
      </c>
      <c r="M58" s="15">
        <v>13.2</v>
      </c>
    </row>
    <row r="59" ht="25.5" spans="4:13">
      <c r="D59" s="12">
        <v>46132</v>
      </c>
      <c r="E59" s="13">
        <v>1596289</v>
      </c>
      <c r="F59" s="13" t="s">
        <v>15</v>
      </c>
      <c r="G59" s="14">
        <v>20313522</v>
      </c>
      <c r="H59" s="13" t="s">
        <v>97</v>
      </c>
      <c r="I59" s="13" t="s">
        <v>98</v>
      </c>
      <c r="J59" s="14">
        <v>1</v>
      </c>
      <c r="K59" s="14">
        <v>1</v>
      </c>
      <c r="L59" s="15">
        <v>21</v>
      </c>
      <c r="M59" s="15">
        <v>21</v>
      </c>
    </row>
  </sheetData>
  <autoFilter xmlns:etc="http://www.wps.cn/officeDocument/2017/etCustomData" ref="A7:M59" etc:filterBottomFollowUsedRange="0">
    <extLst/>
  </autoFilter>
  <mergeCells count="5">
    <mergeCell ref="D8:I8"/>
    <mergeCell ref="C7:C59"/>
    <mergeCell ref="B4:H5"/>
    <mergeCell ref="A7:B5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875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12</v>
      </c>
      <c r="L8" s="11"/>
      <c r="M8" s="11">
        <v>47.1</v>
      </c>
    </row>
    <row r="9" spans="1:13">
      <c r="D9" s="12">
        <v>46106</v>
      </c>
      <c r="E9" s="13">
        <v>1588944</v>
      </c>
      <c r="F9" s="13" t="s">
        <v>20</v>
      </c>
      <c r="G9" s="14">
        <v>20303863</v>
      </c>
      <c r="H9" s="13" t="s">
        <v>28</v>
      </c>
      <c r="I9" s="13" t="s">
        <v>29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46106</v>
      </c>
      <c r="E10" s="13">
        <v>1588944</v>
      </c>
      <c r="F10" s="13" t="s">
        <v>47</v>
      </c>
      <c r="G10" s="14">
        <v>20309757</v>
      </c>
      <c r="H10" s="13" t="s">
        <v>302</v>
      </c>
      <c r="I10" s="13" t="s">
        <v>44</v>
      </c>
      <c r="J10" s="14">
        <v>1</v>
      </c>
      <c r="K10" s="14">
        <v>7</v>
      </c>
      <c r="L10" s="15">
        <v>23.1</v>
      </c>
      <c r="M10" s="15">
        <v>23.1</v>
      </c>
    </row>
    <row r="11" spans="1:13">
      <c r="D11" s="12">
        <v>46122</v>
      </c>
      <c r="E11" s="13">
        <v>1593639</v>
      </c>
      <c r="F11" s="13" t="s">
        <v>20</v>
      </c>
      <c r="G11" s="14">
        <v>20303863</v>
      </c>
      <c r="H11" s="13" t="s">
        <v>28</v>
      </c>
      <c r="I11" s="13" t="s">
        <v>29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46129</v>
      </c>
      <c r="E12" s="13">
        <v>1595755</v>
      </c>
      <c r="F12" s="13" t="s">
        <v>20</v>
      </c>
      <c r="G12" s="14">
        <v>20303863</v>
      </c>
      <c r="H12" s="13" t="s">
        <v>28</v>
      </c>
      <c r="I12" s="13" t="s">
        <v>29</v>
      </c>
      <c r="J12" s="14">
        <v>2</v>
      </c>
      <c r="K12" s="14">
        <v>2</v>
      </c>
      <c r="L12" s="15">
        <v>4.8</v>
      </c>
      <c r="M12" s="15">
        <v>9.6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showGridLines="0" view="pageBreakPreview" zoomScaleNormal="100" workbookViewId="0">
      <pane ySplit="6" topLeftCell="A7" activePane="bottomLeft" state="frozen"/>
      <selection/>
      <selection pane="bottomLeft" activeCell="M49" sqref="M49"/>
    </sheetView>
  </sheetViews>
  <sheetFormatPr defaultColWidth="9" defaultRowHeight="13.5"/>
  <cols>
    <col min="1" max="2" width="0.225" customWidth="1"/>
    <col min="3" max="3" width="0.433333333333333" customWidth="1"/>
    <col min="4" max="4" width="10.625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56-1</f>
        <v>55</v>
      </c>
      <c r="K8" s="10">
        <f>324-2</f>
        <v>322</v>
      </c>
      <c r="L8" s="11"/>
      <c r="M8" s="11">
        <f>1105.8-9.9</f>
        <v>1095.9</v>
      </c>
    </row>
    <row r="9" spans="1:13">
      <c r="D9" s="12">
        <v>46104</v>
      </c>
      <c r="E9" s="13">
        <v>1588199</v>
      </c>
      <c r="F9" s="13" t="s">
        <v>20</v>
      </c>
      <c r="G9" s="14">
        <v>20310829</v>
      </c>
      <c r="H9" s="13" t="s">
        <v>304</v>
      </c>
      <c r="I9" s="13" t="s">
        <v>55</v>
      </c>
      <c r="J9" s="14">
        <v>1</v>
      </c>
      <c r="K9" s="14">
        <v>1</v>
      </c>
      <c r="L9" s="15">
        <v>7.8</v>
      </c>
      <c r="M9" s="15">
        <v>7.8</v>
      </c>
    </row>
    <row r="10" spans="1:13">
      <c r="D10" s="12">
        <v>46104</v>
      </c>
      <c r="E10" s="13">
        <v>1588199</v>
      </c>
      <c r="F10" s="13" t="s">
        <v>47</v>
      </c>
      <c r="G10" s="14">
        <v>20310825</v>
      </c>
      <c r="H10" s="13" t="s">
        <v>305</v>
      </c>
      <c r="I10" s="13" t="s">
        <v>44</v>
      </c>
      <c r="J10" s="14">
        <v>3</v>
      </c>
      <c r="K10" s="14">
        <v>24</v>
      </c>
      <c r="L10" s="15">
        <v>26.4</v>
      </c>
      <c r="M10" s="15">
        <v>79.2</v>
      </c>
    </row>
    <row r="11" spans="1:13">
      <c r="D11" s="12">
        <v>46104</v>
      </c>
      <c r="E11" s="13">
        <v>1588199</v>
      </c>
      <c r="F11" s="13" t="s">
        <v>47</v>
      </c>
      <c r="G11" s="14">
        <v>20310824</v>
      </c>
      <c r="H11" s="13" t="s">
        <v>306</v>
      </c>
      <c r="I11" s="13" t="s">
        <v>49</v>
      </c>
      <c r="J11" s="14">
        <v>2</v>
      </c>
      <c r="K11" s="14">
        <v>16</v>
      </c>
      <c r="L11" s="15">
        <v>26.4</v>
      </c>
      <c r="M11" s="15">
        <v>52.8</v>
      </c>
    </row>
    <row r="12" spans="1:13">
      <c r="D12" s="12">
        <v>46105</v>
      </c>
      <c r="E12" s="13">
        <v>1588568</v>
      </c>
      <c r="F12" s="13" t="s">
        <v>20</v>
      </c>
      <c r="G12" s="14">
        <v>20303863</v>
      </c>
      <c r="H12" s="13" t="s">
        <v>28</v>
      </c>
      <c r="I12" s="13" t="s">
        <v>29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46105</v>
      </c>
      <c r="E13" s="13">
        <v>1588568</v>
      </c>
      <c r="F13" s="13" t="s">
        <v>20</v>
      </c>
      <c r="G13" s="14">
        <v>20303948</v>
      </c>
      <c r="H13" s="13" t="s">
        <v>307</v>
      </c>
      <c r="I13" s="13" t="s">
        <v>308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46106</v>
      </c>
      <c r="E14" s="13">
        <v>1588945</v>
      </c>
      <c r="F14" s="13" t="s">
        <v>47</v>
      </c>
      <c r="G14" s="14">
        <v>20310825</v>
      </c>
      <c r="H14" s="13" t="s">
        <v>305</v>
      </c>
      <c r="I14" s="13" t="s">
        <v>44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46107</v>
      </c>
      <c r="E15" s="13">
        <v>1589303</v>
      </c>
      <c r="F15" s="13" t="s">
        <v>20</v>
      </c>
      <c r="G15" s="14">
        <v>20303717</v>
      </c>
      <c r="H15" s="13" t="s">
        <v>70</v>
      </c>
      <c r="I15" s="13" t="s">
        <v>35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46107</v>
      </c>
      <c r="E16" s="13">
        <v>1589303</v>
      </c>
      <c r="F16" s="13" t="s">
        <v>47</v>
      </c>
      <c r="G16" s="14">
        <v>20310825</v>
      </c>
      <c r="H16" s="13" t="s">
        <v>305</v>
      </c>
      <c r="I16" s="13" t="s">
        <v>44</v>
      </c>
      <c r="J16" s="14">
        <v>3</v>
      </c>
      <c r="K16" s="14">
        <v>24</v>
      </c>
      <c r="L16" s="15">
        <v>26.4</v>
      </c>
      <c r="M16" s="15">
        <v>79.2</v>
      </c>
    </row>
    <row r="17" spans="4:13">
      <c r="D17" s="12">
        <v>46108</v>
      </c>
      <c r="E17" s="13">
        <v>1589685</v>
      </c>
      <c r="F17" s="13" t="s">
        <v>20</v>
      </c>
      <c r="G17" s="14">
        <v>20310829</v>
      </c>
      <c r="H17" s="13" t="s">
        <v>304</v>
      </c>
      <c r="I17" s="13" t="s">
        <v>55</v>
      </c>
      <c r="J17" s="14">
        <v>1</v>
      </c>
      <c r="K17" s="14">
        <v>1</v>
      </c>
      <c r="L17" s="15">
        <v>7.8</v>
      </c>
      <c r="M17" s="15">
        <v>7.8</v>
      </c>
    </row>
    <row r="18" spans="4:13">
      <c r="D18" s="12">
        <v>46108</v>
      </c>
      <c r="E18" s="13">
        <v>1589685</v>
      </c>
      <c r="F18" s="13" t="s">
        <v>20</v>
      </c>
      <c r="G18" s="14">
        <v>20316042</v>
      </c>
      <c r="H18" s="13" t="s">
        <v>34</v>
      </c>
      <c r="I18" s="13" t="s">
        <v>35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46108</v>
      </c>
      <c r="E19" s="13">
        <v>1589685</v>
      </c>
      <c r="F19" s="13" t="s">
        <v>47</v>
      </c>
      <c r="G19" s="14">
        <v>20310824</v>
      </c>
      <c r="H19" s="13" t="s">
        <v>306</v>
      </c>
      <c r="I19" s="13" t="s">
        <v>49</v>
      </c>
      <c r="J19" s="14">
        <v>2</v>
      </c>
      <c r="K19" s="14">
        <v>16</v>
      </c>
      <c r="L19" s="15">
        <v>26.4</v>
      </c>
      <c r="M19" s="15">
        <v>52.8</v>
      </c>
    </row>
    <row r="20" spans="4:13">
      <c r="D20" s="12">
        <v>46111</v>
      </c>
      <c r="E20" s="13">
        <v>1590238</v>
      </c>
      <c r="F20" s="13" t="s">
        <v>47</v>
      </c>
      <c r="G20" s="14">
        <v>20310825</v>
      </c>
      <c r="H20" s="13" t="s">
        <v>305</v>
      </c>
      <c r="I20" s="13" t="s">
        <v>44</v>
      </c>
      <c r="J20" s="14">
        <v>3</v>
      </c>
      <c r="K20" s="14">
        <v>24</v>
      </c>
      <c r="L20" s="15">
        <v>26.4</v>
      </c>
      <c r="M20" s="15">
        <v>79.2</v>
      </c>
    </row>
    <row r="21" spans="4:13">
      <c r="D21" s="12">
        <v>46112</v>
      </c>
      <c r="E21" s="13">
        <v>1590624</v>
      </c>
      <c r="F21" s="13" t="s">
        <v>47</v>
      </c>
      <c r="G21" s="14">
        <v>20310825</v>
      </c>
      <c r="H21" s="13" t="s">
        <v>305</v>
      </c>
      <c r="I21" s="13" t="s">
        <v>44</v>
      </c>
      <c r="J21" s="14">
        <v>1</v>
      </c>
      <c r="K21" s="14">
        <v>8</v>
      </c>
      <c r="L21" s="15">
        <v>26.4</v>
      </c>
      <c r="M21" s="15">
        <v>26.4</v>
      </c>
    </row>
    <row r="22" spans="4:13">
      <c r="D22" s="12">
        <v>46115</v>
      </c>
      <c r="E22" s="13">
        <v>1591817</v>
      </c>
      <c r="F22" s="13" t="s">
        <v>20</v>
      </c>
      <c r="G22" s="14">
        <v>20316739</v>
      </c>
      <c r="H22" s="13" t="s">
        <v>109</v>
      </c>
      <c r="I22" s="13" t="s">
        <v>33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46115</v>
      </c>
      <c r="E23" s="13">
        <v>1591817</v>
      </c>
      <c r="F23" s="13" t="s">
        <v>20</v>
      </c>
      <c r="G23" s="14">
        <v>20315372</v>
      </c>
      <c r="H23" s="13" t="s">
        <v>309</v>
      </c>
      <c r="I23" s="13" t="s">
        <v>33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46115</v>
      </c>
      <c r="E24" s="13">
        <v>1591817</v>
      </c>
      <c r="F24" s="13" t="s">
        <v>20</v>
      </c>
      <c r="G24" s="14">
        <v>20313851</v>
      </c>
      <c r="H24" s="13" t="s">
        <v>310</v>
      </c>
      <c r="I24" s="13" t="s">
        <v>33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46115</v>
      </c>
      <c r="E25" s="13">
        <v>1591817</v>
      </c>
      <c r="F25" s="13" t="s">
        <v>20</v>
      </c>
      <c r="G25" s="14">
        <v>20315086</v>
      </c>
      <c r="H25" s="13" t="s">
        <v>121</v>
      </c>
      <c r="I25" s="13" t="s">
        <v>105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46115</v>
      </c>
      <c r="E26" s="13">
        <v>1591817</v>
      </c>
      <c r="F26" s="13" t="s">
        <v>20</v>
      </c>
      <c r="G26" s="14">
        <v>20312103</v>
      </c>
      <c r="H26" s="13" t="s">
        <v>116</v>
      </c>
      <c r="I26" s="13" t="s">
        <v>105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46115</v>
      </c>
      <c r="E27" s="13">
        <v>1591817</v>
      </c>
      <c r="F27" s="13" t="s">
        <v>42</v>
      </c>
      <c r="G27" s="14">
        <v>20310518</v>
      </c>
      <c r="H27" s="13" t="s">
        <v>43</v>
      </c>
      <c r="I27" s="13" t="s">
        <v>44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46115</v>
      </c>
      <c r="E28" s="13">
        <v>1591817</v>
      </c>
      <c r="F28" s="13" t="s">
        <v>47</v>
      </c>
      <c r="G28" s="14">
        <v>20310825</v>
      </c>
      <c r="H28" s="13" t="s">
        <v>305</v>
      </c>
      <c r="I28" s="13" t="s">
        <v>44</v>
      </c>
      <c r="J28" s="14">
        <v>2</v>
      </c>
      <c r="K28" s="14">
        <v>16</v>
      </c>
      <c r="L28" s="15">
        <v>26.4</v>
      </c>
      <c r="M28" s="15">
        <v>52.8</v>
      </c>
    </row>
    <row r="29" spans="4:13">
      <c r="D29" s="12">
        <v>46115</v>
      </c>
      <c r="E29" s="13">
        <v>1591817</v>
      </c>
      <c r="F29" s="13" t="s">
        <v>47</v>
      </c>
      <c r="G29" s="14">
        <v>20310824</v>
      </c>
      <c r="H29" s="13" t="s">
        <v>306</v>
      </c>
      <c r="I29" s="13" t="s">
        <v>49</v>
      </c>
      <c r="J29" s="14">
        <v>1</v>
      </c>
      <c r="K29" s="14">
        <v>8</v>
      </c>
      <c r="L29" s="15">
        <v>26.4</v>
      </c>
      <c r="M29" s="15">
        <v>26.4</v>
      </c>
    </row>
    <row r="30" spans="4:13">
      <c r="D30" s="12">
        <v>46117</v>
      </c>
      <c r="E30" s="13">
        <v>1592226</v>
      </c>
      <c r="F30" s="13" t="s">
        <v>47</v>
      </c>
      <c r="G30" s="14">
        <v>20310825</v>
      </c>
      <c r="H30" s="13" t="s">
        <v>305</v>
      </c>
      <c r="I30" s="13" t="s">
        <v>44</v>
      </c>
      <c r="J30" s="14">
        <v>2</v>
      </c>
      <c r="K30" s="14">
        <v>16</v>
      </c>
      <c r="L30" s="15">
        <v>26.4</v>
      </c>
      <c r="M30" s="15">
        <v>52.8</v>
      </c>
    </row>
    <row r="31" spans="4:13">
      <c r="D31" s="12">
        <v>46119</v>
      </c>
      <c r="E31" s="13">
        <v>1592386</v>
      </c>
      <c r="F31" s="13" t="s">
        <v>47</v>
      </c>
      <c r="G31" s="14">
        <v>20310825</v>
      </c>
      <c r="H31" s="13" t="s">
        <v>305</v>
      </c>
      <c r="I31" s="13" t="s">
        <v>44</v>
      </c>
      <c r="J31" s="14">
        <v>1</v>
      </c>
      <c r="K31" s="14">
        <v>8</v>
      </c>
      <c r="L31" s="15">
        <v>26.4</v>
      </c>
      <c r="M31" s="15">
        <v>26.4</v>
      </c>
    </row>
    <row r="32" spans="4:13">
      <c r="D32" s="12">
        <v>46120</v>
      </c>
      <c r="E32" s="13">
        <v>1592797</v>
      </c>
      <c r="F32" s="13" t="s">
        <v>47</v>
      </c>
      <c r="G32" s="14">
        <v>20310825</v>
      </c>
      <c r="H32" s="13" t="s">
        <v>305</v>
      </c>
      <c r="I32" s="13" t="s">
        <v>44</v>
      </c>
      <c r="J32" s="14">
        <v>1</v>
      </c>
      <c r="K32" s="14">
        <v>8</v>
      </c>
      <c r="L32" s="15">
        <v>26.4</v>
      </c>
      <c r="M32" s="15">
        <v>26.4</v>
      </c>
    </row>
    <row r="33" spans="4:13">
      <c r="D33" s="12">
        <v>46121</v>
      </c>
      <c r="E33" s="13">
        <v>1593187</v>
      </c>
      <c r="F33" s="13" t="s">
        <v>47</v>
      </c>
      <c r="G33" s="14">
        <v>20310824</v>
      </c>
      <c r="H33" s="13" t="s">
        <v>306</v>
      </c>
      <c r="I33" s="13" t="s">
        <v>49</v>
      </c>
      <c r="J33" s="14">
        <v>1</v>
      </c>
      <c r="K33" s="14">
        <v>8</v>
      </c>
      <c r="L33" s="15">
        <v>26.4</v>
      </c>
      <c r="M33" s="15">
        <v>26.4</v>
      </c>
    </row>
    <row r="34" spans="4:13">
      <c r="D34" s="12">
        <v>46122</v>
      </c>
      <c r="E34" s="13">
        <v>1593640</v>
      </c>
      <c r="F34" s="13" t="s">
        <v>47</v>
      </c>
      <c r="G34" s="14">
        <v>20310825</v>
      </c>
      <c r="H34" s="13" t="s">
        <v>305</v>
      </c>
      <c r="I34" s="13" t="s">
        <v>44</v>
      </c>
      <c r="J34" s="14">
        <v>1</v>
      </c>
      <c r="K34" s="14">
        <v>8</v>
      </c>
      <c r="L34" s="15">
        <v>26.4</v>
      </c>
      <c r="M34" s="15">
        <v>26.4</v>
      </c>
    </row>
    <row r="35" spans="4:13">
      <c r="D35" s="12">
        <v>46125</v>
      </c>
      <c r="E35" s="13">
        <v>1594153</v>
      </c>
      <c r="F35" s="13" t="s">
        <v>20</v>
      </c>
      <c r="G35" s="14">
        <v>20316739</v>
      </c>
      <c r="H35" s="13" t="s">
        <v>109</v>
      </c>
      <c r="I35" s="13" t="s">
        <v>33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46125</v>
      </c>
      <c r="E36" s="13">
        <v>1594153</v>
      </c>
      <c r="F36" s="13" t="s">
        <v>20</v>
      </c>
      <c r="G36" s="14">
        <v>20310182</v>
      </c>
      <c r="H36" s="13" t="s">
        <v>311</v>
      </c>
      <c r="I36" s="13" t="s">
        <v>33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46125</v>
      </c>
      <c r="E37" s="13">
        <v>1594153</v>
      </c>
      <c r="F37" s="13" t="s">
        <v>20</v>
      </c>
      <c r="G37" s="14">
        <v>20315372</v>
      </c>
      <c r="H37" s="13" t="s">
        <v>309</v>
      </c>
      <c r="I37" s="13" t="s">
        <v>33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46125</v>
      </c>
      <c r="E38" s="13">
        <v>1594153</v>
      </c>
      <c r="F38" s="13" t="s">
        <v>20</v>
      </c>
      <c r="G38" s="14">
        <v>20313851</v>
      </c>
      <c r="H38" s="13" t="s">
        <v>310</v>
      </c>
      <c r="I38" s="13" t="s">
        <v>33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46125</v>
      </c>
      <c r="E39" s="13">
        <v>1594153</v>
      </c>
      <c r="F39" s="13" t="s">
        <v>20</v>
      </c>
      <c r="G39" s="14">
        <v>20315086</v>
      </c>
      <c r="H39" s="13" t="s">
        <v>121</v>
      </c>
      <c r="I39" s="13" t="s">
        <v>105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46125</v>
      </c>
      <c r="E40" s="13">
        <v>1594153</v>
      </c>
      <c r="F40" s="13" t="s">
        <v>47</v>
      </c>
      <c r="G40" s="14">
        <v>20310825</v>
      </c>
      <c r="H40" s="13" t="s">
        <v>305</v>
      </c>
      <c r="I40" s="13" t="s">
        <v>44</v>
      </c>
      <c r="J40" s="14">
        <v>2</v>
      </c>
      <c r="K40" s="14">
        <v>16</v>
      </c>
      <c r="L40" s="15">
        <v>26.4</v>
      </c>
      <c r="M40" s="15">
        <v>52.8</v>
      </c>
    </row>
    <row r="41" spans="4:13">
      <c r="D41" s="12">
        <v>46125</v>
      </c>
      <c r="E41" s="13">
        <v>1594153</v>
      </c>
      <c r="F41" s="13" t="s">
        <v>47</v>
      </c>
      <c r="G41" s="14">
        <v>20310824</v>
      </c>
      <c r="H41" s="13" t="s">
        <v>306</v>
      </c>
      <c r="I41" s="13" t="s">
        <v>49</v>
      </c>
      <c r="J41" s="14">
        <v>2</v>
      </c>
      <c r="K41" s="14">
        <v>16</v>
      </c>
      <c r="L41" s="15">
        <v>26.4</v>
      </c>
      <c r="M41" s="15">
        <v>52.8</v>
      </c>
    </row>
    <row r="42" spans="4:13">
      <c r="D42" s="12">
        <v>46126</v>
      </c>
      <c r="E42" s="13">
        <v>1594583</v>
      </c>
      <c r="F42" s="13" t="s">
        <v>47</v>
      </c>
      <c r="G42" s="14">
        <v>20310824</v>
      </c>
      <c r="H42" s="13" t="s">
        <v>306</v>
      </c>
      <c r="I42" s="13" t="s">
        <v>49</v>
      </c>
      <c r="J42" s="14">
        <v>2</v>
      </c>
      <c r="K42" s="14">
        <v>16</v>
      </c>
      <c r="L42" s="15">
        <v>26.4</v>
      </c>
      <c r="M42" s="15">
        <v>52.8</v>
      </c>
    </row>
    <row r="43" spans="4:13">
      <c r="D43" s="12">
        <v>46127</v>
      </c>
      <c r="E43" s="13">
        <v>1595008</v>
      </c>
      <c r="F43" s="13" t="s">
        <v>47</v>
      </c>
      <c r="G43" s="14">
        <v>20310825</v>
      </c>
      <c r="H43" s="13" t="s">
        <v>305</v>
      </c>
      <c r="I43" s="13" t="s">
        <v>44</v>
      </c>
      <c r="J43" s="14">
        <v>3</v>
      </c>
      <c r="K43" s="14">
        <v>24</v>
      </c>
      <c r="L43" s="15">
        <v>26.4</v>
      </c>
      <c r="M43" s="15">
        <v>79.2</v>
      </c>
    </row>
    <row r="44" spans="4:13">
      <c r="D44" s="12">
        <v>46128</v>
      </c>
      <c r="E44" s="13">
        <v>1595318</v>
      </c>
      <c r="F44" s="13" t="s">
        <v>47</v>
      </c>
      <c r="G44" s="14">
        <v>20310825</v>
      </c>
      <c r="H44" s="13" t="s">
        <v>305</v>
      </c>
      <c r="I44" s="13" t="s">
        <v>44</v>
      </c>
      <c r="J44" s="14">
        <v>1</v>
      </c>
      <c r="K44" s="14">
        <v>8</v>
      </c>
      <c r="L44" s="15">
        <v>26.4</v>
      </c>
      <c r="M44" s="15">
        <v>26.4</v>
      </c>
    </row>
    <row r="45" spans="4:13">
      <c r="D45" s="12">
        <v>46129</v>
      </c>
      <c r="E45" s="13">
        <v>1595756</v>
      </c>
      <c r="F45" s="13" t="s">
        <v>47</v>
      </c>
      <c r="G45" s="14">
        <v>20310825</v>
      </c>
      <c r="H45" s="13" t="s">
        <v>305</v>
      </c>
      <c r="I45" s="13" t="s">
        <v>44</v>
      </c>
      <c r="J45" s="14">
        <v>2</v>
      </c>
      <c r="K45" s="14">
        <v>16</v>
      </c>
      <c r="L45" s="15">
        <v>26.4</v>
      </c>
      <c r="M45" s="15">
        <v>52.8</v>
      </c>
    </row>
    <row r="46" spans="4:13">
      <c r="D46" s="12">
        <v>46129</v>
      </c>
      <c r="E46" s="13">
        <v>1595756</v>
      </c>
      <c r="F46" s="13" t="s">
        <v>47</v>
      </c>
      <c r="G46" s="14">
        <v>20310824</v>
      </c>
      <c r="H46" s="13" t="s">
        <v>306</v>
      </c>
      <c r="I46" s="13" t="s">
        <v>49</v>
      </c>
      <c r="J46" s="14">
        <v>2</v>
      </c>
      <c r="K46" s="14">
        <v>16</v>
      </c>
      <c r="L46" s="15">
        <v>26.4</v>
      </c>
      <c r="M46" s="15">
        <v>52.8</v>
      </c>
    </row>
    <row r="47" ht="0.05" customHeight="1"/>
    <row r="48" spans="4:13">
      <c r="M48">
        <f>1105.8-9.9</f>
        <v>1095.9</v>
      </c>
    </row>
    <row r="54" spans="4:13">
      <c r="D54" s="21" t="s">
        <v>144</v>
      </c>
      <c r="E54" s="22"/>
      <c r="F54" s="22"/>
      <c r="G54" s="22"/>
      <c r="H54" s="22"/>
      <c r="I54" s="22"/>
      <c r="J54" s="22"/>
      <c r="K54" s="22"/>
      <c r="L54" s="22"/>
      <c r="M54" s="22"/>
    </row>
    <row r="55" spans="4:13"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4:13"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4:13">
      <c r="D57" s="23" t="s">
        <v>145</v>
      </c>
      <c r="E57" s="22"/>
      <c r="F57" s="22"/>
      <c r="G57" s="22"/>
      <c r="H57" s="22"/>
      <c r="I57" s="22"/>
      <c r="J57" s="22"/>
      <c r="K57" s="22"/>
      <c r="L57" s="22"/>
      <c r="M57" s="22"/>
    </row>
    <row r="58" spans="4:13"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4:13">
      <c r="D59" s="24" t="s">
        <v>146</v>
      </c>
      <c r="E59" s="24" t="s">
        <v>147</v>
      </c>
      <c r="F59" s="22"/>
      <c r="G59" s="24" t="s">
        <v>148</v>
      </c>
      <c r="H59" s="24" t="s">
        <v>149</v>
      </c>
      <c r="I59" s="24" t="s">
        <v>7</v>
      </c>
      <c r="J59" s="24" t="s">
        <v>150</v>
      </c>
      <c r="K59" s="24" t="s">
        <v>151</v>
      </c>
    </row>
    <row r="60" ht="15.75" spans="4:13">
      <c r="D60" s="25" t="s">
        <v>3</v>
      </c>
      <c r="E60" s="26" t="s">
        <v>2</v>
      </c>
      <c r="F60" s="26" t="s">
        <v>2</v>
      </c>
      <c r="G60" s="26" t="s">
        <v>2</v>
      </c>
      <c r="H60" s="26" t="s">
        <v>2</v>
      </c>
      <c r="I60" s="26" t="s">
        <v>2</v>
      </c>
      <c r="J60" s="27" t="s">
        <v>2</v>
      </c>
      <c r="K60" s="28"/>
    </row>
    <row r="61" ht="14.25" spans="4:13">
      <c r="D61" s="29" t="s">
        <v>303</v>
      </c>
      <c r="E61" s="26" t="s">
        <v>2</v>
      </c>
      <c r="F61" s="26" t="s">
        <v>2</v>
      </c>
      <c r="G61" s="26" t="s">
        <v>2</v>
      </c>
      <c r="H61" s="26" t="s">
        <v>2</v>
      </c>
      <c r="I61" s="26" t="s">
        <v>2</v>
      </c>
      <c r="J61" s="30" t="s">
        <v>2</v>
      </c>
      <c r="K61" s="31">
        <v>-9.9</v>
      </c>
    </row>
    <row r="62" spans="4:13">
      <c r="D62" s="32" t="s">
        <v>152</v>
      </c>
      <c r="E62" s="26" t="s">
        <v>2</v>
      </c>
      <c r="F62" s="26" t="s">
        <v>2</v>
      </c>
      <c r="G62" s="26" t="s">
        <v>2</v>
      </c>
      <c r="H62" s="26" t="s">
        <v>2</v>
      </c>
      <c r="I62" s="26" t="s">
        <v>2</v>
      </c>
      <c r="J62" s="33" t="s">
        <v>2</v>
      </c>
      <c r="K62" s="34">
        <v>-9.9</v>
      </c>
    </row>
    <row r="63" ht="38.25" spans="4:13">
      <c r="D63" s="35">
        <v>3006078772</v>
      </c>
      <c r="E63" s="36">
        <v>46133.4203995023</v>
      </c>
      <c r="F63" s="37" t="s">
        <v>2</v>
      </c>
      <c r="G63" s="38" t="s">
        <v>153</v>
      </c>
      <c r="H63" s="39">
        <v>46115.5164694444</v>
      </c>
      <c r="I63" s="40">
        <v>20310518</v>
      </c>
      <c r="J63" s="40" t="s">
        <v>43</v>
      </c>
      <c r="K63" s="41">
        <v>-9.9</v>
      </c>
    </row>
  </sheetData>
  <autoFilter xmlns:etc="http://www.wps.cn/officeDocument/2017/etCustomData" ref="A7:M46" etc:filterBottomFollowUsedRange="0">
    <extLst/>
  </autoFilter>
  <mergeCells count="12">
    <mergeCell ref="D8:I8"/>
    <mergeCell ref="E59:F59"/>
    <mergeCell ref="D60:I60"/>
    <mergeCell ref="D61:I61"/>
    <mergeCell ref="D62:I62"/>
    <mergeCell ref="E63:F63"/>
    <mergeCell ref="C7:C46"/>
    <mergeCell ref="B4:H5"/>
    <mergeCell ref="A7:B46"/>
    <mergeCell ref="C1:H2"/>
    <mergeCell ref="D54:M55"/>
    <mergeCell ref="D57:H58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9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09" sqref="L20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9" customWidth="1"/>
    <col min="7" max="7" width="9.36666666666667" customWidth="1"/>
    <col min="8" max="8" width="24.8166666666667" customWidth="1"/>
    <col min="9" max="9" width="17.5" customWidth="1"/>
    <col min="10" max="10" width="8.8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312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SUM(J9:J1682)-3</f>
        <v>2406</v>
      </c>
      <c r="K8" s="10">
        <f>SUM(K9:K1682)-30</f>
        <v>34096</v>
      </c>
      <c r="L8" s="10"/>
      <c r="M8" s="10">
        <f>SUM(M9:M1682)-115.8</f>
        <v>152262.6</v>
      </c>
    </row>
    <row r="9" spans="1:13">
      <c r="D9" s="12">
        <v>46102</v>
      </c>
      <c r="E9" s="13">
        <v>1588026</v>
      </c>
      <c r="F9" s="13" t="s">
        <v>15</v>
      </c>
      <c r="G9" s="14">
        <v>20309550</v>
      </c>
      <c r="H9" s="13" t="s">
        <v>313</v>
      </c>
      <c r="I9" s="13" t="s">
        <v>314</v>
      </c>
      <c r="J9" s="14">
        <v>1</v>
      </c>
      <c r="K9" s="14">
        <v>3</v>
      </c>
      <c r="L9" s="15">
        <v>39.6</v>
      </c>
      <c r="M9" s="15">
        <v>39.6</v>
      </c>
    </row>
    <row r="10" spans="1:13">
      <c r="D10" s="12">
        <v>46102</v>
      </c>
      <c r="E10" s="13">
        <v>1588026</v>
      </c>
      <c r="F10" s="13" t="s">
        <v>131</v>
      </c>
      <c r="G10" s="14">
        <v>20412194</v>
      </c>
      <c r="H10" s="13" t="s">
        <v>315</v>
      </c>
      <c r="I10" s="13" t="s">
        <v>221</v>
      </c>
      <c r="J10" s="14">
        <v>1</v>
      </c>
      <c r="K10" s="14">
        <v>22</v>
      </c>
      <c r="L10" s="15">
        <v>180</v>
      </c>
      <c r="M10" s="15">
        <f>J10*L10</f>
        <v>180</v>
      </c>
    </row>
    <row r="11" spans="1:13">
      <c r="D11" s="12">
        <v>46102</v>
      </c>
      <c r="E11" s="13">
        <v>1588089</v>
      </c>
      <c r="F11" s="13" t="s">
        <v>15</v>
      </c>
      <c r="G11" s="14">
        <v>20309550</v>
      </c>
      <c r="H11" s="13" t="s">
        <v>313</v>
      </c>
      <c r="I11" s="13" t="s">
        <v>314</v>
      </c>
      <c r="J11" s="14">
        <v>3</v>
      </c>
      <c r="K11" s="14">
        <v>9</v>
      </c>
      <c r="L11" s="15">
        <v>39.6</v>
      </c>
      <c r="M11" s="15">
        <v>118.8</v>
      </c>
    </row>
    <row r="12" spans="1:13">
      <c r="D12" s="12">
        <v>46102</v>
      </c>
      <c r="E12" s="13">
        <v>1588089</v>
      </c>
      <c r="F12" s="13" t="s">
        <v>15</v>
      </c>
      <c r="G12" s="14">
        <v>20323229</v>
      </c>
      <c r="H12" s="13" t="s">
        <v>316</v>
      </c>
      <c r="I12" s="13" t="s">
        <v>317</v>
      </c>
      <c r="J12" s="14">
        <v>2</v>
      </c>
      <c r="K12" s="14">
        <v>2</v>
      </c>
      <c r="L12" s="15">
        <v>15</v>
      </c>
      <c r="M12" s="15">
        <v>30</v>
      </c>
    </row>
    <row r="13" spans="1:13">
      <c r="D13" s="12">
        <v>46102</v>
      </c>
      <c r="E13" s="13">
        <v>1588089</v>
      </c>
      <c r="F13" s="13" t="s">
        <v>15</v>
      </c>
      <c r="G13" s="14">
        <v>20362679</v>
      </c>
      <c r="H13" s="13" t="s">
        <v>318</v>
      </c>
      <c r="I13" s="13" t="s">
        <v>319</v>
      </c>
      <c r="J13" s="14">
        <v>1</v>
      </c>
      <c r="K13" s="14">
        <v>1</v>
      </c>
      <c r="L13" s="15">
        <v>13.2</v>
      </c>
      <c r="M13" s="15">
        <v>13.2</v>
      </c>
    </row>
    <row r="14" spans="1:13">
      <c r="D14" s="12">
        <v>46102</v>
      </c>
      <c r="E14" s="13">
        <v>1588089</v>
      </c>
      <c r="F14" s="13" t="s">
        <v>131</v>
      </c>
      <c r="G14" s="14">
        <v>20312465</v>
      </c>
      <c r="H14" s="13" t="s">
        <v>320</v>
      </c>
      <c r="I14" s="13" t="s">
        <v>221</v>
      </c>
      <c r="J14" s="14">
        <v>1</v>
      </c>
      <c r="K14" s="14">
        <v>27</v>
      </c>
      <c r="L14" s="15">
        <v>180</v>
      </c>
      <c r="M14" s="15">
        <f>J14*L14</f>
        <v>180</v>
      </c>
    </row>
    <row r="15" spans="1:13">
      <c r="D15" s="12">
        <v>46102</v>
      </c>
      <c r="E15" s="13">
        <v>1588089</v>
      </c>
      <c r="F15" s="13" t="s">
        <v>131</v>
      </c>
      <c r="G15" s="14">
        <v>20324183</v>
      </c>
      <c r="H15" s="13" t="s">
        <v>321</v>
      </c>
      <c r="I15" s="13" t="s">
        <v>221</v>
      </c>
      <c r="J15" s="14">
        <v>1</v>
      </c>
      <c r="K15" s="14">
        <v>18</v>
      </c>
      <c r="L15" s="15">
        <v>178.2</v>
      </c>
      <c r="M15" s="15">
        <v>178.2</v>
      </c>
    </row>
    <row r="16" spans="1:13">
      <c r="D16" s="12">
        <v>46102</v>
      </c>
      <c r="E16" s="13">
        <v>1588089</v>
      </c>
      <c r="F16" s="13" t="s">
        <v>131</v>
      </c>
      <c r="G16" s="14">
        <v>20412194</v>
      </c>
      <c r="H16" s="13" t="s">
        <v>315</v>
      </c>
      <c r="I16" s="13" t="s">
        <v>221</v>
      </c>
      <c r="J16" s="14">
        <v>1</v>
      </c>
      <c r="K16" s="14">
        <v>22</v>
      </c>
      <c r="L16" s="15">
        <v>180</v>
      </c>
      <c r="M16" s="15">
        <f>J16*L16</f>
        <v>180</v>
      </c>
    </row>
    <row r="17" spans="4:13">
      <c r="D17" s="12">
        <v>46102</v>
      </c>
      <c r="E17" s="13">
        <v>1588089</v>
      </c>
      <c r="F17" s="13" t="s">
        <v>131</v>
      </c>
      <c r="G17" s="14">
        <v>20412202</v>
      </c>
      <c r="H17" s="13" t="s">
        <v>322</v>
      </c>
      <c r="I17" s="13" t="s">
        <v>221</v>
      </c>
      <c r="J17" s="14">
        <v>1</v>
      </c>
      <c r="K17" s="14">
        <v>23</v>
      </c>
      <c r="L17" s="15">
        <v>180</v>
      </c>
      <c r="M17" s="15">
        <f>J17*L17</f>
        <v>180</v>
      </c>
    </row>
    <row r="18" spans="4:13">
      <c r="D18" s="12">
        <v>46102</v>
      </c>
      <c r="E18" s="13">
        <v>1588089</v>
      </c>
      <c r="F18" s="13" t="s">
        <v>131</v>
      </c>
      <c r="G18" s="14">
        <v>20303787</v>
      </c>
      <c r="H18" s="13" t="s">
        <v>323</v>
      </c>
      <c r="I18" s="13" t="s">
        <v>221</v>
      </c>
      <c r="J18" s="14">
        <v>1</v>
      </c>
      <c r="K18" s="14">
        <v>33</v>
      </c>
      <c r="L18" s="15">
        <v>180</v>
      </c>
      <c r="M18" s="15">
        <f>J18*L18</f>
        <v>180</v>
      </c>
    </row>
    <row r="19" spans="4:13">
      <c r="D19" s="12">
        <v>46103</v>
      </c>
      <c r="E19" s="13">
        <v>1588103</v>
      </c>
      <c r="F19" s="13" t="s">
        <v>324</v>
      </c>
      <c r="G19" s="14">
        <v>20303010</v>
      </c>
      <c r="H19" s="13" t="s">
        <v>325</v>
      </c>
      <c r="I19" s="13" t="s">
        <v>326</v>
      </c>
      <c r="J19" s="14">
        <v>2</v>
      </c>
      <c r="K19" s="14">
        <v>50</v>
      </c>
      <c r="L19" s="15">
        <v>82.5</v>
      </c>
      <c r="M19" s="15">
        <v>165</v>
      </c>
    </row>
    <row r="20" spans="4:13">
      <c r="D20" s="12">
        <v>46103</v>
      </c>
      <c r="E20" s="13">
        <v>1588103</v>
      </c>
      <c r="F20" s="13" t="s">
        <v>324</v>
      </c>
      <c r="G20" s="14">
        <v>20342050</v>
      </c>
      <c r="H20" s="13" t="s">
        <v>327</v>
      </c>
      <c r="I20" s="13" t="s">
        <v>328</v>
      </c>
      <c r="J20" s="14">
        <v>1</v>
      </c>
      <c r="K20" s="14">
        <v>19</v>
      </c>
      <c r="L20" s="15">
        <v>62.7</v>
      </c>
      <c r="M20" s="15">
        <v>62.7</v>
      </c>
    </row>
    <row r="21" spans="4:13">
      <c r="D21" s="12">
        <v>46103</v>
      </c>
      <c r="E21" s="13">
        <v>1588103</v>
      </c>
      <c r="F21" s="13" t="s">
        <v>163</v>
      </c>
      <c r="G21" s="14">
        <v>20303912</v>
      </c>
      <c r="H21" s="13" t="s">
        <v>329</v>
      </c>
      <c r="I21" s="13" t="s">
        <v>83</v>
      </c>
      <c r="J21" s="14">
        <v>2</v>
      </c>
      <c r="K21" s="14">
        <v>10</v>
      </c>
      <c r="L21" s="15">
        <v>16.5</v>
      </c>
      <c r="M21" s="15">
        <v>33</v>
      </c>
    </row>
    <row r="22" spans="4:13">
      <c r="D22" s="12">
        <v>46103</v>
      </c>
      <c r="E22" s="13">
        <v>1588103</v>
      </c>
      <c r="F22" s="13" t="s">
        <v>47</v>
      </c>
      <c r="G22" s="14">
        <v>20303011</v>
      </c>
      <c r="H22" s="13" t="s">
        <v>330</v>
      </c>
      <c r="I22" s="13" t="s">
        <v>331</v>
      </c>
      <c r="J22" s="14">
        <v>2</v>
      </c>
      <c r="K22" s="14">
        <v>52</v>
      </c>
      <c r="L22" s="15">
        <v>85.8</v>
      </c>
      <c r="M22" s="15">
        <v>171.6</v>
      </c>
    </row>
    <row r="23" spans="4:13">
      <c r="D23" s="12">
        <v>46103</v>
      </c>
      <c r="E23" s="13">
        <v>1588103</v>
      </c>
      <c r="F23" s="13" t="s">
        <v>65</v>
      </c>
      <c r="G23" s="14">
        <v>20303836</v>
      </c>
      <c r="H23" s="13" t="s">
        <v>332</v>
      </c>
      <c r="I23" s="13" t="s">
        <v>83</v>
      </c>
      <c r="J23" s="14">
        <v>8</v>
      </c>
      <c r="K23" s="14">
        <v>32</v>
      </c>
      <c r="L23" s="15">
        <v>13.2</v>
      </c>
      <c r="M23" s="15">
        <v>105.6</v>
      </c>
    </row>
    <row r="24" spans="4:13">
      <c r="D24" s="12">
        <v>46103</v>
      </c>
      <c r="E24" s="13">
        <v>1588103</v>
      </c>
      <c r="F24" s="13" t="s">
        <v>65</v>
      </c>
      <c r="G24" s="14">
        <v>20310863</v>
      </c>
      <c r="H24" s="13" t="s">
        <v>333</v>
      </c>
      <c r="I24" s="13" t="s">
        <v>49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46103</v>
      </c>
      <c r="E25" s="13">
        <v>1588122</v>
      </c>
      <c r="F25" s="13" t="s">
        <v>324</v>
      </c>
      <c r="G25" s="14">
        <v>20303010</v>
      </c>
      <c r="H25" s="13" t="s">
        <v>325</v>
      </c>
      <c r="I25" s="13" t="s">
        <v>326</v>
      </c>
      <c r="J25" s="14">
        <v>3</v>
      </c>
      <c r="K25" s="14">
        <v>75</v>
      </c>
      <c r="L25" s="15">
        <v>82.5</v>
      </c>
      <c r="M25" s="15">
        <v>247.5</v>
      </c>
    </row>
    <row r="26" spans="4:13">
      <c r="D26" s="12">
        <v>46103</v>
      </c>
      <c r="E26" s="13">
        <v>1588122</v>
      </c>
      <c r="F26" s="13" t="s">
        <v>324</v>
      </c>
      <c r="G26" s="14">
        <v>20303015</v>
      </c>
      <c r="H26" s="13" t="s">
        <v>334</v>
      </c>
      <c r="I26" s="13" t="s">
        <v>326</v>
      </c>
      <c r="J26" s="14">
        <v>1</v>
      </c>
      <c r="K26" s="14">
        <v>34</v>
      </c>
      <c r="L26" s="15">
        <v>112.2</v>
      </c>
      <c r="M26" s="15">
        <v>112.2</v>
      </c>
    </row>
    <row r="27" spans="4:13">
      <c r="D27" s="12">
        <v>46103</v>
      </c>
      <c r="E27" s="13">
        <v>1588122</v>
      </c>
      <c r="F27" s="13" t="s">
        <v>324</v>
      </c>
      <c r="G27" s="14">
        <v>20303023</v>
      </c>
      <c r="H27" s="13" t="s">
        <v>335</v>
      </c>
      <c r="I27" s="13" t="s">
        <v>326</v>
      </c>
      <c r="J27" s="14">
        <v>2</v>
      </c>
      <c r="K27" s="14">
        <v>126</v>
      </c>
      <c r="L27" s="15">
        <v>207.9</v>
      </c>
      <c r="M27" s="15">
        <v>415.8</v>
      </c>
    </row>
    <row r="28" spans="4:13">
      <c r="D28" s="12">
        <v>46103</v>
      </c>
      <c r="E28" s="13">
        <v>1588122</v>
      </c>
      <c r="F28" s="13" t="s">
        <v>324</v>
      </c>
      <c r="G28" s="14">
        <v>20303025</v>
      </c>
      <c r="H28" s="13" t="s">
        <v>336</v>
      </c>
      <c r="I28" s="13" t="s">
        <v>326</v>
      </c>
      <c r="J28" s="14">
        <v>1</v>
      </c>
      <c r="K28" s="14">
        <v>47</v>
      </c>
      <c r="L28" s="15">
        <v>155.1</v>
      </c>
      <c r="M28" s="15">
        <v>155.1</v>
      </c>
    </row>
    <row r="29" spans="4:13">
      <c r="D29" s="12">
        <v>46103</v>
      </c>
      <c r="E29" s="13">
        <v>1588122</v>
      </c>
      <c r="F29" s="13" t="s">
        <v>324</v>
      </c>
      <c r="G29" s="14">
        <v>20303029</v>
      </c>
      <c r="H29" s="13" t="s">
        <v>337</v>
      </c>
      <c r="I29" s="13" t="s">
        <v>326</v>
      </c>
      <c r="J29" s="14">
        <v>2</v>
      </c>
      <c r="K29" s="14">
        <v>94</v>
      </c>
      <c r="L29" s="15">
        <v>155.1</v>
      </c>
      <c r="M29" s="15">
        <v>310.2</v>
      </c>
    </row>
    <row r="30" spans="4:13">
      <c r="D30" s="12">
        <v>46103</v>
      </c>
      <c r="E30" s="13">
        <v>1588122</v>
      </c>
      <c r="F30" s="13" t="s">
        <v>324</v>
      </c>
      <c r="G30" s="14">
        <v>20303058</v>
      </c>
      <c r="H30" s="13" t="s">
        <v>338</v>
      </c>
      <c r="I30" s="13" t="s">
        <v>326</v>
      </c>
      <c r="J30" s="14">
        <v>1</v>
      </c>
      <c r="K30" s="14">
        <v>57</v>
      </c>
      <c r="L30" s="15">
        <v>188.1</v>
      </c>
      <c r="M30" s="15">
        <v>188.1</v>
      </c>
    </row>
    <row r="31" spans="4:13">
      <c r="D31" s="12">
        <v>46103</v>
      </c>
      <c r="E31" s="13">
        <v>1588122</v>
      </c>
      <c r="F31" s="13" t="s">
        <v>163</v>
      </c>
      <c r="G31" s="14">
        <v>20310304</v>
      </c>
      <c r="H31" s="13" t="s">
        <v>339</v>
      </c>
      <c r="I31" s="13" t="s">
        <v>83</v>
      </c>
      <c r="J31" s="14">
        <v>1</v>
      </c>
      <c r="K31" s="14">
        <v>11</v>
      </c>
      <c r="L31" s="15">
        <v>36.3</v>
      </c>
      <c r="M31" s="15">
        <v>36.3</v>
      </c>
    </row>
    <row r="32" spans="4:13">
      <c r="D32" s="12">
        <v>46103</v>
      </c>
      <c r="E32" s="13">
        <v>1588122</v>
      </c>
      <c r="F32" s="13" t="s">
        <v>20</v>
      </c>
      <c r="G32" s="14">
        <v>20303954</v>
      </c>
      <c r="H32" s="13" t="s">
        <v>295</v>
      </c>
      <c r="I32" s="13" t="s">
        <v>29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46103</v>
      </c>
      <c r="E33" s="13">
        <v>1588122</v>
      </c>
      <c r="F33" s="13" t="s">
        <v>15</v>
      </c>
      <c r="G33" s="14">
        <v>20315046</v>
      </c>
      <c r="H33" s="13" t="s">
        <v>340</v>
      </c>
      <c r="I33" s="13" t="s">
        <v>314</v>
      </c>
      <c r="J33" s="14">
        <v>1</v>
      </c>
      <c r="K33" s="14">
        <v>1</v>
      </c>
      <c r="L33" s="15">
        <v>21</v>
      </c>
      <c r="M33" s="15">
        <v>21</v>
      </c>
    </row>
    <row r="34" spans="4:13">
      <c r="D34" s="12">
        <v>46103</v>
      </c>
      <c r="E34" s="13">
        <v>1588122</v>
      </c>
      <c r="F34" s="13" t="s">
        <v>15</v>
      </c>
      <c r="G34" s="14">
        <v>20314042</v>
      </c>
      <c r="H34" s="13" t="s">
        <v>341</v>
      </c>
      <c r="I34" s="13" t="s">
        <v>128</v>
      </c>
      <c r="J34" s="14">
        <v>1</v>
      </c>
      <c r="K34" s="14">
        <v>1</v>
      </c>
      <c r="L34" s="15">
        <v>16.8</v>
      </c>
      <c r="M34" s="15">
        <v>16.8</v>
      </c>
    </row>
    <row r="35" spans="4:13">
      <c r="D35" s="12">
        <v>46103</v>
      </c>
      <c r="E35" s="13">
        <v>1588122</v>
      </c>
      <c r="F35" s="13" t="s">
        <v>15</v>
      </c>
      <c r="G35" s="14">
        <v>20393172</v>
      </c>
      <c r="H35" s="13" t="s">
        <v>342</v>
      </c>
      <c r="I35" s="13" t="s">
        <v>19</v>
      </c>
      <c r="J35" s="14">
        <v>1</v>
      </c>
      <c r="K35" s="14">
        <v>5</v>
      </c>
      <c r="L35" s="15">
        <v>52.8</v>
      </c>
      <c r="M35" s="15">
        <v>52.8</v>
      </c>
    </row>
    <row r="36" spans="4:13">
      <c r="D36" s="12">
        <v>46103</v>
      </c>
      <c r="E36" s="13">
        <v>1588122</v>
      </c>
      <c r="F36" s="13" t="s">
        <v>131</v>
      </c>
      <c r="G36" s="14">
        <v>20339097</v>
      </c>
      <c r="H36" s="13" t="s">
        <v>343</v>
      </c>
      <c r="I36" s="13" t="s">
        <v>221</v>
      </c>
      <c r="J36" s="14">
        <v>1</v>
      </c>
      <c r="K36" s="14">
        <v>32</v>
      </c>
      <c r="L36" s="15">
        <v>180</v>
      </c>
      <c r="M36" s="15">
        <f>J36*L36</f>
        <v>180</v>
      </c>
    </row>
    <row r="37" spans="4:13">
      <c r="D37" s="12">
        <v>46103</v>
      </c>
      <c r="E37" s="13">
        <v>1588122</v>
      </c>
      <c r="F37" s="13" t="s">
        <v>131</v>
      </c>
      <c r="G37" s="14">
        <v>20412034</v>
      </c>
      <c r="H37" s="13" t="s">
        <v>344</v>
      </c>
      <c r="I37" s="13" t="s">
        <v>221</v>
      </c>
      <c r="J37" s="14">
        <v>1</v>
      </c>
      <c r="K37" s="14">
        <v>28</v>
      </c>
      <c r="L37" s="15">
        <v>180</v>
      </c>
      <c r="M37" s="15">
        <f>J37*L37</f>
        <v>180</v>
      </c>
    </row>
    <row r="38" spans="4:13">
      <c r="D38" s="12">
        <v>46103</v>
      </c>
      <c r="E38" s="13">
        <v>1588122</v>
      </c>
      <c r="F38" s="13" t="s">
        <v>131</v>
      </c>
      <c r="G38" s="14">
        <v>20411790</v>
      </c>
      <c r="H38" s="13" t="s">
        <v>345</v>
      </c>
      <c r="I38" s="13" t="s">
        <v>221</v>
      </c>
      <c r="J38" s="14">
        <v>1</v>
      </c>
      <c r="K38" s="14">
        <v>28</v>
      </c>
      <c r="L38" s="15">
        <v>180</v>
      </c>
      <c r="M38" s="15">
        <f>J38*L38</f>
        <v>180</v>
      </c>
    </row>
    <row r="39" spans="4:13">
      <c r="D39" s="12">
        <v>46103</v>
      </c>
      <c r="E39" s="13">
        <v>1588122</v>
      </c>
      <c r="F39" s="13" t="s">
        <v>47</v>
      </c>
      <c r="G39" s="14">
        <v>20302998</v>
      </c>
      <c r="H39" s="13" t="s">
        <v>346</v>
      </c>
      <c r="I39" s="13" t="s">
        <v>347</v>
      </c>
      <c r="J39" s="14">
        <v>1</v>
      </c>
      <c r="K39" s="14">
        <v>19</v>
      </c>
      <c r="L39" s="15">
        <v>62.7</v>
      </c>
      <c r="M39" s="15">
        <v>62.7</v>
      </c>
    </row>
    <row r="40" spans="4:13">
      <c r="D40" s="12">
        <v>46103</v>
      </c>
      <c r="E40" s="13">
        <v>1588122</v>
      </c>
      <c r="F40" s="13" t="s">
        <v>47</v>
      </c>
      <c r="G40" s="14">
        <v>20303011</v>
      </c>
      <c r="H40" s="13" t="s">
        <v>330</v>
      </c>
      <c r="I40" s="13" t="s">
        <v>331</v>
      </c>
      <c r="J40" s="14">
        <v>3</v>
      </c>
      <c r="K40" s="14">
        <v>78</v>
      </c>
      <c r="L40" s="15">
        <v>85.8</v>
      </c>
      <c r="M40" s="15">
        <v>257.4</v>
      </c>
    </row>
    <row r="41" spans="4:13">
      <c r="D41" s="12">
        <v>46103</v>
      </c>
      <c r="E41" s="13">
        <v>1588122</v>
      </c>
      <c r="F41" s="13" t="s">
        <v>47</v>
      </c>
      <c r="G41" s="14">
        <v>20303941</v>
      </c>
      <c r="H41" s="13" t="s">
        <v>348</v>
      </c>
      <c r="I41" s="13" t="s">
        <v>331</v>
      </c>
      <c r="J41" s="14">
        <v>1</v>
      </c>
      <c r="K41" s="14">
        <v>8</v>
      </c>
      <c r="L41" s="15">
        <v>26.4</v>
      </c>
      <c r="M41" s="15">
        <v>26.4</v>
      </c>
    </row>
    <row r="42" spans="4:13">
      <c r="D42" s="12">
        <v>46103</v>
      </c>
      <c r="E42" s="13">
        <v>1588122</v>
      </c>
      <c r="F42" s="13" t="s">
        <v>47</v>
      </c>
      <c r="G42" s="14">
        <v>20306256</v>
      </c>
      <c r="H42" s="13" t="s">
        <v>349</v>
      </c>
      <c r="I42" s="13" t="s">
        <v>83</v>
      </c>
      <c r="J42" s="14">
        <v>1</v>
      </c>
      <c r="K42" s="14">
        <v>22</v>
      </c>
      <c r="L42" s="15">
        <v>72.6</v>
      </c>
      <c r="M42" s="15">
        <v>72.6</v>
      </c>
    </row>
    <row r="43" spans="4:13">
      <c r="D43" s="12">
        <v>46103</v>
      </c>
      <c r="E43" s="13">
        <v>1588122</v>
      </c>
      <c r="F43" s="13" t="s">
        <v>65</v>
      </c>
      <c r="G43" s="14">
        <v>20303836</v>
      </c>
      <c r="H43" s="13" t="s">
        <v>332</v>
      </c>
      <c r="I43" s="13" t="s">
        <v>83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46103</v>
      </c>
      <c r="E44" s="13">
        <v>1588122</v>
      </c>
      <c r="F44" s="13" t="s">
        <v>65</v>
      </c>
      <c r="G44" s="14">
        <v>20327614</v>
      </c>
      <c r="H44" s="13" t="s">
        <v>350</v>
      </c>
      <c r="I44" s="13" t="s">
        <v>44</v>
      </c>
      <c r="J44" s="14">
        <v>1</v>
      </c>
      <c r="K44" s="14">
        <v>6</v>
      </c>
      <c r="L44" s="15">
        <v>19.8</v>
      </c>
      <c r="M44" s="15">
        <v>19.8</v>
      </c>
    </row>
    <row r="45" spans="4:13">
      <c r="D45" s="12">
        <v>46103</v>
      </c>
      <c r="E45" s="13">
        <v>1588158</v>
      </c>
      <c r="F45" s="13" t="s">
        <v>219</v>
      </c>
      <c r="G45" s="14">
        <v>20309547</v>
      </c>
      <c r="H45" s="13" t="s">
        <v>220</v>
      </c>
      <c r="I45" s="13" t="s">
        <v>221</v>
      </c>
      <c r="J45" s="14">
        <v>7</v>
      </c>
      <c r="K45" s="14">
        <v>0</v>
      </c>
      <c r="L45" s="15">
        <v>21</v>
      </c>
      <c r="M45" s="15">
        <v>147</v>
      </c>
    </row>
    <row r="46" spans="4:13">
      <c r="D46" s="12">
        <v>46104</v>
      </c>
      <c r="E46" s="13">
        <v>1588242</v>
      </c>
      <c r="F46" s="13" t="s">
        <v>131</v>
      </c>
      <c r="G46" s="14">
        <v>20312465</v>
      </c>
      <c r="H46" s="13" t="s">
        <v>320</v>
      </c>
      <c r="I46" s="13" t="s">
        <v>221</v>
      </c>
      <c r="J46" s="14">
        <v>1</v>
      </c>
      <c r="K46" s="14">
        <v>27</v>
      </c>
      <c r="L46" s="15">
        <v>180</v>
      </c>
      <c r="M46" s="15">
        <f>J46*L46</f>
        <v>180</v>
      </c>
    </row>
    <row r="47" spans="4:13">
      <c r="D47" s="12">
        <v>46104</v>
      </c>
      <c r="E47" s="13">
        <v>1588242</v>
      </c>
      <c r="F47" s="13" t="s">
        <v>131</v>
      </c>
      <c r="G47" s="14">
        <v>20303777</v>
      </c>
      <c r="H47" s="13" t="s">
        <v>351</v>
      </c>
      <c r="I47" s="13" t="s">
        <v>221</v>
      </c>
      <c r="J47" s="14">
        <v>1</v>
      </c>
      <c r="K47" s="14">
        <v>27</v>
      </c>
      <c r="L47" s="15">
        <v>180</v>
      </c>
      <c r="M47" s="15">
        <f>J47*L47</f>
        <v>180</v>
      </c>
    </row>
    <row r="48" spans="4:13">
      <c r="D48" s="12">
        <v>46104</v>
      </c>
      <c r="E48" s="13">
        <v>1588242</v>
      </c>
      <c r="F48" s="13" t="s">
        <v>131</v>
      </c>
      <c r="G48" s="14">
        <v>20412034</v>
      </c>
      <c r="H48" s="13" t="s">
        <v>344</v>
      </c>
      <c r="I48" s="13" t="s">
        <v>221</v>
      </c>
      <c r="J48" s="14">
        <v>1</v>
      </c>
      <c r="K48" s="14">
        <v>28</v>
      </c>
      <c r="L48" s="15">
        <v>180</v>
      </c>
      <c r="M48" s="15">
        <f>J48*L48</f>
        <v>180</v>
      </c>
    </row>
    <row r="49" spans="4:13">
      <c r="D49" s="12">
        <v>46104</v>
      </c>
      <c r="E49" s="13">
        <v>1588242</v>
      </c>
      <c r="F49" s="13" t="s">
        <v>131</v>
      </c>
      <c r="G49" s="14">
        <v>20411790</v>
      </c>
      <c r="H49" s="13" t="s">
        <v>345</v>
      </c>
      <c r="I49" s="13" t="s">
        <v>221</v>
      </c>
      <c r="J49" s="14">
        <v>1</v>
      </c>
      <c r="K49" s="14">
        <v>28</v>
      </c>
      <c r="L49" s="15">
        <v>180</v>
      </c>
      <c r="M49" s="15">
        <f>J49*L49</f>
        <v>180</v>
      </c>
    </row>
    <row r="50" spans="4:13">
      <c r="D50" s="12">
        <v>46104</v>
      </c>
      <c r="E50" s="13">
        <v>1588243</v>
      </c>
      <c r="F50" s="13" t="s">
        <v>324</v>
      </c>
      <c r="G50" s="14">
        <v>20303022</v>
      </c>
      <c r="H50" s="13" t="s">
        <v>352</v>
      </c>
      <c r="I50" s="13" t="s">
        <v>326</v>
      </c>
      <c r="J50" s="14">
        <v>1</v>
      </c>
      <c r="K50" s="14">
        <v>31</v>
      </c>
      <c r="L50" s="15">
        <v>102.3</v>
      </c>
      <c r="M50" s="15">
        <v>102.3</v>
      </c>
    </row>
    <row r="51" spans="4:13">
      <c r="D51" s="12">
        <v>46104</v>
      </c>
      <c r="E51" s="13">
        <v>1588243</v>
      </c>
      <c r="F51" s="13" t="s">
        <v>324</v>
      </c>
      <c r="G51" s="14">
        <v>20303029</v>
      </c>
      <c r="H51" s="13" t="s">
        <v>337</v>
      </c>
      <c r="I51" s="13" t="s">
        <v>326</v>
      </c>
      <c r="J51" s="14">
        <v>1</v>
      </c>
      <c r="K51" s="14">
        <v>47</v>
      </c>
      <c r="L51" s="15">
        <v>155.1</v>
      </c>
      <c r="M51" s="15">
        <v>155.1</v>
      </c>
    </row>
    <row r="52" spans="4:13">
      <c r="D52" s="12">
        <v>46104</v>
      </c>
      <c r="E52" s="13">
        <v>1588243</v>
      </c>
      <c r="F52" s="13" t="s">
        <v>20</v>
      </c>
      <c r="G52" s="14">
        <v>20313337</v>
      </c>
      <c r="H52" s="13" t="s">
        <v>353</v>
      </c>
      <c r="I52" s="13" t="s">
        <v>53</v>
      </c>
      <c r="J52" s="14">
        <v>1</v>
      </c>
      <c r="K52" s="14">
        <v>2</v>
      </c>
      <c r="L52" s="15">
        <v>9.9</v>
      </c>
      <c r="M52" s="15">
        <v>9.9</v>
      </c>
    </row>
    <row r="53" spans="4:13">
      <c r="D53" s="12">
        <v>46104</v>
      </c>
      <c r="E53" s="13">
        <v>1588243</v>
      </c>
      <c r="F53" s="13" t="s">
        <v>47</v>
      </c>
      <c r="G53" s="14">
        <v>20303011</v>
      </c>
      <c r="H53" s="13" t="s">
        <v>330</v>
      </c>
      <c r="I53" s="13" t="s">
        <v>331</v>
      </c>
      <c r="J53" s="14">
        <v>1</v>
      </c>
      <c r="K53" s="14">
        <v>26</v>
      </c>
      <c r="L53" s="15">
        <v>85.8</v>
      </c>
      <c r="M53" s="15">
        <v>85.8</v>
      </c>
    </row>
    <row r="54" spans="4:13">
      <c r="D54" s="12">
        <v>46104</v>
      </c>
      <c r="E54" s="13">
        <v>1588243</v>
      </c>
      <c r="F54" s="13" t="s">
        <v>47</v>
      </c>
      <c r="G54" s="14">
        <v>20312383</v>
      </c>
      <c r="H54" s="13" t="s">
        <v>354</v>
      </c>
      <c r="I54" s="13" t="s">
        <v>331</v>
      </c>
      <c r="J54" s="14">
        <v>1</v>
      </c>
      <c r="K54" s="14">
        <v>7</v>
      </c>
      <c r="L54" s="15">
        <v>23.1</v>
      </c>
      <c r="M54" s="15">
        <v>23.1</v>
      </c>
    </row>
    <row r="55" spans="4:13">
      <c r="D55" s="12">
        <v>46104</v>
      </c>
      <c r="E55" s="13">
        <v>1588243</v>
      </c>
      <c r="F55" s="13" t="s">
        <v>47</v>
      </c>
      <c r="G55" s="14">
        <v>20306256</v>
      </c>
      <c r="H55" s="13" t="s">
        <v>349</v>
      </c>
      <c r="I55" s="13" t="s">
        <v>83</v>
      </c>
      <c r="J55" s="14">
        <v>3</v>
      </c>
      <c r="K55" s="14">
        <v>66</v>
      </c>
      <c r="L55" s="15">
        <v>72.6</v>
      </c>
      <c r="M55" s="15">
        <v>217.8</v>
      </c>
    </row>
    <row r="56" spans="4:13">
      <c r="D56" s="12">
        <v>46104</v>
      </c>
      <c r="E56" s="13">
        <v>1588243</v>
      </c>
      <c r="F56" s="13" t="s">
        <v>65</v>
      </c>
      <c r="G56" s="14">
        <v>20303836</v>
      </c>
      <c r="H56" s="13" t="s">
        <v>332</v>
      </c>
      <c r="I56" s="13" t="s">
        <v>83</v>
      </c>
      <c r="J56" s="14">
        <v>2</v>
      </c>
      <c r="K56" s="14">
        <v>8</v>
      </c>
      <c r="L56" s="15">
        <v>13.2</v>
      </c>
      <c r="M56" s="15">
        <v>26.4</v>
      </c>
    </row>
    <row r="57" spans="4:13">
      <c r="D57" s="12">
        <v>46104</v>
      </c>
      <c r="E57" s="13">
        <v>1588286</v>
      </c>
      <c r="F57" s="13" t="s">
        <v>324</v>
      </c>
      <c r="G57" s="14">
        <v>20303009</v>
      </c>
      <c r="H57" s="13" t="s">
        <v>355</v>
      </c>
      <c r="I57" s="13" t="s">
        <v>326</v>
      </c>
      <c r="J57" s="14">
        <v>1</v>
      </c>
      <c r="K57" s="14">
        <v>55</v>
      </c>
      <c r="L57" s="15">
        <v>181.5</v>
      </c>
      <c r="M57" s="15">
        <v>181.5</v>
      </c>
    </row>
    <row r="58" spans="4:13">
      <c r="D58" s="12">
        <v>46104</v>
      </c>
      <c r="E58" s="13">
        <v>1588286</v>
      </c>
      <c r="F58" s="13" t="s">
        <v>324</v>
      </c>
      <c r="G58" s="14">
        <v>20303010</v>
      </c>
      <c r="H58" s="13" t="s">
        <v>325</v>
      </c>
      <c r="I58" s="13" t="s">
        <v>326</v>
      </c>
      <c r="J58" s="14">
        <v>3</v>
      </c>
      <c r="K58" s="14">
        <v>75</v>
      </c>
      <c r="L58" s="15">
        <v>82.5</v>
      </c>
      <c r="M58" s="15">
        <v>247.5</v>
      </c>
    </row>
    <row r="59" spans="4:13">
      <c r="D59" s="12">
        <v>46104</v>
      </c>
      <c r="E59" s="13">
        <v>1588286</v>
      </c>
      <c r="F59" s="13" t="s">
        <v>324</v>
      </c>
      <c r="G59" s="14">
        <v>20303022</v>
      </c>
      <c r="H59" s="13" t="s">
        <v>352</v>
      </c>
      <c r="I59" s="13" t="s">
        <v>326</v>
      </c>
      <c r="J59" s="14">
        <v>4</v>
      </c>
      <c r="K59" s="14">
        <v>124</v>
      </c>
      <c r="L59" s="15">
        <v>102.3</v>
      </c>
      <c r="M59" s="15">
        <v>409.2</v>
      </c>
    </row>
    <row r="60" spans="4:13">
      <c r="D60" s="12">
        <v>46104</v>
      </c>
      <c r="E60" s="13">
        <v>1588286</v>
      </c>
      <c r="F60" s="13" t="s">
        <v>324</v>
      </c>
      <c r="G60" s="14">
        <v>20303025</v>
      </c>
      <c r="H60" s="13" t="s">
        <v>336</v>
      </c>
      <c r="I60" s="13" t="s">
        <v>326</v>
      </c>
      <c r="J60" s="14">
        <v>1</v>
      </c>
      <c r="K60" s="14">
        <v>47</v>
      </c>
      <c r="L60" s="15">
        <v>155.1</v>
      </c>
      <c r="M60" s="15">
        <v>155.1</v>
      </c>
    </row>
    <row r="61" spans="4:13">
      <c r="D61" s="12">
        <v>46104</v>
      </c>
      <c r="E61" s="13">
        <v>1588286</v>
      </c>
      <c r="F61" s="13" t="s">
        <v>324</v>
      </c>
      <c r="G61" s="14">
        <v>20300070</v>
      </c>
      <c r="H61" s="13" t="s">
        <v>356</v>
      </c>
      <c r="I61" s="13" t="s">
        <v>326</v>
      </c>
      <c r="J61" s="14">
        <v>1</v>
      </c>
      <c r="K61" s="14">
        <v>24</v>
      </c>
      <c r="L61" s="15">
        <v>79.2</v>
      </c>
      <c r="M61" s="15">
        <v>79.2</v>
      </c>
    </row>
    <row r="62" spans="4:13">
      <c r="D62" s="12">
        <v>46104</v>
      </c>
      <c r="E62" s="13">
        <v>1588286</v>
      </c>
      <c r="F62" s="13" t="s">
        <v>163</v>
      </c>
      <c r="G62" s="14">
        <v>20303912</v>
      </c>
      <c r="H62" s="13" t="s">
        <v>329</v>
      </c>
      <c r="I62" s="13" t="s">
        <v>83</v>
      </c>
      <c r="J62" s="14">
        <v>2</v>
      </c>
      <c r="K62" s="14">
        <v>10</v>
      </c>
      <c r="L62" s="15">
        <v>16.5</v>
      </c>
      <c r="M62" s="15">
        <v>33</v>
      </c>
    </row>
    <row r="63" spans="4:13">
      <c r="D63" s="12">
        <v>46104</v>
      </c>
      <c r="E63" s="13">
        <v>1588286</v>
      </c>
      <c r="F63" s="13" t="s">
        <v>20</v>
      </c>
      <c r="G63" s="14">
        <v>20303954</v>
      </c>
      <c r="H63" s="13" t="s">
        <v>295</v>
      </c>
      <c r="I63" s="13" t="s">
        <v>29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46104</v>
      </c>
      <c r="E64" s="13">
        <v>1588286</v>
      </c>
      <c r="F64" s="13" t="s">
        <v>20</v>
      </c>
      <c r="G64" s="14">
        <v>20309432</v>
      </c>
      <c r="H64" s="13" t="s">
        <v>357</v>
      </c>
      <c r="I64" s="13" t="s">
        <v>57</v>
      </c>
      <c r="J64" s="14">
        <v>1</v>
      </c>
      <c r="K64" s="14">
        <v>2</v>
      </c>
      <c r="L64" s="15">
        <v>9.9</v>
      </c>
      <c r="M64" s="15">
        <v>9.9</v>
      </c>
    </row>
    <row r="65" spans="4:13">
      <c r="D65" s="12">
        <v>46104</v>
      </c>
      <c r="E65" s="13">
        <v>1588286</v>
      </c>
      <c r="F65" s="13" t="s">
        <v>20</v>
      </c>
      <c r="G65" s="14">
        <v>20303977</v>
      </c>
      <c r="H65" s="13" t="s">
        <v>196</v>
      </c>
      <c r="I65" s="13" t="s">
        <v>33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46104</v>
      </c>
      <c r="E66" s="13">
        <v>1588286</v>
      </c>
      <c r="F66" s="13" t="s">
        <v>20</v>
      </c>
      <c r="G66" s="14">
        <v>20313225</v>
      </c>
      <c r="H66" s="13" t="s">
        <v>358</v>
      </c>
      <c r="I66" s="13" t="s">
        <v>31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46104</v>
      </c>
      <c r="E67" s="13">
        <v>1588286</v>
      </c>
      <c r="F67" s="13" t="s">
        <v>47</v>
      </c>
      <c r="G67" s="14">
        <v>20303011</v>
      </c>
      <c r="H67" s="13" t="s">
        <v>330</v>
      </c>
      <c r="I67" s="13" t="s">
        <v>331</v>
      </c>
      <c r="J67" s="14">
        <v>1</v>
      </c>
      <c r="K67" s="14">
        <v>26</v>
      </c>
      <c r="L67" s="15">
        <v>85.8</v>
      </c>
      <c r="M67" s="15">
        <v>85.8</v>
      </c>
    </row>
    <row r="68" spans="4:13">
      <c r="D68" s="12">
        <v>46104</v>
      </c>
      <c r="E68" s="13">
        <v>1588286</v>
      </c>
      <c r="F68" s="13" t="s">
        <v>65</v>
      </c>
      <c r="G68" s="14">
        <v>20303836</v>
      </c>
      <c r="H68" s="13" t="s">
        <v>332</v>
      </c>
      <c r="I68" s="13" t="s">
        <v>83</v>
      </c>
      <c r="J68" s="14">
        <v>4</v>
      </c>
      <c r="K68" s="14">
        <v>16</v>
      </c>
      <c r="L68" s="15">
        <v>13.2</v>
      </c>
      <c r="M68" s="15">
        <v>52.8</v>
      </c>
    </row>
    <row r="69" spans="4:13">
      <c r="D69" s="12">
        <v>46104</v>
      </c>
      <c r="E69" s="13">
        <v>1588286</v>
      </c>
      <c r="F69" s="13" t="s">
        <v>65</v>
      </c>
      <c r="G69" s="14">
        <v>20309747</v>
      </c>
      <c r="H69" s="13" t="s">
        <v>359</v>
      </c>
      <c r="I69" s="13" t="s">
        <v>83</v>
      </c>
      <c r="J69" s="14">
        <v>1</v>
      </c>
      <c r="K69" s="14">
        <v>2</v>
      </c>
      <c r="L69" s="15">
        <v>9.9</v>
      </c>
      <c r="M69" s="15">
        <v>9.9</v>
      </c>
    </row>
    <row r="70" spans="4:13">
      <c r="D70" s="12">
        <v>46104</v>
      </c>
      <c r="E70" s="13">
        <v>1588287</v>
      </c>
      <c r="F70" s="13" t="s">
        <v>15</v>
      </c>
      <c r="G70" s="14">
        <v>20358905</v>
      </c>
      <c r="H70" s="13" t="s">
        <v>360</v>
      </c>
      <c r="I70" s="13" t="s">
        <v>244</v>
      </c>
      <c r="J70" s="14">
        <v>1</v>
      </c>
      <c r="K70" s="14">
        <v>1</v>
      </c>
      <c r="L70" s="15">
        <v>15</v>
      </c>
      <c r="M70" s="15">
        <v>15</v>
      </c>
    </row>
    <row r="71" spans="4:13">
      <c r="D71" s="12">
        <v>46104</v>
      </c>
      <c r="E71" s="13">
        <v>1588287</v>
      </c>
      <c r="F71" s="13" t="s">
        <v>131</v>
      </c>
      <c r="G71" s="14">
        <v>20309744</v>
      </c>
      <c r="H71" s="13" t="s">
        <v>361</v>
      </c>
      <c r="I71" s="13" t="s">
        <v>221</v>
      </c>
      <c r="J71" s="14">
        <v>1</v>
      </c>
      <c r="K71" s="14">
        <v>9</v>
      </c>
      <c r="L71" s="15">
        <v>92.4</v>
      </c>
      <c r="M71" s="15">
        <v>92.4</v>
      </c>
    </row>
    <row r="72" spans="4:13">
      <c r="D72" s="12">
        <v>46104</v>
      </c>
      <c r="E72" s="13">
        <v>1588287</v>
      </c>
      <c r="F72" s="13" t="s">
        <v>131</v>
      </c>
      <c r="G72" s="14">
        <v>20309677</v>
      </c>
      <c r="H72" s="13" t="s">
        <v>362</v>
      </c>
      <c r="I72" s="13" t="s">
        <v>221</v>
      </c>
      <c r="J72" s="14">
        <v>1</v>
      </c>
      <c r="K72" s="14">
        <v>12</v>
      </c>
      <c r="L72" s="15">
        <v>112.2</v>
      </c>
      <c r="M72" s="15">
        <v>112.2</v>
      </c>
    </row>
    <row r="73" spans="4:13">
      <c r="D73" s="12">
        <v>46104</v>
      </c>
      <c r="E73" s="13">
        <v>1588287</v>
      </c>
      <c r="F73" s="13" t="s">
        <v>131</v>
      </c>
      <c r="G73" s="14">
        <v>20309648</v>
      </c>
      <c r="H73" s="13" t="s">
        <v>363</v>
      </c>
      <c r="I73" s="13" t="s">
        <v>221</v>
      </c>
      <c r="J73" s="14">
        <v>1</v>
      </c>
      <c r="K73" s="14">
        <v>14</v>
      </c>
      <c r="L73" s="15">
        <v>138.6</v>
      </c>
      <c r="M73" s="15">
        <v>138.6</v>
      </c>
    </row>
    <row r="74" spans="4:13">
      <c r="D74" s="12">
        <v>46104</v>
      </c>
      <c r="E74" s="13">
        <v>1588287</v>
      </c>
      <c r="F74" s="13" t="s">
        <v>131</v>
      </c>
      <c r="G74" s="14">
        <v>20314362</v>
      </c>
      <c r="H74" s="13" t="s">
        <v>364</v>
      </c>
      <c r="I74" s="13" t="s">
        <v>221</v>
      </c>
      <c r="J74" s="14">
        <v>1</v>
      </c>
      <c r="K74" s="14">
        <v>27</v>
      </c>
      <c r="L74" s="15">
        <v>180</v>
      </c>
      <c r="M74" s="15">
        <f>J74*L74</f>
        <v>180</v>
      </c>
    </row>
    <row r="75" spans="4:13">
      <c r="D75" s="12">
        <v>46104</v>
      </c>
      <c r="E75" s="13">
        <v>1588287</v>
      </c>
      <c r="F75" s="13" t="s">
        <v>131</v>
      </c>
      <c r="G75" s="14">
        <v>20309658</v>
      </c>
      <c r="H75" s="13" t="s">
        <v>365</v>
      </c>
      <c r="I75" s="13" t="s">
        <v>221</v>
      </c>
      <c r="J75" s="14">
        <v>2</v>
      </c>
      <c r="K75" s="14">
        <v>10</v>
      </c>
      <c r="L75" s="15">
        <v>52.8</v>
      </c>
      <c r="M75" s="15">
        <v>105.6</v>
      </c>
    </row>
    <row r="76" spans="4:13">
      <c r="D76" s="12">
        <v>46104</v>
      </c>
      <c r="E76" s="13">
        <v>1588287</v>
      </c>
      <c r="F76" s="13" t="s">
        <v>131</v>
      </c>
      <c r="G76" s="14">
        <v>20312572</v>
      </c>
      <c r="H76" s="13" t="s">
        <v>366</v>
      </c>
      <c r="I76" s="13" t="s">
        <v>221</v>
      </c>
      <c r="J76" s="14">
        <v>1</v>
      </c>
      <c r="K76" s="14">
        <v>27</v>
      </c>
      <c r="L76" s="15">
        <v>180</v>
      </c>
      <c r="M76" s="15">
        <f>J76*L76</f>
        <v>180</v>
      </c>
    </row>
    <row r="77" spans="4:13">
      <c r="D77" s="12">
        <v>46104</v>
      </c>
      <c r="E77" s="13">
        <v>1588287</v>
      </c>
      <c r="F77" s="13" t="s">
        <v>131</v>
      </c>
      <c r="G77" s="14">
        <v>20412194</v>
      </c>
      <c r="H77" s="13" t="s">
        <v>315</v>
      </c>
      <c r="I77" s="13" t="s">
        <v>221</v>
      </c>
      <c r="J77" s="14">
        <v>1</v>
      </c>
      <c r="K77" s="14">
        <v>22</v>
      </c>
      <c r="L77" s="15">
        <v>180</v>
      </c>
      <c r="M77" s="15">
        <f>J77*L77</f>
        <v>180</v>
      </c>
    </row>
    <row r="78" spans="4:13">
      <c r="D78" s="12">
        <v>46104</v>
      </c>
      <c r="E78" s="13">
        <v>1588290</v>
      </c>
      <c r="F78" s="13" t="s">
        <v>65</v>
      </c>
      <c r="G78" s="14">
        <v>20303836</v>
      </c>
      <c r="H78" s="13" t="s">
        <v>332</v>
      </c>
      <c r="I78" s="13" t="s">
        <v>83</v>
      </c>
      <c r="J78" s="14">
        <v>1</v>
      </c>
      <c r="K78" s="14">
        <v>4</v>
      </c>
      <c r="L78" s="15">
        <v>13.2</v>
      </c>
      <c r="M78" s="15">
        <v>13.2</v>
      </c>
    </row>
    <row r="79" spans="4:13">
      <c r="D79" s="12">
        <v>46104</v>
      </c>
      <c r="E79" s="13">
        <v>1588401</v>
      </c>
      <c r="F79" s="13" t="s">
        <v>324</v>
      </c>
      <c r="G79" s="14">
        <v>20303010</v>
      </c>
      <c r="H79" s="13" t="s">
        <v>325</v>
      </c>
      <c r="I79" s="13" t="s">
        <v>326</v>
      </c>
      <c r="J79" s="14">
        <v>1</v>
      </c>
      <c r="K79" s="14">
        <v>25</v>
      </c>
      <c r="L79" s="15">
        <v>82.5</v>
      </c>
      <c r="M79" s="15">
        <v>82.5</v>
      </c>
    </row>
    <row r="80" spans="4:13">
      <c r="D80" s="12">
        <v>46104</v>
      </c>
      <c r="E80" s="13">
        <v>1588401</v>
      </c>
      <c r="F80" s="13" t="s">
        <v>324</v>
      </c>
      <c r="G80" s="14">
        <v>20303015</v>
      </c>
      <c r="H80" s="13" t="s">
        <v>334</v>
      </c>
      <c r="I80" s="13" t="s">
        <v>326</v>
      </c>
      <c r="J80" s="14">
        <v>1</v>
      </c>
      <c r="K80" s="14">
        <v>34</v>
      </c>
      <c r="L80" s="15">
        <v>112.2</v>
      </c>
      <c r="M80" s="15">
        <v>112.2</v>
      </c>
    </row>
    <row r="81" spans="4:13">
      <c r="D81" s="12">
        <v>46104</v>
      </c>
      <c r="E81" s="13">
        <v>1588401</v>
      </c>
      <c r="F81" s="13" t="s">
        <v>324</v>
      </c>
      <c r="G81" s="14">
        <v>20303022</v>
      </c>
      <c r="H81" s="13" t="s">
        <v>352</v>
      </c>
      <c r="I81" s="13" t="s">
        <v>326</v>
      </c>
      <c r="J81" s="14">
        <v>1</v>
      </c>
      <c r="K81" s="14">
        <v>31</v>
      </c>
      <c r="L81" s="15">
        <v>102.3</v>
      </c>
      <c r="M81" s="15">
        <v>102.3</v>
      </c>
    </row>
    <row r="82" spans="4:13">
      <c r="D82" s="12">
        <v>46104</v>
      </c>
      <c r="E82" s="13">
        <v>1588401</v>
      </c>
      <c r="F82" s="13" t="s">
        <v>324</v>
      </c>
      <c r="G82" s="14">
        <v>20342050</v>
      </c>
      <c r="H82" s="13" t="s">
        <v>327</v>
      </c>
      <c r="I82" s="13" t="s">
        <v>328</v>
      </c>
      <c r="J82" s="14">
        <v>1</v>
      </c>
      <c r="K82" s="14">
        <v>19</v>
      </c>
      <c r="L82" s="15">
        <v>62.7</v>
      </c>
      <c r="M82" s="15">
        <v>62.7</v>
      </c>
    </row>
    <row r="83" spans="4:13">
      <c r="D83" s="12">
        <v>46104</v>
      </c>
      <c r="E83" s="13">
        <v>1588401</v>
      </c>
      <c r="F83" s="13" t="s">
        <v>163</v>
      </c>
      <c r="G83" s="14">
        <v>20303912</v>
      </c>
      <c r="H83" s="13" t="s">
        <v>329</v>
      </c>
      <c r="I83" s="13" t="s">
        <v>83</v>
      </c>
      <c r="J83" s="14">
        <v>3</v>
      </c>
      <c r="K83" s="14">
        <v>15</v>
      </c>
      <c r="L83" s="15">
        <v>16.5</v>
      </c>
      <c r="M83" s="15">
        <v>49.5</v>
      </c>
    </row>
    <row r="84" spans="4:13">
      <c r="D84" s="12">
        <v>46104</v>
      </c>
      <c r="E84" s="13">
        <v>1588401</v>
      </c>
      <c r="F84" s="13" t="s">
        <v>20</v>
      </c>
      <c r="G84" s="14">
        <v>20303954</v>
      </c>
      <c r="H84" s="13" t="s">
        <v>295</v>
      </c>
      <c r="I84" s="13" t="s">
        <v>29</v>
      </c>
      <c r="J84" s="14">
        <v>2</v>
      </c>
      <c r="K84" s="14">
        <v>2</v>
      </c>
      <c r="L84" s="15">
        <v>4.8</v>
      </c>
      <c r="M84" s="15">
        <v>9.6</v>
      </c>
    </row>
    <row r="85" spans="4:13">
      <c r="D85" s="12">
        <v>46104</v>
      </c>
      <c r="E85" s="13">
        <v>1588401</v>
      </c>
      <c r="F85" s="13" t="s">
        <v>20</v>
      </c>
      <c r="G85" s="14">
        <v>20309432</v>
      </c>
      <c r="H85" s="13" t="s">
        <v>357</v>
      </c>
      <c r="I85" s="13" t="s">
        <v>57</v>
      </c>
      <c r="J85" s="14">
        <v>1</v>
      </c>
      <c r="K85" s="14">
        <v>2</v>
      </c>
      <c r="L85" s="15">
        <v>9.9</v>
      </c>
      <c r="M85" s="15">
        <v>9.9</v>
      </c>
    </row>
    <row r="86" spans="4:13">
      <c r="D86" s="12">
        <v>46104</v>
      </c>
      <c r="E86" s="13">
        <v>1588401</v>
      </c>
      <c r="F86" s="13" t="s">
        <v>20</v>
      </c>
      <c r="G86" s="14">
        <v>20309804</v>
      </c>
      <c r="H86" s="13" t="s">
        <v>367</v>
      </c>
      <c r="I86" s="13" t="s">
        <v>53</v>
      </c>
      <c r="J86" s="14">
        <v>1</v>
      </c>
      <c r="K86" s="14">
        <v>1</v>
      </c>
      <c r="L86" s="15">
        <v>6.6</v>
      </c>
      <c r="M86" s="15">
        <v>6.6</v>
      </c>
    </row>
    <row r="87" spans="4:13">
      <c r="D87" s="12">
        <v>46104</v>
      </c>
      <c r="E87" s="13">
        <v>1588401</v>
      </c>
      <c r="F87" s="13" t="s">
        <v>20</v>
      </c>
      <c r="G87" s="14">
        <v>20303979</v>
      </c>
      <c r="H87" s="13" t="s">
        <v>368</v>
      </c>
      <c r="I87" s="13" t="s">
        <v>55</v>
      </c>
      <c r="J87" s="14">
        <v>1</v>
      </c>
      <c r="K87" s="14">
        <v>1</v>
      </c>
      <c r="L87" s="15">
        <v>7.8</v>
      </c>
      <c r="M87" s="15">
        <v>7.8</v>
      </c>
    </row>
    <row r="88" spans="4:13">
      <c r="D88" s="12">
        <v>46104</v>
      </c>
      <c r="E88" s="13">
        <v>1588401</v>
      </c>
      <c r="F88" s="13" t="s">
        <v>15</v>
      </c>
      <c r="G88" s="14">
        <v>20361066</v>
      </c>
      <c r="H88" s="13" t="s">
        <v>369</v>
      </c>
      <c r="I88" s="13" t="s">
        <v>370</v>
      </c>
      <c r="J88" s="14">
        <v>1</v>
      </c>
      <c r="K88" s="14">
        <v>1</v>
      </c>
      <c r="L88" s="15">
        <v>13.2</v>
      </c>
      <c r="M88" s="15">
        <v>13.2</v>
      </c>
    </row>
    <row r="89" spans="4:13">
      <c r="D89" s="12">
        <v>46104</v>
      </c>
      <c r="E89" s="13">
        <v>1588401</v>
      </c>
      <c r="F89" s="13" t="s">
        <v>15</v>
      </c>
      <c r="G89" s="14">
        <v>20358914</v>
      </c>
      <c r="H89" s="13" t="s">
        <v>371</v>
      </c>
      <c r="I89" s="13" t="s">
        <v>317</v>
      </c>
      <c r="J89" s="14">
        <v>1</v>
      </c>
      <c r="K89" s="14">
        <v>1</v>
      </c>
      <c r="L89" s="15">
        <v>15</v>
      </c>
      <c r="M89" s="15">
        <v>15</v>
      </c>
    </row>
    <row r="90" spans="4:13">
      <c r="D90" s="12">
        <v>46104</v>
      </c>
      <c r="E90" s="13">
        <v>1588401</v>
      </c>
      <c r="F90" s="13" t="s">
        <v>15</v>
      </c>
      <c r="G90" s="14">
        <v>20359780</v>
      </c>
      <c r="H90" s="13" t="s">
        <v>372</v>
      </c>
      <c r="I90" s="13" t="s">
        <v>319</v>
      </c>
      <c r="J90" s="14">
        <v>1</v>
      </c>
      <c r="K90" s="14">
        <v>1</v>
      </c>
      <c r="L90" s="15">
        <v>13.2</v>
      </c>
      <c r="M90" s="15">
        <v>13.2</v>
      </c>
    </row>
    <row r="91" spans="4:13">
      <c r="D91" s="12">
        <v>46104</v>
      </c>
      <c r="E91" s="13">
        <v>1588401</v>
      </c>
      <c r="F91" s="13" t="s">
        <v>15</v>
      </c>
      <c r="G91" s="14">
        <v>20359947</v>
      </c>
      <c r="H91" s="13" t="s">
        <v>373</v>
      </c>
      <c r="I91" s="13" t="s">
        <v>128</v>
      </c>
      <c r="J91" s="14">
        <v>1</v>
      </c>
      <c r="K91" s="14">
        <v>1</v>
      </c>
      <c r="L91" s="15">
        <v>16.8</v>
      </c>
      <c r="M91" s="15">
        <v>16.8</v>
      </c>
    </row>
    <row r="92" spans="4:13">
      <c r="D92" s="12">
        <v>46104</v>
      </c>
      <c r="E92" s="13">
        <v>1588401</v>
      </c>
      <c r="F92" s="13" t="s">
        <v>15</v>
      </c>
      <c r="G92" s="14">
        <v>20303868</v>
      </c>
      <c r="H92" s="13" t="s">
        <v>374</v>
      </c>
      <c r="I92" s="13" t="s">
        <v>128</v>
      </c>
      <c r="J92" s="14">
        <v>1</v>
      </c>
      <c r="K92" s="14">
        <v>1</v>
      </c>
      <c r="L92" s="15">
        <v>16.8</v>
      </c>
      <c r="M92" s="15">
        <v>16.8</v>
      </c>
    </row>
    <row r="93" spans="4:13">
      <c r="D93" s="12">
        <v>46104</v>
      </c>
      <c r="E93" s="13">
        <v>1588401</v>
      </c>
      <c r="F93" s="13" t="s">
        <v>15</v>
      </c>
      <c r="G93" s="14">
        <v>20358905</v>
      </c>
      <c r="H93" s="13" t="s">
        <v>360</v>
      </c>
      <c r="I93" s="13" t="s">
        <v>244</v>
      </c>
      <c r="J93" s="14">
        <v>1</v>
      </c>
      <c r="K93" s="14">
        <v>1</v>
      </c>
      <c r="L93" s="15">
        <v>15</v>
      </c>
      <c r="M93" s="15">
        <v>15</v>
      </c>
    </row>
    <row r="94" spans="4:13">
      <c r="D94" s="12">
        <v>46104</v>
      </c>
      <c r="E94" s="13">
        <v>1588401</v>
      </c>
      <c r="F94" s="13" t="s">
        <v>15</v>
      </c>
      <c r="G94" s="14">
        <v>20309651</v>
      </c>
      <c r="H94" s="13" t="s">
        <v>130</v>
      </c>
      <c r="I94" s="13" t="s">
        <v>62</v>
      </c>
      <c r="J94" s="14">
        <v>2</v>
      </c>
      <c r="K94" s="14">
        <v>2</v>
      </c>
      <c r="L94" s="15">
        <v>21</v>
      </c>
      <c r="M94" s="15">
        <v>42</v>
      </c>
    </row>
    <row r="95" spans="4:13">
      <c r="D95" s="12">
        <v>46104</v>
      </c>
      <c r="E95" s="13">
        <v>1588401</v>
      </c>
      <c r="F95" s="13" t="s">
        <v>131</v>
      </c>
      <c r="G95" s="14">
        <v>20309744</v>
      </c>
      <c r="H95" s="13" t="s">
        <v>361</v>
      </c>
      <c r="I95" s="13" t="s">
        <v>221</v>
      </c>
      <c r="J95" s="14">
        <v>1</v>
      </c>
      <c r="K95" s="14">
        <v>9</v>
      </c>
      <c r="L95" s="15">
        <v>92.4</v>
      </c>
      <c r="M95" s="15">
        <v>92.4</v>
      </c>
    </row>
    <row r="96" spans="4:13">
      <c r="D96" s="12">
        <v>46104</v>
      </c>
      <c r="E96" s="13">
        <v>1588401</v>
      </c>
      <c r="F96" s="13" t="s">
        <v>131</v>
      </c>
      <c r="G96" s="14">
        <v>20309648</v>
      </c>
      <c r="H96" s="13" t="s">
        <v>363</v>
      </c>
      <c r="I96" s="13" t="s">
        <v>221</v>
      </c>
      <c r="J96" s="14">
        <v>1</v>
      </c>
      <c r="K96" s="14">
        <v>14</v>
      </c>
      <c r="L96" s="15">
        <v>138.6</v>
      </c>
      <c r="M96" s="15">
        <v>138.6</v>
      </c>
    </row>
    <row r="97" spans="4:13">
      <c r="D97" s="12">
        <v>46104</v>
      </c>
      <c r="E97" s="13">
        <v>1588401</v>
      </c>
      <c r="F97" s="13" t="s">
        <v>131</v>
      </c>
      <c r="G97" s="14">
        <v>20412203</v>
      </c>
      <c r="H97" s="13" t="s">
        <v>375</v>
      </c>
      <c r="I97" s="13" t="s">
        <v>221</v>
      </c>
      <c r="J97" s="14">
        <v>1</v>
      </c>
      <c r="K97" s="14">
        <v>8</v>
      </c>
      <c r="L97" s="15">
        <v>92.4</v>
      </c>
      <c r="M97" s="15">
        <v>92.4</v>
      </c>
    </row>
    <row r="98" spans="4:13">
      <c r="D98" s="12">
        <v>46104</v>
      </c>
      <c r="E98" s="13">
        <v>1588401</v>
      </c>
      <c r="F98" s="13" t="s">
        <v>131</v>
      </c>
      <c r="G98" s="14">
        <v>20384037</v>
      </c>
      <c r="H98" s="13" t="s">
        <v>376</v>
      </c>
      <c r="I98" s="13" t="s">
        <v>221</v>
      </c>
      <c r="J98" s="14">
        <v>1</v>
      </c>
      <c r="K98" s="14">
        <v>25</v>
      </c>
      <c r="L98" s="15">
        <v>180</v>
      </c>
      <c r="M98" s="15">
        <f>J98*L98</f>
        <v>180</v>
      </c>
    </row>
    <row r="99" spans="4:13">
      <c r="D99" s="12">
        <v>46104</v>
      </c>
      <c r="E99" s="13">
        <v>1588401</v>
      </c>
      <c r="F99" s="13" t="s">
        <v>131</v>
      </c>
      <c r="G99" s="14">
        <v>20309658</v>
      </c>
      <c r="H99" s="13" t="s">
        <v>365</v>
      </c>
      <c r="I99" s="13" t="s">
        <v>221</v>
      </c>
      <c r="J99" s="14">
        <v>1</v>
      </c>
      <c r="K99" s="14">
        <v>5</v>
      </c>
      <c r="L99" s="15">
        <v>52.8</v>
      </c>
      <c r="M99" s="15">
        <v>52.8</v>
      </c>
    </row>
    <row r="100" spans="4:13">
      <c r="D100" s="12">
        <v>46104</v>
      </c>
      <c r="E100" s="13">
        <v>1588401</v>
      </c>
      <c r="F100" s="13" t="s">
        <v>131</v>
      </c>
      <c r="G100" s="14">
        <v>20303777</v>
      </c>
      <c r="H100" s="13" t="s">
        <v>351</v>
      </c>
      <c r="I100" s="13" t="s">
        <v>221</v>
      </c>
      <c r="J100" s="14">
        <v>1</v>
      </c>
      <c r="K100" s="14">
        <v>27</v>
      </c>
      <c r="L100" s="15">
        <v>180</v>
      </c>
      <c r="M100" s="15">
        <f>J100*L100</f>
        <v>180</v>
      </c>
    </row>
    <row r="101" spans="4:13">
      <c r="D101" s="12">
        <v>46104</v>
      </c>
      <c r="E101" s="13">
        <v>1588401</v>
      </c>
      <c r="F101" s="13" t="s">
        <v>131</v>
      </c>
      <c r="G101" s="14">
        <v>20412202</v>
      </c>
      <c r="H101" s="13" t="s">
        <v>322</v>
      </c>
      <c r="I101" s="13" t="s">
        <v>221</v>
      </c>
      <c r="J101" s="14">
        <v>1</v>
      </c>
      <c r="K101" s="14">
        <v>23</v>
      </c>
      <c r="L101" s="15">
        <v>180</v>
      </c>
      <c r="M101" s="15">
        <f>J101*L101</f>
        <v>180</v>
      </c>
    </row>
    <row r="102" spans="4:13">
      <c r="D102" s="12">
        <v>46104</v>
      </c>
      <c r="E102" s="13">
        <v>1588401</v>
      </c>
      <c r="F102" s="13" t="s">
        <v>47</v>
      </c>
      <c r="G102" s="14">
        <v>20303011</v>
      </c>
      <c r="H102" s="13" t="s">
        <v>330</v>
      </c>
      <c r="I102" s="13" t="s">
        <v>331</v>
      </c>
      <c r="J102" s="14">
        <v>2</v>
      </c>
      <c r="K102" s="14">
        <v>52</v>
      </c>
      <c r="L102" s="15">
        <v>85.8</v>
      </c>
      <c r="M102" s="15">
        <v>171.6</v>
      </c>
    </row>
    <row r="103" spans="4:13">
      <c r="D103" s="12">
        <v>46104</v>
      </c>
      <c r="E103" s="13">
        <v>1588401</v>
      </c>
      <c r="F103" s="13" t="s">
        <v>65</v>
      </c>
      <c r="G103" s="14">
        <v>20307306</v>
      </c>
      <c r="H103" s="13" t="s">
        <v>377</v>
      </c>
      <c r="I103" s="13" t="s">
        <v>44</v>
      </c>
      <c r="J103" s="14">
        <v>1</v>
      </c>
      <c r="K103" s="14">
        <v>2</v>
      </c>
      <c r="L103" s="15">
        <v>9.9</v>
      </c>
      <c r="M103" s="15">
        <v>9.9</v>
      </c>
    </row>
    <row r="104" spans="4:13">
      <c r="D104" s="12">
        <v>46104</v>
      </c>
      <c r="E104" s="13">
        <v>1588401</v>
      </c>
      <c r="F104" s="13" t="s">
        <v>65</v>
      </c>
      <c r="G104" s="14">
        <v>20303836</v>
      </c>
      <c r="H104" s="13" t="s">
        <v>332</v>
      </c>
      <c r="I104" s="13" t="s">
        <v>83</v>
      </c>
      <c r="J104" s="14">
        <v>6</v>
      </c>
      <c r="K104" s="14">
        <v>24</v>
      </c>
      <c r="L104" s="15">
        <v>13.2</v>
      </c>
      <c r="M104" s="15">
        <v>79.2</v>
      </c>
    </row>
    <row r="105" spans="4:13">
      <c r="D105" s="12">
        <v>46104</v>
      </c>
      <c r="E105" s="13">
        <v>1588409</v>
      </c>
      <c r="F105" s="13" t="s">
        <v>378</v>
      </c>
      <c r="G105" s="14">
        <v>20310012</v>
      </c>
      <c r="H105" s="13" t="s">
        <v>379</v>
      </c>
      <c r="I105" s="13" t="s">
        <v>2</v>
      </c>
      <c r="J105" s="14">
        <v>4</v>
      </c>
      <c r="K105" s="14">
        <v>0</v>
      </c>
      <c r="L105" s="15">
        <v>15</v>
      </c>
      <c r="M105" s="15">
        <v>60</v>
      </c>
    </row>
    <row r="106" spans="4:13">
      <c r="D106" s="12">
        <v>46105</v>
      </c>
      <c r="E106" s="13">
        <v>1588644</v>
      </c>
      <c r="F106" s="13" t="s">
        <v>20</v>
      </c>
      <c r="G106" s="14">
        <v>20309804</v>
      </c>
      <c r="H106" s="13" t="s">
        <v>367</v>
      </c>
      <c r="I106" s="13" t="s">
        <v>53</v>
      </c>
      <c r="J106" s="14">
        <v>1</v>
      </c>
      <c r="K106" s="14">
        <v>1</v>
      </c>
      <c r="L106" s="15">
        <v>6.6</v>
      </c>
      <c r="M106" s="15">
        <v>6.6</v>
      </c>
    </row>
    <row r="107" spans="4:13">
      <c r="D107" s="12">
        <v>46105</v>
      </c>
      <c r="E107" s="13">
        <v>1588644</v>
      </c>
      <c r="F107" s="13" t="s">
        <v>15</v>
      </c>
      <c r="G107" s="14">
        <v>20370421</v>
      </c>
      <c r="H107" s="13" t="s">
        <v>380</v>
      </c>
      <c r="I107" s="13" t="s">
        <v>381</v>
      </c>
      <c r="J107" s="14">
        <v>1</v>
      </c>
      <c r="K107" s="14">
        <v>2</v>
      </c>
      <c r="L107" s="15">
        <v>26.4</v>
      </c>
      <c r="M107" s="15">
        <v>26.4</v>
      </c>
    </row>
    <row r="108" spans="4:13">
      <c r="D108" s="12">
        <v>46105</v>
      </c>
      <c r="E108" s="13">
        <v>1588644</v>
      </c>
      <c r="F108" s="13" t="s">
        <v>15</v>
      </c>
      <c r="G108" s="14">
        <v>20361239</v>
      </c>
      <c r="H108" s="13" t="s">
        <v>382</v>
      </c>
      <c r="I108" s="13" t="s">
        <v>383</v>
      </c>
      <c r="J108" s="14">
        <v>1</v>
      </c>
      <c r="K108" s="14">
        <v>10</v>
      </c>
      <c r="L108" s="15">
        <v>99</v>
      </c>
      <c r="M108" s="15">
        <v>99</v>
      </c>
    </row>
    <row r="109" spans="4:13">
      <c r="D109" s="12">
        <v>46105</v>
      </c>
      <c r="E109" s="13">
        <v>1588644</v>
      </c>
      <c r="F109" s="13" t="s">
        <v>131</v>
      </c>
      <c r="G109" s="14">
        <v>20339097</v>
      </c>
      <c r="H109" s="13" t="s">
        <v>343</v>
      </c>
      <c r="I109" s="13" t="s">
        <v>221</v>
      </c>
      <c r="J109" s="14">
        <v>1</v>
      </c>
      <c r="K109" s="14">
        <v>32</v>
      </c>
      <c r="L109" s="15">
        <v>180</v>
      </c>
      <c r="M109" s="15">
        <f>J109*L109</f>
        <v>180</v>
      </c>
    </row>
    <row r="110" spans="4:13">
      <c r="D110" s="12">
        <v>46105</v>
      </c>
      <c r="E110" s="13">
        <v>1588644</v>
      </c>
      <c r="F110" s="13" t="s">
        <v>131</v>
      </c>
      <c r="G110" s="14">
        <v>20312767</v>
      </c>
      <c r="H110" s="13" t="s">
        <v>384</v>
      </c>
      <c r="I110" s="13" t="s">
        <v>221</v>
      </c>
      <c r="J110" s="14">
        <v>1</v>
      </c>
      <c r="K110" s="14">
        <v>9</v>
      </c>
      <c r="L110" s="15">
        <v>99</v>
      </c>
      <c r="M110" s="15">
        <v>99</v>
      </c>
    </row>
    <row r="111" spans="4:13">
      <c r="D111" s="12">
        <v>46105</v>
      </c>
      <c r="E111" s="13">
        <v>1588644</v>
      </c>
      <c r="F111" s="13" t="s">
        <v>131</v>
      </c>
      <c r="G111" s="14">
        <v>20384037</v>
      </c>
      <c r="H111" s="13" t="s">
        <v>376</v>
      </c>
      <c r="I111" s="13" t="s">
        <v>221</v>
      </c>
      <c r="J111" s="14">
        <v>1</v>
      </c>
      <c r="K111" s="14">
        <v>25</v>
      </c>
      <c r="L111" s="15">
        <v>180</v>
      </c>
      <c r="M111" s="15">
        <f>J111*L111</f>
        <v>180</v>
      </c>
    </row>
    <row r="112" spans="4:13">
      <c r="D112" s="12">
        <v>46105</v>
      </c>
      <c r="E112" s="13">
        <v>1588644</v>
      </c>
      <c r="F112" s="13" t="s">
        <v>131</v>
      </c>
      <c r="G112" s="14">
        <v>20309658</v>
      </c>
      <c r="H112" s="13" t="s">
        <v>365</v>
      </c>
      <c r="I112" s="13" t="s">
        <v>221</v>
      </c>
      <c r="J112" s="14">
        <v>1</v>
      </c>
      <c r="K112" s="14">
        <v>5</v>
      </c>
      <c r="L112" s="15">
        <v>52.8</v>
      </c>
      <c r="M112" s="15">
        <v>52.8</v>
      </c>
    </row>
    <row r="113" spans="4:13">
      <c r="D113" s="12">
        <v>46105</v>
      </c>
      <c r="E113" s="13">
        <v>1588644</v>
      </c>
      <c r="F113" s="13" t="s">
        <v>131</v>
      </c>
      <c r="G113" s="14">
        <v>20312572</v>
      </c>
      <c r="H113" s="13" t="s">
        <v>366</v>
      </c>
      <c r="I113" s="13" t="s">
        <v>221</v>
      </c>
      <c r="J113" s="14">
        <v>1</v>
      </c>
      <c r="K113" s="14">
        <v>27</v>
      </c>
      <c r="L113" s="15">
        <v>180</v>
      </c>
      <c r="M113" s="15">
        <f>J113*L113</f>
        <v>180</v>
      </c>
    </row>
    <row r="114" spans="4:13">
      <c r="D114" s="12">
        <v>46105</v>
      </c>
      <c r="E114" s="13">
        <v>1588644</v>
      </c>
      <c r="F114" s="13" t="s">
        <v>131</v>
      </c>
      <c r="G114" s="14">
        <v>20411790</v>
      </c>
      <c r="H114" s="13" t="s">
        <v>345</v>
      </c>
      <c r="I114" s="13" t="s">
        <v>221</v>
      </c>
      <c r="J114" s="14">
        <v>1</v>
      </c>
      <c r="K114" s="14">
        <v>28</v>
      </c>
      <c r="L114" s="15">
        <v>180</v>
      </c>
      <c r="M114" s="15">
        <f>J114*L114</f>
        <v>180</v>
      </c>
    </row>
    <row r="115" spans="4:13">
      <c r="D115" s="12">
        <v>46105</v>
      </c>
      <c r="E115" s="13">
        <v>1588644</v>
      </c>
      <c r="F115" s="13" t="s">
        <v>385</v>
      </c>
      <c r="G115" s="14">
        <v>20349421</v>
      </c>
      <c r="H115" s="13" t="s">
        <v>386</v>
      </c>
      <c r="I115" s="13" t="s">
        <v>221</v>
      </c>
      <c r="J115" s="14">
        <v>1</v>
      </c>
      <c r="K115" s="14">
        <v>2</v>
      </c>
      <c r="L115" s="15">
        <v>26.4</v>
      </c>
      <c r="M115" s="15">
        <v>26.4</v>
      </c>
    </row>
    <row r="116" spans="4:13">
      <c r="D116" s="12">
        <v>46105</v>
      </c>
      <c r="E116" s="13">
        <v>1588671</v>
      </c>
      <c r="F116" s="13" t="s">
        <v>324</v>
      </c>
      <c r="G116" s="14">
        <v>20300049</v>
      </c>
      <c r="H116" s="13" t="s">
        <v>387</v>
      </c>
      <c r="I116" s="13" t="s">
        <v>326</v>
      </c>
      <c r="J116" s="14">
        <v>1</v>
      </c>
      <c r="K116" s="14">
        <v>33</v>
      </c>
      <c r="L116" s="15">
        <v>108.9</v>
      </c>
      <c r="M116" s="15">
        <v>108.9</v>
      </c>
    </row>
    <row r="117" spans="4:13">
      <c r="D117" s="12">
        <v>46105</v>
      </c>
      <c r="E117" s="13">
        <v>1588671</v>
      </c>
      <c r="F117" s="13" t="s">
        <v>324</v>
      </c>
      <c r="G117" s="14">
        <v>20303010</v>
      </c>
      <c r="H117" s="13" t="s">
        <v>325</v>
      </c>
      <c r="I117" s="13" t="s">
        <v>326</v>
      </c>
      <c r="J117" s="14">
        <v>3</v>
      </c>
      <c r="K117" s="14">
        <v>75</v>
      </c>
      <c r="L117" s="15">
        <v>82.5</v>
      </c>
      <c r="M117" s="15">
        <v>247.5</v>
      </c>
    </row>
    <row r="118" spans="4:13">
      <c r="D118" s="12">
        <v>46105</v>
      </c>
      <c r="E118" s="13">
        <v>1588671</v>
      </c>
      <c r="F118" s="13" t="s">
        <v>324</v>
      </c>
      <c r="G118" s="14">
        <v>20303022</v>
      </c>
      <c r="H118" s="13" t="s">
        <v>352</v>
      </c>
      <c r="I118" s="13" t="s">
        <v>326</v>
      </c>
      <c r="J118" s="14">
        <v>3</v>
      </c>
      <c r="K118" s="14">
        <v>93</v>
      </c>
      <c r="L118" s="15">
        <v>102.3</v>
      </c>
      <c r="M118" s="15">
        <v>306.9</v>
      </c>
    </row>
    <row r="119" spans="4:13">
      <c r="D119" s="12">
        <v>46105</v>
      </c>
      <c r="E119" s="13">
        <v>1588671</v>
      </c>
      <c r="F119" s="13" t="s">
        <v>324</v>
      </c>
      <c r="G119" s="14">
        <v>20303029</v>
      </c>
      <c r="H119" s="13" t="s">
        <v>337</v>
      </c>
      <c r="I119" s="13" t="s">
        <v>326</v>
      </c>
      <c r="J119" s="14">
        <v>1</v>
      </c>
      <c r="K119" s="14">
        <v>47</v>
      </c>
      <c r="L119" s="15">
        <v>155.1</v>
      </c>
      <c r="M119" s="15">
        <v>155.1</v>
      </c>
    </row>
    <row r="120" spans="4:13">
      <c r="D120" s="12">
        <v>46105</v>
      </c>
      <c r="E120" s="13">
        <v>1588671</v>
      </c>
      <c r="F120" s="13" t="s">
        <v>324</v>
      </c>
      <c r="G120" s="14">
        <v>20303052</v>
      </c>
      <c r="H120" s="13" t="s">
        <v>388</v>
      </c>
      <c r="I120" s="13" t="s">
        <v>326</v>
      </c>
      <c r="J120" s="14">
        <v>1</v>
      </c>
      <c r="K120" s="14">
        <v>30</v>
      </c>
      <c r="L120" s="15">
        <v>99</v>
      </c>
      <c r="M120" s="15">
        <v>99</v>
      </c>
    </row>
    <row r="121" spans="4:13">
      <c r="D121" s="12">
        <v>46105</v>
      </c>
      <c r="E121" s="13">
        <v>1588671</v>
      </c>
      <c r="F121" s="13" t="s">
        <v>324</v>
      </c>
      <c r="G121" s="14">
        <v>20303053</v>
      </c>
      <c r="H121" s="13" t="s">
        <v>389</v>
      </c>
      <c r="I121" s="13" t="s">
        <v>326</v>
      </c>
      <c r="J121" s="14">
        <v>1</v>
      </c>
      <c r="K121" s="14">
        <v>26</v>
      </c>
      <c r="L121" s="15">
        <v>85.8</v>
      </c>
      <c r="M121" s="15">
        <v>85.8</v>
      </c>
    </row>
    <row r="122" spans="4:13">
      <c r="D122" s="12">
        <v>46105</v>
      </c>
      <c r="E122" s="13">
        <v>1588671</v>
      </c>
      <c r="F122" s="13" t="s">
        <v>324</v>
      </c>
      <c r="G122" s="14">
        <v>20303058</v>
      </c>
      <c r="H122" s="13" t="s">
        <v>338</v>
      </c>
      <c r="I122" s="13" t="s">
        <v>326</v>
      </c>
      <c r="J122" s="14">
        <v>1</v>
      </c>
      <c r="K122" s="14">
        <v>57</v>
      </c>
      <c r="L122" s="15">
        <v>188.1</v>
      </c>
      <c r="M122" s="15">
        <v>188.1</v>
      </c>
    </row>
    <row r="123" spans="4:13">
      <c r="D123" s="12">
        <v>46105</v>
      </c>
      <c r="E123" s="13">
        <v>1588671</v>
      </c>
      <c r="F123" s="13" t="s">
        <v>163</v>
      </c>
      <c r="G123" s="14">
        <v>20310304</v>
      </c>
      <c r="H123" s="13" t="s">
        <v>339</v>
      </c>
      <c r="I123" s="13" t="s">
        <v>83</v>
      </c>
      <c r="J123" s="14">
        <v>1</v>
      </c>
      <c r="K123" s="14">
        <v>11</v>
      </c>
      <c r="L123" s="15">
        <v>36.3</v>
      </c>
      <c r="M123" s="15">
        <v>36.3</v>
      </c>
    </row>
    <row r="124" spans="4:13">
      <c r="D124" s="12">
        <v>46105</v>
      </c>
      <c r="E124" s="13">
        <v>1588671</v>
      </c>
      <c r="F124" s="13" t="s">
        <v>20</v>
      </c>
      <c r="G124" s="14">
        <v>20303954</v>
      </c>
      <c r="H124" s="13" t="s">
        <v>295</v>
      </c>
      <c r="I124" s="13" t="s">
        <v>29</v>
      </c>
      <c r="J124" s="14">
        <v>1</v>
      </c>
      <c r="K124" s="14">
        <v>1</v>
      </c>
      <c r="L124" s="15">
        <v>4.8</v>
      </c>
      <c r="M124" s="15">
        <v>4.8</v>
      </c>
    </row>
    <row r="125" spans="4:13">
      <c r="D125" s="12">
        <v>46105</v>
      </c>
      <c r="E125" s="13">
        <v>1588671</v>
      </c>
      <c r="F125" s="13" t="s">
        <v>20</v>
      </c>
      <c r="G125" s="14">
        <v>20313337</v>
      </c>
      <c r="H125" s="13" t="s">
        <v>353</v>
      </c>
      <c r="I125" s="13" t="s">
        <v>53</v>
      </c>
      <c r="J125" s="14">
        <v>1</v>
      </c>
      <c r="K125" s="14">
        <v>2</v>
      </c>
      <c r="L125" s="15">
        <v>9.9</v>
      </c>
      <c r="M125" s="15">
        <v>9.9</v>
      </c>
    </row>
    <row r="126" spans="4:13">
      <c r="D126" s="12">
        <v>46105</v>
      </c>
      <c r="E126" s="13">
        <v>1588671</v>
      </c>
      <c r="F126" s="13" t="s">
        <v>20</v>
      </c>
      <c r="G126" s="14">
        <v>20312918</v>
      </c>
      <c r="H126" s="13" t="s">
        <v>390</v>
      </c>
      <c r="I126" s="13" t="s">
        <v>139</v>
      </c>
      <c r="J126" s="14">
        <v>1</v>
      </c>
      <c r="K126" s="14">
        <v>1</v>
      </c>
      <c r="L126" s="15">
        <v>4.8</v>
      </c>
      <c r="M126" s="15">
        <v>4.8</v>
      </c>
    </row>
    <row r="127" spans="4:13">
      <c r="D127" s="12">
        <v>46105</v>
      </c>
      <c r="E127" s="13">
        <v>1588671</v>
      </c>
      <c r="F127" s="13" t="s">
        <v>47</v>
      </c>
      <c r="G127" s="14">
        <v>20303011</v>
      </c>
      <c r="H127" s="13" t="s">
        <v>330</v>
      </c>
      <c r="I127" s="13" t="s">
        <v>331</v>
      </c>
      <c r="J127" s="14">
        <v>1</v>
      </c>
      <c r="K127" s="14">
        <v>26</v>
      </c>
      <c r="L127" s="15">
        <v>85.8</v>
      </c>
      <c r="M127" s="15">
        <v>85.8</v>
      </c>
    </row>
    <row r="128" spans="4:13">
      <c r="D128" s="12">
        <v>46105</v>
      </c>
      <c r="E128" s="13">
        <v>1588671</v>
      </c>
      <c r="F128" s="13" t="s">
        <v>47</v>
      </c>
      <c r="G128" s="14">
        <v>20303051</v>
      </c>
      <c r="H128" s="13" t="s">
        <v>391</v>
      </c>
      <c r="I128" s="13" t="s">
        <v>347</v>
      </c>
      <c r="J128" s="14">
        <v>1</v>
      </c>
      <c r="K128" s="14">
        <v>11</v>
      </c>
      <c r="L128" s="15">
        <v>36.3</v>
      </c>
      <c r="M128" s="15">
        <v>36.3</v>
      </c>
    </row>
    <row r="129" spans="4:13">
      <c r="D129" s="12">
        <v>46105</v>
      </c>
      <c r="E129" s="13">
        <v>1588671</v>
      </c>
      <c r="F129" s="13" t="s">
        <v>47</v>
      </c>
      <c r="G129" s="14">
        <v>20306256</v>
      </c>
      <c r="H129" s="13" t="s">
        <v>349</v>
      </c>
      <c r="I129" s="13" t="s">
        <v>83</v>
      </c>
      <c r="J129" s="14">
        <v>3</v>
      </c>
      <c r="K129" s="14">
        <v>66</v>
      </c>
      <c r="L129" s="15">
        <v>72.6</v>
      </c>
      <c r="M129" s="15">
        <v>217.8</v>
      </c>
    </row>
    <row r="130" spans="4:13">
      <c r="D130" s="12">
        <v>46105</v>
      </c>
      <c r="E130" s="13">
        <v>1588671</v>
      </c>
      <c r="F130" s="13" t="s">
        <v>65</v>
      </c>
      <c r="G130" s="14">
        <v>20303836</v>
      </c>
      <c r="H130" s="13" t="s">
        <v>332</v>
      </c>
      <c r="I130" s="13" t="s">
        <v>83</v>
      </c>
      <c r="J130" s="14">
        <v>1</v>
      </c>
      <c r="K130" s="14">
        <v>4</v>
      </c>
      <c r="L130" s="15">
        <v>13.2</v>
      </c>
      <c r="M130" s="15">
        <v>13.2</v>
      </c>
    </row>
    <row r="131" spans="4:13">
      <c r="D131" s="12">
        <v>46105</v>
      </c>
      <c r="E131" s="13">
        <v>1588671</v>
      </c>
      <c r="F131" s="13" t="s">
        <v>65</v>
      </c>
      <c r="G131" s="14">
        <v>20413730</v>
      </c>
      <c r="H131" s="13" t="s">
        <v>392</v>
      </c>
      <c r="I131" s="13" t="s">
        <v>62</v>
      </c>
      <c r="J131" s="14">
        <v>1</v>
      </c>
      <c r="K131" s="14">
        <v>9</v>
      </c>
      <c r="L131" s="15">
        <v>29.7</v>
      </c>
      <c r="M131" s="15">
        <v>29.7</v>
      </c>
    </row>
    <row r="132" spans="4:13">
      <c r="D132" s="12">
        <v>46105</v>
      </c>
      <c r="E132" s="13">
        <v>1588731</v>
      </c>
      <c r="F132" s="13" t="s">
        <v>324</v>
      </c>
      <c r="G132" s="14">
        <v>20303022</v>
      </c>
      <c r="H132" s="13" t="s">
        <v>352</v>
      </c>
      <c r="I132" s="13" t="s">
        <v>326</v>
      </c>
      <c r="J132" s="14">
        <v>1</v>
      </c>
      <c r="K132" s="14">
        <v>31</v>
      </c>
      <c r="L132" s="15">
        <v>102.3</v>
      </c>
      <c r="M132" s="15">
        <v>102.3</v>
      </c>
    </row>
    <row r="133" spans="4:13">
      <c r="D133" s="12">
        <v>46105</v>
      </c>
      <c r="E133" s="13">
        <v>1588731</v>
      </c>
      <c r="F133" s="13" t="s">
        <v>324</v>
      </c>
      <c r="G133" s="14">
        <v>20309891</v>
      </c>
      <c r="H133" s="13" t="s">
        <v>393</v>
      </c>
      <c r="I133" s="13" t="s">
        <v>326</v>
      </c>
      <c r="J133" s="14">
        <v>1</v>
      </c>
      <c r="K133" s="14">
        <v>27</v>
      </c>
      <c r="L133" s="15">
        <v>89.1</v>
      </c>
      <c r="M133" s="15">
        <v>89.1</v>
      </c>
    </row>
    <row r="134" spans="4:13">
      <c r="D134" s="12">
        <v>46105</v>
      </c>
      <c r="E134" s="13">
        <v>1588731</v>
      </c>
      <c r="F134" s="13" t="s">
        <v>20</v>
      </c>
      <c r="G134" s="14">
        <v>20303954</v>
      </c>
      <c r="H134" s="13" t="s">
        <v>295</v>
      </c>
      <c r="I134" s="13" t="s">
        <v>29</v>
      </c>
      <c r="J134" s="14">
        <v>1</v>
      </c>
      <c r="K134" s="14">
        <v>1</v>
      </c>
      <c r="L134" s="15">
        <v>4.8</v>
      </c>
      <c r="M134" s="15">
        <v>4.8</v>
      </c>
    </row>
    <row r="135" spans="4:13">
      <c r="D135" s="12">
        <v>46105</v>
      </c>
      <c r="E135" s="13">
        <v>1588731</v>
      </c>
      <c r="F135" s="13" t="s">
        <v>20</v>
      </c>
      <c r="G135" s="14">
        <v>20303859</v>
      </c>
      <c r="H135" s="13" t="s">
        <v>46</v>
      </c>
      <c r="I135" s="13" t="s">
        <v>35</v>
      </c>
      <c r="J135" s="14">
        <v>1</v>
      </c>
      <c r="K135" s="14">
        <v>1</v>
      </c>
      <c r="L135" s="15">
        <v>4.8</v>
      </c>
      <c r="M135" s="15">
        <v>4.8</v>
      </c>
    </row>
    <row r="136" spans="4:13">
      <c r="D136" s="12">
        <v>46105</v>
      </c>
      <c r="E136" s="13">
        <v>1588731</v>
      </c>
      <c r="F136" s="13" t="s">
        <v>20</v>
      </c>
      <c r="G136" s="14">
        <v>20305194</v>
      </c>
      <c r="H136" s="13" t="s">
        <v>394</v>
      </c>
      <c r="I136" s="13" t="s">
        <v>29</v>
      </c>
      <c r="J136" s="14">
        <v>1</v>
      </c>
      <c r="K136" s="14">
        <v>1</v>
      </c>
      <c r="L136" s="15">
        <v>4.8</v>
      </c>
      <c r="M136" s="15">
        <v>4.8</v>
      </c>
    </row>
    <row r="137" spans="4:13">
      <c r="D137" s="12">
        <v>46105</v>
      </c>
      <c r="E137" s="13">
        <v>1588731</v>
      </c>
      <c r="F137" s="13" t="s">
        <v>20</v>
      </c>
      <c r="G137" s="14">
        <v>20309447</v>
      </c>
      <c r="H137" s="13" t="s">
        <v>395</v>
      </c>
      <c r="I137" s="13" t="s">
        <v>29</v>
      </c>
      <c r="J137" s="14">
        <v>1</v>
      </c>
      <c r="K137" s="14">
        <v>1</v>
      </c>
      <c r="L137" s="15">
        <v>4.8</v>
      </c>
      <c r="M137" s="15">
        <v>4.8</v>
      </c>
    </row>
    <row r="138" spans="4:13">
      <c r="D138" s="12">
        <v>46105</v>
      </c>
      <c r="E138" s="13">
        <v>1588731</v>
      </c>
      <c r="F138" s="13" t="s">
        <v>20</v>
      </c>
      <c r="G138" s="14">
        <v>20305193</v>
      </c>
      <c r="H138" s="13" t="s">
        <v>396</v>
      </c>
      <c r="I138" s="13" t="s">
        <v>22</v>
      </c>
      <c r="J138" s="14">
        <v>1</v>
      </c>
      <c r="K138" s="14">
        <v>1</v>
      </c>
      <c r="L138" s="15">
        <v>4.8</v>
      </c>
      <c r="M138" s="15">
        <v>4.8</v>
      </c>
    </row>
    <row r="139" spans="4:13">
      <c r="D139" s="12">
        <v>46105</v>
      </c>
      <c r="E139" s="13">
        <v>1588731</v>
      </c>
      <c r="F139" s="13" t="s">
        <v>15</v>
      </c>
      <c r="G139" s="14">
        <v>20370421</v>
      </c>
      <c r="H139" s="13" t="s">
        <v>380</v>
      </c>
      <c r="I139" s="13" t="s">
        <v>381</v>
      </c>
      <c r="J139" s="14">
        <v>1</v>
      </c>
      <c r="K139" s="14">
        <v>2</v>
      </c>
      <c r="L139" s="15">
        <v>26.4</v>
      </c>
      <c r="M139" s="15">
        <v>26.4</v>
      </c>
    </row>
    <row r="140" spans="4:13">
      <c r="D140" s="12">
        <v>46105</v>
      </c>
      <c r="E140" s="13">
        <v>1588731</v>
      </c>
      <c r="F140" s="13" t="s">
        <v>15</v>
      </c>
      <c r="G140" s="14">
        <v>20358905</v>
      </c>
      <c r="H140" s="13" t="s">
        <v>360</v>
      </c>
      <c r="I140" s="13" t="s">
        <v>244</v>
      </c>
      <c r="J140" s="14">
        <v>1</v>
      </c>
      <c r="K140" s="14">
        <v>1</v>
      </c>
      <c r="L140" s="15">
        <v>15</v>
      </c>
      <c r="M140" s="15">
        <v>15</v>
      </c>
    </row>
    <row r="141" spans="4:13">
      <c r="D141" s="12">
        <v>46105</v>
      </c>
      <c r="E141" s="13">
        <v>1588731</v>
      </c>
      <c r="F141" s="13" t="s">
        <v>15</v>
      </c>
      <c r="G141" s="14">
        <v>20309636</v>
      </c>
      <c r="H141" s="13" t="s">
        <v>397</v>
      </c>
      <c r="I141" s="13" t="s">
        <v>62</v>
      </c>
      <c r="J141" s="14">
        <v>1</v>
      </c>
      <c r="K141" s="14">
        <v>2</v>
      </c>
      <c r="L141" s="15">
        <v>26.4</v>
      </c>
      <c r="M141" s="15">
        <v>26.4</v>
      </c>
    </row>
    <row r="142" spans="4:13">
      <c r="D142" s="12">
        <v>46105</v>
      </c>
      <c r="E142" s="13">
        <v>1588731</v>
      </c>
      <c r="F142" s="13" t="s">
        <v>131</v>
      </c>
      <c r="G142" s="14">
        <v>20412362</v>
      </c>
      <c r="H142" s="13" t="s">
        <v>398</v>
      </c>
      <c r="I142" s="13" t="s">
        <v>221</v>
      </c>
      <c r="J142" s="14">
        <v>1</v>
      </c>
      <c r="K142" s="14">
        <v>2</v>
      </c>
      <c r="L142" s="15">
        <v>21</v>
      </c>
      <c r="M142" s="15">
        <v>21</v>
      </c>
    </row>
    <row r="143" spans="4:13">
      <c r="D143" s="12">
        <v>46105</v>
      </c>
      <c r="E143" s="13">
        <v>1588731</v>
      </c>
      <c r="F143" s="13" t="s">
        <v>131</v>
      </c>
      <c r="G143" s="14">
        <v>20309648</v>
      </c>
      <c r="H143" s="13" t="s">
        <v>363</v>
      </c>
      <c r="I143" s="13" t="s">
        <v>221</v>
      </c>
      <c r="J143" s="14">
        <v>2</v>
      </c>
      <c r="K143" s="14">
        <v>28</v>
      </c>
      <c r="L143" s="15">
        <v>138.6</v>
      </c>
      <c r="M143" s="15">
        <v>277.2</v>
      </c>
    </row>
    <row r="144" spans="4:13">
      <c r="D144" s="12">
        <v>46105</v>
      </c>
      <c r="E144" s="13">
        <v>1588731</v>
      </c>
      <c r="F144" s="13" t="s">
        <v>131</v>
      </c>
      <c r="G144" s="14">
        <v>20339097</v>
      </c>
      <c r="H144" s="13" t="s">
        <v>343</v>
      </c>
      <c r="I144" s="13" t="s">
        <v>221</v>
      </c>
      <c r="J144" s="14">
        <v>1</v>
      </c>
      <c r="K144" s="14">
        <v>32</v>
      </c>
      <c r="L144" s="15">
        <v>180</v>
      </c>
      <c r="M144" s="15">
        <f>J144*L144</f>
        <v>180</v>
      </c>
    </row>
    <row r="145" spans="4:13">
      <c r="D145" s="12">
        <v>46105</v>
      </c>
      <c r="E145" s="13">
        <v>1588731</v>
      </c>
      <c r="F145" s="13" t="s">
        <v>131</v>
      </c>
      <c r="G145" s="14">
        <v>20347658</v>
      </c>
      <c r="H145" s="13" t="s">
        <v>399</v>
      </c>
      <c r="I145" s="13" t="s">
        <v>221</v>
      </c>
      <c r="J145" s="14">
        <v>1</v>
      </c>
      <c r="K145" s="14">
        <v>7</v>
      </c>
      <c r="L145" s="15">
        <v>79.2</v>
      </c>
      <c r="M145" s="15">
        <v>79.2</v>
      </c>
    </row>
    <row r="146" spans="4:13">
      <c r="D146" s="12">
        <v>46105</v>
      </c>
      <c r="E146" s="13">
        <v>1588731</v>
      </c>
      <c r="F146" s="13" t="s">
        <v>131</v>
      </c>
      <c r="G146" s="14">
        <v>20312767</v>
      </c>
      <c r="H146" s="13" t="s">
        <v>384</v>
      </c>
      <c r="I146" s="13" t="s">
        <v>221</v>
      </c>
      <c r="J146" s="14">
        <v>1</v>
      </c>
      <c r="K146" s="14">
        <v>9</v>
      </c>
      <c r="L146" s="15">
        <v>99</v>
      </c>
      <c r="M146" s="15">
        <v>99</v>
      </c>
    </row>
    <row r="147" spans="4:13">
      <c r="D147" s="12">
        <v>46105</v>
      </c>
      <c r="E147" s="13">
        <v>1588731</v>
      </c>
      <c r="F147" s="13" t="s">
        <v>131</v>
      </c>
      <c r="G147" s="14">
        <v>20314362</v>
      </c>
      <c r="H147" s="13" t="s">
        <v>364</v>
      </c>
      <c r="I147" s="13" t="s">
        <v>221</v>
      </c>
      <c r="J147" s="14">
        <v>1</v>
      </c>
      <c r="K147" s="14">
        <v>27</v>
      </c>
      <c r="L147" s="15">
        <v>180</v>
      </c>
      <c r="M147" s="15">
        <f>J147*L147</f>
        <v>180</v>
      </c>
    </row>
    <row r="148" spans="4:13">
      <c r="D148" s="12">
        <v>46105</v>
      </c>
      <c r="E148" s="13">
        <v>1588731</v>
      </c>
      <c r="F148" s="13" t="s">
        <v>131</v>
      </c>
      <c r="G148" s="14">
        <v>20309658</v>
      </c>
      <c r="H148" s="13" t="s">
        <v>365</v>
      </c>
      <c r="I148" s="13" t="s">
        <v>221</v>
      </c>
      <c r="J148" s="14">
        <v>1</v>
      </c>
      <c r="K148" s="14">
        <v>5</v>
      </c>
      <c r="L148" s="15">
        <v>52.8</v>
      </c>
      <c r="M148" s="15">
        <v>52.8</v>
      </c>
    </row>
    <row r="149" spans="4:13">
      <c r="D149" s="12">
        <v>46105</v>
      </c>
      <c r="E149" s="13">
        <v>1588731</v>
      </c>
      <c r="F149" s="13" t="s">
        <v>131</v>
      </c>
      <c r="G149" s="14">
        <v>20412034</v>
      </c>
      <c r="H149" s="13" t="s">
        <v>344</v>
      </c>
      <c r="I149" s="13" t="s">
        <v>221</v>
      </c>
      <c r="J149" s="14">
        <v>1</v>
      </c>
      <c r="K149" s="14">
        <v>28</v>
      </c>
      <c r="L149" s="15">
        <v>180</v>
      </c>
      <c r="M149" s="15">
        <f>J149*L149</f>
        <v>180</v>
      </c>
    </row>
    <row r="150" spans="4:13">
      <c r="D150" s="12">
        <v>46105</v>
      </c>
      <c r="E150" s="13">
        <v>1588731</v>
      </c>
      <c r="F150" s="13" t="s">
        <v>131</v>
      </c>
      <c r="G150" s="14">
        <v>20412202</v>
      </c>
      <c r="H150" s="13" t="s">
        <v>322</v>
      </c>
      <c r="I150" s="13" t="s">
        <v>221</v>
      </c>
      <c r="J150" s="14">
        <v>1</v>
      </c>
      <c r="K150" s="14">
        <v>23</v>
      </c>
      <c r="L150" s="15">
        <v>180</v>
      </c>
      <c r="M150" s="15">
        <f>J150*L150</f>
        <v>180</v>
      </c>
    </row>
    <row r="151" spans="4:13">
      <c r="D151" s="12">
        <v>46105</v>
      </c>
      <c r="E151" s="13">
        <v>1588731</v>
      </c>
      <c r="F151" s="13" t="s">
        <v>47</v>
      </c>
      <c r="G151" s="14">
        <v>20303011</v>
      </c>
      <c r="H151" s="13" t="s">
        <v>330</v>
      </c>
      <c r="I151" s="13" t="s">
        <v>331</v>
      </c>
      <c r="J151" s="14">
        <v>4</v>
      </c>
      <c r="K151" s="14">
        <v>104</v>
      </c>
      <c r="L151" s="15">
        <v>85.8</v>
      </c>
      <c r="M151" s="15">
        <v>343.2</v>
      </c>
    </row>
    <row r="152" spans="4:13">
      <c r="D152" s="12">
        <v>46105</v>
      </c>
      <c r="E152" s="13">
        <v>1588731</v>
      </c>
      <c r="F152" s="13" t="s">
        <v>47</v>
      </c>
      <c r="G152" s="14">
        <v>20303035</v>
      </c>
      <c r="H152" s="13" t="s">
        <v>400</v>
      </c>
      <c r="I152" s="13" t="s">
        <v>331</v>
      </c>
      <c r="J152" s="14">
        <v>1</v>
      </c>
      <c r="K152" s="14">
        <v>22</v>
      </c>
      <c r="L152" s="15">
        <v>72.6</v>
      </c>
      <c r="M152" s="15">
        <v>72.6</v>
      </c>
    </row>
    <row r="153" spans="4:13">
      <c r="D153" s="12">
        <v>46105</v>
      </c>
      <c r="E153" s="13">
        <v>1588731</v>
      </c>
      <c r="F153" s="13" t="s">
        <v>47</v>
      </c>
      <c r="G153" s="14">
        <v>20354103</v>
      </c>
      <c r="H153" s="13" t="s">
        <v>401</v>
      </c>
      <c r="I153" s="13" t="s">
        <v>44</v>
      </c>
      <c r="J153" s="14">
        <v>1</v>
      </c>
      <c r="K153" s="14">
        <v>11</v>
      </c>
      <c r="L153" s="15">
        <v>36.3</v>
      </c>
      <c r="M153" s="15">
        <v>36.3</v>
      </c>
    </row>
    <row r="154" spans="4:13">
      <c r="D154" s="12">
        <v>46105</v>
      </c>
      <c r="E154" s="13">
        <v>1588731</v>
      </c>
      <c r="F154" s="13" t="s">
        <v>47</v>
      </c>
      <c r="G154" s="14">
        <v>20306256</v>
      </c>
      <c r="H154" s="13" t="s">
        <v>349</v>
      </c>
      <c r="I154" s="13" t="s">
        <v>83</v>
      </c>
      <c r="J154" s="14">
        <v>3</v>
      </c>
      <c r="K154" s="14">
        <v>66</v>
      </c>
      <c r="L154" s="15">
        <v>72.6</v>
      </c>
      <c r="M154" s="15">
        <v>217.8</v>
      </c>
    </row>
    <row r="155" spans="4:13">
      <c r="D155" s="12">
        <v>46105</v>
      </c>
      <c r="E155" s="13">
        <v>1588731</v>
      </c>
      <c r="F155" s="13" t="s">
        <v>47</v>
      </c>
      <c r="G155" s="14">
        <v>20313307</v>
      </c>
      <c r="H155" s="13" t="s">
        <v>402</v>
      </c>
      <c r="I155" s="13" t="s">
        <v>83</v>
      </c>
      <c r="J155" s="14">
        <v>1</v>
      </c>
      <c r="K155" s="14">
        <v>11</v>
      </c>
      <c r="L155" s="15">
        <v>36.3</v>
      </c>
      <c r="M155" s="15">
        <v>36.3</v>
      </c>
    </row>
    <row r="156" spans="4:13">
      <c r="D156" s="12">
        <v>46105</v>
      </c>
      <c r="E156" s="13">
        <v>1588731</v>
      </c>
      <c r="F156" s="13" t="s">
        <v>65</v>
      </c>
      <c r="G156" s="14">
        <v>20303836</v>
      </c>
      <c r="H156" s="13" t="s">
        <v>332</v>
      </c>
      <c r="I156" s="13" t="s">
        <v>83</v>
      </c>
      <c r="J156" s="14">
        <v>7</v>
      </c>
      <c r="K156" s="14">
        <v>28</v>
      </c>
      <c r="L156" s="15">
        <v>13.2</v>
      </c>
      <c r="M156" s="15">
        <v>92.4</v>
      </c>
    </row>
    <row r="157" spans="4:13">
      <c r="D157" s="12">
        <v>46105</v>
      </c>
      <c r="E157" s="13">
        <v>1588731</v>
      </c>
      <c r="F157" s="13" t="s">
        <v>65</v>
      </c>
      <c r="G157" s="14">
        <v>20310863</v>
      </c>
      <c r="H157" s="13" t="s">
        <v>333</v>
      </c>
      <c r="I157" s="13" t="s">
        <v>49</v>
      </c>
      <c r="J157" s="14">
        <v>1</v>
      </c>
      <c r="K157" s="14">
        <v>1</v>
      </c>
      <c r="L157" s="15">
        <v>9.9</v>
      </c>
      <c r="M157" s="15">
        <v>9.9</v>
      </c>
    </row>
    <row r="158" spans="4:13">
      <c r="D158" s="12">
        <v>46105</v>
      </c>
      <c r="E158" s="13">
        <v>1588731</v>
      </c>
      <c r="F158" s="13" t="s">
        <v>65</v>
      </c>
      <c r="G158" s="14">
        <v>20309747</v>
      </c>
      <c r="H158" s="13" t="s">
        <v>359</v>
      </c>
      <c r="I158" s="13" t="s">
        <v>83</v>
      </c>
      <c r="J158" s="14">
        <v>1</v>
      </c>
      <c r="K158" s="14">
        <v>2</v>
      </c>
      <c r="L158" s="15">
        <v>9.9</v>
      </c>
      <c r="M158" s="15">
        <v>9.9</v>
      </c>
    </row>
    <row r="159" spans="4:13">
      <c r="D159" s="12">
        <v>46105</v>
      </c>
      <c r="E159" s="13">
        <v>1588731</v>
      </c>
      <c r="F159" s="13" t="s">
        <v>65</v>
      </c>
      <c r="G159" s="14">
        <v>20303940</v>
      </c>
      <c r="H159" s="13" t="s">
        <v>403</v>
      </c>
      <c r="I159" s="13" t="s">
        <v>44</v>
      </c>
      <c r="J159" s="14">
        <v>1</v>
      </c>
      <c r="K159" s="14">
        <v>1</v>
      </c>
      <c r="L159" s="15">
        <v>9.9</v>
      </c>
      <c r="M159" s="15">
        <v>9.9</v>
      </c>
    </row>
    <row r="160" spans="4:13">
      <c r="D160" s="12">
        <v>46105</v>
      </c>
      <c r="E160" s="13">
        <v>1588743</v>
      </c>
      <c r="F160" s="13" t="s">
        <v>378</v>
      </c>
      <c r="G160" s="14">
        <v>20310012</v>
      </c>
      <c r="H160" s="13" t="s">
        <v>379</v>
      </c>
      <c r="I160" s="13" t="s">
        <v>2</v>
      </c>
      <c r="J160" s="14">
        <v>5</v>
      </c>
      <c r="K160" s="14">
        <v>0</v>
      </c>
      <c r="L160" s="15">
        <v>15</v>
      </c>
      <c r="M160" s="15">
        <v>75</v>
      </c>
    </row>
    <row r="161" spans="4:13">
      <c r="D161" s="12">
        <v>46106</v>
      </c>
      <c r="E161" s="13">
        <v>1588928</v>
      </c>
      <c r="F161" s="13" t="s">
        <v>131</v>
      </c>
      <c r="G161" s="14">
        <v>20309648</v>
      </c>
      <c r="H161" s="13" t="s">
        <v>363</v>
      </c>
      <c r="I161" s="13" t="s">
        <v>221</v>
      </c>
      <c r="J161" s="14">
        <v>1</v>
      </c>
      <c r="K161" s="14">
        <v>14</v>
      </c>
      <c r="L161" s="15">
        <v>138.6</v>
      </c>
      <c r="M161" s="15">
        <v>138.6</v>
      </c>
    </row>
    <row r="162" spans="4:13">
      <c r="D162" s="12">
        <v>46106</v>
      </c>
      <c r="E162" s="13">
        <v>1588928</v>
      </c>
      <c r="F162" s="13" t="s">
        <v>385</v>
      </c>
      <c r="G162" s="14">
        <v>20399009</v>
      </c>
      <c r="H162" s="13" t="s">
        <v>404</v>
      </c>
      <c r="I162" s="13" t="s">
        <v>128</v>
      </c>
      <c r="J162" s="14">
        <v>1</v>
      </c>
      <c r="K162" s="14">
        <v>1</v>
      </c>
      <c r="L162" s="15">
        <v>16.8</v>
      </c>
      <c r="M162" s="15">
        <v>16.8</v>
      </c>
    </row>
    <row r="163" spans="4:13">
      <c r="D163" s="12">
        <v>46106</v>
      </c>
      <c r="E163" s="13">
        <v>1588948</v>
      </c>
      <c r="F163" s="13" t="s">
        <v>324</v>
      </c>
      <c r="G163" s="14">
        <v>20303027</v>
      </c>
      <c r="H163" s="13" t="s">
        <v>405</v>
      </c>
      <c r="I163" s="13" t="s">
        <v>326</v>
      </c>
      <c r="J163" s="14">
        <v>1</v>
      </c>
      <c r="K163" s="14">
        <v>25</v>
      </c>
      <c r="L163" s="15">
        <v>82.5</v>
      </c>
      <c r="M163" s="15">
        <v>82.5</v>
      </c>
    </row>
    <row r="164" spans="4:13">
      <c r="D164" s="12">
        <v>46106</v>
      </c>
      <c r="E164" s="13">
        <v>1588948</v>
      </c>
      <c r="F164" s="13" t="s">
        <v>324</v>
      </c>
      <c r="G164" s="14">
        <v>20303041</v>
      </c>
      <c r="H164" s="13" t="s">
        <v>406</v>
      </c>
      <c r="I164" s="13" t="s">
        <v>44</v>
      </c>
      <c r="J164" s="14">
        <v>1</v>
      </c>
      <c r="K164" s="14">
        <v>17</v>
      </c>
      <c r="L164" s="15">
        <v>56.1</v>
      </c>
      <c r="M164" s="15">
        <v>56.1</v>
      </c>
    </row>
    <row r="165" spans="4:13">
      <c r="D165" s="12">
        <v>46106</v>
      </c>
      <c r="E165" s="13">
        <v>1588948</v>
      </c>
      <c r="F165" s="13" t="s">
        <v>163</v>
      </c>
      <c r="G165" s="14">
        <v>20310304</v>
      </c>
      <c r="H165" s="13" t="s">
        <v>339</v>
      </c>
      <c r="I165" s="13" t="s">
        <v>83</v>
      </c>
      <c r="J165" s="14">
        <v>1</v>
      </c>
      <c r="K165" s="14">
        <v>11</v>
      </c>
      <c r="L165" s="15">
        <v>36.3</v>
      </c>
      <c r="M165" s="15">
        <v>36.3</v>
      </c>
    </row>
    <row r="166" spans="4:13">
      <c r="D166" s="12">
        <v>46106</v>
      </c>
      <c r="E166" s="13">
        <v>1588948</v>
      </c>
      <c r="F166" s="13" t="s">
        <v>20</v>
      </c>
      <c r="G166" s="14">
        <v>20311063</v>
      </c>
      <c r="H166" s="13" t="s">
        <v>183</v>
      </c>
      <c r="I166" s="13" t="s">
        <v>29</v>
      </c>
      <c r="J166" s="14">
        <v>1</v>
      </c>
      <c r="K166" s="14">
        <v>1</v>
      </c>
      <c r="L166" s="15">
        <v>4.8</v>
      </c>
      <c r="M166" s="15">
        <v>4.8</v>
      </c>
    </row>
    <row r="167" spans="4:13">
      <c r="D167" s="12">
        <v>46106</v>
      </c>
      <c r="E167" s="13">
        <v>1588948</v>
      </c>
      <c r="F167" s="13" t="s">
        <v>47</v>
      </c>
      <c r="G167" s="14">
        <v>20302998</v>
      </c>
      <c r="H167" s="13" t="s">
        <v>346</v>
      </c>
      <c r="I167" s="13" t="s">
        <v>347</v>
      </c>
      <c r="J167" s="14">
        <v>1</v>
      </c>
      <c r="K167" s="14">
        <v>19</v>
      </c>
      <c r="L167" s="15">
        <v>62.7</v>
      </c>
      <c r="M167" s="15">
        <v>62.7</v>
      </c>
    </row>
    <row r="168" spans="4:13">
      <c r="D168" s="12">
        <v>46106</v>
      </c>
      <c r="E168" s="13">
        <v>1588948</v>
      </c>
      <c r="F168" s="13" t="s">
        <v>65</v>
      </c>
      <c r="G168" s="14">
        <v>20303836</v>
      </c>
      <c r="H168" s="13" t="s">
        <v>332</v>
      </c>
      <c r="I168" s="13" t="s">
        <v>83</v>
      </c>
      <c r="J168" s="14">
        <v>3</v>
      </c>
      <c r="K168" s="14">
        <v>12</v>
      </c>
      <c r="L168" s="15">
        <v>13.2</v>
      </c>
      <c r="M168" s="15">
        <v>39.6</v>
      </c>
    </row>
    <row r="169" spans="4:13">
      <c r="D169" s="12">
        <v>46106</v>
      </c>
      <c r="E169" s="13">
        <v>1588949</v>
      </c>
      <c r="F169" s="13" t="s">
        <v>15</v>
      </c>
      <c r="G169" s="14">
        <v>20358909</v>
      </c>
      <c r="H169" s="13" t="s">
        <v>407</v>
      </c>
      <c r="I169" s="13" t="s">
        <v>408</v>
      </c>
      <c r="J169" s="14">
        <v>1</v>
      </c>
      <c r="K169" s="14">
        <v>1</v>
      </c>
      <c r="L169" s="15">
        <v>16.8</v>
      </c>
      <c r="M169" s="15">
        <v>16.8</v>
      </c>
    </row>
    <row r="170" spans="4:13">
      <c r="D170" s="12">
        <v>46106</v>
      </c>
      <c r="E170" s="13">
        <v>1588949</v>
      </c>
      <c r="F170" s="13" t="s">
        <v>131</v>
      </c>
      <c r="G170" s="14">
        <v>20309744</v>
      </c>
      <c r="H170" s="13" t="s">
        <v>361</v>
      </c>
      <c r="I170" s="13" t="s">
        <v>221</v>
      </c>
      <c r="J170" s="14">
        <v>1</v>
      </c>
      <c r="K170" s="14">
        <v>9</v>
      </c>
      <c r="L170" s="15">
        <v>92.4</v>
      </c>
      <c r="M170" s="15">
        <v>92.4</v>
      </c>
    </row>
    <row r="171" spans="4:13">
      <c r="D171" s="12">
        <v>46106</v>
      </c>
      <c r="E171" s="13">
        <v>1588949</v>
      </c>
      <c r="F171" s="13" t="s">
        <v>131</v>
      </c>
      <c r="G171" s="14">
        <v>20309658</v>
      </c>
      <c r="H171" s="13" t="s">
        <v>365</v>
      </c>
      <c r="I171" s="13" t="s">
        <v>221</v>
      </c>
      <c r="J171" s="14">
        <v>1</v>
      </c>
      <c r="K171" s="14">
        <v>5</v>
      </c>
      <c r="L171" s="15">
        <v>52.8</v>
      </c>
      <c r="M171" s="15">
        <v>52.8</v>
      </c>
    </row>
    <row r="172" spans="4:13">
      <c r="D172" s="12">
        <v>46106</v>
      </c>
      <c r="E172" s="13">
        <v>1588985</v>
      </c>
      <c r="F172" s="13" t="s">
        <v>15</v>
      </c>
      <c r="G172" s="14">
        <v>20358905</v>
      </c>
      <c r="H172" s="13" t="s">
        <v>360</v>
      </c>
      <c r="I172" s="13" t="s">
        <v>244</v>
      </c>
      <c r="J172" s="14">
        <v>1</v>
      </c>
      <c r="K172" s="14">
        <v>1</v>
      </c>
      <c r="L172" s="15">
        <v>15</v>
      </c>
      <c r="M172" s="15">
        <v>15</v>
      </c>
    </row>
    <row r="173" spans="4:13">
      <c r="D173" s="12">
        <v>46106</v>
      </c>
      <c r="E173" s="13">
        <v>1588985</v>
      </c>
      <c r="F173" s="13" t="s">
        <v>131</v>
      </c>
      <c r="G173" s="14">
        <v>20309744</v>
      </c>
      <c r="H173" s="13" t="s">
        <v>361</v>
      </c>
      <c r="I173" s="13" t="s">
        <v>221</v>
      </c>
      <c r="J173" s="14">
        <v>1</v>
      </c>
      <c r="K173" s="14">
        <v>9</v>
      </c>
      <c r="L173" s="15">
        <v>92.4</v>
      </c>
      <c r="M173" s="15">
        <v>92.4</v>
      </c>
    </row>
    <row r="174" spans="4:13">
      <c r="D174" s="12">
        <v>46106</v>
      </c>
      <c r="E174" s="13">
        <v>1588985</v>
      </c>
      <c r="F174" s="13" t="s">
        <v>131</v>
      </c>
      <c r="G174" s="14">
        <v>20309648</v>
      </c>
      <c r="H174" s="13" t="s">
        <v>363</v>
      </c>
      <c r="I174" s="13" t="s">
        <v>221</v>
      </c>
      <c r="J174" s="14">
        <v>2</v>
      </c>
      <c r="K174" s="14">
        <v>28</v>
      </c>
      <c r="L174" s="15">
        <v>138.6</v>
      </c>
      <c r="M174" s="15">
        <v>277.2</v>
      </c>
    </row>
    <row r="175" spans="4:13">
      <c r="D175" s="12">
        <v>46106</v>
      </c>
      <c r="E175" s="13">
        <v>1588985</v>
      </c>
      <c r="F175" s="13" t="s">
        <v>131</v>
      </c>
      <c r="G175" s="14">
        <v>20309658</v>
      </c>
      <c r="H175" s="13" t="s">
        <v>365</v>
      </c>
      <c r="I175" s="13" t="s">
        <v>221</v>
      </c>
      <c r="J175" s="14">
        <v>3</v>
      </c>
      <c r="K175" s="14">
        <v>15</v>
      </c>
      <c r="L175" s="15">
        <v>52.8</v>
      </c>
      <c r="M175" s="15">
        <v>158.4</v>
      </c>
    </row>
    <row r="176" ht="25.5" spans="4:13">
      <c r="D176" s="12">
        <v>46106</v>
      </c>
      <c r="E176" s="13">
        <v>1588985</v>
      </c>
      <c r="F176" s="13" t="s">
        <v>131</v>
      </c>
      <c r="G176" s="14">
        <v>20312712</v>
      </c>
      <c r="H176" s="13" t="s">
        <v>409</v>
      </c>
      <c r="I176" s="13" t="s">
        <v>221</v>
      </c>
      <c r="J176" s="14">
        <v>1</v>
      </c>
      <c r="K176" s="14">
        <v>14</v>
      </c>
      <c r="L176" s="15">
        <v>138.6</v>
      </c>
      <c r="M176" s="15">
        <v>138.6</v>
      </c>
    </row>
    <row r="177" spans="4:13">
      <c r="D177" s="12">
        <v>46106</v>
      </c>
      <c r="E177" s="13">
        <v>1589002</v>
      </c>
      <c r="F177" s="13" t="s">
        <v>131</v>
      </c>
      <c r="G177" s="14">
        <v>20309648</v>
      </c>
      <c r="H177" s="13" t="s">
        <v>363</v>
      </c>
      <c r="I177" s="13" t="s">
        <v>221</v>
      </c>
      <c r="J177" s="14">
        <v>1</v>
      </c>
      <c r="K177" s="14">
        <v>14</v>
      </c>
      <c r="L177" s="15">
        <v>138.6</v>
      </c>
      <c r="M177" s="15">
        <v>138.6</v>
      </c>
    </row>
    <row r="178" spans="4:13">
      <c r="D178" s="12">
        <v>46106</v>
      </c>
      <c r="E178" s="13">
        <v>1589002</v>
      </c>
      <c r="F178" s="13" t="s">
        <v>131</v>
      </c>
      <c r="G178" s="14">
        <v>20314362</v>
      </c>
      <c r="H178" s="13" t="s">
        <v>364</v>
      </c>
      <c r="I178" s="13" t="s">
        <v>221</v>
      </c>
      <c r="J178" s="14">
        <v>1</v>
      </c>
      <c r="K178" s="14">
        <v>27</v>
      </c>
      <c r="L178" s="15">
        <v>180</v>
      </c>
      <c r="M178" s="15">
        <f>J178*L178</f>
        <v>180</v>
      </c>
    </row>
    <row r="179" spans="4:13">
      <c r="D179" s="12">
        <v>46106</v>
      </c>
      <c r="E179" s="13">
        <v>1589002</v>
      </c>
      <c r="F179" s="13" t="s">
        <v>131</v>
      </c>
      <c r="G179" s="14">
        <v>20412202</v>
      </c>
      <c r="H179" s="13" t="s">
        <v>322</v>
      </c>
      <c r="I179" s="13" t="s">
        <v>221</v>
      </c>
      <c r="J179" s="14">
        <v>1</v>
      </c>
      <c r="K179" s="14">
        <v>23</v>
      </c>
      <c r="L179" s="15">
        <v>180</v>
      </c>
      <c r="M179" s="15">
        <f>J179*L179</f>
        <v>180</v>
      </c>
    </row>
    <row r="180" spans="4:13">
      <c r="D180" s="12">
        <v>46106</v>
      </c>
      <c r="E180" s="13">
        <v>1589006</v>
      </c>
      <c r="F180" s="13" t="s">
        <v>15</v>
      </c>
      <c r="G180" s="14">
        <v>20360794</v>
      </c>
      <c r="H180" s="13" t="s">
        <v>410</v>
      </c>
      <c r="I180" s="13" t="s">
        <v>408</v>
      </c>
      <c r="J180" s="14">
        <v>1</v>
      </c>
      <c r="K180" s="14">
        <v>1</v>
      </c>
      <c r="L180" s="15">
        <v>16.8</v>
      </c>
      <c r="M180" s="15">
        <v>16.8</v>
      </c>
    </row>
    <row r="181" spans="4:13">
      <c r="D181" s="12">
        <v>46106</v>
      </c>
      <c r="E181" s="13">
        <v>1589006</v>
      </c>
      <c r="F181" s="13" t="s">
        <v>15</v>
      </c>
      <c r="G181" s="14">
        <v>20309651</v>
      </c>
      <c r="H181" s="13" t="s">
        <v>130</v>
      </c>
      <c r="I181" s="13" t="s">
        <v>62</v>
      </c>
      <c r="J181" s="14">
        <v>1</v>
      </c>
      <c r="K181" s="14">
        <v>1</v>
      </c>
      <c r="L181" s="15">
        <v>21</v>
      </c>
      <c r="M181" s="15">
        <v>21</v>
      </c>
    </row>
    <row r="182" spans="4:13">
      <c r="D182" s="12">
        <v>46106</v>
      </c>
      <c r="E182" s="13">
        <v>1589006</v>
      </c>
      <c r="F182" s="13" t="s">
        <v>15</v>
      </c>
      <c r="G182" s="14">
        <v>20359638</v>
      </c>
      <c r="H182" s="13" t="s">
        <v>411</v>
      </c>
      <c r="I182" s="13" t="s">
        <v>128</v>
      </c>
      <c r="J182" s="14">
        <v>1</v>
      </c>
      <c r="K182" s="14">
        <v>1</v>
      </c>
      <c r="L182" s="15">
        <v>16.8</v>
      </c>
      <c r="M182" s="15">
        <v>16.8</v>
      </c>
    </row>
    <row r="183" spans="4:13">
      <c r="D183" s="12">
        <v>46106</v>
      </c>
      <c r="E183" s="13">
        <v>1589006</v>
      </c>
      <c r="F183" s="13" t="s">
        <v>131</v>
      </c>
      <c r="G183" s="14">
        <v>20309677</v>
      </c>
      <c r="H183" s="13" t="s">
        <v>362</v>
      </c>
      <c r="I183" s="13" t="s">
        <v>221</v>
      </c>
      <c r="J183" s="14">
        <v>1</v>
      </c>
      <c r="K183" s="14">
        <v>12</v>
      </c>
      <c r="L183" s="15">
        <v>112.2</v>
      </c>
      <c r="M183" s="15">
        <v>112.2</v>
      </c>
    </row>
    <row r="184" spans="4:13">
      <c r="D184" s="12">
        <v>46106</v>
      </c>
      <c r="E184" s="13">
        <v>1589006</v>
      </c>
      <c r="F184" s="13" t="s">
        <v>131</v>
      </c>
      <c r="G184" s="14">
        <v>20312572</v>
      </c>
      <c r="H184" s="13" t="s">
        <v>366</v>
      </c>
      <c r="I184" s="13" t="s">
        <v>221</v>
      </c>
      <c r="J184" s="14">
        <v>1</v>
      </c>
      <c r="K184" s="14">
        <v>27</v>
      </c>
      <c r="L184" s="15">
        <v>180</v>
      </c>
      <c r="M184" s="15">
        <f>J184*L184</f>
        <v>180</v>
      </c>
    </row>
    <row r="185" ht="24" spans="4:13">
      <c r="D185" s="12">
        <v>46106</v>
      </c>
      <c r="E185" s="13">
        <v>1589033</v>
      </c>
      <c r="F185" s="13" t="s">
        <v>324</v>
      </c>
      <c r="G185" s="14">
        <v>20338672</v>
      </c>
      <c r="H185" s="13" t="s">
        <v>412</v>
      </c>
      <c r="I185" s="13" t="s">
        <v>326</v>
      </c>
      <c r="J185" s="14">
        <v>1</v>
      </c>
      <c r="K185" s="14">
        <v>15</v>
      </c>
      <c r="L185" s="15">
        <v>49.5</v>
      </c>
      <c r="M185" s="15">
        <v>49.5</v>
      </c>
    </row>
    <row r="186" spans="4:13">
      <c r="D186" s="12">
        <v>46106</v>
      </c>
      <c r="E186" s="13">
        <v>1589033</v>
      </c>
      <c r="F186" s="13" t="s">
        <v>324</v>
      </c>
      <c r="G186" s="14">
        <v>20303010</v>
      </c>
      <c r="H186" s="13" t="s">
        <v>325</v>
      </c>
      <c r="I186" s="13" t="s">
        <v>326</v>
      </c>
      <c r="J186" s="14">
        <v>3</v>
      </c>
      <c r="K186" s="14">
        <v>75</v>
      </c>
      <c r="L186" s="15">
        <v>82.5</v>
      </c>
      <c r="M186" s="15">
        <v>247.5</v>
      </c>
    </row>
    <row r="187" spans="4:13">
      <c r="D187" s="12">
        <v>46106</v>
      </c>
      <c r="E187" s="13">
        <v>1589033</v>
      </c>
      <c r="F187" s="13" t="s">
        <v>324</v>
      </c>
      <c r="G187" s="14">
        <v>20303022</v>
      </c>
      <c r="H187" s="13" t="s">
        <v>352</v>
      </c>
      <c r="I187" s="13" t="s">
        <v>326</v>
      </c>
      <c r="J187" s="14">
        <v>2</v>
      </c>
      <c r="K187" s="14">
        <v>62</v>
      </c>
      <c r="L187" s="15">
        <v>102.3</v>
      </c>
      <c r="M187" s="15">
        <v>204.6</v>
      </c>
    </row>
    <row r="188" spans="4:13">
      <c r="D188" s="12">
        <v>46106</v>
      </c>
      <c r="E188" s="13">
        <v>1589033</v>
      </c>
      <c r="F188" s="13" t="s">
        <v>324</v>
      </c>
      <c r="G188" s="14">
        <v>20306236</v>
      </c>
      <c r="H188" s="13" t="s">
        <v>413</v>
      </c>
      <c r="I188" s="13" t="s">
        <v>347</v>
      </c>
      <c r="J188" s="14">
        <v>1</v>
      </c>
      <c r="K188" s="14">
        <v>17</v>
      </c>
      <c r="L188" s="15">
        <v>56.1</v>
      </c>
      <c r="M188" s="15">
        <v>56.1</v>
      </c>
    </row>
    <row r="189" spans="4:13">
      <c r="D189" s="12">
        <v>46106</v>
      </c>
      <c r="E189" s="13">
        <v>1589033</v>
      </c>
      <c r="F189" s="13" t="s">
        <v>324</v>
      </c>
      <c r="G189" s="14">
        <v>20303052</v>
      </c>
      <c r="H189" s="13" t="s">
        <v>388</v>
      </c>
      <c r="I189" s="13" t="s">
        <v>326</v>
      </c>
      <c r="J189" s="14">
        <v>1</v>
      </c>
      <c r="K189" s="14">
        <v>30</v>
      </c>
      <c r="L189" s="15">
        <v>99</v>
      </c>
      <c r="M189" s="15">
        <v>99</v>
      </c>
    </row>
    <row r="190" spans="4:13">
      <c r="D190" s="12">
        <v>46106</v>
      </c>
      <c r="E190" s="13">
        <v>1589033</v>
      </c>
      <c r="F190" s="13" t="s">
        <v>324</v>
      </c>
      <c r="G190" s="14">
        <v>20303054</v>
      </c>
      <c r="H190" s="13" t="s">
        <v>414</v>
      </c>
      <c r="I190" s="13" t="s">
        <v>326</v>
      </c>
      <c r="J190" s="14">
        <v>1</v>
      </c>
      <c r="K190" s="14">
        <v>18</v>
      </c>
      <c r="L190" s="15">
        <v>59.4</v>
      </c>
      <c r="M190" s="15">
        <v>59.4</v>
      </c>
    </row>
    <row r="191" spans="4:13">
      <c r="D191" s="12">
        <v>46106</v>
      </c>
      <c r="E191" s="13">
        <v>1589033</v>
      </c>
      <c r="F191" s="13" t="s">
        <v>324</v>
      </c>
      <c r="G191" s="14">
        <v>20303056</v>
      </c>
      <c r="H191" s="13" t="s">
        <v>415</v>
      </c>
      <c r="I191" s="13" t="s">
        <v>326</v>
      </c>
      <c r="J191" s="14">
        <v>1</v>
      </c>
      <c r="K191" s="14">
        <v>25</v>
      </c>
      <c r="L191" s="15">
        <v>82.5</v>
      </c>
      <c r="M191" s="15">
        <v>82.5</v>
      </c>
    </row>
    <row r="192" spans="4:13">
      <c r="D192" s="12">
        <v>46106</v>
      </c>
      <c r="E192" s="13">
        <v>1589033</v>
      </c>
      <c r="F192" s="13" t="s">
        <v>324</v>
      </c>
      <c r="G192" s="14">
        <v>20303059</v>
      </c>
      <c r="H192" s="13" t="s">
        <v>416</v>
      </c>
      <c r="I192" s="13" t="s">
        <v>326</v>
      </c>
      <c r="J192" s="14">
        <v>1</v>
      </c>
      <c r="K192" s="14">
        <v>65</v>
      </c>
      <c r="L192" s="15">
        <v>214.5</v>
      </c>
      <c r="M192" s="15">
        <v>214.5</v>
      </c>
    </row>
    <row r="193" spans="4:13">
      <c r="D193" s="12">
        <v>46106</v>
      </c>
      <c r="E193" s="13">
        <v>1589033</v>
      </c>
      <c r="F193" s="13" t="s">
        <v>163</v>
      </c>
      <c r="G193" s="14">
        <v>20303912</v>
      </c>
      <c r="H193" s="13" t="s">
        <v>329</v>
      </c>
      <c r="I193" s="13" t="s">
        <v>83</v>
      </c>
      <c r="J193" s="14">
        <v>1</v>
      </c>
      <c r="K193" s="14">
        <v>5</v>
      </c>
      <c r="L193" s="15">
        <v>16.5</v>
      </c>
      <c r="M193" s="15">
        <v>16.5</v>
      </c>
    </row>
    <row r="194" spans="4:13">
      <c r="D194" s="12">
        <v>46106</v>
      </c>
      <c r="E194" s="13">
        <v>1589033</v>
      </c>
      <c r="F194" s="13" t="s">
        <v>163</v>
      </c>
      <c r="G194" s="14">
        <v>20306222</v>
      </c>
      <c r="H194" s="13" t="s">
        <v>417</v>
      </c>
      <c r="I194" s="13" t="s">
        <v>83</v>
      </c>
      <c r="J194" s="14">
        <v>1</v>
      </c>
      <c r="K194" s="14">
        <v>10</v>
      </c>
      <c r="L194" s="15">
        <v>33</v>
      </c>
      <c r="M194" s="15">
        <v>33</v>
      </c>
    </row>
    <row r="195" spans="4:13">
      <c r="D195" s="12">
        <v>46106</v>
      </c>
      <c r="E195" s="13">
        <v>1589033</v>
      </c>
      <c r="F195" s="13" t="s">
        <v>20</v>
      </c>
      <c r="G195" s="14">
        <v>20315425</v>
      </c>
      <c r="H195" s="13" t="s">
        <v>21</v>
      </c>
      <c r="I195" s="13" t="s">
        <v>22</v>
      </c>
      <c r="J195" s="14">
        <v>1</v>
      </c>
      <c r="K195" s="14">
        <v>1</v>
      </c>
      <c r="L195" s="15">
        <v>4.8</v>
      </c>
      <c r="M195" s="15">
        <v>4.8</v>
      </c>
    </row>
    <row r="196" spans="4:13">
      <c r="D196" s="12">
        <v>46106</v>
      </c>
      <c r="E196" s="13">
        <v>1589033</v>
      </c>
      <c r="F196" s="13" t="s">
        <v>20</v>
      </c>
      <c r="G196" s="14">
        <v>20314848</v>
      </c>
      <c r="H196" s="13" t="s">
        <v>418</v>
      </c>
      <c r="I196" s="13" t="s">
        <v>35</v>
      </c>
      <c r="J196" s="14">
        <v>1</v>
      </c>
      <c r="K196" s="14">
        <v>1</v>
      </c>
      <c r="L196" s="15">
        <v>4.8</v>
      </c>
      <c r="M196" s="15">
        <v>4.8</v>
      </c>
    </row>
    <row r="197" spans="4:13">
      <c r="D197" s="12">
        <v>46106</v>
      </c>
      <c r="E197" s="13">
        <v>1589033</v>
      </c>
      <c r="F197" s="13" t="s">
        <v>20</v>
      </c>
      <c r="G197" s="14">
        <v>20313225</v>
      </c>
      <c r="H197" s="13" t="s">
        <v>358</v>
      </c>
      <c r="I197" s="13" t="s">
        <v>31</v>
      </c>
      <c r="J197" s="14">
        <v>1</v>
      </c>
      <c r="K197" s="14">
        <v>4</v>
      </c>
      <c r="L197" s="15">
        <v>13.2</v>
      </c>
      <c r="M197" s="15">
        <v>13.2</v>
      </c>
    </row>
    <row r="198" spans="4:13">
      <c r="D198" s="12">
        <v>46106</v>
      </c>
      <c r="E198" s="13">
        <v>1589033</v>
      </c>
      <c r="F198" s="13" t="s">
        <v>47</v>
      </c>
      <c r="G198" s="14">
        <v>20302998</v>
      </c>
      <c r="H198" s="13" t="s">
        <v>346</v>
      </c>
      <c r="I198" s="13" t="s">
        <v>347</v>
      </c>
      <c r="J198" s="14">
        <v>1</v>
      </c>
      <c r="K198" s="14">
        <v>19</v>
      </c>
      <c r="L198" s="15">
        <v>62.7</v>
      </c>
      <c r="M198" s="15">
        <v>62.7</v>
      </c>
    </row>
    <row r="199" spans="4:13">
      <c r="D199" s="12">
        <v>46106</v>
      </c>
      <c r="E199" s="13">
        <v>1589033</v>
      </c>
      <c r="F199" s="13" t="s">
        <v>47</v>
      </c>
      <c r="G199" s="14">
        <v>20303011</v>
      </c>
      <c r="H199" s="13" t="s">
        <v>330</v>
      </c>
      <c r="I199" s="13" t="s">
        <v>331</v>
      </c>
      <c r="J199" s="14">
        <v>2</v>
      </c>
      <c r="K199" s="14">
        <v>52</v>
      </c>
      <c r="L199" s="15">
        <v>85.8</v>
      </c>
      <c r="M199" s="15">
        <v>171.6</v>
      </c>
    </row>
    <row r="200" spans="4:13">
      <c r="D200" s="12">
        <v>46106</v>
      </c>
      <c r="E200" s="13">
        <v>1589033</v>
      </c>
      <c r="F200" s="13" t="s">
        <v>47</v>
      </c>
      <c r="G200" s="14">
        <v>20303046</v>
      </c>
      <c r="H200" s="13" t="s">
        <v>419</v>
      </c>
      <c r="I200" s="13" t="s">
        <v>331</v>
      </c>
      <c r="J200" s="14">
        <v>1</v>
      </c>
      <c r="K200" s="14">
        <v>21</v>
      </c>
      <c r="L200" s="15">
        <v>69.3</v>
      </c>
      <c r="M200" s="15">
        <v>69.3</v>
      </c>
    </row>
    <row r="201" spans="4:13">
      <c r="D201" s="12">
        <v>46106</v>
      </c>
      <c r="E201" s="13">
        <v>1589033</v>
      </c>
      <c r="F201" s="13" t="s">
        <v>47</v>
      </c>
      <c r="G201" s="14">
        <v>20306256</v>
      </c>
      <c r="H201" s="13" t="s">
        <v>349</v>
      </c>
      <c r="I201" s="13" t="s">
        <v>83</v>
      </c>
      <c r="J201" s="14">
        <v>2</v>
      </c>
      <c r="K201" s="14">
        <v>44</v>
      </c>
      <c r="L201" s="15">
        <v>72.6</v>
      </c>
      <c r="M201" s="15">
        <v>145.2</v>
      </c>
    </row>
    <row r="202" spans="4:13">
      <c r="D202" s="12">
        <v>46106</v>
      </c>
      <c r="E202" s="13">
        <v>1589033</v>
      </c>
      <c r="F202" s="13" t="s">
        <v>65</v>
      </c>
      <c r="G202" s="14">
        <v>20303836</v>
      </c>
      <c r="H202" s="13" t="s">
        <v>332</v>
      </c>
      <c r="I202" s="13" t="s">
        <v>83</v>
      </c>
      <c r="J202" s="14">
        <v>2</v>
      </c>
      <c r="K202" s="14">
        <v>8</v>
      </c>
      <c r="L202" s="15">
        <v>13.2</v>
      </c>
      <c r="M202" s="15">
        <v>26.4</v>
      </c>
    </row>
    <row r="203" spans="4:13">
      <c r="D203" s="12">
        <v>46106</v>
      </c>
      <c r="E203" s="13">
        <v>1589033</v>
      </c>
      <c r="F203" s="13" t="s">
        <v>65</v>
      </c>
      <c r="G203" s="14">
        <v>20383457</v>
      </c>
      <c r="H203" s="13" t="s">
        <v>420</v>
      </c>
      <c r="I203" s="13" t="s">
        <v>44</v>
      </c>
      <c r="J203" s="14">
        <v>1</v>
      </c>
      <c r="K203" s="14">
        <v>8</v>
      </c>
      <c r="L203" s="15">
        <v>26.4</v>
      </c>
      <c r="M203" s="15">
        <v>26.4</v>
      </c>
    </row>
    <row r="204" spans="4:13">
      <c r="D204" s="12">
        <v>46106</v>
      </c>
      <c r="E204" s="13">
        <v>1589035</v>
      </c>
      <c r="F204" s="13" t="s">
        <v>131</v>
      </c>
      <c r="G204" s="14">
        <v>20339097</v>
      </c>
      <c r="H204" s="13" t="s">
        <v>343</v>
      </c>
      <c r="I204" s="13" t="s">
        <v>221</v>
      </c>
      <c r="J204" s="14">
        <v>1</v>
      </c>
      <c r="K204" s="14">
        <v>32</v>
      </c>
      <c r="L204" s="15">
        <v>180</v>
      </c>
      <c r="M204" s="15">
        <f>J204*L204</f>
        <v>180</v>
      </c>
    </row>
    <row r="205" spans="4:13">
      <c r="D205" s="12">
        <v>46106</v>
      </c>
      <c r="E205" s="13">
        <v>1589101</v>
      </c>
      <c r="F205" s="13" t="s">
        <v>378</v>
      </c>
      <c r="G205" s="14">
        <v>20310012</v>
      </c>
      <c r="H205" s="13" t="s">
        <v>379</v>
      </c>
      <c r="I205" s="13" t="s">
        <v>2</v>
      </c>
      <c r="J205" s="14">
        <v>6</v>
      </c>
      <c r="K205" s="14">
        <v>0</v>
      </c>
      <c r="L205" s="15">
        <v>15</v>
      </c>
      <c r="M205" s="15">
        <v>90</v>
      </c>
    </row>
    <row r="206" spans="4:13">
      <c r="D206" s="12">
        <v>46106</v>
      </c>
      <c r="E206" s="13">
        <v>1589116</v>
      </c>
      <c r="F206" s="13" t="s">
        <v>324</v>
      </c>
      <c r="G206" s="14">
        <v>20331665</v>
      </c>
      <c r="H206" s="13" t="s">
        <v>421</v>
      </c>
      <c r="I206" s="13" t="s">
        <v>326</v>
      </c>
      <c r="J206" s="14">
        <v>1</v>
      </c>
      <c r="K206" s="14">
        <v>10</v>
      </c>
      <c r="L206" s="15">
        <v>33</v>
      </c>
      <c r="M206" s="15">
        <v>33</v>
      </c>
    </row>
    <row r="207" spans="4:13">
      <c r="D207" s="12">
        <v>46106</v>
      </c>
      <c r="E207" s="13">
        <v>1589116</v>
      </c>
      <c r="F207" s="13" t="s">
        <v>324</v>
      </c>
      <c r="G207" s="14">
        <v>20303010</v>
      </c>
      <c r="H207" s="13" t="s">
        <v>325</v>
      </c>
      <c r="I207" s="13" t="s">
        <v>326</v>
      </c>
      <c r="J207" s="14">
        <v>2</v>
      </c>
      <c r="K207" s="14">
        <v>50</v>
      </c>
      <c r="L207" s="15">
        <v>82.5</v>
      </c>
      <c r="M207" s="15">
        <v>165</v>
      </c>
    </row>
    <row r="208" spans="4:13">
      <c r="D208" s="12">
        <v>46106</v>
      </c>
      <c r="E208" s="13">
        <v>1589116</v>
      </c>
      <c r="F208" s="13" t="s">
        <v>324</v>
      </c>
      <c r="G208" s="14">
        <v>20303022</v>
      </c>
      <c r="H208" s="13" t="s">
        <v>352</v>
      </c>
      <c r="I208" s="13" t="s">
        <v>326</v>
      </c>
      <c r="J208" s="14">
        <v>1</v>
      </c>
      <c r="K208" s="14">
        <v>31</v>
      </c>
      <c r="L208" s="15">
        <v>102.3</v>
      </c>
      <c r="M208" s="15">
        <v>102.3</v>
      </c>
    </row>
    <row r="209" spans="4:13">
      <c r="D209" s="12">
        <v>46106</v>
      </c>
      <c r="E209" s="13">
        <v>1589116</v>
      </c>
      <c r="F209" s="13" t="s">
        <v>324</v>
      </c>
      <c r="G209" s="14">
        <v>20300073</v>
      </c>
      <c r="H209" s="13" t="s">
        <v>422</v>
      </c>
      <c r="I209" s="13" t="s">
        <v>326</v>
      </c>
      <c r="J209" s="14">
        <v>1</v>
      </c>
      <c r="K209" s="14">
        <v>75</v>
      </c>
      <c r="L209" s="15">
        <v>247.5</v>
      </c>
      <c r="M209" s="15">
        <v>247.5</v>
      </c>
    </row>
    <row r="210" spans="4:13">
      <c r="D210" s="12">
        <v>46106</v>
      </c>
      <c r="E210" s="13">
        <v>1589116</v>
      </c>
      <c r="F210" s="13" t="s">
        <v>20</v>
      </c>
      <c r="G210" s="14">
        <v>20307293</v>
      </c>
      <c r="H210" s="13" t="s">
        <v>211</v>
      </c>
      <c r="I210" s="13" t="s">
        <v>22</v>
      </c>
      <c r="J210" s="14">
        <v>1</v>
      </c>
      <c r="K210" s="14">
        <v>2</v>
      </c>
      <c r="L210" s="15">
        <v>8.1</v>
      </c>
      <c r="M210" s="15">
        <v>8.1</v>
      </c>
    </row>
    <row r="211" spans="4:13">
      <c r="D211" s="12">
        <v>46106</v>
      </c>
      <c r="E211" s="13">
        <v>1589116</v>
      </c>
      <c r="F211" s="13" t="s">
        <v>20</v>
      </c>
      <c r="G211" s="14">
        <v>20311063</v>
      </c>
      <c r="H211" s="13" t="s">
        <v>183</v>
      </c>
      <c r="I211" s="13" t="s">
        <v>29</v>
      </c>
      <c r="J211" s="14">
        <v>1</v>
      </c>
      <c r="K211" s="14">
        <v>1</v>
      </c>
      <c r="L211" s="15">
        <v>4.8</v>
      </c>
      <c r="M211" s="15">
        <v>4.8</v>
      </c>
    </row>
    <row r="212" spans="4:13">
      <c r="D212" s="12">
        <v>46106</v>
      </c>
      <c r="E212" s="13">
        <v>1589116</v>
      </c>
      <c r="F212" s="13" t="s">
        <v>20</v>
      </c>
      <c r="G212" s="14">
        <v>20315880</v>
      </c>
      <c r="H212" s="13" t="s">
        <v>423</v>
      </c>
      <c r="I212" s="13" t="s">
        <v>53</v>
      </c>
      <c r="J212" s="14">
        <v>1</v>
      </c>
      <c r="K212" s="14">
        <v>2</v>
      </c>
      <c r="L212" s="15">
        <v>9.9</v>
      </c>
      <c r="M212" s="15">
        <v>9.9</v>
      </c>
    </row>
    <row r="213" spans="4:13">
      <c r="D213" s="12">
        <v>46106</v>
      </c>
      <c r="E213" s="13">
        <v>1589116</v>
      </c>
      <c r="F213" s="13" t="s">
        <v>15</v>
      </c>
      <c r="G213" s="14">
        <v>20323229</v>
      </c>
      <c r="H213" s="13" t="s">
        <v>316</v>
      </c>
      <c r="I213" s="13" t="s">
        <v>317</v>
      </c>
      <c r="J213" s="14">
        <v>1</v>
      </c>
      <c r="K213" s="14">
        <v>1</v>
      </c>
      <c r="L213" s="15">
        <v>15</v>
      </c>
      <c r="M213" s="15">
        <v>15</v>
      </c>
    </row>
    <row r="214" spans="4:13">
      <c r="D214" s="12">
        <v>46106</v>
      </c>
      <c r="E214" s="13">
        <v>1589116</v>
      </c>
      <c r="F214" s="13" t="s">
        <v>15</v>
      </c>
      <c r="G214" s="14">
        <v>20370421</v>
      </c>
      <c r="H214" s="13" t="s">
        <v>380</v>
      </c>
      <c r="I214" s="13" t="s">
        <v>381</v>
      </c>
      <c r="J214" s="14">
        <v>2</v>
      </c>
      <c r="K214" s="14">
        <v>4</v>
      </c>
      <c r="L214" s="15">
        <v>26.4</v>
      </c>
      <c r="M214" s="15">
        <v>52.8</v>
      </c>
    </row>
    <row r="215" spans="4:13">
      <c r="D215" s="12">
        <v>46106</v>
      </c>
      <c r="E215" s="13">
        <v>1589116</v>
      </c>
      <c r="F215" s="13" t="s">
        <v>15</v>
      </c>
      <c r="G215" s="14">
        <v>20358905</v>
      </c>
      <c r="H215" s="13" t="s">
        <v>360</v>
      </c>
      <c r="I215" s="13" t="s">
        <v>244</v>
      </c>
      <c r="J215" s="14">
        <v>1</v>
      </c>
      <c r="K215" s="14">
        <v>1</v>
      </c>
      <c r="L215" s="15">
        <v>15</v>
      </c>
      <c r="M215" s="15">
        <v>15</v>
      </c>
    </row>
    <row r="216" spans="4:13">
      <c r="D216" s="12">
        <v>46106</v>
      </c>
      <c r="E216" s="13">
        <v>1589116</v>
      </c>
      <c r="F216" s="13" t="s">
        <v>15</v>
      </c>
      <c r="G216" s="14">
        <v>20310030</v>
      </c>
      <c r="H216" s="13" t="s">
        <v>424</v>
      </c>
      <c r="I216" s="13" t="s">
        <v>128</v>
      </c>
      <c r="J216" s="14">
        <v>1</v>
      </c>
      <c r="K216" s="14">
        <v>2</v>
      </c>
      <c r="L216" s="15">
        <v>26.4</v>
      </c>
      <c r="M216" s="15">
        <v>26.4</v>
      </c>
    </row>
    <row r="217" spans="4:13">
      <c r="D217" s="12">
        <v>46106</v>
      </c>
      <c r="E217" s="13">
        <v>1589116</v>
      </c>
      <c r="F217" s="13" t="s">
        <v>15</v>
      </c>
      <c r="G217" s="14">
        <v>20309651</v>
      </c>
      <c r="H217" s="13" t="s">
        <v>130</v>
      </c>
      <c r="I217" s="13" t="s">
        <v>62</v>
      </c>
      <c r="J217" s="14">
        <v>1</v>
      </c>
      <c r="K217" s="14">
        <v>1</v>
      </c>
      <c r="L217" s="15">
        <v>21</v>
      </c>
      <c r="M217" s="15">
        <v>21</v>
      </c>
    </row>
    <row r="218" spans="4:13">
      <c r="D218" s="12">
        <v>46106</v>
      </c>
      <c r="E218" s="13">
        <v>1589116</v>
      </c>
      <c r="F218" s="13" t="s">
        <v>15</v>
      </c>
      <c r="G218" s="14">
        <v>20309636</v>
      </c>
      <c r="H218" s="13" t="s">
        <v>397</v>
      </c>
      <c r="I218" s="13" t="s">
        <v>62</v>
      </c>
      <c r="J218" s="14">
        <v>1</v>
      </c>
      <c r="K218" s="14">
        <v>2</v>
      </c>
      <c r="L218" s="15">
        <v>26.4</v>
      </c>
      <c r="M218" s="15">
        <v>26.4</v>
      </c>
    </row>
    <row r="219" spans="4:13">
      <c r="D219" s="12">
        <v>46106</v>
      </c>
      <c r="E219" s="13">
        <v>1589116</v>
      </c>
      <c r="F219" s="13" t="s">
        <v>15</v>
      </c>
      <c r="G219" s="14">
        <v>20359638</v>
      </c>
      <c r="H219" s="13" t="s">
        <v>411</v>
      </c>
      <c r="I219" s="13" t="s">
        <v>128</v>
      </c>
      <c r="J219" s="14">
        <v>1</v>
      </c>
      <c r="K219" s="14">
        <v>1</v>
      </c>
      <c r="L219" s="15">
        <v>16.8</v>
      </c>
      <c r="M219" s="15">
        <v>16.8</v>
      </c>
    </row>
    <row r="220" spans="4:13">
      <c r="D220" s="12">
        <v>46106</v>
      </c>
      <c r="E220" s="13">
        <v>1589116</v>
      </c>
      <c r="F220" s="13" t="s">
        <v>131</v>
      </c>
      <c r="G220" s="14">
        <v>20315667</v>
      </c>
      <c r="H220" s="13" t="s">
        <v>425</v>
      </c>
      <c r="I220" s="13" t="s">
        <v>83</v>
      </c>
      <c r="J220" s="14">
        <v>1</v>
      </c>
      <c r="K220" s="14">
        <v>3</v>
      </c>
      <c r="L220" s="15">
        <v>39.6</v>
      </c>
      <c r="M220" s="15">
        <v>39.6</v>
      </c>
    </row>
    <row r="221" spans="4:13">
      <c r="D221" s="12">
        <v>46106</v>
      </c>
      <c r="E221" s="13">
        <v>1589116</v>
      </c>
      <c r="F221" s="13" t="s">
        <v>131</v>
      </c>
      <c r="G221" s="14">
        <v>20309648</v>
      </c>
      <c r="H221" s="13" t="s">
        <v>363</v>
      </c>
      <c r="I221" s="13" t="s">
        <v>221</v>
      </c>
      <c r="J221" s="14">
        <v>1</v>
      </c>
      <c r="K221" s="14">
        <v>14</v>
      </c>
      <c r="L221" s="15">
        <v>138.6</v>
      </c>
      <c r="M221" s="15">
        <v>138.6</v>
      </c>
    </row>
    <row r="222" spans="4:13">
      <c r="D222" s="12">
        <v>46106</v>
      </c>
      <c r="E222" s="13">
        <v>1589116</v>
      </c>
      <c r="F222" s="13" t="s">
        <v>131</v>
      </c>
      <c r="G222" s="14">
        <v>20312465</v>
      </c>
      <c r="H222" s="13" t="s">
        <v>320</v>
      </c>
      <c r="I222" s="13" t="s">
        <v>221</v>
      </c>
      <c r="J222" s="14">
        <v>1</v>
      </c>
      <c r="K222" s="14">
        <v>27</v>
      </c>
      <c r="L222" s="15">
        <v>180</v>
      </c>
      <c r="M222" s="15">
        <f>J222*L222</f>
        <v>180</v>
      </c>
    </row>
    <row r="223" spans="4:13">
      <c r="D223" s="12">
        <v>46106</v>
      </c>
      <c r="E223" s="13">
        <v>1589116</v>
      </c>
      <c r="F223" s="13" t="s">
        <v>131</v>
      </c>
      <c r="G223" s="14">
        <v>20314461</v>
      </c>
      <c r="H223" s="13" t="s">
        <v>426</v>
      </c>
      <c r="I223" s="13" t="s">
        <v>221</v>
      </c>
      <c r="J223" s="14">
        <v>1</v>
      </c>
      <c r="K223" s="14">
        <v>26</v>
      </c>
      <c r="L223" s="15">
        <v>180</v>
      </c>
      <c r="M223" s="15">
        <f>J223*L223</f>
        <v>180</v>
      </c>
    </row>
    <row r="224" spans="4:13">
      <c r="D224" s="12">
        <v>46106</v>
      </c>
      <c r="E224" s="13">
        <v>1589116</v>
      </c>
      <c r="F224" s="13" t="s">
        <v>131</v>
      </c>
      <c r="G224" s="14">
        <v>20384037</v>
      </c>
      <c r="H224" s="13" t="s">
        <v>376</v>
      </c>
      <c r="I224" s="13" t="s">
        <v>221</v>
      </c>
      <c r="J224" s="14">
        <v>1</v>
      </c>
      <c r="K224" s="14">
        <v>25</v>
      </c>
      <c r="L224" s="15">
        <v>180</v>
      </c>
      <c r="M224" s="15">
        <f>J224*L224</f>
        <v>180</v>
      </c>
    </row>
    <row r="225" spans="4:13">
      <c r="D225" s="12">
        <v>46106</v>
      </c>
      <c r="E225" s="13">
        <v>1589116</v>
      </c>
      <c r="F225" s="13" t="s">
        <v>131</v>
      </c>
      <c r="G225" s="14">
        <v>20314362</v>
      </c>
      <c r="H225" s="13" t="s">
        <v>364</v>
      </c>
      <c r="I225" s="13" t="s">
        <v>221</v>
      </c>
      <c r="J225" s="14">
        <v>1</v>
      </c>
      <c r="K225" s="14">
        <v>27</v>
      </c>
      <c r="L225" s="15">
        <v>180</v>
      </c>
      <c r="M225" s="15">
        <f>J225*L225</f>
        <v>180</v>
      </c>
    </row>
    <row r="226" spans="4:13">
      <c r="D226" s="12">
        <v>46106</v>
      </c>
      <c r="E226" s="13">
        <v>1589116</v>
      </c>
      <c r="F226" s="13" t="s">
        <v>131</v>
      </c>
      <c r="G226" s="14">
        <v>20309658</v>
      </c>
      <c r="H226" s="13" t="s">
        <v>365</v>
      </c>
      <c r="I226" s="13" t="s">
        <v>221</v>
      </c>
      <c r="J226" s="14">
        <v>1</v>
      </c>
      <c r="K226" s="14">
        <v>5</v>
      </c>
      <c r="L226" s="15">
        <v>52.8</v>
      </c>
      <c r="M226" s="15">
        <v>52.8</v>
      </c>
    </row>
    <row r="227" spans="4:13">
      <c r="D227" s="12">
        <v>46106</v>
      </c>
      <c r="E227" s="13">
        <v>1589116</v>
      </c>
      <c r="F227" s="13" t="s">
        <v>131</v>
      </c>
      <c r="G227" s="14">
        <v>20303777</v>
      </c>
      <c r="H227" s="13" t="s">
        <v>351</v>
      </c>
      <c r="I227" s="13" t="s">
        <v>221</v>
      </c>
      <c r="J227" s="14">
        <v>1</v>
      </c>
      <c r="K227" s="14">
        <v>27</v>
      </c>
      <c r="L227" s="15">
        <v>180</v>
      </c>
      <c r="M227" s="15">
        <f>J227*L227</f>
        <v>180</v>
      </c>
    </row>
    <row r="228" spans="4:13">
      <c r="D228" s="12">
        <v>46106</v>
      </c>
      <c r="E228" s="13">
        <v>1589116</v>
      </c>
      <c r="F228" s="13" t="s">
        <v>131</v>
      </c>
      <c r="G228" s="14">
        <v>20412034</v>
      </c>
      <c r="H228" s="13" t="s">
        <v>344</v>
      </c>
      <c r="I228" s="13" t="s">
        <v>221</v>
      </c>
      <c r="J228" s="14">
        <v>1</v>
      </c>
      <c r="K228" s="14">
        <v>28</v>
      </c>
      <c r="L228" s="15">
        <v>180</v>
      </c>
      <c r="M228" s="15">
        <f>J228*L228</f>
        <v>180</v>
      </c>
    </row>
    <row r="229" spans="4:13">
      <c r="D229" s="12">
        <v>46106</v>
      </c>
      <c r="E229" s="13">
        <v>1589116</v>
      </c>
      <c r="F229" s="13" t="s">
        <v>47</v>
      </c>
      <c r="G229" s="14">
        <v>20302998</v>
      </c>
      <c r="H229" s="13" t="s">
        <v>346</v>
      </c>
      <c r="I229" s="13" t="s">
        <v>347</v>
      </c>
      <c r="J229" s="14">
        <v>2</v>
      </c>
      <c r="K229" s="14">
        <v>38</v>
      </c>
      <c r="L229" s="15">
        <v>62.7</v>
      </c>
      <c r="M229" s="15">
        <v>125.4</v>
      </c>
    </row>
    <row r="230" spans="4:13">
      <c r="D230" s="12">
        <v>46106</v>
      </c>
      <c r="E230" s="13">
        <v>1589116</v>
      </c>
      <c r="F230" s="13" t="s">
        <v>47</v>
      </c>
      <c r="G230" s="14">
        <v>20303011</v>
      </c>
      <c r="H230" s="13" t="s">
        <v>330</v>
      </c>
      <c r="I230" s="13" t="s">
        <v>331</v>
      </c>
      <c r="J230" s="14">
        <v>1</v>
      </c>
      <c r="K230" s="14">
        <v>26</v>
      </c>
      <c r="L230" s="15">
        <v>85.8</v>
      </c>
      <c r="M230" s="15">
        <v>85.8</v>
      </c>
    </row>
    <row r="231" spans="4:13">
      <c r="D231" s="12">
        <v>46106</v>
      </c>
      <c r="E231" s="13">
        <v>1589116</v>
      </c>
      <c r="F231" s="13" t="s">
        <v>47</v>
      </c>
      <c r="G231" s="14">
        <v>20303051</v>
      </c>
      <c r="H231" s="13" t="s">
        <v>391</v>
      </c>
      <c r="I231" s="13" t="s">
        <v>347</v>
      </c>
      <c r="J231" s="14">
        <v>1</v>
      </c>
      <c r="K231" s="14">
        <v>11</v>
      </c>
      <c r="L231" s="15">
        <v>36.3</v>
      </c>
      <c r="M231" s="15">
        <v>36.3</v>
      </c>
    </row>
    <row r="232" spans="4:13">
      <c r="D232" s="12">
        <v>46106</v>
      </c>
      <c r="E232" s="13">
        <v>1589116</v>
      </c>
      <c r="F232" s="13" t="s">
        <v>47</v>
      </c>
      <c r="G232" s="14">
        <v>20306256</v>
      </c>
      <c r="H232" s="13" t="s">
        <v>349</v>
      </c>
      <c r="I232" s="13" t="s">
        <v>83</v>
      </c>
      <c r="J232" s="14">
        <v>1</v>
      </c>
      <c r="K232" s="14">
        <v>22</v>
      </c>
      <c r="L232" s="15">
        <v>72.6</v>
      </c>
      <c r="M232" s="15">
        <v>72.6</v>
      </c>
    </row>
    <row r="233" spans="4:13">
      <c r="D233" s="12">
        <v>46106</v>
      </c>
      <c r="E233" s="13">
        <v>1589116</v>
      </c>
      <c r="F233" s="13" t="s">
        <v>385</v>
      </c>
      <c r="G233" s="14">
        <v>20311814</v>
      </c>
      <c r="H233" s="13" t="s">
        <v>427</v>
      </c>
      <c r="I233" s="13" t="s">
        <v>221</v>
      </c>
      <c r="J233" s="14">
        <v>1</v>
      </c>
      <c r="K233" s="14">
        <v>2</v>
      </c>
      <c r="L233" s="15">
        <v>21</v>
      </c>
      <c r="M233" s="15">
        <v>21</v>
      </c>
    </row>
    <row r="234" spans="4:13">
      <c r="D234" s="12">
        <v>46106</v>
      </c>
      <c r="E234" s="13">
        <v>1589116</v>
      </c>
      <c r="F234" s="13" t="s">
        <v>65</v>
      </c>
      <c r="G234" s="14">
        <v>20303836</v>
      </c>
      <c r="H234" s="13" t="s">
        <v>332</v>
      </c>
      <c r="I234" s="13" t="s">
        <v>83</v>
      </c>
      <c r="J234" s="14">
        <v>5</v>
      </c>
      <c r="K234" s="14">
        <v>20</v>
      </c>
      <c r="L234" s="15">
        <v>13.2</v>
      </c>
      <c r="M234" s="15">
        <v>66</v>
      </c>
    </row>
    <row r="235" spans="4:13">
      <c r="D235" s="12">
        <v>46106</v>
      </c>
      <c r="E235" s="13">
        <v>1589116</v>
      </c>
      <c r="F235" s="13" t="s">
        <v>65</v>
      </c>
      <c r="G235" s="14">
        <v>20404975</v>
      </c>
      <c r="H235" s="13" t="s">
        <v>428</v>
      </c>
      <c r="I235" s="13" t="s">
        <v>44</v>
      </c>
      <c r="J235" s="14">
        <v>1</v>
      </c>
      <c r="K235" s="14">
        <v>3</v>
      </c>
      <c r="L235" s="15">
        <v>9.9</v>
      </c>
      <c r="M235" s="15">
        <v>9.9</v>
      </c>
    </row>
    <row r="236" spans="4:13">
      <c r="D236" s="12">
        <v>46107</v>
      </c>
      <c r="E236" s="13">
        <v>1589224</v>
      </c>
      <c r="F236" s="13" t="s">
        <v>324</v>
      </c>
      <c r="G236" s="14">
        <v>20303009</v>
      </c>
      <c r="H236" s="13" t="s">
        <v>355</v>
      </c>
      <c r="I236" s="13" t="s">
        <v>326</v>
      </c>
      <c r="J236" s="14">
        <v>1</v>
      </c>
      <c r="K236" s="14">
        <v>55</v>
      </c>
      <c r="L236" s="15">
        <v>181.5</v>
      </c>
      <c r="M236" s="15">
        <v>181.5</v>
      </c>
    </row>
    <row r="237" spans="4:13">
      <c r="D237" s="12">
        <v>46107</v>
      </c>
      <c r="E237" s="13">
        <v>1589224</v>
      </c>
      <c r="F237" s="13" t="s">
        <v>324</v>
      </c>
      <c r="G237" s="14">
        <v>20303022</v>
      </c>
      <c r="H237" s="13" t="s">
        <v>352</v>
      </c>
      <c r="I237" s="13" t="s">
        <v>326</v>
      </c>
      <c r="J237" s="14">
        <v>1</v>
      </c>
      <c r="K237" s="14">
        <v>31</v>
      </c>
      <c r="L237" s="15">
        <v>102.3</v>
      </c>
      <c r="M237" s="15">
        <v>102.3</v>
      </c>
    </row>
    <row r="238" spans="4:13">
      <c r="D238" s="12">
        <v>46107</v>
      </c>
      <c r="E238" s="13">
        <v>1589224</v>
      </c>
      <c r="F238" s="13" t="s">
        <v>65</v>
      </c>
      <c r="G238" s="14">
        <v>20310863</v>
      </c>
      <c r="H238" s="13" t="s">
        <v>333</v>
      </c>
      <c r="I238" s="13" t="s">
        <v>49</v>
      </c>
      <c r="J238" s="14">
        <v>1</v>
      </c>
      <c r="K238" s="14">
        <v>1</v>
      </c>
      <c r="L238" s="15">
        <v>9.9</v>
      </c>
      <c r="M238" s="15">
        <v>9.9</v>
      </c>
    </row>
    <row r="239" spans="4:13">
      <c r="D239" s="12">
        <v>46107</v>
      </c>
      <c r="E239" s="13">
        <v>1589280</v>
      </c>
      <c r="F239" s="13" t="s">
        <v>324</v>
      </c>
      <c r="G239" s="14">
        <v>20303022</v>
      </c>
      <c r="H239" s="13" t="s">
        <v>352</v>
      </c>
      <c r="I239" s="13" t="s">
        <v>326</v>
      </c>
      <c r="J239" s="14">
        <v>1</v>
      </c>
      <c r="K239" s="14">
        <v>31</v>
      </c>
      <c r="L239" s="15">
        <v>102.3</v>
      </c>
      <c r="M239" s="15">
        <v>102.3</v>
      </c>
    </row>
    <row r="240" spans="4:13">
      <c r="D240" s="12">
        <v>46107</v>
      </c>
      <c r="E240" s="13">
        <v>1589280</v>
      </c>
      <c r="F240" s="13" t="s">
        <v>324</v>
      </c>
      <c r="G240" s="14">
        <v>20303023</v>
      </c>
      <c r="H240" s="13" t="s">
        <v>335</v>
      </c>
      <c r="I240" s="13" t="s">
        <v>326</v>
      </c>
      <c r="J240" s="14">
        <v>1</v>
      </c>
      <c r="K240" s="14">
        <v>63</v>
      </c>
      <c r="L240" s="15">
        <v>207.9</v>
      </c>
      <c r="M240" s="15">
        <v>207.9</v>
      </c>
    </row>
    <row r="241" spans="4:13">
      <c r="D241" s="12">
        <v>46107</v>
      </c>
      <c r="E241" s="13">
        <v>1589280</v>
      </c>
      <c r="F241" s="13" t="s">
        <v>324</v>
      </c>
      <c r="G241" s="14">
        <v>20363070</v>
      </c>
      <c r="H241" s="13" t="s">
        <v>429</v>
      </c>
      <c r="I241" s="13" t="s">
        <v>326</v>
      </c>
      <c r="J241" s="14">
        <v>1</v>
      </c>
      <c r="K241" s="14">
        <v>8</v>
      </c>
      <c r="L241" s="15">
        <v>26.4</v>
      </c>
      <c r="M241" s="15">
        <v>26.4</v>
      </c>
    </row>
    <row r="242" spans="4:13">
      <c r="D242" s="12">
        <v>46107</v>
      </c>
      <c r="E242" s="13">
        <v>1589280</v>
      </c>
      <c r="F242" s="13" t="s">
        <v>163</v>
      </c>
      <c r="G242" s="14">
        <v>20303912</v>
      </c>
      <c r="H242" s="13" t="s">
        <v>329</v>
      </c>
      <c r="I242" s="13" t="s">
        <v>83</v>
      </c>
      <c r="J242" s="14">
        <v>3</v>
      </c>
      <c r="K242" s="14">
        <v>15</v>
      </c>
      <c r="L242" s="15">
        <v>16.5</v>
      </c>
      <c r="M242" s="15">
        <v>49.5</v>
      </c>
    </row>
    <row r="243" spans="4:13">
      <c r="D243" s="12">
        <v>46107</v>
      </c>
      <c r="E243" s="13">
        <v>1589280</v>
      </c>
      <c r="F243" s="13" t="s">
        <v>47</v>
      </c>
      <c r="G243" s="14">
        <v>20303011</v>
      </c>
      <c r="H243" s="13" t="s">
        <v>330</v>
      </c>
      <c r="I243" s="13" t="s">
        <v>331</v>
      </c>
      <c r="J243" s="14">
        <v>2</v>
      </c>
      <c r="K243" s="14">
        <v>52</v>
      </c>
      <c r="L243" s="15">
        <v>85.8</v>
      </c>
      <c r="M243" s="15">
        <v>171.6</v>
      </c>
    </row>
    <row r="244" spans="4:13">
      <c r="D244" s="12">
        <v>46107</v>
      </c>
      <c r="E244" s="13">
        <v>1589280</v>
      </c>
      <c r="F244" s="13" t="s">
        <v>47</v>
      </c>
      <c r="G244" s="14">
        <v>20306256</v>
      </c>
      <c r="H244" s="13" t="s">
        <v>349</v>
      </c>
      <c r="I244" s="13" t="s">
        <v>83</v>
      </c>
      <c r="J244" s="14">
        <v>1</v>
      </c>
      <c r="K244" s="14">
        <v>22</v>
      </c>
      <c r="L244" s="15">
        <v>72.6</v>
      </c>
      <c r="M244" s="15">
        <v>72.6</v>
      </c>
    </row>
    <row r="245" spans="4:13">
      <c r="D245" s="12">
        <v>46107</v>
      </c>
      <c r="E245" s="13">
        <v>1589291</v>
      </c>
      <c r="F245" s="13" t="s">
        <v>15</v>
      </c>
      <c r="G245" s="14">
        <v>20361066</v>
      </c>
      <c r="H245" s="13" t="s">
        <v>369</v>
      </c>
      <c r="I245" s="13" t="s">
        <v>370</v>
      </c>
      <c r="J245" s="14">
        <v>1</v>
      </c>
      <c r="K245" s="14">
        <v>1</v>
      </c>
      <c r="L245" s="15">
        <v>13.2</v>
      </c>
      <c r="M245" s="15">
        <v>13.2</v>
      </c>
    </row>
    <row r="246" spans="4:13">
      <c r="D246" s="12">
        <v>46107</v>
      </c>
      <c r="E246" s="13">
        <v>1589291</v>
      </c>
      <c r="F246" s="13" t="s">
        <v>15</v>
      </c>
      <c r="G246" s="14">
        <v>20315046</v>
      </c>
      <c r="H246" s="13" t="s">
        <v>340</v>
      </c>
      <c r="I246" s="13" t="s">
        <v>314</v>
      </c>
      <c r="J246" s="14">
        <v>1</v>
      </c>
      <c r="K246" s="14">
        <v>1</v>
      </c>
      <c r="L246" s="15">
        <v>21</v>
      </c>
      <c r="M246" s="15">
        <v>21</v>
      </c>
    </row>
    <row r="247" spans="4:13">
      <c r="D247" s="12">
        <v>46107</v>
      </c>
      <c r="E247" s="13">
        <v>1589291</v>
      </c>
      <c r="F247" s="13" t="s">
        <v>131</v>
      </c>
      <c r="G247" s="14">
        <v>20412362</v>
      </c>
      <c r="H247" s="13" t="s">
        <v>398</v>
      </c>
      <c r="I247" s="13" t="s">
        <v>221</v>
      </c>
      <c r="J247" s="14">
        <v>1</v>
      </c>
      <c r="K247" s="14">
        <v>2</v>
      </c>
      <c r="L247" s="15">
        <v>21</v>
      </c>
      <c r="M247" s="15">
        <v>21</v>
      </c>
    </row>
    <row r="248" spans="4:13">
      <c r="D248" s="12">
        <v>46107</v>
      </c>
      <c r="E248" s="13">
        <v>1589291</v>
      </c>
      <c r="F248" s="13" t="s">
        <v>131</v>
      </c>
      <c r="G248" s="14">
        <v>20309658</v>
      </c>
      <c r="H248" s="13" t="s">
        <v>365</v>
      </c>
      <c r="I248" s="13" t="s">
        <v>221</v>
      </c>
      <c r="J248" s="14">
        <v>1</v>
      </c>
      <c r="K248" s="14">
        <v>5</v>
      </c>
      <c r="L248" s="15">
        <v>52.8</v>
      </c>
      <c r="M248" s="15">
        <v>52.8</v>
      </c>
    </row>
    <row r="249" spans="4:13">
      <c r="D249" s="12">
        <v>46107</v>
      </c>
      <c r="E249" s="13">
        <v>1589291</v>
      </c>
      <c r="F249" s="13" t="s">
        <v>131</v>
      </c>
      <c r="G249" s="14">
        <v>20412034</v>
      </c>
      <c r="H249" s="13" t="s">
        <v>344</v>
      </c>
      <c r="I249" s="13" t="s">
        <v>221</v>
      </c>
      <c r="J249" s="14">
        <v>1</v>
      </c>
      <c r="K249" s="14">
        <v>28</v>
      </c>
      <c r="L249" s="15">
        <v>180</v>
      </c>
      <c r="M249" s="15">
        <f>J249*L249</f>
        <v>180</v>
      </c>
    </row>
    <row r="250" spans="4:13">
      <c r="D250" s="12">
        <v>46107</v>
      </c>
      <c r="E250" s="13">
        <v>1589291</v>
      </c>
      <c r="F250" s="13" t="s">
        <v>131</v>
      </c>
      <c r="G250" s="14">
        <v>20411790</v>
      </c>
      <c r="H250" s="13" t="s">
        <v>345</v>
      </c>
      <c r="I250" s="13" t="s">
        <v>221</v>
      </c>
      <c r="J250" s="14">
        <v>1</v>
      </c>
      <c r="K250" s="14">
        <v>28</v>
      </c>
      <c r="L250" s="15">
        <v>180</v>
      </c>
      <c r="M250" s="15">
        <f>J250*L250</f>
        <v>180</v>
      </c>
    </row>
    <row r="251" spans="4:13">
      <c r="D251" s="12">
        <v>46107</v>
      </c>
      <c r="E251" s="13">
        <v>1589398</v>
      </c>
      <c r="F251" s="13" t="s">
        <v>15</v>
      </c>
      <c r="G251" s="14">
        <v>20315046</v>
      </c>
      <c r="H251" s="13" t="s">
        <v>340</v>
      </c>
      <c r="I251" s="13" t="s">
        <v>314</v>
      </c>
      <c r="J251" s="14">
        <v>1</v>
      </c>
      <c r="K251" s="14">
        <v>1</v>
      </c>
      <c r="L251" s="15">
        <v>21</v>
      </c>
      <c r="M251" s="15">
        <v>21</v>
      </c>
    </row>
    <row r="252" spans="4:13">
      <c r="D252" s="12">
        <v>46107</v>
      </c>
      <c r="E252" s="13">
        <v>1589398</v>
      </c>
      <c r="F252" s="13" t="s">
        <v>15</v>
      </c>
      <c r="G252" s="14">
        <v>20309739</v>
      </c>
      <c r="H252" s="13" t="s">
        <v>430</v>
      </c>
      <c r="I252" s="13" t="s">
        <v>408</v>
      </c>
      <c r="J252" s="14">
        <v>1</v>
      </c>
      <c r="K252" s="14">
        <v>1</v>
      </c>
      <c r="L252" s="15">
        <v>16.8</v>
      </c>
      <c r="M252" s="15">
        <v>16.8</v>
      </c>
    </row>
    <row r="253" spans="4:13">
      <c r="D253" s="12">
        <v>46107</v>
      </c>
      <c r="E253" s="13">
        <v>1589398</v>
      </c>
      <c r="F253" s="13" t="s">
        <v>131</v>
      </c>
      <c r="G253" s="14">
        <v>20309744</v>
      </c>
      <c r="H253" s="13" t="s">
        <v>361</v>
      </c>
      <c r="I253" s="13" t="s">
        <v>221</v>
      </c>
      <c r="J253" s="14">
        <v>1</v>
      </c>
      <c r="K253" s="14">
        <v>9</v>
      </c>
      <c r="L253" s="15">
        <v>92.4</v>
      </c>
      <c r="M253" s="15">
        <v>92.4</v>
      </c>
    </row>
    <row r="254" spans="4:13">
      <c r="D254" s="12">
        <v>46107</v>
      </c>
      <c r="E254" s="13">
        <v>1589398</v>
      </c>
      <c r="F254" s="13" t="s">
        <v>131</v>
      </c>
      <c r="G254" s="14">
        <v>20309648</v>
      </c>
      <c r="H254" s="13" t="s">
        <v>363</v>
      </c>
      <c r="I254" s="13" t="s">
        <v>221</v>
      </c>
      <c r="J254" s="14">
        <v>1</v>
      </c>
      <c r="K254" s="14">
        <v>14</v>
      </c>
      <c r="L254" s="15">
        <v>138.6</v>
      </c>
      <c r="M254" s="15">
        <v>138.6</v>
      </c>
    </row>
    <row r="255" spans="4:13">
      <c r="D255" s="12">
        <v>46107</v>
      </c>
      <c r="E255" s="13">
        <v>1589398</v>
      </c>
      <c r="F255" s="13" t="s">
        <v>131</v>
      </c>
      <c r="G255" s="14">
        <v>20339097</v>
      </c>
      <c r="H255" s="13" t="s">
        <v>343</v>
      </c>
      <c r="I255" s="13" t="s">
        <v>221</v>
      </c>
      <c r="J255" s="14">
        <v>1</v>
      </c>
      <c r="K255" s="14">
        <v>32</v>
      </c>
      <c r="L255" s="15">
        <v>180</v>
      </c>
      <c r="M255" s="15">
        <f>J255*L255</f>
        <v>180</v>
      </c>
    </row>
    <row r="256" spans="4:13">
      <c r="D256" s="12">
        <v>46107</v>
      </c>
      <c r="E256" s="13">
        <v>1589398</v>
      </c>
      <c r="F256" s="13" t="s">
        <v>131</v>
      </c>
      <c r="G256" s="14">
        <v>20312465</v>
      </c>
      <c r="H256" s="13" t="s">
        <v>320</v>
      </c>
      <c r="I256" s="13" t="s">
        <v>221</v>
      </c>
      <c r="J256" s="14">
        <v>1</v>
      </c>
      <c r="K256" s="14">
        <v>27</v>
      </c>
      <c r="L256" s="15">
        <v>180</v>
      </c>
      <c r="M256" s="15">
        <f>J256*L256</f>
        <v>180</v>
      </c>
    </row>
    <row r="257" spans="4:13">
      <c r="D257" s="12">
        <v>46107</v>
      </c>
      <c r="E257" s="13">
        <v>1589398</v>
      </c>
      <c r="F257" s="13" t="s">
        <v>131</v>
      </c>
      <c r="G257" s="14">
        <v>20312767</v>
      </c>
      <c r="H257" s="13" t="s">
        <v>384</v>
      </c>
      <c r="I257" s="13" t="s">
        <v>221</v>
      </c>
      <c r="J257" s="14">
        <v>1</v>
      </c>
      <c r="K257" s="14">
        <v>9</v>
      </c>
      <c r="L257" s="15">
        <v>99</v>
      </c>
      <c r="M257" s="15">
        <v>99</v>
      </c>
    </row>
    <row r="258" spans="4:13">
      <c r="D258" s="12">
        <v>46107</v>
      </c>
      <c r="E258" s="13">
        <v>1589398</v>
      </c>
      <c r="F258" s="13" t="s">
        <v>131</v>
      </c>
      <c r="G258" s="14">
        <v>20309658</v>
      </c>
      <c r="H258" s="13" t="s">
        <v>365</v>
      </c>
      <c r="I258" s="13" t="s">
        <v>221</v>
      </c>
      <c r="J258" s="14">
        <v>2</v>
      </c>
      <c r="K258" s="14">
        <v>10</v>
      </c>
      <c r="L258" s="15">
        <v>52.8</v>
      </c>
      <c r="M258" s="15">
        <v>105.6</v>
      </c>
    </row>
    <row r="259" spans="4:13">
      <c r="D259" s="12">
        <v>46107</v>
      </c>
      <c r="E259" s="13">
        <v>1589398</v>
      </c>
      <c r="F259" s="13" t="s">
        <v>131</v>
      </c>
      <c r="G259" s="14">
        <v>20412202</v>
      </c>
      <c r="H259" s="13" t="s">
        <v>322</v>
      </c>
      <c r="I259" s="13" t="s">
        <v>221</v>
      </c>
      <c r="J259" s="14">
        <v>1</v>
      </c>
      <c r="K259" s="14">
        <v>23</v>
      </c>
      <c r="L259" s="15">
        <v>180</v>
      </c>
      <c r="M259" s="15">
        <f>J259*L259</f>
        <v>180</v>
      </c>
    </row>
    <row r="260" spans="4:13">
      <c r="D260" s="12">
        <v>46107</v>
      </c>
      <c r="E260" s="13">
        <v>1589398</v>
      </c>
      <c r="F260" s="13" t="s">
        <v>385</v>
      </c>
      <c r="G260" s="14">
        <v>20349421</v>
      </c>
      <c r="H260" s="13" t="s">
        <v>386</v>
      </c>
      <c r="I260" s="13" t="s">
        <v>221</v>
      </c>
      <c r="J260" s="14">
        <v>1</v>
      </c>
      <c r="K260" s="14">
        <v>2</v>
      </c>
      <c r="L260" s="15">
        <v>26.4</v>
      </c>
      <c r="M260" s="15">
        <v>26.4</v>
      </c>
    </row>
    <row r="261" spans="4:13">
      <c r="D261" s="12">
        <v>46107</v>
      </c>
      <c r="E261" s="13">
        <v>1589414</v>
      </c>
      <c r="F261" s="13" t="s">
        <v>324</v>
      </c>
      <c r="G261" s="14">
        <v>20303010</v>
      </c>
      <c r="H261" s="13" t="s">
        <v>325</v>
      </c>
      <c r="I261" s="13" t="s">
        <v>326</v>
      </c>
      <c r="J261" s="14">
        <v>2</v>
      </c>
      <c r="K261" s="14">
        <v>50</v>
      </c>
      <c r="L261" s="15">
        <v>82.5</v>
      </c>
      <c r="M261" s="15">
        <v>165</v>
      </c>
    </row>
    <row r="262" spans="4:13">
      <c r="D262" s="12">
        <v>46107</v>
      </c>
      <c r="E262" s="13">
        <v>1589414</v>
      </c>
      <c r="F262" s="13" t="s">
        <v>324</v>
      </c>
      <c r="G262" s="14">
        <v>20303022</v>
      </c>
      <c r="H262" s="13" t="s">
        <v>352</v>
      </c>
      <c r="I262" s="13" t="s">
        <v>326</v>
      </c>
      <c r="J262" s="14">
        <v>5</v>
      </c>
      <c r="K262" s="14">
        <v>155</v>
      </c>
      <c r="L262" s="15">
        <v>102.3</v>
      </c>
      <c r="M262" s="15">
        <v>511.5</v>
      </c>
    </row>
    <row r="263" spans="4:13">
      <c r="D263" s="12">
        <v>46107</v>
      </c>
      <c r="E263" s="13">
        <v>1589414</v>
      </c>
      <c r="F263" s="13" t="s">
        <v>324</v>
      </c>
      <c r="G263" s="14">
        <v>20303023</v>
      </c>
      <c r="H263" s="13" t="s">
        <v>335</v>
      </c>
      <c r="I263" s="13" t="s">
        <v>326</v>
      </c>
      <c r="J263" s="14">
        <v>1</v>
      </c>
      <c r="K263" s="14">
        <v>63</v>
      </c>
      <c r="L263" s="15">
        <v>207.9</v>
      </c>
      <c r="M263" s="15">
        <v>207.9</v>
      </c>
    </row>
    <row r="264" spans="4:13">
      <c r="D264" s="12">
        <v>46107</v>
      </c>
      <c r="E264" s="13">
        <v>1589414</v>
      </c>
      <c r="F264" s="13" t="s">
        <v>324</v>
      </c>
      <c r="G264" s="14">
        <v>20303025</v>
      </c>
      <c r="H264" s="13" t="s">
        <v>336</v>
      </c>
      <c r="I264" s="13" t="s">
        <v>326</v>
      </c>
      <c r="J264" s="14">
        <v>1</v>
      </c>
      <c r="K264" s="14">
        <v>47</v>
      </c>
      <c r="L264" s="15">
        <v>155.1</v>
      </c>
      <c r="M264" s="15">
        <v>155.1</v>
      </c>
    </row>
    <row r="265" spans="4:13">
      <c r="D265" s="12">
        <v>46107</v>
      </c>
      <c r="E265" s="13">
        <v>1589414</v>
      </c>
      <c r="F265" s="13" t="s">
        <v>324</v>
      </c>
      <c r="G265" s="14">
        <v>20303029</v>
      </c>
      <c r="H265" s="13" t="s">
        <v>337</v>
      </c>
      <c r="I265" s="13" t="s">
        <v>326</v>
      </c>
      <c r="J265" s="14">
        <v>2</v>
      </c>
      <c r="K265" s="14">
        <v>94</v>
      </c>
      <c r="L265" s="15">
        <v>155.1</v>
      </c>
      <c r="M265" s="15">
        <v>310.2</v>
      </c>
    </row>
    <row r="266" spans="4:13">
      <c r="D266" s="12">
        <v>46107</v>
      </c>
      <c r="E266" s="13">
        <v>1589414</v>
      </c>
      <c r="F266" s="13" t="s">
        <v>324</v>
      </c>
      <c r="G266" s="14">
        <v>20303036</v>
      </c>
      <c r="H266" s="13" t="s">
        <v>431</v>
      </c>
      <c r="I266" s="13" t="s">
        <v>326</v>
      </c>
      <c r="J266" s="14">
        <v>1</v>
      </c>
      <c r="K266" s="14">
        <v>22</v>
      </c>
      <c r="L266" s="15">
        <v>72.6</v>
      </c>
      <c r="M266" s="15">
        <v>72.6</v>
      </c>
    </row>
    <row r="267" spans="4:13">
      <c r="D267" s="12">
        <v>46107</v>
      </c>
      <c r="E267" s="13">
        <v>1589414</v>
      </c>
      <c r="F267" s="13" t="s">
        <v>324</v>
      </c>
      <c r="G267" s="14">
        <v>20303056</v>
      </c>
      <c r="H267" s="13" t="s">
        <v>415</v>
      </c>
      <c r="I267" s="13" t="s">
        <v>326</v>
      </c>
      <c r="J267" s="14">
        <v>1</v>
      </c>
      <c r="K267" s="14">
        <v>25</v>
      </c>
      <c r="L267" s="15">
        <v>82.5</v>
      </c>
      <c r="M267" s="15">
        <v>82.5</v>
      </c>
    </row>
    <row r="268" spans="4:13">
      <c r="D268" s="12">
        <v>46107</v>
      </c>
      <c r="E268" s="13">
        <v>1589414</v>
      </c>
      <c r="F268" s="13" t="s">
        <v>163</v>
      </c>
      <c r="G268" s="14">
        <v>20303912</v>
      </c>
      <c r="H268" s="13" t="s">
        <v>329</v>
      </c>
      <c r="I268" s="13" t="s">
        <v>83</v>
      </c>
      <c r="J268" s="14">
        <v>1</v>
      </c>
      <c r="K268" s="14">
        <v>5</v>
      </c>
      <c r="L268" s="15">
        <v>16.5</v>
      </c>
      <c r="M268" s="15">
        <v>16.5</v>
      </c>
    </row>
    <row r="269" spans="4:13">
      <c r="D269" s="12">
        <v>46107</v>
      </c>
      <c r="E269" s="13">
        <v>1589414</v>
      </c>
      <c r="F269" s="13" t="s">
        <v>20</v>
      </c>
      <c r="G269" s="14">
        <v>20303954</v>
      </c>
      <c r="H269" s="13" t="s">
        <v>295</v>
      </c>
      <c r="I269" s="13" t="s">
        <v>29</v>
      </c>
      <c r="J269" s="14">
        <v>4</v>
      </c>
      <c r="K269" s="14">
        <v>4</v>
      </c>
      <c r="L269" s="15">
        <v>4.8</v>
      </c>
      <c r="M269" s="15">
        <v>19.2</v>
      </c>
    </row>
    <row r="270" spans="4:13">
      <c r="D270" s="12">
        <v>46107</v>
      </c>
      <c r="E270" s="13">
        <v>1589414</v>
      </c>
      <c r="F270" s="13" t="s">
        <v>20</v>
      </c>
      <c r="G270" s="14">
        <v>20305028</v>
      </c>
      <c r="H270" s="13" t="s">
        <v>432</v>
      </c>
      <c r="I270" s="13" t="s">
        <v>29</v>
      </c>
      <c r="J270" s="14">
        <v>2</v>
      </c>
      <c r="K270" s="14">
        <v>2</v>
      </c>
      <c r="L270" s="15">
        <v>4.8</v>
      </c>
      <c r="M270" s="15">
        <v>9.6</v>
      </c>
    </row>
    <row r="271" spans="4:13">
      <c r="D271" s="12">
        <v>46107</v>
      </c>
      <c r="E271" s="13">
        <v>1589414</v>
      </c>
      <c r="F271" s="13" t="s">
        <v>20</v>
      </c>
      <c r="G271" s="14">
        <v>20303939</v>
      </c>
      <c r="H271" s="13" t="s">
        <v>433</v>
      </c>
      <c r="I271" s="13" t="s">
        <v>57</v>
      </c>
      <c r="J271" s="14">
        <v>1</v>
      </c>
      <c r="K271" s="14">
        <v>1</v>
      </c>
      <c r="L271" s="15">
        <v>9.9</v>
      </c>
      <c r="M271" s="15">
        <v>9.9</v>
      </c>
    </row>
    <row r="272" spans="4:13">
      <c r="D272" s="12">
        <v>46107</v>
      </c>
      <c r="E272" s="13">
        <v>1589414</v>
      </c>
      <c r="F272" s="13" t="s">
        <v>20</v>
      </c>
      <c r="G272" s="14">
        <v>20311063</v>
      </c>
      <c r="H272" s="13" t="s">
        <v>183</v>
      </c>
      <c r="I272" s="13" t="s">
        <v>29</v>
      </c>
      <c r="J272" s="14">
        <v>2</v>
      </c>
      <c r="K272" s="14">
        <v>2</v>
      </c>
      <c r="L272" s="15">
        <v>4.8</v>
      </c>
      <c r="M272" s="15">
        <v>9.6</v>
      </c>
    </row>
    <row r="273" spans="4:13">
      <c r="D273" s="12">
        <v>46107</v>
      </c>
      <c r="E273" s="13">
        <v>1589414</v>
      </c>
      <c r="F273" s="13" t="s">
        <v>20</v>
      </c>
      <c r="G273" s="14">
        <v>20305022</v>
      </c>
      <c r="H273" s="13" t="s">
        <v>434</v>
      </c>
      <c r="I273" s="13" t="s">
        <v>105</v>
      </c>
      <c r="J273" s="14">
        <v>1</v>
      </c>
      <c r="K273" s="14">
        <v>1</v>
      </c>
      <c r="L273" s="15">
        <v>4.8</v>
      </c>
      <c r="M273" s="15">
        <v>4.8</v>
      </c>
    </row>
    <row r="274" spans="4:13">
      <c r="D274" s="12">
        <v>46107</v>
      </c>
      <c r="E274" s="13">
        <v>1589414</v>
      </c>
      <c r="F274" s="13" t="s">
        <v>20</v>
      </c>
      <c r="G274" s="14">
        <v>20304006</v>
      </c>
      <c r="H274" s="13" t="s">
        <v>435</v>
      </c>
      <c r="I274" s="13" t="s">
        <v>55</v>
      </c>
      <c r="J274" s="14">
        <v>1</v>
      </c>
      <c r="K274" s="14">
        <v>1</v>
      </c>
      <c r="L274" s="15">
        <v>9.9</v>
      </c>
      <c r="M274" s="15">
        <v>9.9</v>
      </c>
    </row>
    <row r="275" spans="4:13">
      <c r="D275" s="12">
        <v>46107</v>
      </c>
      <c r="E275" s="13">
        <v>1589414</v>
      </c>
      <c r="F275" s="13" t="s">
        <v>20</v>
      </c>
      <c r="G275" s="14">
        <v>20305086</v>
      </c>
      <c r="H275" s="13" t="s">
        <v>436</v>
      </c>
      <c r="I275" s="13" t="s">
        <v>35</v>
      </c>
      <c r="J275" s="14">
        <v>1</v>
      </c>
      <c r="K275" s="14">
        <v>2</v>
      </c>
      <c r="L275" s="15">
        <v>8.1</v>
      </c>
      <c r="M275" s="15">
        <v>8.1</v>
      </c>
    </row>
    <row r="276" spans="4:13">
      <c r="D276" s="12">
        <v>46107</v>
      </c>
      <c r="E276" s="13">
        <v>1589414</v>
      </c>
      <c r="F276" s="13" t="s">
        <v>47</v>
      </c>
      <c r="G276" s="14">
        <v>20303011</v>
      </c>
      <c r="H276" s="13" t="s">
        <v>330</v>
      </c>
      <c r="I276" s="13" t="s">
        <v>331</v>
      </c>
      <c r="J276" s="14">
        <v>2</v>
      </c>
      <c r="K276" s="14">
        <v>52</v>
      </c>
      <c r="L276" s="15">
        <v>85.8</v>
      </c>
      <c r="M276" s="15">
        <v>171.6</v>
      </c>
    </row>
    <row r="277" spans="4:13">
      <c r="D277" s="12">
        <v>46107</v>
      </c>
      <c r="E277" s="13">
        <v>1589414</v>
      </c>
      <c r="F277" s="13" t="s">
        <v>47</v>
      </c>
      <c r="G277" s="14">
        <v>20303035</v>
      </c>
      <c r="H277" s="13" t="s">
        <v>400</v>
      </c>
      <c r="I277" s="13" t="s">
        <v>331</v>
      </c>
      <c r="J277" s="14">
        <v>1</v>
      </c>
      <c r="K277" s="14">
        <v>22</v>
      </c>
      <c r="L277" s="15">
        <v>72.6</v>
      </c>
      <c r="M277" s="15">
        <v>72.6</v>
      </c>
    </row>
    <row r="278" spans="4:13">
      <c r="D278" s="12">
        <v>46107</v>
      </c>
      <c r="E278" s="13">
        <v>1589414</v>
      </c>
      <c r="F278" s="13" t="s">
        <v>47</v>
      </c>
      <c r="G278" s="14">
        <v>20300112</v>
      </c>
      <c r="H278" s="13" t="s">
        <v>437</v>
      </c>
      <c r="I278" s="13" t="s">
        <v>49</v>
      </c>
      <c r="J278" s="14">
        <v>1</v>
      </c>
      <c r="K278" s="14">
        <v>11</v>
      </c>
      <c r="L278" s="15">
        <v>36.3</v>
      </c>
      <c r="M278" s="15">
        <v>36.3</v>
      </c>
    </row>
    <row r="279" spans="4:13">
      <c r="D279" s="12">
        <v>46107</v>
      </c>
      <c r="E279" s="13">
        <v>1589414</v>
      </c>
      <c r="F279" s="13" t="s">
        <v>65</v>
      </c>
      <c r="G279" s="14">
        <v>20303836</v>
      </c>
      <c r="H279" s="13" t="s">
        <v>332</v>
      </c>
      <c r="I279" s="13" t="s">
        <v>83</v>
      </c>
      <c r="J279" s="14">
        <v>7</v>
      </c>
      <c r="K279" s="14">
        <v>28</v>
      </c>
      <c r="L279" s="15">
        <v>13.2</v>
      </c>
      <c r="M279" s="15">
        <v>92.4</v>
      </c>
    </row>
    <row r="280" spans="4:13">
      <c r="D280" s="12">
        <v>46107</v>
      </c>
      <c r="E280" s="13">
        <v>1589414</v>
      </c>
      <c r="F280" s="13" t="s">
        <v>65</v>
      </c>
      <c r="G280" s="14">
        <v>20310863</v>
      </c>
      <c r="H280" s="13" t="s">
        <v>333</v>
      </c>
      <c r="I280" s="13" t="s">
        <v>49</v>
      </c>
      <c r="J280" s="14">
        <v>2</v>
      </c>
      <c r="K280" s="14">
        <v>2</v>
      </c>
      <c r="L280" s="15">
        <v>9.9</v>
      </c>
      <c r="M280" s="15">
        <v>19.8</v>
      </c>
    </row>
    <row r="281" spans="4:13">
      <c r="D281" s="12">
        <v>46107</v>
      </c>
      <c r="E281" s="13">
        <v>1589415</v>
      </c>
      <c r="F281" s="13" t="s">
        <v>15</v>
      </c>
      <c r="G281" s="14">
        <v>20309636</v>
      </c>
      <c r="H281" s="13" t="s">
        <v>397</v>
      </c>
      <c r="I281" s="13" t="s">
        <v>62</v>
      </c>
      <c r="J281" s="14">
        <v>1</v>
      </c>
      <c r="K281" s="14">
        <v>2</v>
      </c>
      <c r="L281" s="15">
        <v>26.4</v>
      </c>
      <c r="M281" s="15">
        <v>26.4</v>
      </c>
    </row>
    <row r="282" spans="4:13">
      <c r="D282" s="12">
        <v>46107</v>
      </c>
      <c r="E282" s="13">
        <v>1589415</v>
      </c>
      <c r="F282" s="13" t="s">
        <v>131</v>
      </c>
      <c r="G282" s="14">
        <v>20309648</v>
      </c>
      <c r="H282" s="13" t="s">
        <v>363</v>
      </c>
      <c r="I282" s="13" t="s">
        <v>221</v>
      </c>
      <c r="J282" s="14">
        <v>1</v>
      </c>
      <c r="K282" s="14">
        <v>14</v>
      </c>
      <c r="L282" s="15">
        <v>138.6</v>
      </c>
      <c r="M282" s="15">
        <v>138.6</v>
      </c>
    </row>
    <row r="283" spans="4:13">
      <c r="D283" s="12">
        <v>46107</v>
      </c>
      <c r="E283" s="13">
        <v>1589486</v>
      </c>
      <c r="F283" s="13" t="s">
        <v>378</v>
      </c>
      <c r="G283" s="14">
        <v>20310012</v>
      </c>
      <c r="H283" s="13" t="s">
        <v>379</v>
      </c>
      <c r="I283" s="13" t="s">
        <v>2</v>
      </c>
      <c r="J283" s="14">
        <v>6</v>
      </c>
      <c r="K283" s="14">
        <v>0</v>
      </c>
      <c r="L283" s="15">
        <v>15</v>
      </c>
      <c r="M283" s="15">
        <v>90</v>
      </c>
    </row>
    <row r="284" spans="4:13">
      <c r="D284" s="12">
        <v>46107</v>
      </c>
      <c r="E284" s="13">
        <v>1589502</v>
      </c>
      <c r="F284" s="13" t="s">
        <v>324</v>
      </c>
      <c r="G284" s="14">
        <v>20303010</v>
      </c>
      <c r="H284" s="13" t="s">
        <v>325</v>
      </c>
      <c r="I284" s="13" t="s">
        <v>326</v>
      </c>
      <c r="J284" s="14">
        <v>2</v>
      </c>
      <c r="K284" s="14">
        <v>50</v>
      </c>
      <c r="L284" s="15">
        <v>82.5</v>
      </c>
      <c r="M284" s="15">
        <v>165</v>
      </c>
    </row>
    <row r="285" spans="4:13">
      <c r="D285" s="12">
        <v>46107</v>
      </c>
      <c r="E285" s="13">
        <v>1589502</v>
      </c>
      <c r="F285" s="13" t="s">
        <v>324</v>
      </c>
      <c r="G285" s="14">
        <v>20303022</v>
      </c>
      <c r="H285" s="13" t="s">
        <v>352</v>
      </c>
      <c r="I285" s="13" t="s">
        <v>326</v>
      </c>
      <c r="J285" s="14">
        <v>2</v>
      </c>
      <c r="K285" s="14">
        <v>62</v>
      </c>
      <c r="L285" s="15">
        <v>102.3</v>
      </c>
      <c r="M285" s="15">
        <v>204.6</v>
      </c>
    </row>
    <row r="286" spans="4:13">
      <c r="D286" s="12">
        <v>46107</v>
      </c>
      <c r="E286" s="13">
        <v>1589502</v>
      </c>
      <c r="F286" s="13" t="s">
        <v>324</v>
      </c>
      <c r="G286" s="14">
        <v>20303023</v>
      </c>
      <c r="H286" s="13" t="s">
        <v>335</v>
      </c>
      <c r="I286" s="13" t="s">
        <v>326</v>
      </c>
      <c r="J286" s="14">
        <v>1</v>
      </c>
      <c r="K286" s="14">
        <v>63</v>
      </c>
      <c r="L286" s="15">
        <v>207.9</v>
      </c>
      <c r="M286" s="15">
        <v>207.9</v>
      </c>
    </row>
    <row r="287" spans="4:13">
      <c r="D287" s="12">
        <v>46107</v>
      </c>
      <c r="E287" s="13">
        <v>1589502</v>
      </c>
      <c r="F287" s="13" t="s">
        <v>324</v>
      </c>
      <c r="G287" s="14">
        <v>20300106</v>
      </c>
      <c r="H287" s="13" t="s">
        <v>438</v>
      </c>
      <c r="I287" s="13" t="s">
        <v>326</v>
      </c>
      <c r="J287" s="14">
        <v>1</v>
      </c>
      <c r="K287" s="14">
        <v>52</v>
      </c>
      <c r="L287" s="15">
        <v>171.6</v>
      </c>
      <c r="M287" s="15">
        <v>171.6</v>
      </c>
    </row>
    <row r="288" spans="4:13">
      <c r="D288" s="12">
        <v>46107</v>
      </c>
      <c r="E288" s="13">
        <v>1589502</v>
      </c>
      <c r="F288" s="13" t="s">
        <v>163</v>
      </c>
      <c r="G288" s="14">
        <v>20303912</v>
      </c>
      <c r="H288" s="13" t="s">
        <v>329</v>
      </c>
      <c r="I288" s="13" t="s">
        <v>83</v>
      </c>
      <c r="J288" s="14">
        <v>2</v>
      </c>
      <c r="K288" s="14">
        <v>10</v>
      </c>
      <c r="L288" s="15">
        <v>16.5</v>
      </c>
      <c r="M288" s="15">
        <v>33</v>
      </c>
    </row>
    <row r="289" spans="4:13">
      <c r="D289" s="12">
        <v>46107</v>
      </c>
      <c r="E289" s="13">
        <v>1589502</v>
      </c>
      <c r="F289" s="13" t="s">
        <v>20</v>
      </c>
      <c r="G289" s="14">
        <v>20395861</v>
      </c>
      <c r="H289" s="13" t="s">
        <v>439</v>
      </c>
      <c r="I289" s="13" t="s">
        <v>22</v>
      </c>
      <c r="J289" s="14">
        <v>1</v>
      </c>
      <c r="K289" s="14">
        <v>13</v>
      </c>
      <c r="L289" s="15">
        <v>42.9</v>
      </c>
      <c r="M289" s="15">
        <v>42.9</v>
      </c>
    </row>
    <row r="290" spans="4:13">
      <c r="D290" s="12">
        <v>46107</v>
      </c>
      <c r="E290" s="13">
        <v>1589502</v>
      </c>
      <c r="F290" s="13" t="s">
        <v>15</v>
      </c>
      <c r="G290" s="14">
        <v>20315046</v>
      </c>
      <c r="H290" s="13" t="s">
        <v>340</v>
      </c>
      <c r="I290" s="13" t="s">
        <v>314</v>
      </c>
      <c r="J290" s="14">
        <v>1</v>
      </c>
      <c r="K290" s="14">
        <v>1</v>
      </c>
      <c r="L290" s="15">
        <v>21</v>
      </c>
      <c r="M290" s="15">
        <v>21</v>
      </c>
    </row>
    <row r="291" spans="4:13">
      <c r="D291" s="12">
        <v>46107</v>
      </c>
      <c r="E291" s="13">
        <v>1589502</v>
      </c>
      <c r="F291" s="13" t="s">
        <v>15</v>
      </c>
      <c r="G291" s="14">
        <v>20370421</v>
      </c>
      <c r="H291" s="13" t="s">
        <v>380</v>
      </c>
      <c r="I291" s="13" t="s">
        <v>381</v>
      </c>
      <c r="J291" s="14">
        <v>1</v>
      </c>
      <c r="K291" s="14">
        <v>2</v>
      </c>
      <c r="L291" s="15">
        <v>26.4</v>
      </c>
      <c r="M291" s="15">
        <v>26.4</v>
      </c>
    </row>
    <row r="292" spans="4:13">
      <c r="D292" s="12">
        <v>46107</v>
      </c>
      <c r="E292" s="13">
        <v>1589502</v>
      </c>
      <c r="F292" s="13" t="s">
        <v>15</v>
      </c>
      <c r="G292" s="14">
        <v>20358905</v>
      </c>
      <c r="H292" s="13" t="s">
        <v>360</v>
      </c>
      <c r="I292" s="13" t="s">
        <v>244</v>
      </c>
      <c r="J292" s="14">
        <v>2</v>
      </c>
      <c r="K292" s="14">
        <v>2</v>
      </c>
      <c r="L292" s="15">
        <v>15</v>
      </c>
      <c r="M292" s="15">
        <v>30</v>
      </c>
    </row>
    <row r="293" spans="4:13">
      <c r="D293" s="12">
        <v>46107</v>
      </c>
      <c r="E293" s="13">
        <v>1589502</v>
      </c>
      <c r="F293" s="13" t="s">
        <v>15</v>
      </c>
      <c r="G293" s="14">
        <v>20310030</v>
      </c>
      <c r="H293" s="13" t="s">
        <v>424</v>
      </c>
      <c r="I293" s="13" t="s">
        <v>128</v>
      </c>
      <c r="J293" s="14">
        <v>2</v>
      </c>
      <c r="K293" s="14">
        <v>4</v>
      </c>
      <c r="L293" s="15">
        <v>26.4</v>
      </c>
      <c r="M293" s="15">
        <v>52.8</v>
      </c>
    </row>
    <row r="294" spans="4:13">
      <c r="D294" s="12">
        <v>46107</v>
      </c>
      <c r="E294" s="13">
        <v>1589502</v>
      </c>
      <c r="F294" s="13" t="s">
        <v>15</v>
      </c>
      <c r="G294" s="14">
        <v>20309651</v>
      </c>
      <c r="H294" s="13" t="s">
        <v>130</v>
      </c>
      <c r="I294" s="13" t="s">
        <v>62</v>
      </c>
      <c r="J294" s="14">
        <v>1</v>
      </c>
      <c r="K294" s="14">
        <v>1</v>
      </c>
      <c r="L294" s="15">
        <v>21</v>
      </c>
      <c r="M294" s="15">
        <v>21</v>
      </c>
    </row>
    <row r="295" spans="4:13">
      <c r="D295" s="12">
        <v>46107</v>
      </c>
      <c r="E295" s="13">
        <v>1589502</v>
      </c>
      <c r="F295" s="13" t="s">
        <v>15</v>
      </c>
      <c r="G295" s="14">
        <v>20360685</v>
      </c>
      <c r="H295" s="13" t="s">
        <v>440</v>
      </c>
      <c r="I295" s="13" t="s">
        <v>128</v>
      </c>
      <c r="J295" s="14">
        <v>2</v>
      </c>
      <c r="K295" s="14">
        <v>2</v>
      </c>
      <c r="L295" s="15">
        <v>16.8</v>
      </c>
      <c r="M295" s="15">
        <v>33.6</v>
      </c>
    </row>
    <row r="296" spans="4:13">
      <c r="D296" s="12">
        <v>46107</v>
      </c>
      <c r="E296" s="13">
        <v>1589502</v>
      </c>
      <c r="F296" s="13" t="s">
        <v>15</v>
      </c>
      <c r="G296" s="14">
        <v>20360954</v>
      </c>
      <c r="H296" s="13" t="s">
        <v>441</v>
      </c>
      <c r="I296" s="13" t="s">
        <v>128</v>
      </c>
      <c r="J296" s="14">
        <v>1</v>
      </c>
      <c r="K296" s="14">
        <v>1</v>
      </c>
      <c r="L296" s="15">
        <v>16.8</v>
      </c>
      <c r="M296" s="15">
        <v>16.8</v>
      </c>
    </row>
    <row r="297" spans="4:13">
      <c r="D297" s="12">
        <v>46107</v>
      </c>
      <c r="E297" s="13">
        <v>1589502</v>
      </c>
      <c r="F297" s="13" t="s">
        <v>131</v>
      </c>
      <c r="G297" s="14">
        <v>20339097</v>
      </c>
      <c r="H297" s="13" t="s">
        <v>343</v>
      </c>
      <c r="I297" s="13" t="s">
        <v>221</v>
      </c>
      <c r="J297" s="14">
        <v>2</v>
      </c>
      <c r="K297" s="14">
        <v>64</v>
      </c>
      <c r="L297" s="15">
        <v>180</v>
      </c>
      <c r="M297" s="15">
        <f>J297*L297</f>
        <v>360</v>
      </c>
    </row>
    <row r="298" spans="4:13">
      <c r="D298" s="12">
        <v>46107</v>
      </c>
      <c r="E298" s="13">
        <v>1589502</v>
      </c>
      <c r="F298" s="13" t="s">
        <v>131</v>
      </c>
      <c r="G298" s="14">
        <v>20384037</v>
      </c>
      <c r="H298" s="13" t="s">
        <v>376</v>
      </c>
      <c r="I298" s="13" t="s">
        <v>221</v>
      </c>
      <c r="J298" s="14">
        <v>1</v>
      </c>
      <c r="K298" s="14">
        <v>25</v>
      </c>
      <c r="L298" s="15">
        <v>180</v>
      </c>
      <c r="M298" s="15">
        <f>J298*L298</f>
        <v>180</v>
      </c>
    </row>
    <row r="299" spans="4:13">
      <c r="D299" s="12">
        <v>46107</v>
      </c>
      <c r="E299" s="13">
        <v>1589502</v>
      </c>
      <c r="F299" s="13" t="s">
        <v>131</v>
      </c>
      <c r="G299" s="14">
        <v>20309658</v>
      </c>
      <c r="H299" s="13" t="s">
        <v>365</v>
      </c>
      <c r="I299" s="13" t="s">
        <v>221</v>
      </c>
      <c r="J299" s="14">
        <v>3</v>
      </c>
      <c r="K299" s="14">
        <v>15</v>
      </c>
      <c r="L299" s="15">
        <v>52.8</v>
      </c>
      <c r="M299" s="15">
        <v>158.4</v>
      </c>
    </row>
    <row r="300" spans="4:13">
      <c r="D300" s="12">
        <v>46107</v>
      </c>
      <c r="E300" s="13">
        <v>1589502</v>
      </c>
      <c r="F300" s="13" t="s">
        <v>131</v>
      </c>
      <c r="G300" s="14">
        <v>20312572</v>
      </c>
      <c r="H300" s="13" t="s">
        <v>366</v>
      </c>
      <c r="I300" s="13" t="s">
        <v>221</v>
      </c>
      <c r="J300" s="14">
        <v>1</v>
      </c>
      <c r="K300" s="14">
        <v>27</v>
      </c>
      <c r="L300" s="15">
        <v>180</v>
      </c>
      <c r="M300" s="15">
        <f>J300*L300</f>
        <v>180</v>
      </c>
    </row>
    <row r="301" spans="4:13">
      <c r="D301" s="12">
        <v>46107</v>
      </c>
      <c r="E301" s="13">
        <v>1589502</v>
      </c>
      <c r="F301" s="13" t="s">
        <v>131</v>
      </c>
      <c r="G301" s="14">
        <v>20303777</v>
      </c>
      <c r="H301" s="13" t="s">
        <v>351</v>
      </c>
      <c r="I301" s="13" t="s">
        <v>221</v>
      </c>
      <c r="J301" s="14">
        <v>1</v>
      </c>
      <c r="K301" s="14">
        <v>27</v>
      </c>
      <c r="L301" s="15">
        <v>180</v>
      </c>
      <c r="M301" s="15">
        <f>J301*L301</f>
        <v>180</v>
      </c>
    </row>
    <row r="302" spans="4:13">
      <c r="D302" s="12">
        <v>46107</v>
      </c>
      <c r="E302" s="13">
        <v>1589502</v>
      </c>
      <c r="F302" s="13" t="s">
        <v>131</v>
      </c>
      <c r="G302" s="14">
        <v>20412194</v>
      </c>
      <c r="H302" s="13" t="s">
        <v>315</v>
      </c>
      <c r="I302" s="13" t="s">
        <v>221</v>
      </c>
      <c r="J302" s="14">
        <v>1</v>
      </c>
      <c r="K302" s="14">
        <v>22</v>
      </c>
      <c r="L302" s="15">
        <v>180</v>
      </c>
      <c r="M302" s="15">
        <f>J302*L302</f>
        <v>180</v>
      </c>
    </row>
    <row r="303" spans="4:13">
      <c r="D303" s="12">
        <v>46107</v>
      </c>
      <c r="E303" s="13">
        <v>1589502</v>
      </c>
      <c r="F303" s="13" t="s">
        <v>47</v>
      </c>
      <c r="G303" s="14">
        <v>20302998</v>
      </c>
      <c r="H303" s="13" t="s">
        <v>346</v>
      </c>
      <c r="I303" s="13" t="s">
        <v>347</v>
      </c>
      <c r="J303" s="14">
        <v>1</v>
      </c>
      <c r="K303" s="14">
        <v>19</v>
      </c>
      <c r="L303" s="15">
        <v>62.7</v>
      </c>
      <c r="M303" s="15">
        <v>62.7</v>
      </c>
    </row>
    <row r="304" spans="4:13">
      <c r="D304" s="12">
        <v>46107</v>
      </c>
      <c r="E304" s="13">
        <v>1589502</v>
      </c>
      <c r="F304" s="13" t="s">
        <v>47</v>
      </c>
      <c r="G304" s="14">
        <v>20303011</v>
      </c>
      <c r="H304" s="13" t="s">
        <v>330</v>
      </c>
      <c r="I304" s="13" t="s">
        <v>331</v>
      </c>
      <c r="J304" s="14">
        <v>2</v>
      </c>
      <c r="K304" s="14">
        <v>52</v>
      </c>
      <c r="L304" s="15">
        <v>85.8</v>
      </c>
      <c r="M304" s="15">
        <v>171.6</v>
      </c>
    </row>
    <row r="305" spans="4:13">
      <c r="D305" s="12">
        <v>46107</v>
      </c>
      <c r="E305" s="13">
        <v>1589502</v>
      </c>
      <c r="F305" s="13" t="s">
        <v>47</v>
      </c>
      <c r="G305" s="14">
        <v>20303941</v>
      </c>
      <c r="H305" s="13" t="s">
        <v>348</v>
      </c>
      <c r="I305" s="13" t="s">
        <v>331</v>
      </c>
      <c r="J305" s="14">
        <v>1</v>
      </c>
      <c r="K305" s="14">
        <v>8</v>
      </c>
      <c r="L305" s="15">
        <v>26.4</v>
      </c>
      <c r="M305" s="15">
        <v>26.4</v>
      </c>
    </row>
    <row r="306" spans="4:13">
      <c r="D306" s="12">
        <v>46107</v>
      </c>
      <c r="E306" s="13">
        <v>1589502</v>
      </c>
      <c r="F306" s="13" t="s">
        <v>385</v>
      </c>
      <c r="G306" s="14">
        <v>20399009</v>
      </c>
      <c r="H306" s="13" t="s">
        <v>404</v>
      </c>
      <c r="I306" s="13" t="s">
        <v>128</v>
      </c>
      <c r="J306" s="14">
        <v>1</v>
      </c>
      <c r="K306" s="14">
        <v>1</v>
      </c>
      <c r="L306" s="15">
        <v>16.8</v>
      </c>
      <c r="M306" s="15">
        <v>16.8</v>
      </c>
    </row>
    <row r="307" spans="4:13">
      <c r="D307" s="12">
        <v>46107</v>
      </c>
      <c r="E307" s="13">
        <v>1589502</v>
      </c>
      <c r="F307" s="13" t="s">
        <v>65</v>
      </c>
      <c r="G307" s="14">
        <v>20303836</v>
      </c>
      <c r="H307" s="13" t="s">
        <v>332</v>
      </c>
      <c r="I307" s="13" t="s">
        <v>83</v>
      </c>
      <c r="J307" s="14">
        <v>4</v>
      </c>
      <c r="K307" s="14">
        <v>16</v>
      </c>
      <c r="L307" s="15">
        <v>13.2</v>
      </c>
      <c r="M307" s="15">
        <v>52.8</v>
      </c>
    </row>
    <row r="308" spans="4:13">
      <c r="D308" s="12">
        <v>46107</v>
      </c>
      <c r="E308" s="13">
        <v>1589502</v>
      </c>
      <c r="F308" s="13" t="s">
        <v>65</v>
      </c>
      <c r="G308" s="14">
        <v>20303983</v>
      </c>
      <c r="H308" s="13" t="s">
        <v>442</v>
      </c>
      <c r="I308" s="13" t="s">
        <v>331</v>
      </c>
      <c r="J308" s="14">
        <v>1</v>
      </c>
      <c r="K308" s="14">
        <v>1</v>
      </c>
      <c r="L308" s="15">
        <v>9.9</v>
      </c>
      <c r="M308" s="15">
        <v>9.9</v>
      </c>
    </row>
    <row r="309" ht="25.5" spans="4:13">
      <c r="D309" s="12">
        <v>46107</v>
      </c>
      <c r="E309" s="13">
        <v>1589502</v>
      </c>
      <c r="F309" s="13" t="s">
        <v>65</v>
      </c>
      <c r="G309" s="14">
        <v>20418947</v>
      </c>
      <c r="H309" s="13" t="s">
        <v>443</v>
      </c>
      <c r="I309" s="13" t="s">
        <v>347</v>
      </c>
      <c r="J309" s="14">
        <v>1</v>
      </c>
      <c r="K309" s="14">
        <v>11</v>
      </c>
      <c r="L309" s="15">
        <v>36.3</v>
      </c>
      <c r="M309" s="15">
        <v>36.3</v>
      </c>
    </row>
    <row r="310" spans="4:13">
      <c r="D310" s="12">
        <v>46108</v>
      </c>
      <c r="E310" s="13">
        <v>1589589</v>
      </c>
      <c r="F310" s="13" t="s">
        <v>324</v>
      </c>
      <c r="G310" s="14">
        <v>20366197</v>
      </c>
      <c r="H310" s="13" t="s">
        <v>444</v>
      </c>
      <c r="I310" s="13" t="s">
        <v>328</v>
      </c>
      <c r="J310" s="14">
        <v>1</v>
      </c>
      <c r="K310" s="14">
        <v>3</v>
      </c>
      <c r="L310" s="15">
        <v>9.9</v>
      </c>
      <c r="M310" s="15">
        <v>9.9</v>
      </c>
    </row>
    <row r="311" spans="4:13">
      <c r="D311" s="12">
        <v>46108</v>
      </c>
      <c r="E311" s="13">
        <v>1589589</v>
      </c>
      <c r="F311" s="13" t="s">
        <v>324</v>
      </c>
      <c r="G311" s="14">
        <v>20354746</v>
      </c>
      <c r="H311" s="13" t="s">
        <v>445</v>
      </c>
      <c r="I311" s="13" t="s">
        <v>328</v>
      </c>
      <c r="J311" s="14">
        <v>1</v>
      </c>
      <c r="K311" s="14">
        <v>4</v>
      </c>
      <c r="L311" s="15">
        <v>13.2</v>
      </c>
      <c r="M311" s="15">
        <v>13.2</v>
      </c>
    </row>
    <row r="312" spans="4:13">
      <c r="D312" s="12">
        <v>46108</v>
      </c>
      <c r="E312" s="13">
        <v>1589589</v>
      </c>
      <c r="F312" s="13" t="s">
        <v>324</v>
      </c>
      <c r="G312" s="14">
        <v>20354749</v>
      </c>
      <c r="H312" s="13" t="s">
        <v>446</v>
      </c>
      <c r="I312" s="13" t="s">
        <v>328</v>
      </c>
      <c r="J312" s="14">
        <v>1</v>
      </c>
      <c r="K312" s="14">
        <v>5</v>
      </c>
      <c r="L312" s="15">
        <v>16.5</v>
      </c>
      <c r="M312" s="15">
        <v>16.5</v>
      </c>
    </row>
    <row r="313" spans="4:13">
      <c r="D313" s="12">
        <v>46108</v>
      </c>
      <c r="E313" s="13">
        <v>1589589</v>
      </c>
      <c r="F313" s="13" t="s">
        <v>65</v>
      </c>
      <c r="G313" s="14">
        <v>20354744</v>
      </c>
      <c r="H313" s="13" t="s">
        <v>447</v>
      </c>
      <c r="I313" s="13" t="s">
        <v>326</v>
      </c>
      <c r="J313" s="14">
        <v>1</v>
      </c>
      <c r="K313" s="14">
        <v>10</v>
      </c>
      <c r="L313" s="15">
        <v>33</v>
      </c>
      <c r="M313" s="15">
        <v>33</v>
      </c>
    </row>
    <row r="314" spans="4:13">
      <c r="D314" s="12">
        <v>46108</v>
      </c>
      <c r="E314" s="13">
        <v>1589704</v>
      </c>
      <c r="F314" s="13" t="s">
        <v>324</v>
      </c>
      <c r="G314" s="14">
        <v>20315323</v>
      </c>
      <c r="H314" s="13" t="s">
        <v>448</v>
      </c>
      <c r="I314" s="13" t="s">
        <v>326</v>
      </c>
      <c r="J314" s="14">
        <v>1</v>
      </c>
      <c r="K314" s="14">
        <v>42</v>
      </c>
      <c r="L314" s="15">
        <v>138.6</v>
      </c>
      <c r="M314" s="15">
        <v>138.6</v>
      </c>
    </row>
    <row r="315" spans="4:13">
      <c r="D315" s="12">
        <v>46108</v>
      </c>
      <c r="E315" s="13">
        <v>1589704</v>
      </c>
      <c r="F315" s="13" t="s">
        <v>324</v>
      </c>
      <c r="G315" s="14">
        <v>20303007</v>
      </c>
      <c r="H315" s="13" t="s">
        <v>449</v>
      </c>
      <c r="I315" s="13" t="s">
        <v>326</v>
      </c>
      <c r="J315" s="14">
        <v>1</v>
      </c>
      <c r="K315" s="14">
        <v>32</v>
      </c>
      <c r="L315" s="15">
        <v>105.6</v>
      </c>
      <c r="M315" s="15">
        <v>105.6</v>
      </c>
    </row>
    <row r="316" spans="4:13">
      <c r="D316" s="12">
        <v>46108</v>
      </c>
      <c r="E316" s="13">
        <v>1589704</v>
      </c>
      <c r="F316" s="13" t="s">
        <v>324</v>
      </c>
      <c r="G316" s="14">
        <v>20303010</v>
      </c>
      <c r="H316" s="13" t="s">
        <v>325</v>
      </c>
      <c r="I316" s="13" t="s">
        <v>326</v>
      </c>
      <c r="J316" s="14">
        <v>2</v>
      </c>
      <c r="K316" s="14">
        <v>50</v>
      </c>
      <c r="L316" s="15">
        <v>82.5</v>
      </c>
      <c r="M316" s="15">
        <v>165</v>
      </c>
    </row>
    <row r="317" spans="4:13">
      <c r="D317" s="12">
        <v>46108</v>
      </c>
      <c r="E317" s="13">
        <v>1589704</v>
      </c>
      <c r="F317" s="13" t="s">
        <v>324</v>
      </c>
      <c r="G317" s="14">
        <v>20303022</v>
      </c>
      <c r="H317" s="13" t="s">
        <v>352</v>
      </c>
      <c r="I317" s="13" t="s">
        <v>326</v>
      </c>
      <c r="J317" s="14">
        <v>2</v>
      </c>
      <c r="K317" s="14">
        <v>62</v>
      </c>
      <c r="L317" s="15">
        <v>102.3</v>
      </c>
      <c r="M317" s="15">
        <v>204.6</v>
      </c>
    </row>
    <row r="318" spans="4:13">
      <c r="D318" s="12">
        <v>46108</v>
      </c>
      <c r="E318" s="13">
        <v>1589704</v>
      </c>
      <c r="F318" s="13" t="s">
        <v>324</v>
      </c>
      <c r="G318" s="14">
        <v>20303023</v>
      </c>
      <c r="H318" s="13" t="s">
        <v>335</v>
      </c>
      <c r="I318" s="13" t="s">
        <v>326</v>
      </c>
      <c r="J318" s="14">
        <v>1</v>
      </c>
      <c r="K318" s="14">
        <v>63</v>
      </c>
      <c r="L318" s="15">
        <v>207.9</v>
      </c>
      <c r="M318" s="15">
        <v>207.9</v>
      </c>
    </row>
    <row r="319" spans="4:13">
      <c r="D319" s="12">
        <v>46108</v>
      </c>
      <c r="E319" s="13">
        <v>1589704</v>
      </c>
      <c r="F319" s="13" t="s">
        <v>324</v>
      </c>
      <c r="G319" s="14">
        <v>20303041</v>
      </c>
      <c r="H319" s="13" t="s">
        <v>406</v>
      </c>
      <c r="I319" s="13" t="s">
        <v>44</v>
      </c>
      <c r="J319" s="14">
        <v>1</v>
      </c>
      <c r="K319" s="14">
        <v>17</v>
      </c>
      <c r="L319" s="15">
        <v>56.1</v>
      </c>
      <c r="M319" s="15">
        <v>56.1</v>
      </c>
    </row>
    <row r="320" spans="4:13">
      <c r="D320" s="12">
        <v>46108</v>
      </c>
      <c r="E320" s="13">
        <v>1589704</v>
      </c>
      <c r="F320" s="13" t="s">
        <v>324</v>
      </c>
      <c r="G320" s="14">
        <v>20300106</v>
      </c>
      <c r="H320" s="13" t="s">
        <v>438</v>
      </c>
      <c r="I320" s="13" t="s">
        <v>326</v>
      </c>
      <c r="J320" s="14">
        <v>1</v>
      </c>
      <c r="K320" s="14">
        <v>52</v>
      </c>
      <c r="L320" s="15">
        <v>171.6</v>
      </c>
      <c r="M320" s="15">
        <v>171.6</v>
      </c>
    </row>
    <row r="321" spans="4:13">
      <c r="D321" s="12">
        <v>46108</v>
      </c>
      <c r="E321" s="13">
        <v>1589704</v>
      </c>
      <c r="F321" s="13" t="s">
        <v>163</v>
      </c>
      <c r="G321" s="14">
        <v>20303912</v>
      </c>
      <c r="H321" s="13" t="s">
        <v>329</v>
      </c>
      <c r="I321" s="13" t="s">
        <v>83</v>
      </c>
      <c r="J321" s="14">
        <v>1</v>
      </c>
      <c r="K321" s="14">
        <v>5</v>
      </c>
      <c r="L321" s="15">
        <v>16.5</v>
      </c>
      <c r="M321" s="15">
        <v>16.5</v>
      </c>
    </row>
    <row r="322" spans="4:13">
      <c r="D322" s="12">
        <v>46108</v>
      </c>
      <c r="E322" s="13">
        <v>1589704</v>
      </c>
      <c r="F322" s="13" t="s">
        <v>20</v>
      </c>
      <c r="G322" s="14">
        <v>20303954</v>
      </c>
      <c r="H322" s="13" t="s">
        <v>295</v>
      </c>
      <c r="I322" s="13" t="s">
        <v>29</v>
      </c>
      <c r="J322" s="14">
        <v>2</v>
      </c>
      <c r="K322" s="14">
        <v>2</v>
      </c>
      <c r="L322" s="15">
        <v>4.8</v>
      </c>
      <c r="M322" s="15">
        <v>9.6</v>
      </c>
    </row>
    <row r="323" spans="4:13">
      <c r="D323" s="12">
        <v>46108</v>
      </c>
      <c r="E323" s="13">
        <v>1589704</v>
      </c>
      <c r="F323" s="13" t="s">
        <v>20</v>
      </c>
      <c r="G323" s="14">
        <v>20309804</v>
      </c>
      <c r="H323" s="13" t="s">
        <v>367</v>
      </c>
      <c r="I323" s="13" t="s">
        <v>53</v>
      </c>
      <c r="J323" s="14">
        <v>2</v>
      </c>
      <c r="K323" s="14">
        <v>2</v>
      </c>
      <c r="L323" s="15">
        <v>6.6</v>
      </c>
      <c r="M323" s="15">
        <v>13.2</v>
      </c>
    </row>
    <row r="324" spans="4:13">
      <c r="D324" s="12">
        <v>46108</v>
      </c>
      <c r="E324" s="13">
        <v>1589704</v>
      </c>
      <c r="F324" s="13" t="s">
        <v>20</v>
      </c>
      <c r="G324" s="14">
        <v>20304018</v>
      </c>
      <c r="H324" s="13" t="s">
        <v>450</v>
      </c>
      <c r="I324" s="13" t="s">
        <v>57</v>
      </c>
      <c r="J324" s="14">
        <v>1</v>
      </c>
      <c r="K324" s="14">
        <v>1</v>
      </c>
      <c r="L324" s="15">
        <v>9.9</v>
      </c>
      <c r="M324" s="15">
        <v>9.9</v>
      </c>
    </row>
    <row r="325" spans="4:13">
      <c r="D325" s="12">
        <v>46108</v>
      </c>
      <c r="E325" s="13">
        <v>1589704</v>
      </c>
      <c r="F325" s="13" t="s">
        <v>20</v>
      </c>
      <c r="G325" s="14">
        <v>20303939</v>
      </c>
      <c r="H325" s="13" t="s">
        <v>433</v>
      </c>
      <c r="I325" s="13" t="s">
        <v>57</v>
      </c>
      <c r="J325" s="14">
        <v>1</v>
      </c>
      <c r="K325" s="14">
        <v>1</v>
      </c>
      <c r="L325" s="15">
        <v>9.9</v>
      </c>
      <c r="M325" s="15">
        <v>9.9</v>
      </c>
    </row>
    <row r="326" spans="4:13">
      <c r="D326" s="12">
        <v>46108</v>
      </c>
      <c r="E326" s="13">
        <v>1589704</v>
      </c>
      <c r="F326" s="13" t="s">
        <v>20</v>
      </c>
      <c r="G326" s="14">
        <v>20307293</v>
      </c>
      <c r="H326" s="13" t="s">
        <v>211</v>
      </c>
      <c r="I326" s="13" t="s">
        <v>22</v>
      </c>
      <c r="J326" s="14">
        <v>1</v>
      </c>
      <c r="K326" s="14">
        <v>2</v>
      </c>
      <c r="L326" s="15">
        <v>8.1</v>
      </c>
      <c r="M326" s="15">
        <v>8.1</v>
      </c>
    </row>
    <row r="327" spans="4:13">
      <c r="D327" s="12">
        <v>46108</v>
      </c>
      <c r="E327" s="13">
        <v>1589704</v>
      </c>
      <c r="F327" s="13" t="s">
        <v>20</v>
      </c>
      <c r="G327" s="14">
        <v>20303979</v>
      </c>
      <c r="H327" s="13" t="s">
        <v>368</v>
      </c>
      <c r="I327" s="13" t="s">
        <v>55</v>
      </c>
      <c r="J327" s="14">
        <v>1</v>
      </c>
      <c r="K327" s="14">
        <v>1</v>
      </c>
      <c r="L327" s="15">
        <v>7.8</v>
      </c>
      <c r="M327" s="15">
        <v>7.8</v>
      </c>
    </row>
    <row r="328" spans="4:13">
      <c r="D328" s="12">
        <v>46108</v>
      </c>
      <c r="E328" s="13">
        <v>1589704</v>
      </c>
      <c r="F328" s="13" t="s">
        <v>20</v>
      </c>
      <c r="G328" s="14">
        <v>20311063</v>
      </c>
      <c r="H328" s="13" t="s">
        <v>183</v>
      </c>
      <c r="I328" s="13" t="s">
        <v>29</v>
      </c>
      <c r="J328" s="14">
        <v>4</v>
      </c>
      <c r="K328" s="14">
        <v>4</v>
      </c>
      <c r="L328" s="15">
        <v>4.8</v>
      </c>
      <c r="M328" s="15">
        <v>19.2</v>
      </c>
    </row>
    <row r="329" spans="4:13">
      <c r="D329" s="12">
        <v>46108</v>
      </c>
      <c r="E329" s="13">
        <v>1589704</v>
      </c>
      <c r="F329" s="13" t="s">
        <v>20</v>
      </c>
      <c r="G329" s="14">
        <v>20304006</v>
      </c>
      <c r="H329" s="13" t="s">
        <v>435</v>
      </c>
      <c r="I329" s="13" t="s">
        <v>55</v>
      </c>
      <c r="J329" s="14">
        <v>2</v>
      </c>
      <c r="K329" s="14">
        <v>2</v>
      </c>
      <c r="L329" s="15">
        <v>9.9</v>
      </c>
      <c r="M329" s="15">
        <v>19.8</v>
      </c>
    </row>
    <row r="330" spans="4:13">
      <c r="D330" s="12">
        <v>46108</v>
      </c>
      <c r="E330" s="13">
        <v>1589704</v>
      </c>
      <c r="F330" s="13" t="s">
        <v>20</v>
      </c>
      <c r="G330" s="14">
        <v>20309681</v>
      </c>
      <c r="H330" s="13" t="s">
        <v>451</v>
      </c>
      <c r="I330" s="13" t="s">
        <v>29</v>
      </c>
      <c r="J330" s="14">
        <v>1</v>
      </c>
      <c r="K330" s="14">
        <v>1</v>
      </c>
      <c r="L330" s="15">
        <v>4.8</v>
      </c>
      <c r="M330" s="15">
        <v>4.8</v>
      </c>
    </row>
    <row r="331" spans="4:13">
      <c r="D331" s="12">
        <v>46108</v>
      </c>
      <c r="E331" s="13">
        <v>1589704</v>
      </c>
      <c r="F331" s="13" t="s">
        <v>20</v>
      </c>
      <c r="G331" s="14">
        <v>20315880</v>
      </c>
      <c r="H331" s="13" t="s">
        <v>423</v>
      </c>
      <c r="I331" s="13" t="s">
        <v>53</v>
      </c>
      <c r="J331" s="14">
        <v>1</v>
      </c>
      <c r="K331" s="14">
        <v>2</v>
      </c>
      <c r="L331" s="15">
        <v>9.9</v>
      </c>
      <c r="M331" s="15">
        <v>9.9</v>
      </c>
    </row>
    <row r="332" spans="4:13">
      <c r="D332" s="12">
        <v>46108</v>
      </c>
      <c r="E332" s="13">
        <v>1589704</v>
      </c>
      <c r="F332" s="13" t="s">
        <v>47</v>
      </c>
      <c r="G332" s="14">
        <v>20309801</v>
      </c>
      <c r="H332" s="13" t="s">
        <v>452</v>
      </c>
      <c r="I332" s="13" t="s">
        <v>326</v>
      </c>
      <c r="J332" s="14">
        <v>1</v>
      </c>
      <c r="K332" s="14">
        <v>3</v>
      </c>
      <c r="L332" s="15">
        <v>9.9</v>
      </c>
      <c r="M332" s="15">
        <v>9.9</v>
      </c>
    </row>
    <row r="333" spans="4:13">
      <c r="D333" s="12">
        <v>46108</v>
      </c>
      <c r="E333" s="13">
        <v>1589704</v>
      </c>
      <c r="F333" s="13" t="s">
        <v>65</v>
      </c>
      <c r="G333" s="14">
        <v>20307306</v>
      </c>
      <c r="H333" s="13" t="s">
        <v>377</v>
      </c>
      <c r="I333" s="13" t="s">
        <v>44</v>
      </c>
      <c r="J333" s="14">
        <v>1</v>
      </c>
      <c r="K333" s="14">
        <v>2</v>
      </c>
      <c r="L333" s="15">
        <v>9.9</v>
      </c>
      <c r="M333" s="15">
        <v>9.9</v>
      </c>
    </row>
    <row r="334" spans="4:13">
      <c r="D334" s="12">
        <v>46108</v>
      </c>
      <c r="E334" s="13">
        <v>1589704</v>
      </c>
      <c r="F334" s="13" t="s">
        <v>65</v>
      </c>
      <c r="G334" s="14">
        <v>20303836</v>
      </c>
      <c r="H334" s="13" t="s">
        <v>332</v>
      </c>
      <c r="I334" s="13" t="s">
        <v>83</v>
      </c>
      <c r="J334" s="14">
        <v>8</v>
      </c>
      <c r="K334" s="14">
        <v>32</v>
      </c>
      <c r="L334" s="15">
        <v>13.2</v>
      </c>
      <c r="M334" s="15">
        <v>105.6</v>
      </c>
    </row>
    <row r="335" spans="4:13">
      <c r="D335" s="12">
        <v>46108</v>
      </c>
      <c r="E335" s="13">
        <v>1589704</v>
      </c>
      <c r="F335" s="13" t="s">
        <v>65</v>
      </c>
      <c r="G335" s="14">
        <v>20310863</v>
      </c>
      <c r="H335" s="13" t="s">
        <v>333</v>
      </c>
      <c r="I335" s="13" t="s">
        <v>49</v>
      </c>
      <c r="J335" s="14">
        <v>1</v>
      </c>
      <c r="K335" s="14">
        <v>1</v>
      </c>
      <c r="L335" s="15">
        <v>9.9</v>
      </c>
      <c r="M335" s="15">
        <v>9.9</v>
      </c>
    </row>
    <row r="336" spans="4:13">
      <c r="D336" s="12">
        <v>46108</v>
      </c>
      <c r="E336" s="13">
        <v>1589704</v>
      </c>
      <c r="F336" s="13" t="s">
        <v>65</v>
      </c>
      <c r="G336" s="14">
        <v>20309747</v>
      </c>
      <c r="H336" s="13" t="s">
        <v>359</v>
      </c>
      <c r="I336" s="13" t="s">
        <v>83</v>
      </c>
      <c r="J336" s="14">
        <v>1</v>
      </c>
      <c r="K336" s="14">
        <v>2</v>
      </c>
      <c r="L336" s="15">
        <v>9.9</v>
      </c>
      <c r="M336" s="15">
        <v>9.9</v>
      </c>
    </row>
    <row r="337" spans="4:13">
      <c r="D337" s="12">
        <v>46108</v>
      </c>
      <c r="E337" s="13">
        <v>1589704</v>
      </c>
      <c r="F337" s="13" t="s">
        <v>65</v>
      </c>
      <c r="G337" s="14">
        <v>20307305</v>
      </c>
      <c r="H337" s="13" t="s">
        <v>453</v>
      </c>
      <c r="I337" s="13" t="s">
        <v>49</v>
      </c>
      <c r="J337" s="14">
        <v>1</v>
      </c>
      <c r="K337" s="14">
        <v>2</v>
      </c>
      <c r="L337" s="15">
        <v>9.9</v>
      </c>
      <c r="M337" s="15">
        <v>9.9</v>
      </c>
    </row>
    <row r="338" spans="4:13">
      <c r="D338" s="12">
        <v>46108</v>
      </c>
      <c r="E338" s="13">
        <v>1589797</v>
      </c>
      <c r="F338" s="13" t="s">
        <v>15</v>
      </c>
      <c r="G338" s="14">
        <v>20309739</v>
      </c>
      <c r="H338" s="13" t="s">
        <v>430</v>
      </c>
      <c r="I338" s="13" t="s">
        <v>408</v>
      </c>
      <c r="J338" s="14">
        <v>1</v>
      </c>
      <c r="K338" s="14">
        <v>1</v>
      </c>
      <c r="L338" s="15">
        <v>16.8</v>
      </c>
      <c r="M338" s="15">
        <v>16.8</v>
      </c>
    </row>
    <row r="339" spans="4:13">
      <c r="D339" s="12">
        <v>46108</v>
      </c>
      <c r="E339" s="13">
        <v>1589797</v>
      </c>
      <c r="F339" s="13" t="s">
        <v>15</v>
      </c>
      <c r="G339" s="14">
        <v>20360685</v>
      </c>
      <c r="H339" s="13" t="s">
        <v>440</v>
      </c>
      <c r="I339" s="13" t="s">
        <v>128</v>
      </c>
      <c r="J339" s="14">
        <v>1</v>
      </c>
      <c r="K339" s="14">
        <v>1</v>
      </c>
      <c r="L339" s="15">
        <v>16.8</v>
      </c>
      <c r="M339" s="15">
        <v>16.8</v>
      </c>
    </row>
    <row r="340" spans="4:13">
      <c r="D340" s="12">
        <v>46108</v>
      </c>
      <c r="E340" s="13">
        <v>1589797</v>
      </c>
      <c r="F340" s="13" t="s">
        <v>131</v>
      </c>
      <c r="G340" s="14">
        <v>20309648</v>
      </c>
      <c r="H340" s="13" t="s">
        <v>363</v>
      </c>
      <c r="I340" s="13" t="s">
        <v>221</v>
      </c>
      <c r="J340" s="14">
        <v>1</v>
      </c>
      <c r="K340" s="14">
        <v>14</v>
      </c>
      <c r="L340" s="15">
        <v>138.6</v>
      </c>
      <c r="M340" s="15">
        <v>138.6</v>
      </c>
    </row>
    <row r="341" spans="4:13">
      <c r="D341" s="12">
        <v>46108</v>
      </c>
      <c r="E341" s="13">
        <v>1589797</v>
      </c>
      <c r="F341" s="13" t="s">
        <v>131</v>
      </c>
      <c r="G341" s="14">
        <v>20339097</v>
      </c>
      <c r="H341" s="13" t="s">
        <v>343</v>
      </c>
      <c r="I341" s="13" t="s">
        <v>221</v>
      </c>
      <c r="J341" s="14">
        <v>1</v>
      </c>
      <c r="K341" s="14">
        <v>32</v>
      </c>
      <c r="L341" s="15">
        <v>180</v>
      </c>
      <c r="M341" s="15">
        <f>J341*L341</f>
        <v>180</v>
      </c>
    </row>
    <row r="342" spans="4:13">
      <c r="D342" s="12">
        <v>46108</v>
      </c>
      <c r="E342" s="13">
        <v>1589797</v>
      </c>
      <c r="F342" s="13" t="s">
        <v>131</v>
      </c>
      <c r="G342" s="14">
        <v>20312465</v>
      </c>
      <c r="H342" s="13" t="s">
        <v>320</v>
      </c>
      <c r="I342" s="13" t="s">
        <v>221</v>
      </c>
      <c r="J342" s="14">
        <v>1</v>
      </c>
      <c r="K342" s="14">
        <v>27</v>
      </c>
      <c r="L342" s="15">
        <v>180</v>
      </c>
      <c r="M342" s="15">
        <f>J342*L342</f>
        <v>180</v>
      </c>
    </row>
    <row r="343" spans="4:13">
      <c r="D343" s="12">
        <v>46108</v>
      </c>
      <c r="E343" s="13">
        <v>1589797</v>
      </c>
      <c r="F343" s="13" t="s">
        <v>131</v>
      </c>
      <c r="G343" s="14">
        <v>20411790</v>
      </c>
      <c r="H343" s="13" t="s">
        <v>345</v>
      </c>
      <c r="I343" s="13" t="s">
        <v>221</v>
      </c>
      <c r="J343" s="14">
        <v>1</v>
      </c>
      <c r="K343" s="14">
        <v>28</v>
      </c>
      <c r="L343" s="15">
        <v>180</v>
      </c>
      <c r="M343" s="15">
        <f>J343*L343</f>
        <v>180</v>
      </c>
    </row>
    <row r="344" spans="4:13">
      <c r="D344" s="12">
        <v>46108</v>
      </c>
      <c r="E344" s="13">
        <v>1589798</v>
      </c>
      <c r="F344" s="13" t="s">
        <v>324</v>
      </c>
      <c r="G344" s="14">
        <v>20303009</v>
      </c>
      <c r="H344" s="13" t="s">
        <v>355</v>
      </c>
      <c r="I344" s="13" t="s">
        <v>326</v>
      </c>
      <c r="J344" s="14">
        <v>1</v>
      </c>
      <c r="K344" s="14">
        <v>55</v>
      </c>
      <c r="L344" s="15">
        <v>181.5</v>
      </c>
      <c r="M344" s="15">
        <v>181.5</v>
      </c>
    </row>
    <row r="345" spans="4:13">
      <c r="D345" s="12">
        <v>46108</v>
      </c>
      <c r="E345" s="13">
        <v>1589798</v>
      </c>
      <c r="F345" s="13" t="s">
        <v>324</v>
      </c>
      <c r="G345" s="14">
        <v>20303010</v>
      </c>
      <c r="H345" s="13" t="s">
        <v>325</v>
      </c>
      <c r="I345" s="13" t="s">
        <v>326</v>
      </c>
      <c r="J345" s="14">
        <v>1</v>
      </c>
      <c r="K345" s="14">
        <v>25</v>
      </c>
      <c r="L345" s="15">
        <v>82.5</v>
      </c>
      <c r="M345" s="15">
        <v>82.5</v>
      </c>
    </row>
    <row r="346" spans="4:13">
      <c r="D346" s="12">
        <v>46108</v>
      </c>
      <c r="E346" s="13">
        <v>1589798</v>
      </c>
      <c r="F346" s="13" t="s">
        <v>324</v>
      </c>
      <c r="G346" s="14">
        <v>20303022</v>
      </c>
      <c r="H346" s="13" t="s">
        <v>352</v>
      </c>
      <c r="I346" s="13" t="s">
        <v>326</v>
      </c>
      <c r="J346" s="14">
        <v>2</v>
      </c>
      <c r="K346" s="14">
        <v>62</v>
      </c>
      <c r="L346" s="15">
        <v>102.3</v>
      </c>
      <c r="M346" s="15">
        <v>204.6</v>
      </c>
    </row>
    <row r="347" spans="4:13">
      <c r="D347" s="12">
        <v>46108</v>
      </c>
      <c r="E347" s="13">
        <v>1589798</v>
      </c>
      <c r="F347" s="13" t="s">
        <v>324</v>
      </c>
      <c r="G347" s="14">
        <v>20303018</v>
      </c>
      <c r="H347" s="13" t="s">
        <v>454</v>
      </c>
      <c r="I347" s="13" t="s">
        <v>326</v>
      </c>
      <c r="J347" s="14">
        <v>1</v>
      </c>
      <c r="K347" s="14">
        <v>50</v>
      </c>
      <c r="L347" s="15">
        <v>165</v>
      </c>
      <c r="M347" s="15">
        <v>165</v>
      </c>
    </row>
    <row r="348" spans="4:13">
      <c r="D348" s="12">
        <v>46108</v>
      </c>
      <c r="E348" s="13">
        <v>1589798</v>
      </c>
      <c r="F348" s="13" t="s">
        <v>324</v>
      </c>
      <c r="G348" s="14">
        <v>20303025</v>
      </c>
      <c r="H348" s="13" t="s">
        <v>336</v>
      </c>
      <c r="I348" s="13" t="s">
        <v>326</v>
      </c>
      <c r="J348" s="14">
        <v>1</v>
      </c>
      <c r="K348" s="14">
        <v>47</v>
      </c>
      <c r="L348" s="15">
        <v>155.1</v>
      </c>
      <c r="M348" s="15">
        <v>155.1</v>
      </c>
    </row>
    <row r="349" spans="4:13">
      <c r="D349" s="12">
        <v>46108</v>
      </c>
      <c r="E349" s="13">
        <v>1589798</v>
      </c>
      <c r="F349" s="13" t="s">
        <v>324</v>
      </c>
      <c r="G349" s="14">
        <v>20303029</v>
      </c>
      <c r="H349" s="13" t="s">
        <v>337</v>
      </c>
      <c r="I349" s="13" t="s">
        <v>326</v>
      </c>
      <c r="J349" s="14">
        <v>3</v>
      </c>
      <c r="K349" s="14">
        <v>141</v>
      </c>
      <c r="L349" s="15">
        <v>155.1</v>
      </c>
      <c r="M349" s="15">
        <v>465.3</v>
      </c>
    </row>
    <row r="350" spans="4:13">
      <c r="D350" s="12">
        <v>46108</v>
      </c>
      <c r="E350" s="13">
        <v>1589798</v>
      </c>
      <c r="F350" s="13" t="s">
        <v>324</v>
      </c>
      <c r="G350" s="14">
        <v>20332470</v>
      </c>
      <c r="H350" s="13" t="s">
        <v>455</v>
      </c>
      <c r="I350" s="13" t="s">
        <v>62</v>
      </c>
      <c r="J350" s="14">
        <v>1</v>
      </c>
      <c r="K350" s="14">
        <v>11</v>
      </c>
      <c r="L350" s="15">
        <v>36.3</v>
      </c>
      <c r="M350" s="15">
        <v>36.3</v>
      </c>
    </row>
    <row r="351" spans="4:13">
      <c r="D351" s="12">
        <v>46108</v>
      </c>
      <c r="E351" s="13">
        <v>1589798</v>
      </c>
      <c r="F351" s="13" t="s">
        <v>163</v>
      </c>
      <c r="G351" s="14">
        <v>20303912</v>
      </c>
      <c r="H351" s="13" t="s">
        <v>329</v>
      </c>
      <c r="I351" s="13" t="s">
        <v>83</v>
      </c>
      <c r="J351" s="14">
        <v>1</v>
      </c>
      <c r="K351" s="14">
        <v>5</v>
      </c>
      <c r="L351" s="15">
        <v>16.5</v>
      </c>
      <c r="M351" s="15">
        <v>16.5</v>
      </c>
    </row>
    <row r="352" spans="4:13">
      <c r="D352" s="12">
        <v>46108</v>
      </c>
      <c r="E352" s="13">
        <v>1589798</v>
      </c>
      <c r="F352" s="13" t="s">
        <v>20</v>
      </c>
      <c r="G352" s="14">
        <v>20303954</v>
      </c>
      <c r="H352" s="13" t="s">
        <v>295</v>
      </c>
      <c r="I352" s="13" t="s">
        <v>29</v>
      </c>
      <c r="J352" s="14">
        <v>1</v>
      </c>
      <c r="K352" s="14">
        <v>1</v>
      </c>
      <c r="L352" s="15">
        <v>4.8</v>
      </c>
      <c r="M352" s="15">
        <v>4.8</v>
      </c>
    </row>
    <row r="353" spans="4:13">
      <c r="D353" s="12">
        <v>46108</v>
      </c>
      <c r="E353" s="13">
        <v>1589798</v>
      </c>
      <c r="F353" s="13" t="s">
        <v>20</v>
      </c>
      <c r="G353" s="14">
        <v>20309432</v>
      </c>
      <c r="H353" s="13" t="s">
        <v>357</v>
      </c>
      <c r="I353" s="13" t="s">
        <v>57</v>
      </c>
      <c r="J353" s="14">
        <v>1</v>
      </c>
      <c r="K353" s="14">
        <v>2</v>
      </c>
      <c r="L353" s="15">
        <v>9.9</v>
      </c>
      <c r="M353" s="15">
        <v>9.9</v>
      </c>
    </row>
    <row r="354" spans="4:13">
      <c r="D354" s="12">
        <v>46108</v>
      </c>
      <c r="E354" s="13">
        <v>1589798</v>
      </c>
      <c r="F354" s="13" t="s">
        <v>20</v>
      </c>
      <c r="G354" s="14">
        <v>20304018</v>
      </c>
      <c r="H354" s="13" t="s">
        <v>450</v>
      </c>
      <c r="I354" s="13" t="s">
        <v>57</v>
      </c>
      <c r="J354" s="14">
        <v>1</v>
      </c>
      <c r="K354" s="14">
        <v>1</v>
      </c>
      <c r="L354" s="15">
        <v>9.9</v>
      </c>
      <c r="M354" s="15">
        <v>9.9</v>
      </c>
    </row>
    <row r="355" spans="4:13">
      <c r="D355" s="12">
        <v>46108</v>
      </c>
      <c r="E355" s="13">
        <v>1589798</v>
      </c>
      <c r="F355" s="13" t="s">
        <v>20</v>
      </c>
      <c r="G355" s="14">
        <v>20303979</v>
      </c>
      <c r="H355" s="13" t="s">
        <v>368</v>
      </c>
      <c r="I355" s="13" t="s">
        <v>55</v>
      </c>
      <c r="J355" s="14">
        <v>1</v>
      </c>
      <c r="K355" s="14">
        <v>1</v>
      </c>
      <c r="L355" s="15">
        <v>7.8</v>
      </c>
      <c r="M355" s="15">
        <v>7.8</v>
      </c>
    </row>
    <row r="356" spans="4:13">
      <c r="D356" s="12">
        <v>46108</v>
      </c>
      <c r="E356" s="13">
        <v>1589798</v>
      </c>
      <c r="F356" s="13" t="s">
        <v>20</v>
      </c>
      <c r="G356" s="14">
        <v>20313616</v>
      </c>
      <c r="H356" s="13" t="s">
        <v>456</v>
      </c>
      <c r="I356" s="13" t="s">
        <v>31</v>
      </c>
      <c r="J356" s="14">
        <v>1</v>
      </c>
      <c r="K356" s="14">
        <v>4</v>
      </c>
      <c r="L356" s="15">
        <v>13.2</v>
      </c>
      <c r="M356" s="15">
        <v>13.2</v>
      </c>
    </row>
    <row r="357" spans="4:13">
      <c r="D357" s="12">
        <v>46108</v>
      </c>
      <c r="E357" s="13">
        <v>1589798</v>
      </c>
      <c r="F357" s="13" t="s">
        <v>47</v>
      </c>
      <c r="G357" s="14">
        <v>20302998</v>
      </c>
      <c r="H357" s="13" t="s">
        <v>346</v>
      </c>
      <c r="I357" s="13" t="s">
        <v>347</v>
      </c>
      <c r="J357" s="14">
        <v>1</v>
      </c>
      <c r="K357" s="14">
        <v>19</v>
      </c>
      <c r="L357" s="15">
        <v>62.7</v>
      </c>
      <c r="M357" s="15">
        <v>62.7</v>
      </c>
    </row>
    <row r="358" spans="4:13">
      <c r="D358" s="12">
        <v>46108</v>
      </c>
      <c r="E358" s="13">
        <v>1589798</v>
      </c>
      <c r="F358" s="13" t="s">
        <v>47</v>
      </c>
      <c r="G358" s="14">
        <v>20303011</v>
      </c>
      <c r="H358" s="13" t="s">
        <v>330</v>
      </c>
      <c r="I358" s="13" t="s">
        <v>331</v>
      </c>
      <c r="J358" s="14">
        <v>2</v>
      </c>
      <c r="K358" s="14">
        <v>52</v>
      </c>
      <c r="L358" s="15">
        <v>85.8</v>
      </c>
      <c r="M358" s="15">
        <v>171.6</v>
      </c>
    </row>
    <row r="359" spans="4:13">
      <c r="D359" s="12">
        <v>46108</v>
      </c>
      <c r="E359" s="13">
        <v>1589798</v>
      </c>
      <c r="F359" s="13" t="s">
        <v>47</v>
      </c>
      <c r="G359" s="14">
        <v>20306256</v>
      </c>
      <c r="H359" s="13" t="s">
        <v>349</v>
      </c>
      <c r="I359" s="13" t="s">
        <v>83</v>
      </c>
      <c r="J359" s="14">
        <v>2</v>
      </c>
      <c r="K359" s="14">
        <v>44</v>
      </c>
      <c r="L359" s="15">
        <v>72.6</v>
      </c>
      <c r="M359" s="15">
        <v>145.2</v>
      </c>
    </row>
    <row r="360" spans="4:13">
      <c r="D360" s="12">
        <v>46108</v>
      </c>
      <c r="E360" s="13">
        <v>1589798</v>
      </c>
      <c r="F360" s="13" t="s">
        <v>65</v>
      </c>
      <c r="G360" s="14">
        <v>20303836</v>
      </c>
      <c r="H360" s="13" t="s">
        <v>332</v>
      </c>
      <c r="I360" s="13" t="s">
        <v>83</v>
      </c>
      <c r="J360" s="14">
        <v>2</v>
      </c>
      <c r="K360" s="14">
        <v>8</v>
      </c>
      <c r="L360" s="15">
        <v>13.2</v>
      </c>
      <c r="M360" s="15">
        <v>26.4</v>
      </c>
    </row>
    <row r="361" spans="4:13">
      <c r="D361" s="12">
        <v>46108</v>
      </c>
      <c r="E361" s="13">
        <v>1589798</v>
      </c>
      <c r="F361" s="13" t="s">
        <v>65</v>
      </c>
      <c r="G361" s="14">
        <v>20310863</v>
      </c>
      <c r="H361" s="13" t="s">
        <v>333</v>
      </c>
      <c r="I361" s="13" t="s">
        <v>49</v>
      </c>
      <c r="J361" s="14">
        <v>1</v>
      </c>
      <c r="K361" s="14">
        <v>1</v>
      </c>
      <c r="L361" s="15">
        <v>9.9</v>
      </c>
      <c r="M361" s="15">
        <v>9.9</v>
      </c>
    </row>
    <row r="362" spans="4:13">
      <c r="D362" s="12">
        <v>46108</v>
      </c>
      <c r="E362" s="13">
        <v>1589798</v>
      </c>
      <c r="F362" s="13" t="s">
        <v>65</v>
      </c>
      <c r="G362" s="14">
        <v>20307305</v>
      </c>
      <c r="H362" s="13" t="s">
        <v>453</v>
      </c>
      <c r="I362" s="13" t="s">
        <v>49</v>
      </c>
      <c r="J362" s="14">
        <v>1</v>
      </c>
      <c r="K362" s="14">
        <v>2</v>
      </c>
      <c r="L362" s="15">
        <v>9.9</v>
      </c>
      <c r="M362" s="15">
        <v>9.9</v>
      </c>
    </row>
    <row r="363" spans="4:13">
      <c r="D363" s="12">
        <v>46108</v>
      </c>
      <c r="E363" s="13">
        <v>1589874</v>
      </c>
      <c r="F363" s="13" t="s">
        <v>378</v>
      </c>
      <c r="G363" s="14">
        <v>20310012</v>
      </c>
      <c r="H363" s="13" t="s">
        <v>379</v>
      </c>
      <c r="I363" s="13" t="s">
        <v>2</v>
      </c>
      <c r="J363" s="14">
        <v>6</v>
      </c>
      <c r="K363" s="14">
        <v>0</v>
      </c>
      <c r="L363" s="15">
        <v>15</v>
      </c>
      <c r="M363" s="15">
        <v>90</v>
      </c>
    </row>
    <row r="364" spans="4:13">
      <c r="D364" s="12">
        <v>46108</v>
      </c>
      <c r="E364" s="13">
        <v>1589888</v>
      </c>
      <c r="F364" s="13" t="s">
        <v>131</v>
      </c>
      <c r="G364" s="14">
        <v>20412034</v>
      </c>
      <c r="H364" s="13" t="s">
        <v>344</v>
      </c>
      <c r="I364" s="13" t="s">
        <v>221</v>
      </c>
      <c r="J364" s="14">
        <v>1</v>
      </c>
      <c r="K364" s="14">
        <v>28</v>
      </c>
      <c r="L364" s="15">
        <v>180</v>
      </c>
      <c r="M364" s="15">
        <f>J364*L364</f>
        <v>180</v>
      </c>
    </row>
    <row r="365" spans="4:13">
      <c r="D365" s="12">
        <v>46108</v>
      </c>
      <c r="E365" s="13">
        <v>1589917</v>
      </c>
      <c r="F365" s="13" t="s">
        <v>324</v>
      </c>
      <c r="G365" s="14">
        <v>20303010</v>
      </c>
      <c r="H365" s="13" t="s">
        <v>325</v>
      </c>
      <c r="I365" s="13" t="s">
        <v>326</v>
      </c>
      <c r="J365" s="14">
        <v>3</v>
      </c>
      <c r="K365" s="14">
        <v>75</v>
      </c>
      <c r="L365" s="15">
        <v>82.5</v>
      </c>
      <c r="M365" s="15">
        <v>247.5</v>
      </c>
    </row>
    <row r="366" spans="4:13">
      <c r="D366" s="12">
        <v>46108</v>
      </c>
      <c r="E366" s="13">
        <v>1589917</v>
      </c>
      <c r="F366" s="13" t="s">
        <v>324</v>
      </c>
      <c r="G366" s="14">
        <v>20303022</v>
      </c>
      <c r="H366" s="13" t="s">
        <v>352</v>
      </c>
      <c r="I366" s="13" t="s">
        <v>326</v>
      </c>
      <c r="J366" s="14">
        <v>3</v>
      </c>
      <c r="K366" s="14">
        <v>93</v>
      </c>
      <c r="L366" s="15">
        <v>102.3</v>
      </c>
      <c r="M366" s="15">
        <v>306.9</v>
      </c>
    </row>
    <row r="367" spans="4:13">
      <c r="D367" s="12">
        <v>46108</v>
      </c>
      <c r="E367" s="13">
        <v>1589917</v>
      </c>
      <c r="F367" s="13" t="s">
        <v>324</v>
      </c>
      <c r="G367" s="14">
        <v>20303023</v>
      </c>
      <c r="H367" s="13" t="s">
        <v>335</v>
      </c>
      <c r="I367" s="13" t="s">
        <v>326</v>
      </c>
      <c r="J367" s="14">
        <v>1</v>
      </c>
      <c r="K367" s="14">
        <v>63</v>
      </c>
      <c r="L367" s="15">
        <v>207.9</v>
      </c>
      <c r="M367" s="15">
        <v>207.9</v>
      </c>
    </row>
    <row r="368" spans="4:13">
      <c r="D368" s="12">
        <v>46108</v>
      </c>
      <c r="E368" s="13">
        <v>1589917</v>
      </c>
      <c r="F368" s="13" t="s">
        <v>324</v>
      </c>
      <c r="G368" s="14">
        <v>20303025</v>
      </c>
      <c r="H368" s="13" t="s">
        <v>336</v>
      </c>
      <c r="I368" s="13" t="s">
        <v>326</v>
      </c>
      <c r="J368" s="14">
        <v>1</v>
      </c>
      <c r="K368" s="14">
        <v>47</v>
      </c>
      <c r="L368" s="15">
        <v>155.1</v>
      </c>
      <c r="M368" s="15">
        <v>155.1</v>
      </c>
    </row>
    <row r="369" spans="4:13">
      <c r="D369" s="12">
        <v>46108</v>
      </c>
      <c r="E369" s="13">
        <v>1589917</v>
      </c>
      <c r="F369" s="13" t="s">
        <v>324</v>
      </c>
      <c r="G369" s="14">
        <v>20300106</v>
      </c>
      <c r="H369" s="13" t="s">
        <v>438</v>
      </c>
      <c r="I369" s="13" t="s">
        <v>326</v>
      </c>
      <c r="J369" s="14">
        <v>1</v>
      </c>
      <c r="K369" s="14">
        <v>52</v>
      </c>
      <c r="L369" s="15">
        <v>171.6</v>
      </c>
      <c r="M369" s="15">
        <v>171.6</v>
      </c>
    </row>
    <row r="370" spans="4:13">
      <c r="D370" s="12">
        <v>46108</v>
      </c>
      <c r="E370" s="13">
        <v>1589917</v>
      </c>
      <c r="F370" s="13" t="s">
        <v>324</v>
      </c>
      <c r="G370" s="14">
        <v>20303057</v>
      </c>
      <c r="H370" s="13" t="s">
        <v>457</v>
      </c>
      <c r="I370" s="13" t="s">
        <v>326</v>
      </c>
      <c r="J370" s="14">
        <v>1</v>
      </c>
      <c r="K370" s="14">
        <v>32</v>
      </c>
      <c r="L370" s="15">
        <v>105.6</v>
      </c>
      <c r="M370" s="15">
        <v>105.6</v>
      </c>
    </row>
    <row r="371" spans="4:13">
      <c r="D371" s="12">
        <v>46108</v>
      </c>
      <c r="E371" s="13">
        <v>1589917</v>
      </c>
      <c r="F371" s="13" t="s">
        <v>324</v>
      </c>
      <c r="G371" s="14">
        <v>20303058</v>
      </c>
      <c r="H371" s="13" t="s">
        <v>338</v>
      </c>
      <c r="I371" s="13" t="s">
        <v>326</v>
      </c>
      <c r="J371" s="14">
        <v>1</v>
      </c>
      <c r="K371" s="14">
        <v>57</v>
      </c>
      <c r="L371" s="15">
        <v>188.1</v>
      </c>
      <c r="M371" s="15">
        <v>188.1</v>
      </c>
    </row>
    <row r="372" spans="4:13">
      <c r="D372" s="12">
        <v>46108</v>
      </c>
      <c r="E372" s="13">
        <v>1589917</v>
      </c>
      <c r="F372" s="13" t="s">
        <v>163</v>
      </c>
      <c r="G372" s="14">
        <v>20303912</v>
      </c>
      <c r="H372" s="13" t="s">
        <v>329</v>
      </c>
      <c r="I372" s="13" t="s">
        <v>83</v>
      </c>
      <c r="J372" s="14">
        <v>1</v>
      </c>
      <c r="K372" s="14">
        <v>5</v>
      </c>
      <c r="L372" s="15">
        <v>16.5</v>
      </c>
      <c r="M372" s="15">
        <v>16.5</v>
      </c>
    </row>
    <row r="373" spans="4:13">
      <c r="D373" s="12">
        <v>46108</v>
      </c>
      <c r="E373" s="13">
        <v>1589917</v>
      </c>
      <c r="F373" s="13" t="s">
        <v>163</v>
      </c>
      <c r="G373" s="14">
        <v>20306222</v>
      </c>
      <c r="H373" s="13" t="s">
        <v>417</v>
      </c>
      <c r="I373" s="13" t="s">
        <v>83</v>
      </c>
      <c r="J373" s="14">
        <v>1</v>
      </c>
      <c r="K373" s="14">
        <v>10</v>
      </c>
      <c r="L373" s="15">
        <v>33</v>
      </c>
      <c r="M373" s="15">
        <v>33</v>
      </c>
    </row>
    <row r="374" spans="4:13">
      <c r="D374" s="12">
        <v>46108</v>
      </c>
      <c r="E374" s="13">
        <v>1589917</v>
      </c>
      <c r="F374" s="13" t="s">
        <v>20</v>
      </c>
      <c r="G374" s="14">
        <v>20309804</v>
      </c>
      <c r="H374" s="13" t="s">
        <v>367</v>
      </c>
      <c r="I374" s="13" t="s">
        <v>53</v>
      </c>
      <c r="J374" s="14">
        <v>1</v>
      </c>
      <c r="K374" s="14">
        <v>1</v>
      </c>
      <c r="L374" s="15">
        <v>6.6</v>
      </c>
      <c r="M374" s="15">
        <v>6.6</v>
      </c>
    </row>
    <row r="375" spans="4:13">
      <c r="D375" s="12">
        <v>46108</v>
      </c>
      <c r="E375" s="13">
        <v>1589917</v>
      </c>
      <c r="F375" s="13" t="s">
        <v>15</v>
      </c>
      <c r="G375" s="14">
        <v>20309550</v>
      </c>
      <c r="H375" s="13" t="s">
        <v>313</v>
      </c>
      <c r="I375" s="13" t="s">
        <v>314</v>
      </c>
      <c r="J375" s="14">
        <v>1</v>
      </c>
      <c r="K375" s="14">
        <v>3</v>
      </c>
      <c r="L375" s="15">
        <v>39.6</v>
      </c>
      <c r="M375" s="15">
        <v>39.6</v>
      </c>
    </row>
    <row r="376" spans="4:13">
      <c r="D376" s="12">
        <v>46108</v>
      </c>
      <c r="E376" s="13">
        <v>1589917</v>
      </c>
      <c r="F376" s="13" t="s">
        <v>15</v>
      </c>
      <c r="G376" s="14">
        <v>20309651</v>
      </c>
      <c r="H376" s="13" t="s">
        <v>130</v>
      </c>
      <c r="I376" s="13" t="s">
        <v>62</v>
      </c>
      <c r="J376" s="14">
        <v>1</v>
      </c>
      <c r="K376" s="14">
        <v>1</v>
      </c>
      <c r="L376" s="15">
        <v>21</v>
      </c>
      <c r="M376" s="15">
        <v>21</v>
      </c>
    </row>
    <row r="377" spans="4:13">
      <c r="D377" s="12">
        <v>46108</v>
      </c>
      <c r="E377" s="13">
        <v>1589917</v>
      </c>
      <c r="F377" s="13" t="s">
        <v>15</v>
      </c>
      <c r="G377" s="14">
        <v>20360685</v>
      </c>
      <c r="H377" s="13" t="s">
        <v>440</v>
      </c>
      <c r="I377" s="13" t="s">
        <v>128</v>
      </c>
      <c r="J377" s="14">
        <v>1</v>
      </c>
      <c r="K377" s="14">
        <v>1</v>
      </c>
      <c r="L377" s="15">
        <v>16.8</v>
      </c>
      <c r="M377" s="15">
        <v>16.8</v>
      </c>
    </row>
    <row r="378" spans="4:13">
      <c r="D378" s="12">
        <v>46108</v>
      </c>
      <c r="E378" s="13">
        <v>1589917</v>
      </c>
      <c r="F378" s="13" t="s">
        <v>131</v>
      </c>
      <c r="G378" s="14">
        <v>20309648</v>
      </c>
      <c r="H378" s="13" t="s">
        <v>363</v>
      </c>
      <c r="I378" s="13" t="s">
        <v>221</v>
      </c>
      <c r="J378" s="14">
        <v>1</v>
      </c>
      <c r="K378" s="14">
        <v>14</v>
      </c>
      <c r="L378" s="15">
        <v>138.6</v>
      </c>
      <c r="M378" s="15">
        <v>138.6</v>
      </c>
    </row>
    <row r="379" spans="4:13">
      <c r="D379" s="12">
        <v>46108</v>
      </c>
      <c r="E379" s="13">
        <v>1589917</v>
      </c>
      <c r="F379" s="13" t="s">
        <v>131</v>
      </c>
      <c r="G379" s="14">
        <v>20339097</v>
      </c>
      <c r="H379" s="13" t="s">
        <v>343</v>
      </c>
      <c r="I379" s="13" t="s">
        <v>221</v>
      </c>
      <c r="J379" s="14">
        <v>1</v>
      </c>
      <c r="K379" s="14">
        <v>32</v>
      </c>
      <c r="L379" s="15">
        <v>180</v>
      </c>
      <c r="M379" s="15">
        <f>J379*L379</f>
        <v>180</v>
      </c>
    </row>
    <row r="380" spans="4:13">
      <c r="D380" s="12">
        <v>46108</v>
      </c>
      <c r="E380" s="13">
        <v>1589917</v>
      </c>
      <c r="F380" s="13" t="s">
        <v>131</v>
      </c>
      <c r="G380" s="14">
        <v>20384037</v>
      </c>
      <c r="H380" s="13" t="s">
        <v>376</v>
      </c>
      <c r="I380" s="13" t="s">
        <v>221</v>
      </c>
      <c r="J380" s="14">
        <v>1</v>
      </c>
      <c r="K380" s="14">
        <v>25</v>
      </c>
      <c r="L380" s="15">
        <v>180</v>
      </c>
      <c r="M380" s="15">
        <f>J380*L380</f>
        <v>180</v>
      </c>
    </row>
    <row r="381" spans="4:13">
      <c r="D381" s="12">
        <v>46108</v>
      </c>
      <c r="E381" s="13">
        <v>1589917</v>
      </c>
      <c r="F381" s="13" t="s">
        <v>131</v>
      </c>
      <c r="G381" s="14">
        <v>20314362</v>
      </c>
      <c r="H381" s="13" t="s">
        <v>364</v>
      </c>
      <c r="I381" s="13" t="s">
        <v>221</v>
      </c>
      <c r="J381" s="14">
        <v>1</v>
      </c>
      <c r="K381" s="14">
        <v>27</v>
      </c>
      <c r="L381" s="15">
        <v>180</v>
      </c>
      <c r="M381" s="15">
        <f>J381*L381</f>
        <v>180</v>
      </c>
    </row>
    <row r="382" spans="4:13">
      <c r="D382" s="12">
        <v>46108</v>
      </c>
      <c r="E382" s="13">
        <v>1589917</v>
      </c>
      <c r="F382" s="13" t="s">
        <v>131</v>
      </c>
      <c r="G382" s="14">
        <v>20309658</v>
      </c>
      <c r="H382" s="13" t="s">
        <v>365</v>
      </c>
      <c r="I382" s="13" t="s">
        <v>221</v>
      </c>
      <c r="J382" s="14">
        <v>2</v>
      </c>
      <c r="K382" s="14">
        <v>10</v>
      </c>
      <c r="L382" s="15">
        <v>52.8</v>
      </c>
      <c r="M382" s="15">
        <v>105.6</v>
      </c>
    </row>
    <row r="383" spans="4:13">
      <c r="D383" s="12">
        <v>46108</v>
      </c>
      <c r="E383" s="13">
        <v>1589917</v>
      </c>
      <c r="F383" s="13" t="s">
        <v>131</v>
      </c>
      <c r="G383" s="14">
        <v>20312572</v>
      </c>
      <c r="H383" s="13" t="s">
        <v>366</v>
      </c>
      <c r="I383" s="13" t="s">
        <v>221</v>
      </c>
      <c r="J383" s="14">
        <v>1</v>
      </c>
      <c r="K383" s="14">
        <v>27</v>
      </c>
      <c r="L383" s="15">
        <v>180</v>
      </c>
      <c r="M383" s="15">
        <f>J383*L383</f>
        <v>180</v>
      </c>
    </row>
    <row r="384" spans="4:13">
      <c r="D384" s="12">
        <v>46108</v>
      </c>
      <c r="E384" s="13">
        <v>1589917</v>
      </c>
      <c r="F384" s="13" t="s">
        <v>131</v>
      </c>
      <c r="G384" s="14">
        <v>20303777</v>
      </c>
      <c r="H384" s="13" t="s">
        <v>351</v>
      </c>
      <c r="I384" s="13" t="s">
        <v>221</v>
      </c>
      <c r="J384" s="14">
        <v>1</v>
      </c>
      <c r="K384" s="14">
        <v>27</v>
      </c>
      <c r="L384" s="15">
        <v>180</v>
      </c>
      <c r="M384" s="15">
        <f>J384*L384</f>
        <v>180</v>
      </c>
    </row>
    <row r="385" spans="4:13">
      <c r="D385" s="12">
        <v>46108</v>
      </c>
      <c r="E385" s="13">
        <v>1589917</v>
      </c>
      <c r="F385" s="13" t="s">
        <v>131</v>
      </c>
      <c r="G385" s="14">
        <v>20412034</v>
      </c>
      <c r="H385" s="13" t="s">
        <v>344</v>
      </c>
      <c r="I385" s="13" t="s">
        <v>221</v>
      </c>
      <c r="J385" s="14">
        <v>1</v>
      </c>
      <c r="K385" s="14">
        <v>28</v>
      </c>
      <c r="L385" s="15">
        <v>180</v>
      </c>
      <c r="M385" s="15">
        <f>J385*L385</f>
        <v>180</v>
      </c>
    </row>
    <row r="386" spans="4:13">
      <c r="D386" s="12">
        <v>46108</v>
      </c>
      <c r="E386" s="13">
        <v>1589917</v>
      </c>
      <c r="F386" s="13" t="s">
        <v>47</v>
      </c>
      <c r="G386" s="14">
        <v>20303011</v>
      </c>
      <c r="H386" s="13" t="s">
        <v>330</v>
      </c>
      <c r="I386" s="13" t="s">
        <v>331</v>
      </c>
      <c r="J386" s="14">
        <v>1</v>
      </c>
      <c r="K386" s="14">
        <v>26</v>
      </c>
      <c r="L386" s="15">
        <v>85.8</v>
      </c>
      <c r="M386" s="15">
        <v>85.8</v>
      </c>
    </row>
    <row r="387" spans="4:13">
      <c r="D387" s="12">
        <v>46108</v>
      </c>
      <c r="E387" s="13">
        <v>1589917</v>
      </c>
      <c r="F387" s="13" t="s">
        <v>385</v>
      </c>
      <c r="G387" s="14">
        <v>20399009</v>
      </c>
      <c r="H387" s="13" t="s">
        <v>404</v>
      </c>
      <c r="I387" s="13" t="s">
        <v>128</v>
      </c>
      <c r="J387" s="14">
        <v>1</v>
      </c>
      <c r="K387" s="14">
        <v>1</v>
      </c>
      <c r="L387" s="15">
        <v>16.8</v>
      </c>
      <c r="M387" s="15">
        <v>16.8</v>
      </c>
    </row>
    <row r="388" spans="4:13">
      <c r="D388" s="12">
        <v>46108</v>
      </c>
      <c r="E388" s="13">
        <v>1589917</v>
      </c>
      <c r="F388" s="13" t="s">
        <v>385</v>
      </c>
      <c r="G388" s="14">
        <v>20311814</v>
      </c>
      <c r="H388" s="13" t="s">
        <v>427</v>
      </c>
      <c r="I388" s="13" t="s">
        <v>221</v>
      </c>
      <c r="J388" s="14">
        <v>1</v>
      </c>
      <c r="K388" s="14">
        <v>2</v>
      </c>
      <c r="L388" s="15">
        <v>21</v>
      </c>
      <c r="M388" s="15">
        <v>21</v>
      </c>
    </row>
    <row r="389" spans="4:13">
      <c r="D389" s="12">
        <v>46108</v>
      </c>
      <c r="E389" s="13">
        <v>1589917</v>
      </c>
      <c r="F389" s="13" t="s">
        <v>65</v>
      </c>
      <c r="G389" s="14">
        <v>20303836</v>
      </c>
      <c r="H389" s="13" t="s">
        <v>332</v>
      </c>
      <c r="I389" s="13" t="s">
        <v>83</v>
      </c>
      <c r="J389" s="14">
        <v>8</v>
      </c>
      <c r="K389" s="14">
        <v>32</v>
      </c>
      <c r="L389" s="15">
        <v>13.2</v>
      </c>
      <c r="M389" s="15">
        <v>105.6</v>
      </c>
    </row>
    <row r="390" ht="24" spans="4:13">
      <c r="D390" s="12">
        <v>46110</v>
      </c>
      <c r="E390" s="13">
        <v>1590153</v>
      </c>
      <c r="F390" s="13" t="s">
        <v>324</v>
      </c>
      <c r="G390" s="14">
        <v>20338672</v>
      </c>
      <c r="H390" s="13" t="s">
        <v>412</v>
      </c>
      <c r="I390" s="13" t="s">
        <v>326</v>
      </c>
      <c r="J390" s="14">
        <v>1</v>
      </c>
      <c r="K390" s="14">
        <v>15</v>
      </c>
      <c r="L390" s="15">
        <v>49.5</v>
      </c>
      <c r="M390" s="15">
        <v>49.5</v>
      </c>
    </row>
    <row r="391" spans="4:13">
      <c r="D391" s="12">
        <v>46110</v>
      </c>
      <c r="E391" s="13">
        <v>1590153</v>
      </c>
      <c r="F391" s="13" t="s">
        <v>324</v>
      </c>
      <c r="G391" s="14">
        <v>20303015</v>
      </c>
      <c r="H391" s="13" t="s">
        <v>334</v>
      </c>
      <c r="I391" s="13" t="s">
        <v>326</v>
      </c>
      <c r="J391" s="14">
        <v>1</v>
      </c>
      <c r="K391" s="14">
        <v>34</v>
      </c>
      <c r="L391" s="15">
        <v>112.2</v>
      </c>
      <c r="M391" s="15">
        <v>112.2</v>
      </c>
    </row>
    <row r="392" spans="4:13">
      <c r="D392" s="12">
        <v>46110</v>
      </c>
      <c r="E392" s="13">
        <v>1590153</v>
      </c>
      <c r="F392" s="13" t="s">
        <v>324</v>
      </c>
      <c r="G392" s="14">
        <v>20303022</v>
      </c>
      <c r="H392" s="13" t="s">
        <v>352</v>
      </c>
      <c r="I392" s="13" t="s">
        <v>326</v>
      </c>
      <c r="J392" s="14">
        <v>2</v>
      </c>
      <c r="K392" s="14">
        <v>62</v>
      </c>
      <c r="L392" s="15">
        <v>102.3</v>
      </c>
      <c r="M392" s="15">
        <v>204.6</v>
      </c>
    </row>
    <row r="393" spans="4:13">
      <c r="D393" s="12">
        <v>46110</v>
      </c>
      <c r="E393" s="13">
        <v>1590153</v>
      </c>
      <c r="F393" s="13" t="s">
        <v>324</v>
      </c>
      <c r="G393" s="14">
        <v>20303029</v>
      </c>
      <c r="H393" s="13" t="s">
        <v>337</v>
      </c>
      <c r="I393" s="13" t="s">
        <v>326</v>
      </c>
      <c r="J393" s="14">
        <v>1</v>
      </c>
      <c r="K393" s="14">
        <v>47</v>
      </c>
      <c r="L393" s="15">
        <v>155.1</v>
      </c>
      <c r="M393" s="15">
        <v>155.1</v>
      </c>
    </row>
    <row r="394" spans="4:13">
      <c r="D394" s="12">
        <v>46110</v>
      </c>
      <c r="E394" s="13">
        <v>1590153</v>
      </c>
      <c r="F394" s="13" t="s">
        <v>163</v>
      </c>
      <c r="G394" s="14">
        <v>20303912</v>
      </c>
      <c r="H394" s="13" t="s">
        <v>329</v>
      </c>
      <c r="I394" s="13" t="s">
        <v>83</v>
      </c>
      <c r="J394" s="14">
        <v>3</v>
      </c>
      <c r="K394" s="14">
        <v>15</v>
      </c>
      <c r="L394" s="15">
        <v>16.5</v>
      </c>
      <c r="M394" s="15">
        <v>49.5</v>
      </c>
    </row>
    <row r="395" spans="4:13">
      <c r="D395" s="12">
        <v>46110</v>
      </c>
      <c r="E395" s="13">
        <v>1590153</v>
      </c>
      <c r="F395" s="13" t="s">
        <v>20</v>
      </c>
      <c r="G395" s="14">
        <v>20303954</v>
      </c>
      <c r="H395" s="13" t="s">
        <v>295</v>
      </c>
      <c r="I395" s="13" t="s">
        <v>29</v>
      </c>
      <c r="J395" s="14">
        <v>3</v>
      </c>
      <c r="K395" s="14">
        <v>3</v>
      </c>
      <c r="L395" s="15">
        <v>4.8</v>
      </c>
      <c r="M395" s="15">
        <v>14.4</v>
      </c>
    </row>
    <row r="396" spans="4:13">
      <c r="D396" s="12">
        <v>46110</v>
      </c>
      <c r="E396" s="13">
        <v>1590153</v>
      </c>
      <c r="F396" s="13" t="s">
        <v>20</v>
      </c>
      <c r="G396" s="14">
        <v>20336548</v>
      </c>
      <c r="H396" s="13" t="s">
        <v>458</v>
      </c>
      <c r="I396" s="13" t="s">
        <v>53</v>
      </c>
      <c r="J396" s="14">
        <v>2</v>
      </c>
      <c r="K396" s="14">
        <v>2</v>
      </c>
      <c r="L396" s="15">
        <v>6.6</v>
      </c>
      <c r="M396" s="15">
        <v>13.2</v>
      </c>
    </row>
    <row r="397" spans="4:13">
      <c r="D397" s="12">
        <v>46110</v>
      </c>
      <c r="E397" s="13">
        <v>1590153</v>
      </c>
      <c r="F397" s="13" t="s">
        <v>20</v>
      </c>
      <c r="G397" s="14">
        <v>20313337</v>
      </c>
      <c r="H397" s="13" t="s">
        <v>353</v>
      </c>
      <c r="I397" s="13" t="s">
        <v>53</v>
      </c>
      <c r="J397" s="14">
        <v>1</v>
      </c>
      <c r="K397" s="14">
        <v>2</v>
      </c>
      <c r="L397" s="15">
        <v>9.9</v>
      </c>
      <c r="M397" s="15">
        <v>9.9</v>
      </c>
    </row>
    <row r="398" spans="4:13">
      <c r="D398" s="12">
        <v>46110</v>
      </c>
      <c r="E398" s="13">
        <v>1590153</v>
      </c>
      <c r="F398" s="13" t="s">
        <v>20</v>
      </c>
      <c r="G398" s="14">
        <v>20388747</v>
      </c>
      <c r="H398" s="13" t="s">
        <v>459</v>
      </c>
      <c r="I398" s="13" t="s">
        <v>460</v>
      </c>
      <c r="J398" s="14">
        <v>1</v>
      </c>
      <c r="K398" s="14">
        <v>1</v>
      </c>
      <c r="L398" s="15">
        <v>6.6</v>
      </c>
      <c r="M398" s="15">
        <v>6.6</v>
      </c>
    </row>
    <row r="399" spans="4:13">
      <c r="D399" s="12">
        <v>46110</v>
      </c>
      <c r="E399" s="13">
        <v>1590153</v>
      </c>
      <c r="F399" s="13" t="s">
        <v>20</v>
      </c>
      <c r="G399" s="14">
        <v>20303939</v>
      </c>
      <c r="H399" s="13" t="s">
        <v>433</v>
      </c>
      <c r="I399" s="13" t="s">
        <v>57</v>
      </c>
      <c r="J399" s="14">
        <v>1</v>
      </c>
      <c r="K399" s="14">
        <v>1</v>
      </c>
      <c r="L399" s="15">
        <v>9.9</v>
      </c>
      <c r="M399" s="15">
        <v>9.9</v>
      </c>
    </row>
    <row r="400" spans="4:13">
      <c r="D400" s="12">
        <v>46110</v>
      </c>
      <c r="E400" s="13">
        <v>1590153</v>
      </c>
      <c r="F400" s="13" t="s">
        <v>20</v>
      </c>
      <c r="G400" s="14">
        <v>20312918</v>
      </c>
      <c r="H400" s="13" t="s">
        <v>390</v>
      </c>
      <c r="I400" s="13" t="s">
        <v>139</v>
      </c>
      <c r="J400" s="14">
        <v>1</v>
      </c>
      <c r="K400" s="14">
        <v>1</v>
      </c>
      <c r="L400" s="15">
        <v>4.8</v>
      </c>
      <c r="M400" s="15">
        <v>4.8</v>
      </c>
    </row>
    <row r="401" spans="4:13">
      <c r="D401" s="12">
        <v>46110</v>
      </c>
      <c r="E401" s="13">
        <v>1590153</v>
      </c>
      <c r="F401" s="13" t="s">
        <v>20</v>
      </c>
      <c r="G401" s="14">
        <v>20304006</v>
      </c>
      <c r="H401" s="13" t="s">
        <v>435</v>
      </c>
      <c r="I401" s="13" t="s">
        <v>55</v>
      </c>
      <c r="J401" s="14">
        <v>1</v>
      </c>
      <c r="K401" s="14">
        <v>1</v>
      </c>
      <c r="L401" s="15">
        <v>9.9</v>
      </c>
      <c r="M401" s="15">
        <v>9.9</v>
      </c>
    </row>
    <row r="402" spans="4:13">
      <c r="D402" s="12">
        <v>46110</v>
      </c>
      <c r="E402" s="13">
        <v>1590153</v>
      </c>
      <c r="F402" s="13" t="s">
        <v>131</v>
      </c>
      <c r="G402" s="14">
        <v>20412203</v>
      </c>
      <c r="H402" s="13" t="s">
        <v>375</v>
      </c>
      <c r="I402" s="13" t="s">
        <v>221</v>
      </c>
      <c r="J402" s="14">
        <v>1</v>
      </c>
      <c r="K402" s="14">
        <v>8</v>
      </c>
      <c r="L402" s="15">
        <v>92.4</v>
      </c>
      <c r="M402" s="15">
        <v>92.4</v>
      </c>
    </row>
    <row r="403" spans="4:13">
      <c r="D403" s="12">
        <v>46110</v>
      </c>
      <c r="E403" s="13">
        <v>1590153</v>
      </c>
      <c r="F403" s="13" t="s">
        <v>131</v>
      </c>
      <c r="G403" s="14">
        <v>20411790</v>
      </c>
      <c r="H403" s="13" t="s">
        <v>345</v>
      </c>
      <c r="I403" s="13" t="s">
        <v>221</v>
      </c>
      <c r="J403" s="14">
        <v>1</v>
      </c>
      <c r="K403" s="14">
        <v>28</v>
      </c>
      <c r="L403" s="15">
        <v>180</v>
      </c>
      <c r="M403" s="15">
        <f>J403*L403</f>
        <v>180</v>
      </c>
    </row>
    <row r="404" spans="4:13">
      <c r="D404" s="12">
        <v>46110</v>
      </c>
      <c r="E404" s="13">
        <v>1590153</v>
      </c>
      <c r="F404" s="13" t="s">
        <v>47</v>
      </c>
      <c r="G404" s="14">
        <v>20303011</v>
      </c>
      <c r="H404" s="13" t="s">
        <v>330</v>
      </c>
      <c r="I404" s="13" t="s">
        <v>331</v>
      </c>
      <c r="J404" s="14">
        <v>3</v>
      </c>
      <c r="K404" s="14">
        <v>78</v>
      </c>
      <c r="L404" s="15">
        <v>85.8</v>
      </c>
      <c r="M404" s="15">
        <v>257.4</v>
      </c>
    </row>
    <row r="405" spans="4:13">
      <c r="D405" s="12">
        <v>46110</v>
      </c>
      <c r="E405" s="13">
        <v>1590153</v>
      </c>
      <c r="F405" s="13" t="s">
        <v>47</v>
      </c>
      <c r="G405" s="14">
        <v>20306256</v>
      </c>
      <c r="H405" s="13" t="s">
        <v>349</v>
      </c>
      <c r="I405" s="13" t="s">
        <v>83</v>
      </c>
      <c r="J405" s="14">
        <v>2</v>
      </c>
      <c r="K405" s="14">
        <v>44</v>
      </c>
      <c r="L405" s="15">
        <v>72.6</v>
      </c>
      <c r="M405" s="15">
        <v>145.2</v>
      </c>
    </row>
    <row r="406" spans="4:13">
      <c r="D406" s="12">
        <v>46110</v>
      </c>
      <c r="E406" s="13">
        <v>1590153</v>
      </c>
      <c r="F406" s="13" t="s">
        <v>65</v>
      </c>
      <c r="G406" s="14">
        <v>20303836</v>
      </c>
      <c r="H406" s="13" t="s">
        <v>332</v>
      </c>
      <c r="I406" s="13" t="s">
        <v>83</v>
      </c>
      <c r="J406" s="14">
        <v>5</v>
      </c>
      <c r="K406" s="14">
        <v>20</v>
      </c>
      <c r="L406" s="15">
        <v>13.2</v>
      </c>
      <c r="M406" s="15">
        <v>66</v>
      </c>
    </row>
    <row r="407" spans="4:13">
      <c r="D407" s="12">
        <v>46110</v>
      </c>
      <c r="E407" s="13">
        <v>1590153</v>
      </c>
      <c r="F407" s="13" t="s">
        <v>65</v>
      </c>
      <c r="G407" s="14">
        <v>20310863</v>
      </c>
      <c r="H407" s="13" t="s">
        <v>333</v>
      </c>
      <c r="I407" s="13" t="s">
        <v>49</v>
      </c>
      <c r="J407" s="14">
        <v>1</v>
      </c>
      <c r="K407" s="14">
        <v>1</v>
      </c>
      <c r="L407" s="15">
        <v>9.9</v>
      </c>
      <c r="M407" s="15">
        <v>9.9</v>
      </c>
    </row>
    <row r="408" spans="4:13">
      <c r="D408" s="12">
        <v>46110</v>
      </c>
      <c r="E408" s="13">
        <v>1590153</v>
      </c>
      <c r="F408" s="13" t="s">
        <v>65</v>
      </c>
      <c r="G408" s="14">
        <v>20303983</v>
      </c>
      <c r="H408" s="13" t="s">
        <v>442</v>
      </c>
      <c r="I408" s="13" t="s">
        <v>331</v>
      </c>
      <c r="J408" s="14">
        <v>1</v>
      </c>
      <c r="K408" s="14">
        <v>1</v>
      </c>
      <c r="L408" s="15">
        <v>9.9</v>
      </c>
      <c r="M408" s="15">
        <v>9.9</v>
      </c>
    </row>
    <row r="409" spans="4:13">
      <c r="D409" s="12">
        <v>46110</v>
      </c>
      <c r="E409" s="13">
        <v>1590197</v>
      </c>
      <c r="F409" s="13" t="s">
        <v>378</v>
      </c>
      <c r="G409" s="14">
        <v>20310012</v>
      </c>
      <c r="H409" s="13" t="s">
        <v>379</v>
      </c>
      <c r="I409" s="13" t="s">
        <v>2</v>
      </c>
      <c r="J409" s="14">
        <v>7</v>
      </c>
      <c r="K409" s="14">
        <v>0</v>
      </c>
      <c r="L409" s="15">
        <v>15</v>
      </c>
      <c r="M409" s="15">
        <v>105</v>
      </c>
    </row>
    <row r="410" spans="4:13">
      <c r="D410" s="12">
        <v>46111</v>
      </c>
      <c r="E410" s="13">
        <v>1590210</v>
      </c>
      <c r="F410" s="13" t="s">
        <v>324</v>
      </c>
      <c r="G410" s="14">
        <v>20303010</v>
      </c>
      <c r="H410" s="13" t="s">
        <v>325</v>
      </c>
      <c r="I410" s="13" t="s">
        <v>326</v>
      </c>
      <c r="J410" s="14">
        <v>1</v>
      </c>
      <c r="K410" s="14">
        <v>25</v>
      </c>
      <c r="L410" s="15">
        <v>82.5</v>
      </c>
      <c r="M410" s="15">
        <v>82.5</v>
      </c>
    </row>
    <row r="411" spans="4:13">
      <c r="D411" s="12">
        <v>46111</v>
      </c>
      <c r="E411" s="13">
        <v>1590210</v>
      </c>
      <c r="F411" s="13" t="s">
        <v>324</v>
      </c>
      <c r="G411" s="14">
        <v>20303022</v>
      </c>
      <c r="H411" s="13" t="s">
        <v>352</v>
      </c>
      <c r="I411" s="13" t="s">
        <v>326</v>
      </c>
      <c r="J411" s="14">
        <v>1</v>
      </c>
      <c r="K411" s="14">
        <v>31</v>
      </c>
      <c r="L411" s="15">
        <v>102.3</v>
      </c>
      <c r="M411" s="15">
        <v>102.3</v>
      </c>
    </row>
    <row r="412" spans="4:13">
      <c r="D412" s="12">
        <v>46111</v>
      </c>
      <c r="E412" s="13">
        <v>1590210</v>
      </c>
      <c r="F412" s="13" t="s">
        <v>324</v>
      </c>
      <c r="G412" s="14">
        <v>20303023</v>
      </c>
      <c r="H412" s="13" t="s">
        <v>335</v>
      </c>
      <c r="I412" s="13" t="s">
        <v>326</v>
      </c>
      <c r="J412" s="14">
        <v>1</v>
      </c>
      <c r="K412" s="14">
        <v>63</v>
      </c>
      <c r="L412" s="15">
        <v>207.9</v>
      </c>
      <c r="M412" s="15">
        <v>207.9</v>
      </c>
    </row>
    <row r="413" spans="4:13">
      <c r="D413" s="12">
        <v>46111</v>
      </c>
      <c r="E413" s="13">
        <v>1590210</v>
      </c>
      <c r="F413" s="13" t="s">
        <v>324</v>
      </c>
      <c r="G413" s="14">
        <v>20303029</v>
      </c>
      <c r="H413" s="13" t="s">
        <v>337</v>
      </c>
      <c r="I413" s="13" t="s">
        <v>326</v>
      </c>
      <c r="J413" s="14">
        <v>2</v>
      </c>
      <c r="K413" s="14">
        <v>94</v>
      </c>
      <c r="L413" s="15">
        <v>155.1</v>
      </c>
      <c r="M413" s="15">
        <v>310.2</v>
      </c>
    </row>
    <row r="414" spans="4:13">
      <c r="D414" s="12">
        <v>46111</v>
      </c>
      <c r="E414" s="13">
        <v>1590210</v>
      </c>
      <c r="F414" s="13" t="s">
        <v>324</v>
      </c>
      <c r="G414" s="14">
        <v>20303044</v>
      </c>
      <c r="H414" s="13" t="s">
        <v>461</v>
      </c>
      <c r="I414" s="13" t="s">
        <v>326</v>
      </c>
      <c r="J414" s="14">
        <v>1</v>
      </c>
      <c r="K414" s="14">
        <v>11</v>
      </c>
      <c r="L414" s="15">
        <v>36.3</v>
      </c>
      <c r="M414" s="15">
        <v>36.3</v>
      </c>
    </row>
    <row r="415" spans="4:13">
      <c r="D415" s="12">
        <v>46111</v>
      </c>
      <c r="E415" s="13">
        <v>1590210</v>
      </c>
      <c r="F415" s="13" t="s">
        <v>324</v>
      </c>
      <c r="G415" s="14">
        <v>20309680</v>
      </c>
      <c r="H415" s="13" t="s">
        <v>462</v>
      </c>
      <c r="I415" s="13" t="s">
        <v>326</v>
      </c>
      <c r="J415" s="14">
        <v>1</v>
      </c>
      <c r="K415" s="14">
        <v>7</v>
      </c>
      <c r="L415" s="15">
        <v>23.1</v>
      </c>
      <c r="M415" s="15">
        <v>23.1</v>
      </c>
    </row>
    <row r="416" spans="4:13">
      <c r="D416" s="12">
        <v>46111</v>
      </c>
      <c r="E416" s="13">
        <v>1590210</v>
      </c>
      <c r="F416" s="13" t="s">
        <v>20</v>
      </c>
      <c r="G416" s="14">
        <v>20305111</v>
      </c>
      <c r="H416" s="13" t="s">
        <v>136</v>
      </c>
      <c r="I416" s="13" t="s">
        <v>29</v>
      </c>
      <c r="J416" s="14">
        <v>1</v>
      </c>
      <c r="K416" s="14">
        <v>1</v>
      </c>
      <c r="L416" s="15">
        <v>4.8</v>
      </c>
      <c r="M416" s="15">
        <v>4.8</v>
      </c>
    </row>
    <row r="417" spans="4:13">
      <c r="D417" s="12">
        <v>46111</v>
      </c>
      <c r="E417" s="13">
        <v>1590210</v>
      </c>
      <c r="F417" s="13" t="s">
        <v>15</v>
      </c>
      <c r="G417" s="14">
        <v>20309550</v>
      </c>
      <c r="H417" s="13" t="s">
        <v>313</v>
      </c>
      <c r="I417" s="13" t="s">
        <v>314</v>
      </c>
      <c r="J417" s="14">
        <v>1</v>
      </c>
      <c r="K417" s="14">
        <v>3</v>
      </c>
      <c r="L417" s="15">
        <v>39.6</v>
      </c>
      <c r="M417" s="15">
        <v>39.6</v>
      </c>
    </row>
    <row r="418" spans="4:13">
      <c r="D418" s="12">
        <v>46111</v>
      </c>
      <c r="E418" s="13">
        <v>1590210</v>
      </c>
      <c r="F418" s="13" t="s">
        <v>131</v>
      </c>
      <c r="G418" s="14">
        <v>20312465</v>
      </c>
      <c r="H418" s="13" t="s">
        <v>320</v>
      </c>
      <c r="I418" s="13" t="s">
        <v>221</v>
      </c>
      <c r="J418" s="14">
        <v>1</v>
      </c>
      <c r="K418" s="14">
        <v>27</v>
      </c>
      <c r="L418" s="15">
        <v>180</v>
      </c>
      <c r="M418" s="15">
        <f>J418*L418</f>
        <v>180</v>
      </c>
    </row>
    <row r="419" spans="4:13">
      <c r="D419" s="12">
        <v>46111</v>
      </c>
      <c r="E419" s="13">
        <v>1590210</v>
      </c>
      <c r="F419" s="13" t="s">
        <v>131</v>
      </c>
      <c r="G419" s="14">
        <v>20412034</v>
      </c>
      <c r="H419" s="13" t="s">
        <v>344</v>
      </c>
      <c r="I419" s="13" t="s">
        <v>221</v>
      </c>
      <c r="J419" s="14">
        <v>1</v>
      </c>
      <c r="K419" s="14">
        <v>28</v>
      </c>
      <c r="L419" s="15">
        <v>180</v>
      </c>
      <c r="M419" s="15">
        <f>J419*L419</f>
        <v>180</v>
      </c>
    </row>
    <row r="420" spans="4:13">
      <c r="D420" s="12">
        <v>46111</v>
      </c>
      <c r="E420" s="13">
        <v>1590210</v>
      </c>
      <c r="F420" s="13" t="s">
        <v>47</v>
      </c>
      <c r="G420" s="14">
        <v>20303011</v>
      </c>
      <c r="H420" s="13" t="s">
        <v>330</v>
      </c>
      <c r="I420" s="13" t="s">
        <v>331</v>
      </c>
      <c r="J420" s="14">
        <v>1</v>
      </c>
      <c r="K420" s="14">
        <v>26</v>
      </c>
      <c r="L420" s="15">
        <v>85.8</v>
      </c>
      <c r="M420" s="15">
        <v>85.8</v>
      </c>
    </row>
    <row r="421" spans="4:13">
      <c r="D421" s="12">
        <v>46111</v>
      </c>
      <c r="E421" s="13">
        <v>1590210</v>
      </c>
      <c r="F421" s="13" t="s">
        <v>65</v>
      </c>
      <c r="G421" s="14">
        <v>20303836</v>
      </c>
      <c r="H421" s="13" t="s">
        <v>332</v>
      </c>
      <c r="I421" s="13" t="s">
        <v>83</v>
      </c>
      <c r="J421" s="14">
        <v>3</v>
      </c>
      <c r="K421" s="14">
        <v>12</v>
      </c>
      <c r="L421" s="15">
        <v>13.2</v>
      </c>
      <c r="M421" s="15">
        <v>39.6</v>
      </c>
    </row>
    <row r="422" spans="4:13">
      <c r="D422" s="12">
        <v>46111</v>
      </c>
      <c r="E422" s="13">
        <v>1590261</v>
      </c>
      <c r="F422" s="13" t="s">
        <v>131</v>
      </c>
      <c r="G422" s="14">
        <v>20339097</v>
      </c>
      <c r="H422" s="13" t="s">
        <v>343</v>
      </c>
      <c r="I422" s="13" t="s">
        <v>221</v>
      </c>
      <c r="J422" s="14">
        <v>1</v>
      </c>
      <c r="K422" s="14">
        <v>32</v>
      </c>
      <c r="L422" s="15">
        <v>180</v>
      </c>
      <c r="M422" s="15">
        <f>J422*L422</f>
        <v>180</v>
      </c>
    </row>
    <row r="423" spans="4:13">
      <c r="D423" s="12">
        <v>46111</v>
      </c>
      <c r="E423" s="13">
        <v>1590261</v>
      </c>
      <c r="F423" s="13" t="s">
        <v>131</v>
      </c>
      <c r="G423" s="14">
        <v>20309658</v>
      </c>
      <c r="H423" s="13" t="s">
        <v>365</v>
      </c>
      <c r="I423" s="13" t="s">
        <v>221</v>
      </c>
      <c r="J423" s="14">
        <v>1</v>
      </c>
      <c r="K423" s="14">
        <v>5</v>
      </c>
      <c r="L423" s="15">
        <v>52.8</v>
      </c>
      <c r="M423" s="15">
        <v>52.8</v>
      </c>
    </row>
    <row r="424" spans="4:13">
      <c r="D424" s="12">
        <v>46111</v>
      </c>
      <c r="E424" s="13">
        <v>1590261</v>
      </c>
      <c r="F424" s="13" t="s">
        <v>131</v>
      </c>
      <c r="G424" s="14">
        <v>20412202</v>
      </c>
      <c r="H424" s="13" t="s">
        <v>322</v>
      </c>
      <c r="I424" s="13" t="s">
        <v>221</v>
      </c>
      <c r="J424" s="14">
        <v>1</v>
      </c>
      <c r="K424" s="14">
        <v>23</v>
      </c>
      <c r="L424" s="15">
        <v>180</v>
      </c>
      <c r="M424" s="15">
        <f>J424*L424</f>
        <v>180</v>
      </c>
    </row>
    <row r="425" spans="4:13">
      <c r="D425" s="12">
        <v>46111</v>
      </c>
      <c r="E425" s="13">
        <v>1590313</v>
      </c>
      <c r="F425" s="13" t="s">
        <v>324</v>
      </c>
      <c r="G425" s="14">
        <v>20303010</v>
      </c>
      <c r="H425" s="13" t="s">
        <v>325</v>
      </c>
      <c r="I425" s="13" t="s">
        <v>326</v>
      </c>
      <c r="J425" s="14">
        <v>2</v>
      </c>
      <c r="K425" s="14">
        <v>50</v>
      </c>
      <c r="L425" s="15">
        <v>82.5</v>
      </c>
      <c r="M425" s="15">
        <v>165</v>
      </c>
    </row>
    <row r="426" spans="4:13">
      <c r="D426" s="12">
        <v>46111</v>
      </c>
      <c r="E426" s="13">
        <v>1590313</v>
      </c>
      <c r="F426" s="13" t="s">
        <v>324</v>
      </c>
      <c r="G426" s="14">
        <v>20303022</v>
      </c>
      <c r="H426" s="13" t="s">
        <v>352</v>
      </c>
      <c r="I426" s="13" t="s">
        <v>326</v>
      </c>
      <c r="J426" s="14">
        <v>2</v>
      </c>
      <c r="K426" s="14">
        <v>62</v>
      </c>
      <c r="L426" s="15">
        <v>102.3</v>
      </c>
      <c r="M426" s="15">
        <v>204.6</v>
      </c>
    </row>
    <row r="427" spans="4:13">
      <c r="D427" s="12">
        <v>46111</v>
      </c>
      <c r="E427" s="13">
        <v>1590313</v>
      </c>
      <c r="F427" s="13" t="s">
        <v>324</v>
      </c>
      <c r="G427" s="14">
        <v>20303029</v>
      </c>
      <c r="H427" s="13" t="s">
        <v>337</v>
      </c>
      <c r="I427" s="13" t="s">
        <v>326</v>
      </c>
      <c r="J427" s="14">
        <v>1</v>
      </c>
      <c r="K427" s="14">
        <v>47</v>
      </c>
      <c r="L427" s="15">
        <v>155.1</v>
      </c>
      <c r="M427" s="15">
        <v>155.1</v>
      </c>
    </row>
    <row r="428" spans="4:13">
      <c r="D428" s="12">
        <v>46111</v>
      </c>
      <c r="E428" s="13">
        <v>1590313</v>
      </c>
      <c r="F428" s="13" t="s">
        <v>324</v>
      </c>
      <c r="G428" s="14">
        <v>20303057</v>
      </c>
      <c r="H428" s="13" t="s">
        <v>457</v>
      </c>
      <c r="I428" s="13" t="s">
        <v>326</v>
      </c>
      <c r="J428" s="14">
        <v>1</v>
      </c>
      <c r="K428" s="14">
        <v>32</v>
      </c>
      <c r="L428" s="15">
        <v>105.6</v>
      </c>
      <c r="M428" s="15">
        <v>105.6</v>
      </c>
    </row>
    <row r="429" spans="4:13">
      <c r="D429" s="12">
        <v>46111</v>
      </c>
      <c r="E429" s="13">
        <v>1590313</v>
      </c>
      <c r="F429" s="13" t="s">
        <v>163</v>
      </c>
      <c r="G429" s="14">
        <v>20303912</v>
      </c>
      <c r="H429" s="13" t="s">
        <v>329</v>
      </c>
      <c r="I429" s="13" t="s">
        <v>83</v>
      </c>
      <c r="J429" s="14">
        <v>1</v>
      </c>
      <c r="K429" s="14">
        <v>5</v>
      </c>
      <c r="L429" s="15">
        <v>16.5</v>
      </c>
      <c r="M429" s="15">
        <v>16.5</v>
      </c>
    </row>
    <row r="430" spans="4:13">
      <c r="D430" s="12">
        <v>46111</v>
      </c>
      <c r="E430" s="13">
        <v>1590313</v>
      </c>
      <c r="F430" s="13" t="s">
        <v>15</v>
      </c>
      <c r="G430" s="14">
        <v>20315046</v>
      </c>
      <c r="H430" s="13" t="s">
        <v>340</v>
      </c>
      <c r="I430" s="13" t="s">
        <v>314</v>
      </c>
      <c r="J430" s="14">
        <v>1</v>
      </c>
      <c r="K430" s="14">
        <v>1</v>
      </c>
      <c r="L430" s="15">
        <v>21</v>
      </c>
      <c r="M430" s="15">
        <v>21</v>
      </c>
    </row>
    <row r="431" spans="4:13">
      <c r="D431" s="12">
        <v>46111</v>
      </c>
      <c r="E431" s="13">
        <v>1590313</v>
      </c>
      <c r="F431" s="13" t="s">
        <v>15</v>
      </c>
      <c r="G431" s="14">
        <v>20316908</v>
      </c>
      <c r="H431" s="13" t="s">
        <v>463</v>
      </c>
      <c r="I431" s="13" t="s">
        <v>244</v>
      </c>
      <c r="J431" s="14">
        <v>1</v>
      </c>
      <c r="K431" s="14">
        <v>9</v>
      </c>
      <c r="L431" s="15">
        <v>99</v>
      </c>
      <c r="M431" s="15">
        <v>99</v>
      </c>
    </row>
    <row r="432" spans="4:13">
      <c r="D432" s="12">
        <v>46111</v>
      </c>
      <c r="E432" s="13">
        <v>1590313</v>
      </c>
      <c r="F432" s="13" t="s">
        <v>15</v>
      </c>
      <c r="G432" s="14">
        <v>20359947</v>
      </c>
      <c r="H432" s="13" t="s">
        <v>373</v>
      </c>
      <c r="I432" s="13" t="s">
        <v>128</v>
      </c>
      <c r="J432" s="14">
        <v>1</v>
      </c>
      <c r="K432" s="14">
        <v>1</v>
      </c>
      <c r="L432" s="15">
        <v>16.8</v>
      </c>
      <c r="M432" s="15">
        <v>16.8</v>
      </c>
    </row>
    <row r="433" spans="4:13">
      <c r="D433" s="12">
        <v>46111</v>
      </c>
      <c r="E433" s="13">
        <v>1590313</v>
      </c>
      <c r="F433" s="13" t="s">
        <v>15</v>
      </c>
      <c r="G433" s="14">
        <v>20314042</v>
      </c>
      <c r="H433" s="13" t="s">
        <v>341</v>
      </c>
      <c r="I433" s="13" t="s">
        <v>128</v>
      </c>
      <c r="J433" s="14">
        <v>1</v>
      </c>
      <c r="K433" s="14">
        <v>1</v>
      </c>
      <c r="L433" s="15">
        <v>16.8</v>
      </c>
      <c r="M433" s="15">
        <v>16.8</v>
      </c>
    </row>
    <row r="434" spans="4:13">
      <c r="D434" s="12">
        <v>46111</v>
      </c>
      <c r="E434" s="13">
        <v>1590313</v>
      </c>
      <c r="F434" s="13" t="s">
        <v>15</v>
      </c>
      <c r="G434" s="14">
        <v>20309636</v>
      </c>
      <c r="H434" s="13" t="s">
        <v>397</v>
      </c>
      <c r="I434" s="13" t="s">
        <v>62</v>
      </c>
      <c r="J434" s="14">
        <v>1</v>
      </c>
      <c r="K434" s="14">
        <v>2</v>
      </c>
      <c r="L434" s="15">
        <v>26.4</v>
      </c>
      <c r="M434" s="15">
        <v>26.4</v>
      </c>
    </row>
    <row r="435" spans="4:13">
      <c r="D435" s="12">
        <v>46111</v>
      </c>
      <c r="E435" s="13">
        <v>1590313</v>
      </c>
      <c r="F435" s="13" t="s">
        <v>131</v>
      </c>
      <c r="G435" s="14">
        <v>20407365</v>
      </c>
      <c r="H435" s="13" t="s">
        <v>464</v>
      </c>
      <c r="I435" s="13" t="s">
        <v>83</v>
      </c>
      <c r="J435" s="14">
        <v>1</v>
      </c>
      <c r="K435" s="14">
        <v>5</v>
      </c>
      <c r="L435" s="15">
        <v>52.8</v>
      </c>
      <c r="M435" s="15">
        <v>52.8</v>
      </c>
    </row>
    <row r="436" spans="4:13">
      <c r="D436" s="12">
        <v>46111</v>
      </c>
      <c r="E436" s="13">
        <v>1590313</v>
      </c>
      <c r="F436" s="13" t="s">
        <v>131</v>
      </c>
      <c r="G436" s="14">
        <v>20309658</v>
      </c>
      <c r="H436" s="13" t="s">
        <v>365</v>
      </c>
      <c r="I436" s="13" t="s">
        <v>221</v>
      </c>
      <c r="J436" s="14">
        <v>1</v>
      </c>
      <c r="K436" s="14">
        <v>5</v>
      </c>
      <c r="L436" s="15">
        <v>52.8</v>
      </c>
      <c r="M436" s="15">
        <v>52.8</v>
      </c>
    </row>
    <row r="437" spans="4:13">
      <c r="D437" s="12">
        <v>46111</v>
      </c>
      <c r="E437" s="13">
        <v>1590313</v>
      </c>
      <c r="F437" s="13" t="s">
        <v>131</v>
      </c>
      <c r="G437" s="14">
        <v>20312572</v>
      </c>
      <c r="H437" s="13" t="s">
        <v>366</v>
      </c>
      <c r="I437" s="13" t="s">
        <v>221</v>
      </c>
      <c r="J437" s="14">
        <v>1</v>
      </c>
      <c r="K437" s="14">
        <v>27</v>
      </c>
      <c r="L437" s="15">
        <v>180</v>
      </c>
      <c r="M437" s="15">
        <f>J437*L437</f>
        <v>180</v>
      </c>
    </row>
    <row r="438" spans="4:13">
      <c r="D438" s="12">
        <v>46111</v>
      </c>
      <c r="E438" s="13">
        <v>1590313</v>
      </c>
      <c r="F438" s="13" t="s">
        <v>131</v>
      </c>
      <c r="G438" s="14">
        <v>20412194</v>
      </c>
      <c r="H438" s="13" t="s">
        <v>315</v>
      </c>
      <c r="I438" s="13" t="s">
        <v>221</v>
      </c>
      <c r="J438" s="14">
        <v>1</v>
      </c>
      <c r="K438" s="14">
        <v>22</v>
      </c>
      <c r="L438" s="15">
        <v>180</v>
      </c>
      <c r="M438" s="15">
        <f>J438*L438</f>
        <v>180</v>
      </c>
    </row>
    <row r="439" spans="4:13">
      <c r="D439" s="12">
        <v>46111</v>
      </c>
      <c r="E439" s="13">
        <v>1590313</v>
      </c>
      <c r="F439" s="13" t="s">
        <v>47</v>
      </c>
      <c r="G439" s="14">
        <v>20306256</v>
      </c>
      <c r="H439" s="13" t="s">
        <v>349</v>
      </c>
      <c r="I439" s="13" t="s">
        <v>83</v>
      </c>
      <c r="J439" s="14">
        <v>1</v>
      </c>
      <c r="K439" s="14">
        <v>22</v>
      </c>
      <c r="L439" s="15">
        <v>72.6</v>
      </c>
      <c r="M439" s="15">
        <v>72.6</v>
      </c>
    </row>
    <row r="440" spans="4:13">
      <c r="D440" s="12">
        <v>46111</v>
      </c>
      <c r="E440" s="13">
        <v>1590360</v>
      </c>
      <c r="F440" s="13" t="s">
        <v>131</v>
      </c>
      <c r="G440" s="14">
        <v>20384037</v>
      </c>
      <c r="H440" s="13" t="s">
        <v>376</v>
      </c>
      <c r="I440" s="13" t="s">
        <v>221</v>
      </c>
      <c r="J440" s="14">
        <v>1</v>
      </c>
      <c r="K440" s="14">
        <v>25</v>
      </c>
      <c r="L440" s="15">
        <v>180</v>
      </c>
      <c r="M440" s="15">
        <f>J440*L440</f>
        <v>180</v>
      </c>
    </row>
    <row r="441" spans="4:13">
      <c r="D441" s="12">
        <v>46111</v>
      </c>
      <c r="E441" s="13">
        <v>1590360</v>
      </c>
      <c r="F441" s="13" t="s">
        <v>131</v>
      </c>
      <c r="G441" s="14">
        <v>20303777</v>
      </c>
      <c r="H441" s="13" t="s">
        <v>351</v>
      </c>
      <c r="I441" s="13" t="s">
        <v>221</v>
      </c>
      <c r="J441" s="14">
        <v>1</v>
      </c>
      <c r="K441" s="14">
        <v>27</v>
      </c>
      <c r="L441" s="15">
        <v>180</v>
      </c>
      <c r="M441" s="15">
        <f>J441*L441</f>
        <v>180</v>
      </c>
    </row>
    <row r="442" spans="4:13">
      <c r="D442" s="12">
        <v>46111</v>
      </c>
      <c r="E442" s="13">
        <v>1590362</v>
      </c>
      <c r="F442" s="13" t="s">
        <v>324</v>
      </c>
      <c r="G442" s="14">
        <v>20303008</v>
      </c>
      <c r="H442" s="13" t="s">
        <v>465</v>
      </c>
      <c r="I442" s="13" t="s">
        <v>326</v>
      </c>
      <c r="J442" s="14">
        <v>1</v>
      </c>
      <c r="K442" s="14">
        <v>11</v>
      </c>
      <c r="L442" s="15">
        <v>36.3</v>
      </c>
      <c r="M442" s="15">
        <v>36.3</v>
      </c>
    </row>
    <row r="443" spans="4:13">
      <c r="D443" s="12">
        <v>46111</v>
      </c>
      <c r="E443" s="13">
        <v>1590362</v>
      </c>
      <c r="F443" s="13" t="s">
        <v>324</v>
      </c>
      <c r="G443" s="14">
        <v>20309825</v>
      </c>
      <c r="H443" s="13" t="s">
        <v>466</v>
      </c>
      <c r="I443" s="13" t="s">
        <v>326</v>
      </c>
      <c r="J443" s="14">
        <v>1</v>
      </c>
      <c r="K443" s="14">
        <v>32</v>
      </c>
      <c r="L443" s="15">
        <v>105.6</v>
      </c>
      <c r="M443" s="15">
        <v>105.6</v>
      </c>
    </row>
    <row r="444" spans="4:13">
      <c r="D444" s="12">
        <v>46111</v>
      </c>
      <c r="E444" s="13">
        <v>1590362</v>
      </c>
      <c r="F444" s="13" t="s">
        <v>20</v>
      </c>
      <c r="G444" s="14">
        <v>20307293</v>
      </c>
      <c r="H444" s="13" t="s">
        <v>211</v>
      </c>
      <c r="I444" s="13" t="s">
        <v>22</v>
      </c>
      <c r="J444" s="14">
        <v>1</v>
      </c>
      <c r="K444" s="14">
        <v>2</v>
      </c>
      <c r="L444" s="15">
        <v>8.1</v>
      </c>
      <c r="M444" s="15">
        <v>8.1</v>
      </c>
    </row>
    <row r="445" spans="4:13">
      <c r="D445" s="12">
        <v>46111</v>
      </c>
      <c r="E445" s="13">
        <v>1590362</v>
      </c>
      <c r="F445" s="13" t="s">
        <v>20</v>
      </c>
      <c r="G445" s="14">
        <v>20303979</v>
      </c>
      <c r="H445" s="13" t="s">
        <v>368</v>
      </c>
      <c r="I445" s="13" t="s">
        <v>55</v>
      </c>
      <c r="J445" s="14">
        <v>1</v>
      </c>
      <c r="K445" s="14">
        <v>1</v>
      </c>
      <c r="L445" s="15">
        <v>7.8</v>
      </c>
      <c r="M445" s="15">
        <v>7.8</v>
      </c>
    </row>
    <row r="446" spans="4:13">
      <c r="D446" s="12">
        <v>46111</v>
      </c>
      <c r="E446" s="13">
        <v>1590362</v>
      </c>
      <c r="F446" s="13" t="s">
        <v>20</v>
      </c>
      <c r="G446" s="14">
        <v>20312918</v>
      </c>
      <c r="H446" s="13" t="s">
        <v>390</v>
      </c>
      <c r="I446" s="13" t="s">
        <v>139</v>
      </c>
      <c r="J446" s="14">
        <v>1</v>
      </c>
      <c r="K446" s="14">
        <v>1</v>
      </c>
      <c r="L446" s="15">
        <v>4.8</v>
      </c>
      <c r="M446" s="15">
        <v>4.8</v>
      </c>
    </row>
    <row r="447" spans="4:13">
      <c r="D447" s="12">
        <v>46111</v>
      </c>
      <c r="E447" s="13">
        <v>1590362</v>
      </c>
      <c r="F447" s="13" t="s">
        <v>20</v>
      </c>
      <c r="G447" s="14">
        <v>20304006</v>
      </c>
      <c r="H447" s="13" t="s">
        <v>435</v>
      </c>
      <c r="I447" s="13" t="s">
        <v>55</v>
      </c>
      <c r="J447" s="14">
        <v>1</v>
      </c>
      <c r="K447" s="14">
        <v>1</v>
      </c>
      <c r="L447" s="15">
        <v>9.9</v>
      </c>
      <c r="M447" s="15">
        <v>9.9</v>
      </c>
    </row>
    <row r="448" spans="4:13">
      <c r="D448" s="12">
        <v>46111</v>
      </c>
      <c r="E448" s="13">
        <v>1590362</v>
      </c>
      <c r="F448" s="13" t="s">
        <v>47</v>
      </c>
      <c r="G448" s="14">
        <v>20306256</v>
      </c>
      <c r="H448" s="13" t="s">
        <v>349</v>
      </c>
      <c r="I448" s="13" t="s">
        <v>83</v>
      </c>
      <c r="J448" s="14">
        <v>1</v>
      </c>
      <c r="K448" s="14">
        <v>22</v>
      </c>
      <c r="L448" s="15">
        <v>72.6</v>
      </c>
      <c r="M448" s="15">
        <v>72.6</v>
      </c>
    </row>
    <row r="449" spans="4:13">
      <c r="D449" s="12">
        <v>46111</v>
      </c>
      <c r="E449" s="13">
        <v>1590362</v>
      </c>
      <c r="F449" s="13" t="s">
        <v>65</v>
      </c>
      <c r="G449" s="14">
        <v>20303836</v>
      </c>
      <c r="H449" s="13" t="s">
        <v>332</v>
      </c>
      <c r="I449" s="13" t="s">
        <v>83</v>
      </c>
      <c r="J449" s="14">
        <v>1</v>
      </c>
      <c r="K449" s="14">
        <v>4</v>
      </c>
      <c r="L449" s="15">
        <v>13.2</v>
      </c>
      <c r="M449" s="15">
        <v>13.2</v>
      </c>
    </row>
    <row r="450" spans="4:13">
      <c r="D450" s="12">
        <v>46111</v>
      </c>
      <c r="E450" s="13">
        <v>1590423</v>
      </c>
      <c r="F450" s="13" t="s">
        <v>324</v>
      </c>
      <c r="G450" s="14">
        <v>20303009</v>
      </c>
      <c r="H450" s="13" t="s">
        <v>355</v>
      </c>
      <c r="I450" s="13" t="s">
        <v>326</v>
      </c>
      <c r="J450" s="14">
        <v>1</v>
      </c>
      <c r="K450" s="14">
        <v>55</v>
      </c>
      <c r="L450" s="15">
        <v>181.5</v>
      </c>
      <c r="M450" s="15">
        <v>181.5</v>
      </c>
    </row>
    <row r="451" spans="4:13">
      <c r="D451" s="12">
        <v>46111</v>
      </c>
      <c r="E451" s="13">
        <v>1590423</v>
      </c>
      <c r="F451" s="13" t="s">
        <v>324</v>
      </c>
      <c r="G451" s="14">
        <v>20303010</v>
      </c>
      <c r="H451" s="13" t="s">
        <v>325</v>
      </c>
      <c r="I451" s="13" t="s">
        <v>326</v>
      </c>
      <c r="J451" s="14">
        <v>1</v>
      </c>
      <c r="K451" s="14">
        <v>25</v>
      </c>
      <c r="L451" s="15">
        <v>82.5</v>
      </c>
      <c r="M451" s="15">
        <v>82.5</v>
      </c>
    </row>
    <row r="452" spans="4:13">
      <c r="D452" s="12">
        <v>46111</v>
      </c>
      <c r="E452" s="13">
        <v>1590423</v>
      </c>
      <c r="F452" s="13" t="s">
        <v>324</v>
      </c>
      <c r="G452" s="14">
        <v>20303022</v>
      </c>
      <c r="H452" s="13" t="s">
        <v>352</v>
      </c>
      <c r="I452" s="13" t="s">
        <v>326</v>
      </c>
      <c r="J452" s="14">
        <v>4</v>
      </c>
      <c r="K452" s="14">
        <v>124</v>
      </c>
      <c r="L452" s="15">
        <v>102.3</v>
      </c>
      <c r="M452" s="15">
        <v>409.2</v>
      </c>
    </row>
    <row r="453" spans="4:13">
      <c r="D453" s="12">
        <v>46111</v>
      </c>
      <c r="E453" s="13">
        <v>1590423</v>
      </c>
      <c r="F453" s="13" t="s">
        <v>324</v>
      </c>
      <c r="G453" s="14">
        <v>20303023</v>
      </c>
      <c r="H453" s="13" t="s">
        <v>335</v>
      </c>
      <c r="I453" s="13" t="s">
        <v>326</v>
      </c>
      <c r="J453" s="14">
        <v>2</v>
      </c>
      <c r="K453" s="14">
        <v>126</v>
      </c>
      <c r="L453" s="15">
        <v>207.9</v>
      </c>
      <c r="M453" s="15">
        <v>415.8</v>
      </c>
    </row>
    <row r="454" spans="4:13">
      <c r="D454" s="12">
        <v>46111</v>
      </c>
      <c r="E454" s="13">
        <v>1590423</v>
      </c>
      <c r="F454" s="13" t="s">
        <v>324</v>
      </c>
      <c r="G454" s="14">
        <v>20332470</v>
      </c>
      <c r="H454" s="13" t="s">
        <v>455</v>
      </c>
      <c r="I454" s="13" t="s">
        <v>62</v>
      </c>
      <c r="J454" s="14">
        <v>1</v>
      </c>
      <c r="K454" s="14">
        <v>11</v>
      </c>
      <c r="L454" s="15">
        <v>36.3</v>
      </c>
      <c r="M454" s="15">
        <v>36.3</v>
      </c>
    </row>
    <row r="455" spans="4:13">
      <c r="D455" s="12">
        <v>46111</v>
      </c>
      <c r="E455" s="13">
        <v>1590423</v>
      </c>
      <c r="F455" s="13" t="s">
        <v>163</v>
      </c>
      <c r="G455" s="14">
        <v>20303912</v>
      </c>
      <c r="H455" s="13" t="s">
        <v>329</v>
      </c>
      <c r="I455" s="13" t="s">
        <v>83</v>
      </c>
      <c r="J455" s="14">
        <v>2</v>
      </c>
      <c r="K455" s="14">
        <v>10</v>
      </c>
      <c r="L455" s="15">
        <v>16.5</v>
      </c>
      <c r="M455" s="15">
        <v>33</v>
      </c>
    </row>
    <row r="456" spans="4:13">
      <c r="D456" s="12">
        <v>46111</v>
      </c>
      <c r="E456" s="13">
        <v>1590423</v>
      </c>
      <c r="F456" s="13" t="s">
        <v>20</v>
      </c>
      <c r="G456" s="14">
        <v>20313337</v>
      </c>
      <c r="H456" s="13" t="s">
        <v>353</v>
      </c>
      <c r="I456" s="13" t="s">
        <v>53</v>
      </c>
      <c r="J456" s="14">
        <v>1</v>
      </c>
      <c r="K456" s="14">
        <v>2</v>
      </c>
      <c r="L456" s="15">
        <v>9.9</v>
      </c>
      <c r="M456" s="15">
        <v>9.9</v>
      </c>
    </row>
    <row r="457" spans="4:13">
      <c r="D457" s="12">
        <v>46111</v>
      </c>
      <c r="E457" s="13">
        <v>1590423</v>
      </c>
      <c r="F457" s="13" t="s">
        <v>20</v>
      </c>
      <c r="G457" s="14">
        <v>20307293</v>
      </c>
      <c r="H457" s="13" t="s">
        <v>211</v>
      </c>
      <c r="I457" s="13" t="s">
        <v>22</v>
      </c>
      <c r="J457" s="14">
        <v>1</v>
      </c>
      <c r="K457" s="14">
        <v>2</v>
      </c>
      <c r="L457" s="15">
        <v>8.1</v>
      </c>
      <c r="M457" s="15">
        <v>8.1</v>
      </c>
    </row>
    <row r="458" spans="4:13">
      <c r="D458" s="12">
        <v>46111</v>
      </c>
      <c r="E458" s="13">
        <v>1590423</v>
      </c>
      <c r="F458" s="13" t="s">
        <v>20</v>
      </c>
      <c r="G458" s="14">
        <v>20304006</v>
      </c>
      <c r="H458" s="13" t="s">
        <v>435</v>
      </c>
      <c r="I458" s="13" t="s">
        <v>55</v>
      </c>
      <c r="J458" s="14">
        <v>1</v>
      </c>
      <c r="K458" s="14">
        <v>1</v>
      </c>
      <c r="L458" s="15">
        <v>9.9</v>
      </c>
      <c r="M458" s="15">
        <v>9.9</v>
      </c>
    </row>
    <row r="459" spans="4:13">
      <c r="D459" s="12">
        <v>46111</v>
      </c>
      <c r="E459" s="13">
        <v>1590423</v>
      </c>
      <c r="F459" s="13" t="s">
        <v>47</v>
      </c>
      <c r="G459" s="14">
        <v>20302998</v>
      </c>
      <c r="H459" s="13" t="s">
        <v>346</v>
      </c>
      <c r="I459" s="13" t="s">
        <v>347</v>
      </c>
      <c r="J459" s="14">
        <v>2</v>
      </c>
      <c r="K459" s="14">
        <v>38</v>
      </c>
      <c r="L459" s="15">
        <v>62.7</v>
      </c>
      <c r="M459" s="15">
        <v>125.4</v>
      </c>
    </row>
    <row r="460" spans="4:13">
      <c r="D460" s="12">
        <v>46111</v>
      </c>
      <c r="E460" s="13">
        <v>1590423</v>
      </c>
      <c r="F460" s="13" t="s">
        <v>47</v>
      </c>
      <c r="G460" s="14">
        <v>20303011</v>
      </c>
      <c r="H460" s="13" t="s">
        <v>330</v>
      </c>
      <c r="I460" s="13" t="s">
        <v>331</v>
      </c>
      <c r="J460" s="14">
        <v>4</v>
      </c>
      <c r="K460" s="14">
        <v>104</v>
      </c>
      <c r="L460" s="15">
        <v>85.8</v>
      </c>
      <c r="M460" s="15">
        <v>343.2</v>
      </c>
    </row>
    <row r="461" spans="4:13">
      <c r="D461" s="12">
        <v>46111</v>
      </c>
      <c r="E461" s="13">
        <v>1590423</v>
      </c>
      <c r="F461" s="13" t="s">
        <v>47</v>
      </c>
      <c r="G461" s="14">
        <v>20306256</v>
      </c>
      <c r="H461" s="13" t="s">
        <v>349</v>
      </c>
      <c r="I461" s="13" t="s">
        <v>83</v>
      </c>
      <c r="J461" s="14">
        <v>1</v>
      </c>
      <c r="K461" s="14">
        <v>22</v>
      </c>
      <c r="L461" s="15">
        <v>72.6</v>
      </c>
      <c r="M461" s="15">
        <v>72.6</v>
      </c>
    </row>
    <row r="462" spans="4:13">
      <c r="D462" s="12">
        <v>46111</v>
      </c>
      <c r="E462" s="13">
        <v>1590423</v>
      </c>
      <c r="F462" s="13" t="s">
        <v>65</v>
      </c>
      <c r="G462" s="14">
        <v>20362519</v>
      </c>
      <c r="H462" s="13" t="s">
        <v>467</v>
      </c>
      <c r="I462" s="13" t="s">
        <v>62</v>
      </c>
      <c r="J462" s="14">
        <v>1</v>
      </c>
      <c r="K462" s="14">
        <v>2</v>
      </c>
      <c r="L462" s="15">
        <v>9.9</v>
      </c>
      <c r="M462" s="15">
        <v>9.9</v>
      </c>
    </row>
    <row r="463" spans="4:13">
      <c r="D463" s="12">
        <v>46111</v>
      </c>
      <c r="E463" s="13">
        <v>1590423</v>
      </c>
      <c r="F463" s="13" t="s">
        <v>65</v>
      </c>
      <c r="G463" s="14">
        <v>20303836</v>
      </c>
      <c r="H463" s="13" t="s">
        <v>332</v>
      </c>
      <c r="I463" s="13" t="s">
        <v>83</v>
      </c>
      <c r="J463" s="14">
        <v>11</v>
      </c>
      <c r="K463" s="14">
        <v>44</v>
      </c>
      <c r="L463" s="15">
        <v>13.2</v>
      </c>
      <c r="M463" s="15">
        <v>145.2</v>
      </c>
    </row>
    <row r="464" spans="4:13">
      <c r="D464" s="12">
        <v>46111</v>
      </c>
      <c r="E464" s="13">
        <v>1590423</v>
      </c>
      <c r="F464" s="13" t="s">
        <v>65</v>
      </c>
      <c r="G464" s="14">
        <v>20303940</v>
      </c>
      <c r="H464" s="13" t="s">
        <v>403</v>
      </c>
      <c r="I464" s="13" t="s">
        <v>44</v>
      </c>
      <c r="J464" s="14">
        <v>1</v>
      </c>
      <c r="K464" s="14">
        <v>1</v>
      </c>
      <c r="L464" s="15">
        <v>9.9</v>
      </c>
      <c r="M464" s="15">
        <v>9.9</v>
      </c>
    </row>
    <row r="465" spans="4:13">
      <c r="D465" s="12">
        <v>46111</v>
      </c>
      <c r="E465" s="13">
        <v>1590435</v>
      </c>
      <c r="F465" s="13" t="s">
        <v>219</v>
      </c>
      <c r="G465" s="14">
        <v>20309547</v>
      </c>
      <c r="H465" s="13" t="s">
        <v>220</v>
      </c>
      <c r="I465" s="13" t="s">
        <v>221</v>
      </c>
      <c r="J465" s="14">
        <v>4</v>
      </c>
      <c r="K465" s="14">
        <v>0</v>
      </c>
      <c r="L465" s="15">
        <v>21</v>
      </c>
      <c r="M465" s="15">
        <v>84</v>
      </c>
    </row>
    <row r="466" spans="4:13">
      <c r="D466" s="12">
        <v>46111</v>
      </c>
      <c r="E466" s="13">
        <v>1590442</v>
      </c>
      <c r="F466" s="13" t="s">
        <v>15</v>
      </c>
      <c r="G466" s="14">
        <v>20361066</v>
      </c>
      <c r="H466" s="13" t="s">
        <v>369</v>
      </c>
      <c r="I466" s="13" t="s">
        <v>370</v>
      </c>
      <c r="J466" s="14">
        <v>1</v>
      </c>
      <c r="K466" s="14">
        <v>1</v>
      </c>
      <c r="L466" s="15">
        <v>13.2</v>
      </c>
      <c r="M466" s="15">
        <v>13.2</v>
      </c>
    </row>
    <row r="467" spans="4:13">
      <c r="D467" s="12">
        <v>46111</v>
      </c>
      <c r="E467" s="13">
        <v>1590442</v>
      </c>
      <c r="F467" s="13" t="s">
        <v>15</v>
      </c>
      <c r="G467" s="14">
        <v>20315046</v>
      </c>
      <c r="H467" s="13" t="s">
        <v>340</v>
      </c>
      <c r="I467" s="13" t="s">
        <v>314</v>
      </c>
      <c r="J467" s="14">
        <v>1</v>
      </c>
      <c r="K467" s="14">
        <v>1</v>
      </c>
      <c r="L467" s="15">
        <v>21</v>
      </c>
      <c r="M467" s="15">
        <v>21</v>
      </c>
    </row>
    <row r="468" spans="4:13">
      <c r="D468" s="12">
        <v>46111</v>
      </c>
      <c r="E468" s="13">
        <v>1590442</v>
      </c>
      <c r="F468" s="13" t="s">
        <v>15</v>
      </c>
      <c r="G468" s="14">
        <v>20359780</v>
      </c>
      <c r="H468" s="13" t="s">
        <v>372</v>
      </c>
      <c r="I468" s="13" t="s">
        <v>319</v>
      </c>
      <c r="J468" s="14">
        <v>1</v>
      </c>
      <c r="K468" s="14">
        <v>1</v>
      </c>
      <c r="L468" s="15">
        <v>13.2</v>
      </c>
      <c r="M468" s="15">
        <v>13.2</v>
      </c>
    </row>
    <row r="469" spans="4:13">
      <c r="D469" s="12">
        <v>46111</v>
      </c>
      <c r="E469" s="13">
        <v>1590442</v>
      </c>
      <c r="F469" s="13" t="s">
        <v>15</v>
      </c>
      <c r="G469" s="14">
        <v>20314042</v>
      </c>
      <c r="H469" s="13" t="s">
        <v>341</v>
      </c>
      <c r="I469" s="13" t="s">
        <v>128</v>
      </c>
      <c r="J469" s="14">
        <v>1</v>
      </c>
      <c r="K469" s="14">
        <v>1</v>
      </c>
      <c r="L469" s="15">
        <v>16.8</v>
      </c>
      <c r="M469" s="15">
        <v>16.8</v>
      </c>
    </row>
    <row r="470" spans="4:13">
      <c r="D470" s="12">
        <v>46111</v>
      </c>
      <c r="E470" s="13">
        <v>1590442</v>
      </c>
      <c r="F470" s="13" t="s">
        <v>15</v>
      </c>
      <c r="G470" s="14">
        <v>20358905</v>
      </c>
      <c r="H470" s="13" t="s">
        <v>360</v>
      </c>
      <c r="I470" s="13" t="s">
        <v>244</v>
      </c>
      <c r="J470" s="14">
        <v>1</v>
      </c>
      <c r="K470" s="14">
        <v>1</v>
      </c>
      <c r="L470" s="15">
        <v>15</v>
      </c>
      <c r="M470" s="15">
        <v>15</v>
      </c>
    </row>
    <row r="471" spans="4:13">
      <c r="D471" s="12">
        <v>46111</v>
      </c>
      <c r="E471" s="13">
        <v>1590442</v>
      </c>
      <c r="F471" s="13" t="s">
        <v>15</v>
      </c>
      <c r="G471" s="14">
        <v>20310030</v>
      </c>
      <c r="H471" s="13" t="s">
        <v>424</v>
      </c>
      <c r="I471" s="13" t="s">
        <v>128</v>
      </c>
      <c r="J471" s="14">
        <v>1</v>
      </c>
      <c r="K471" s="14">
        <v>2</v>
      </c>
      <c r="L471" s="15">
        <v>26.4</v>
      </c>
      <c r="M471" s="15">
        <v>26.4</v>
      </c>
    </row>
    <row r="472" spans="4:13">
      <c r="D472" s="12">
        <v>46111</v>
      </c>
      <c r="E472" s="13">
        <v>1590442</v>
      </c>
      <c r="F472" s="13" t="s">
        <v>15</v>
      </c>
      <c r="G472" s="14">
        <v>20309651</v>
      </c>
      <c r="H472" s="13" t="s">
        <v>130</v>
      </c>
      <c r="I472" s="13" t="s">
        <v>62</v>
      </c>
      <c r="J472" s="14">
        <v>2</v>
      </c>
      <c r="K472" s="14">
        <v>2</v>
      </c>
      <c r="L472" s="15">
        <v>21</v>
      </c>
      <c r="M472" s="15">
        <v>42</v>
      </c>
    </row>
    <row r="473" spans="4:13">
      <c r="D473" s="12">
        <v>46111</v>
      </c>
      <c r="E473" s="13">
        <v>1590442</v>
      </c>
      <c r="F473" s="13" t="s">
        <v>15</v>
      </c>
      <c r="G473" s="14">
        <v>20360685</v>
      </c>
      <c r="H473" s="13" t="s">
        <v>440</v>
      </c>
      <c r="I473" s="13" t="s">
        <v>128</v>
      </c>
      <c r="J473" s="14">
        <v>1</v>
      </c>
      <c r="K473" s="14">
        <v>1</v>
      </c>
      <c r="L473" s="15">
        <v>16.8</v>
      </c>
      <c r="M473" s="15">
        <v>16.8</v>
      </c>
    </row>
    <row r="474" spans="4:13">
      <c r="D474" s="12">
        <v>46111</v>
      </c>
      <c r="E474" s="13">
        <v>1590442</v>
      </c>
      <c r="F474" s="13" t="s">
        <v>15</v>
      </c>
      <c r="G474" s="14">
        <v>20359639</v>
      </c>
      <c r="H474" s="13" t="s">
        <v>468</v>
      </c>
      <c r="I474" s="13" t="s">
        <v>317</v>
      </c>
      <c r="J474" s="14">
        <v>2</v>
      </c>
      <c r="K474" s="14">
        <v>2</v>
      </c>
      <c r="L474" s="15">
        <v>15</v>
      </c>
      <c r="M474" s="15">
        <v>30</v>
      </c>
    </row>
    <row r="475" spans="4:13">
      <c r="D475" s="12">
        <v>46111</v>
      </c>
      <c r="E475" s="13">
        <v>1590442</v>
      </c>
      <c r="F475" s="13" t="s">
        <v>131</v>
      </c>
      <c r="G475" s="14">
        <v>20309744</v>
      </c>
      <c r="H475" s="13" t="s">
        <v>361</v>
      </c>
      <c r="I475" s="13" t="s">
        <v>221</v>
      </c>
      <c r="J475" s="14">
        <v>1</v>
      </c>
      <c r="K475" s="14">
        <v>9</v>
      </c>
      <c r="L475" s="15">
        <v>92.4</v>
      </c>
      <c r="M475" s="15">
        <v>92.4</v>
      </c>
    </row>
    <row r="476" spans="4:13">
      <c r="D476" s="12">
        <v>46111</v>
      </c>
      <c r="E476" s="13">
        <v>1590442</v>
      </c>
      <c r="F476" s="13" t="s">
        <v>131</v>
      </c>
      <c r="G476" s="14">
        <v>20314461</v>
      </c>
      <c r="H476" s="13" t="s">
        <v>426</v>
      </c>
      <c r="I476" s="13" t="s">
        <v>221</v>
      </c>
      <c r="J476" s="14">
        <v>1</v>
      </c>
      <c r="K476" s="14">
        <v>26</v>
      </c>
      <c r="L476" s="15">
        <v>180</v>
      </c>
      <c r="M476" s="15">
        <f>J476*L476</f>
        <v>180</v>
      </c>
    </row>
    <row r="477" spans="4:13">
      <c r="D477" s="12">
        <v>46111</v>
      </c>
      <c r="E477" s="13">
        <v>1590442</v>
      </c>
      <c r="F477" s="13" t="s">
        <v>131</v>
      </c>
      <c r="G477" s="14">
        <v>20314362</v>
      </c>
      <c r="H477" s="13" t="s">
        <v>364</v>
      </c>
      <c r="I477" s="13" t="s">
        <v>221</v>
      </c>
      <c r="J477" s="14">
        <v>1</v>
      </c>
      <c r="K477" s="14">
        <v>27</v>
      </c>
      <c r="L477" s="15">
        <v>180</v>
      </c>
      <c r="M477" s="15">
        <f>J477*L477</f>
        <v>180</v>
      </c>
    </row>
    <row r="478" spans="4:13">
      <c r="D478" s="12">
        <v>46111</v>
      </c>
      <c r="E478" s="13">
        <v>1590442</v>
      </c>
      <c r="F478" s="13" t="s">
        <v>131</v>
      </c>
      <c r="G478" s="14">
        <v>20309658</v>
      </c>
      <c r="H478" s="13" t="s">
        <v>365</v>
      </c>
      <c r="I478" s="13" t="s">
        <v>221</v>
      </c>
      <c r="J478" s="14">
        <v>2</v>
      </c>
      <c r="K478" s="14">
        <v>10</v>
      </c>
      <c r="L478" s="15">
        <v>52.8</v>
      </c>
      <c r="M478" s="15">
        <v>105.6</v>
      </c>
    </row>
    <row r="479" spans="4:13">
      <c r="D479" s="12">
        <v>46111</v>
      </c>
      <c r="E479" s="13">
        <v>1590442</v>
      </c>
      <c r="F479" s="13" t="s">
        <v>131</v>
      </c>
      <c r="G479" s="14">
        <v>20312572</v>
      </c>
      <c r="H479" s="13" t="s">
        <v>366</v>
      </c>
      <c r="I479" s="13" t="s">
        <v>221</v>
      </c>
      <c r="J479" s="14">
        <v>1</v>
      </c>
      <c r="K479" s="14">
        <v>27</v>
      </c>
      <c r="L479" s="15">
        <v>180</v>
      </c>
      <c r="M479" s="15">
        <f>J479*L479</f>
        <v>180</v>
      </c>
    </row>
    <row r="480" spans="4:13">
      <c r="D480" s="12">
        <v>46111</v>
      </c>
      <c r="E480" s="13">
        <v>1590442</v>
      </c>
      <c r="F480" s="13" t="s">
        <v>131</v>
      </c>
      <c r="G480" s="14">
        <v>20412034</v>
      </c>
      <c r="H480" s="13" t="s">
        <v>344</v>
      </c>
      <c r="I480" s="13" t="s">
        <v>221</v>
      </c>
      <c r="J480" s="14">
        <v>1</v>
      </c>
      <c r="K480" s="14">
        <v>28</v>
      </c>
      <c r="L480" s="15">
        <v>180</v>
      </c>
      <c r="M480" s="15">
        <f>J480*L480</f>
        <v>180</v>
      </c>
    </row>
    <row r="481" spans="4:13">
      <c r="D481" s="12">
        <v>46111</v>
      </c>
      <c r="E481" s="13">
        <v>1590442</v>
      </c>
      <c r="F481" s="13" t="s">
        <v>131</v>
      </c>
      <c r="G481" s="14">
        <v>20324183</v>
      </c>
      <c r="H481" s="13" t="s">
        <v>321</v>
      </c>
      <c r="I481" s="13" t="s">
        <v>221</v>
      </c>
      <c r="J481" s="14">
        <v>1</v>
      </c>
      <c r="K481" s="14">
        <v>18</v>
      </c>
      <c r="L481" s="15">
        <v>178.2</v>
      </c>
      <c r="M481" s="15">
        <v>178.2</v>
      </c>
    </row>
    <row r="482" spans="4:13">
      <c r="D482" s="12">
        <v>46111</v>
      </c>
      <c r="E482" s="13">
        <v>1590442</v>
      </c>
      <c r="F482" s="13" t="s">
        <v>385</v>
      </c>
      <c r="G482" s="14">
        <v>20349421</v>
      </c>
      <c r="H482" s="13" t="s">
        <v>386</v>
      </c>
      <c r="I482" s="13" t="s">
        <v>221</v>
      </c>
      <c r="J482" s="14">
        <v>1</v>
      </c>
      <c r="K482" s="14">
        <v>2</v>
      </c>
      <c r="L482" s="15">
        <v>26.4</v>
      </c>
      <c r="M482" s="15">
        <v>26.4</v>
      </c>
    </row>
    <row r="483" spans="4:13">
      <c r="D483" s="12">
        <v>46111</v>
      </c>
      <c r="E483" s="13">
        <v>1590514</v>
      </c>
      <c r="F483" s="13" t="s">
        <v>324</v>
      </c>
      <c r="G483" s="14">
        <v>20394936</v>
      </c>
      <c r="H483" s="13" t="s">
        <v>445</v>
      </c>
      <c r="I483" s="13" t="s">
        <v>328</v>
      </c>
      <c r="J483" s="14">
        <v>1</v>
      </c>
      <c r="K483" s="14">
        <v>4</v>
      </c>
      <c r="L483" s="15">
        <v>13.2</v>
      </c>
      <c r="M483" s="15">
        <v>13.2</v>
      </c>
    </row>
    <row r="484" spans="4:13">
      <c r="D484" s="12">
        <v>46111</v>
      </c>
      <c r="E484" s="13">
        <v>1590514</v>
      </c>
      <c r="F484" s="13" t="s">
        <v>324</v>
      </c>
      <c r="G484" s="14">
        <v>20354749</v>
      </c>
      <c r="H484" s="13" t="s">
        <v>446</v>
      </c>
      <c r="I484" s="13" t="s">
        <v>328</v>
      </c>
      <c r="J484" s="14">
        <v>1</v>
      </c>
      <c r="K484" s="14">
        <v>5</v>
      </c>
      <c r="L484" s="15">
        <v>16.5</v>
      </c>
      <c r="M484" s="15">
        <v>16.5</v>
      </c>
    </row>
    <row r="485" spans="4:13">
      <c r="D485" s="12">
        <v>46111</v>
      </c>
      <c r="E485" s="13">
        <v>1590514</v>
      </c>
      <c r="F485" s="13" t="s">
        <v>65</v>
      </c>
      <c r="G485" s="14">
        <v>20354744</v>
      </c>
      <c r="H485" s="13" t="s">
        <v>447</v>
      </c>
      <c r="I485" s="13" t="s">
        <v>326</v>
      </c>
      <c r="J485" s="14">
        <v>1</v>
      </c>
      <c r="K485" s="14">
        <v>10</v>
      </c>
      <c r="L485" s="15">
        <v>33</v>
      </c>
      <c r="M485" s="15">
        <v>33</v>
      </c>
    </row>
    <row r="486" spans="4:13">
      <c r="D486" s="12">
        <v>46112</v>
      </c>
      <c r="E486" s="13">
        <v>1590605</v>
      </c>
      <c r="F486" s="13" t="s">
        <v>131</v>
      </c>
      <c r="G486" s="14">
        <v>20411790</v>
      </c>
      <c r="H486" s="13" t="s">
        <v>345</v>
      </c>
      <c r="I486" s="13" t="s">
        <v>221</v>
      </c>
      <c r="J486" s="14">
        <v>1</v>
      </c>
      <c r="K486" s="14">
        <v>28</v>
      </c>
      <c r="L486" s="15">
        <v>180</v>
      </c>
      <c r="M486" s="15">
        <f>J486*L486</f>
        <v>180</v>
      </c>
    </row>
    <row r="487" spans="4:13">
      <c r="D487" s="12">
        <v>46112</v>
      </c>
      <c r="E487" s="13">
        <v>1590605</v>
      </c>
      <c r="F487" s="13" t="s">
        <v>131</v>
      </c>
      <c r="G487" s="14">
        <v>20412202</v>
      </c>
      <c r="H487" s="13" t="s">
        <v>322</v>
      </c>
      <c r="I487" s="13" t="s">
        <v>221</v>
      </c>
      <c r="J487" s="14">
        <v>1</v>
      </c>
      <c r="K487" s="14">
        <v>23</v>
      </c>
      <c r="L487" s="15">
        <v>180</v>
      </c>
      <c r="M487" s="15">
        <f>J487*L487</f>
        <v>180</v>
      </c>
    </row>
    <row r="488" spans="4:13">
      <c r="D488" s="12">
        <v>46112</v>
      </c>
      <c r="E488" s="13">
        <v>1590692</v>
      </c>
      <c r="F488" s="13" t="s">
        <v>324</v>
      </c>
      <c r="G488" s="14">
        <v>20303010</v>
      </c>
      <c r="H488" s="13" t="s">
        <v>325</v>
      </c>
      <c r="I488" s="13" t="s">
        <v>326</v>
      </c>
      <c r="J488" s="14">
        <v>2</v>
      </c>
      <c r="K488" s="14">
        <v>50</v>
      </c>
      <c r="L488" s="15">
        <v>82.5</v>
      </c>
      <c r="M488" s="15">
        <v>165</v>
      </c>
    </row>
    <row r="489" spans="4:13">
      <c r="D489" s="12">
        <v>46112</v>
      </c>
      <c r="E489" s="13">
        <v>1590692</v>
      </c>
      <c r="F489" s="13" t="s">
        <v>324</v>
      </c>
      <c r="G489" s="14">
        <v>20303022</v>
      </c>
      <c r="H489" s="13" t="s">
        <v>352</v>
      </c>
      <c r="I489" s="13" t="s">
        <v>326</v>
      </c>
      <c r="J489" s="14">
        <v>2</v>
      </c>
      <c r="K489" s="14">
        <v>62</v>
      </c>
      <c r="L489" s="15">
        <v>102.3</v>
      </c>
      <c r="M489" s="15">
        <v>204.6</v>
      </c>
    </row>
    <row r="490" spans="4:13">
      <c r="D490" s="12">
        <v>46112</v>
      </c>
      <c r="E490" s="13">
        <v>1590692</v>
      </c>
      <c r="F490" s="13" t="s">
        <v>324</v>
      </c>
      <c r="G490" s="14">
        <v>20303036</v>
      </c>
      <c r="H490" s="13" t="s">
        <v>431</v>
      </c>
      <c r="I490" s="13" t="s">
        <v>326</v>
      </c>
      <c r="J490" s="14">
        <v>1</v>
      </c>
      <c r="K490" s="14">
        <v>22</v>
      </c>
      <c r="L490" s="15">
        <v>72.6</v>
      </c>
      <c r="M490" s="15">
        <v>72.6</v>
      </c>
    </row>
    <row r="491" spans="4:13">
      <c r="D491" s="12">
        <v>46112</v>
      </c>
      <c r="E491" s="13">
        <v>1590692</v>
      </c>
      <c r="F491" s="13" t="s">
        <v>324</v>
      </c>
      <c r="G491" s="14">
        <v>20306236</v>
      </c>
      <c r="H491" s="13" t="s">
        <v>413</v>
      </c>
      <c r="I491" s="13" t="s">
        <v>347</v>
      </c>
      <c r="J491" s="14">
        <v>1</v>
      </c>
      <c r="K491" s="14">
        <v>17</v>
      </c>
      <c r="L491" s="15">
        <v>56.1</v>
      </c>
      <c r="M491" s="15">
        <v>56.1</v>
      </c>
    </row>
    <row r="492" spans="4:13">
      <c r="D492" s="12">
        <v>46112</v>
      </c>
      <c r="E492" s="13">
        <v>1590692</v>
      </c>
      <c r="F492" s="13" t="s">
        <v>324</v>
      </c>
      <c r="G492" s="14">
        <v>20303058</v>
      </c>
      <c r="H492" s="13" t="s">
        <v>338</v>
      </c>
      <c r="I492" s="13" t="s">
        <v>326</v>
      </c>
      <c r="J492" s="14">
        <v>2</v>
      </c>
      <c r="K492" s="14">
        <v>114</v>
      </c>
      <c r="L492" s="15">
        <v>188.1</v>
      </c>
      <c r="M492" s="15">
        <v>376.2</v>
      </c>
    </row>
    <row r="493" spans="4:13">
      <c r="D493" s="12">
        <v>46112</v>
      </c>
      <c r="E493" s="13">
        <v>1590692</v>
      </c>
      <c r="F493" s="13" t="s">
        <v>163</v>
      </c>
      <c r="G493" s="14">
        <v>20306222</v>
      </c>
      <c r="H493" s="13" t="s">
        <v>417</v>
      </c>
      <c r="I493" s="13" t="s">
        <v>83</v>
      </c>
      <c r="J493" s="14">
        <v>1</v>
      </c>
      <c r="K493" s="14">
        <v>10</v>
      </c>
      <c r="L493" s="15">
        <v>33</v>
      </c>
      <c r="M493" s="15">
        <v>33</v>
      </c>
    </row>
    <row r="494" spans="4:13">
      <c r="D494" s="12">
        <v>46112</v>
      </c>
      <c r="E494" s="13">
        <v>1590692</v>
      </c>
      <c r="F494" s="13" t="s">
        <v>15</v>
      </c>
      <c r="G494" s="14">
        <v>20309550</v>
      </c>
      <c r="H494" s="13" t="s">
        <v>313</v>
      </c>
      <c r="I494" s="13" t="s">
        <v>314</v>
      </c>
      <c r="J494" s="14">
        <v>1</v>
      </c>
      <c r="K494" s="14">
        <v>3</v>
      </c>
      <c r="L494" s="15">
        <v>39.6</v>
      </c>
      <c r="M494" s="15">
        <v>39.6</v>
      </c>
    </row>
    <row r="495" spans="4:13">
      <c r="D495" s="12">
        <v>46112</v>
      </c>
      <c r="E495" s="13">
        <v>1590692</v>
      </c>
      <c r="F495" s="13" t="s">
        <v>131</v>
      </c>
      <c r="G495" s="14">
        <v>20309744</v>
      </c>
      <c r="H495" s="13" t="s">
        <v>361</v>
      </c>
      <c r="I495" s="13" t="s">
        <v>221</v>
      </c>
      <c r="J495" s="14">
        <v>1</v>
      </c>
      <c r="K495" s="14">
        <v>9</v>
      </c>
      <c r="L495" s="15">
        <v>92.4</v>
      </c>
      <c r="M495" s="15">
        <v>92.4</v>
      </c>
    </row>
    <row r="496" spans="4:13">
      <c r="D496" s="12">
        <v>46112</v>
      </c>
      <c r="E496" s="13">
        <v>1590692</v>
      </c>
      <c r="F496" s="13" t="s">
        <v>131</v>
      </c>
      <c r="G496" s="14">
        <v>20309648</v>
      </c>
      <c r="H496" s="13" t="s">
        <v>363</v>
      </c>
      <c r="I496" s="13" t="s">
        <v>221</v>
      </c>
      <c r="J496" s="14">
        <v>1</v>
      </c>
      <c r="K496" s="14">
        <v>14</v>
      </c>
      <c r="L496" s="15">
        <v>138.6</v>
      </c>
      <c r="M496" s="15">
        <v>138.6</v>
      </c>
    </row>
    <row r="497" spans="4:13">
      <c r="D497" s="12">
        <v>46112</v>
      </c>
      <c r="E497" s="13">
        <v>1590692</v>
      </c>
      <c r="F497" s="13" t="s">
        <v>131</v>
      </c>
      <c r="G497" s="14">
        <v>20314461</v>
      </c>
      <c r="H497" s="13" t="s">
        <v>426</v>
      </c>
      <c r="I497" s="13" t="s">
        <v>221</v>
      </c>
      <c r="J497" s="14">
        <v>1</v>
      </c>
      <c r="K497" s="14">
        <v>26</v>
      </c>
      <c r="L497" s="15">
        <v>180</v>
      </c>
      <c r="M497" s="15">
        <f>J497*L497</f>
        <v>180</v>
      </c>
    </row>
    <row r="498" spans="4:13">
      <c r="D498" s="12">
        <v>46112</v>
      </c>
      <c r="E498" s="13">
        <v>1590692</v>
      </c>
      <c r="F498" s="13" t="s">
        <v>131</v>
      </c>
      <c r="G498" s="14">
        <v>20384037</v>
      </c>
      <c r="H498" s="13" t="s">
        <v>376</v>
      </c>
      <c r="I498" s="13" t="s">
        <v>221</v>
      </c>
      <c r="J498" s="14">
        <v>1</v>
      </c>
      <c r="K498" s="14">
        <v>25</v>
      </c>
      <c r="L498" s="15">
        <v>180</v>
      </c>
      <c r="M498" s="15">
        <f>J498*L498</f>
        <v>180</v>
      </c>
    </row>
    <row r="499" spans="4:13">
      <c r="D499" s="12">
        <v>46112</v>
      </c>
      <c r="E499" s="13">
        <v>1590692</v>
      </c>
      <c r="F499" s="13" t="s">
        <v>131</v>
      </c>
      <c r="G499" s="14">
        <v>20314362</v>
      </c>
      <c r="H499" s="13" t="s">
        <v>364</v>
      </c>
      <c r="I499" s="13" t="s">
        <v>221</v>
      </c>
      <c r="J499" s="14">
        <v>1</v>
      </c>
      <c r="K499" s="14">
        <v>27</v>
      </c>
      <c r="L499" s="15">
        <v>180</v>
      </c>
      <c r="M499" s="15">
        <f>J499*L499</f>
        <v>180</v>
      </c>
    </row>
    <row r="500" spans="4:13">
      <c r="D500" s="12">
        <v>46112</v>
      </c>
      <c r="E500" s="13">
        <v>1590692</v>
      </c>
      <c r="F500" s="13" t="s">
        <v>131</v>
      </c>
      <c r="G500" s="14">
        <v>20303777</v>
      </c>
      <c r="H500" s="13" t="s">
        <v>351</v>
      </c>
      <c r="I500" s="13" t="s">
        <v>221</v>
      </c>
      <c r="J500" s="14">
        <v>1</v>
      </c>
      <c r="K500" s="14">
        <v>27</v>
      </c>
      <c r="L500" s="15">
        <v>180</v>
      </c>
      <c r="M500" s="15">
        <f>J500*L500</f>
        <v>180</v>
      </c>
    </row>
    <row r="501" spans="4:13">
      <c r="D501" s="12">
        <v>46112</v>
      </c>
      <c r="E501" s="13">
        <v>1590692</v>
      </c>
      <c r="F501" s="13" t="s">
        <v>47</v>
      </c>
      <c r="G501" s="14">
        <v>20303011</v>
      </c>
      <c r="H501" s="13" t="s">
        <v>330</v>
      </c>
      <c r="I501" s="13" t="s">
        <v>331</v>
      </c>
      <c r="J501" s="14">
        <v>2</v>
      </c>
      <c r="K501" s="14">
        <v>52</v>
      </c>
      <c r="L501" s="15">
        <v>85.8</v>
      </c>
      <c r="M501" s="15">
        <v>171.6</v>
      </c>
    </row>
    <row r="502" spans="4:13">
      <c r="D502" s="12">
        <v>46112</v>
      </c>
      <c r="E502" s="13">
        <v>1590692</v>
      </c>
      <c r="F502" s="13" t="s">
        <v>65</v>
      </c>
      <c r="G502" s="14">
        <v>20303836</v>
      </c>
      <c r="H502" s="13" t="s">
        <v>332</v>
      </c>
      <c r="I502" s="13" t="s">
        <v>83</v>
      </c>
      <c r="J502" s="14">
        <v>3</v>
      </c>
      <c r="K502" s="14">
        <v>12</v>
      </c>
      <c r="L502" s="15">
        <v>13.2</v>
      </c>
      <c r="M502" s="15">
        <v>39.6</v>
      </c>
    </row>
    <row r="503" spans="4:13">
      <c r="D503" s="12">
        <v>46112</v>
      </c>
      <c r="E503" s="13">
        <v>1590741</v>
      </c>
      <c r="F503" s="13" t="s">
        <v>324</v>
      </c>
      <c r="G503" s="14">
        <v>20303010</v>
      </c>
      <c r="H503" s="13" t="s">
        <v>325</v>
      </c>
      <c r="I503" s="13" t="s">
        <v>326</v>
      </c>
      <c r="J503" s="14">
        <v>4</v>
      </c>
      <c r="K503" s="14">
        <v>100</v>
      </c>
      <c r="L503" s="15">
        <v>82.5</v>
      </c>
      <c r="M503" s="15">
        <v>330</v>
      </c>
    </row>
    <row r="504" spans="4:13">
      <c r="D504" s="12">
        <v>46112</v>
      </c>
      <c r="E504" s="13">
        <v>1590741</v>
      </c>
      <c r="F504" s="13" t="s">
        <v>324</v>
      </c>
      <c r="G504" s="14">
        <v>20303020</v>
      </c>
      <c r="H504" s="13" t="s">
        <v>469</v>
      </c>
      <c r="I504" s="13" t="s">
        <v>326</v>
      </c>
      <c r="J504" s="14">
        <v>1</v>
      </c>
      <c r="K504" s="14">
        <v>13</v>
      </c>
      <c r="L504" s="15">
        <v>42.9</v>
      </c>
      <c r="M504" s="15">
        <v>42.9</v>
      </c>
    </row>
    <row r="505" spans="4:13">
      <c r="D505" s="12">
        <v>46112</v>
      </c>
      <c r="E505" s="13">
        <v>1590741</v>
      </c>
      <c r="F505" s="13" t="s">
        <v>324</v>
      </c>
      <c r="G505" s="14">
        <v>20303029</v>
      </c>
      <c r="H505" s="13" t="s">
        <v>337</v>
      </c>
      <c r="I505" s="13" t="s">
        <v>326</v>
      </c>
      <c r="J505" s="14">
        <v>1</v>
      </c>
      <c r="K505" s="14">
        <v>47</v>
      </c>
      <c r="L505" s="15">
        <v>155.1</v>
      </c>
      <c r="M505" s="15">
        <v>155.1</v>
      </c>
    </row>
    <row r="506" spans="4:13">
      <c r="D506" s="12">
        <v>46112</v>
      </c>
      <c r="E506" s="13">
        <v>1590741</v>
      </c>
      <c r="F506" s="13" t="s">
        <v>324</v>
      </c>
      <c r="G506" s="14">
        <v>20388057</v>
      </c>
      <c r="H506" s="13" t="s">
        <v>470</v>
      </c>
      <c r="I506" s="13" t="s">
        <v>326</v>
      </c>
      <c r="J506" s="14">
        <v>1</v>
      </c>
      <c r="K506" s="14">
        <v>15</v>
      </c>
      <c r="L506" s="15">
        <v>49.5</v>
      </c>
      <c r="M506" s="15">
        <v>49.5</v>
      </c>
    </row>
    <row r="507" spans="4:13">
      <c r="D507" s="12">
        <v>46112</v>
      </c>
      <c r="E507" s="13">
        <v>1590741</v>
      </c>
      <c r="F507" s="13" t="s">
        <v>163</v>
      </c>
      <c r="G507" s="14">
        <v>20303912</v>
      </c>
      <c r="H507" s="13" t="s">
        <v>329</v>
      </c>
      <c r="I507" s="13" t="s">
        <v>83</v>
      </c>
      <c r="J507" s="14">
        <v>1</v>
      </c>
      <c r="K507" s="14">
        <v>5</v>
      </c>
      <c r="L507" s="15">
        <v>16.5</v>
      </c>
      <c r="M507" s="15">
        <v>16.5</v>
      </c>
    </row>
    <row r="508" spans="4:13">
      <c r="D508" s="12">
        <v>46112</v>
      </c>
      <c r="E508" s="13">
        <v>1590741</v>
      </c>
      <c r="F508" s="13" t="s">
        <v>20</v>
      </c>
      <c r="G508" s="14">
        <v>20313337</v>
      </c>
      <c r="H508" s="13" t="s">
        <v>353</v>
      </c>
      <c r="I508" s="13" t="s">
        <v>53</v>
      </c>
      <c r="J508" s="14">
        <v>1</v>
      </c>
      <c r="K508" s="14">
        <v>2</v>
      </c>
      <c r="L508" s="15">
        <v>9.9</v>
      </c>
      <c r="M508" s="15">
        <v>9.9</v>
      </c>
    </row>
    <row r="509" spans="4:13">
      <c r="D509" s="12">
        <v>46112</v>
      </c>
      <c r="E509" s="13">
        <v>1590741</v>
      </c>
      <c r="F509" s="13" t="s">
        <v>20</v>
      </c>
      <c r="G509" s="14">
        <v>20303863</v>
      </c>
      <c r="H509" s="13" t="s">
        <v>28</v>
      </c>
      <c r="I509" s="13" t="s">
        <v>29</v>
      </c>
      <c r="J509" s="14">
        <v>1</v>
      </c>
      <c r="K509" s="14">
        <v>1</v>
      </c>
      <c r="L509" s="15">
        <v>4.8</v>
      </c>
      <c r="M509" s="15">
        <v>4.8</v>
      </c>
    </row>
    <row r="510" spans="4:13">
      <c r="D510" s="12">
        <v>46112</v>
      </c>
      <c r="E510" s="13">
        <v>1590741</v>
      </c>
      <c r="F510" s="13" t="s">
        <v>20</v>
      </c>
      <c r="G510" s="14">
        <v>20303979</v>
      </c>
      <c r="H510" s="13" t="s">
        <v>368</v>
      </c>
      <c r="I510" s="13" t="s">
        <v>55</v>
      </c>
      <c r="J510" s="14">
        <v>1</v>
      </c>
      <c r="K510" s="14">
        <v>1</v>
      </c>
      <c r="L510" s="15">
        <v>7.8</v>
      </c>
      <c r="M510" s="15">
        <v>7.8</v>
      </c>
    </row>
    <row r="511" spans="4:13">
      <c r="D511" s="12">
        <v>46112</v>
      </c>
      <c r="E511" s="13">
        <v>1590741</v>
      </c>
      <c r="F511" s="13" t="s">
        <v>15</v>
      </c>
      <c r="G511" s="14">
        <v>20314042</v>
      </c>
      <c r="H511" s="13" t="s">
        <v>341</v>
      </c>
      <c r="I511" s="13" t="s">
        <v>128</v>
      </c>
      <c r="J511" s="14">
        <v>1</v>
      </c>
      <c r="K511" s="14">
        <v>1</v>
      </c>
      <c r="L511" s="15">
        <v>16.8</v>
      </c>
      <c r="M511" s="15">
        <v>16.8</v>
      </c>
    </row>
    <row r="512" spans="4:13">
      <c r="D512" s="12">
        <v>46112</v>
      </c>
      <c r="E512" s="13">
        <v>1590741</v>
      </c>
      <c r="F512" s="13" t="s">
        <v>15</v>
      </c>
      <c r="G512" s="14">
        <v>20358905</v>
      </c>
      <c r="H512" s="13" t="s">
        <v>360</v>
      </c>
      <c r="I512" s="13" t="s">
        <v>244</v>
      </c>
      <c r="J512" s="14">
        <v>1</v>
      </c>
      <c r="K512" s="14">
        <v>1</v>
      </c>
      <c r="L512" s="15">
        <v>15</v>
      </c>
      <c r="M512" s="15">
        <v>15</v>
      </c>
    </row>
    <row r="513" spans="4:13">
      <c r="D513" s="12">
        <v>46112</v>
      </c>
      <c r="E513" s="13">
        <v>1590741</v>
      </c>
      <c r="F513" s="13" t="s">
        <v>15</v>
      </c>
      <c r="G513" s="14">
        <v>20309739</v>
      </c>
      <c r="H513" s="13" t="s">
        <v>430</v>
      </c>
      <c r="I513" s="13" t="s">
        <v>408</v>
      </c>
      <c r="J513" s="14">
        <v>1</v>
      </c>
      <c r="K513" s="14">
        <v>1</v>
      </c>
      <c r="L513" s="15">
        <v>16.8</v>
      </c>
      <c r="M513" s="15">
        <v>16.8</v>
      </c>
    </row>
    <row r="514" spans="4:13">
      <c r="D514" s="12">
        <v>46112</v>
      </c>
      <c r="E514" s="13">
        <v>1590741</v>
      </c>
      <c r="F514" s="13" t="s">
        <v>131</v>
      </c>
      <c r="G514" s="14">
        <v>20309744</v>
      </c>
      <c r="H514" s="13" t="s">
        <v>361</v>
      </c>
      <c r="I514" s="13" t="s">
        <v>221</v>
      </c>
      <c r="J514" s="14">
        <v>1</v>
      </c>
      <c r="K514" s="14">
        <v>9</v>
      </c>
      <c r="L514" s="15">
        <v>92.4</v>
      </c>
      <c r="M514" s="15">
        <v>92.4</v>
      </c>
    </row>
    <row r="515" spans="4:13">
      <c r="D515" s="12">
        <v>46112</v>
      </c>
      <c r="E515" s="13">
        <v>1590741</v>
      </c>
      <c r="F515" s="13" t="s">
        <v>131</v>
      </c>
      <c r="G515" s="14">
        <v>20309648</v>
      </c>
      <c r="H515" s="13" t="s">
        <v>363</v>
      </c>
      <c r="I515" s="13" t="s">
        <v>221</v>
      </c>
      <c r="J515" s="14">
        <v>2</v>
      </c>
      <c r="K515" s="14">
        <v>28</v>
      </c>
      <c r="L515" s="15">
        <v>138.6</v>
      </c>
      <c r="M515" s="15">
        <v>277.2</v>
      </c>
    </row>
    <row r="516" spans="4:13">
      <c r="D516" s="12">
        <v>46112</v>
      </c>
      <c r="E516" s="13">
        <v>1590741</v>
      </c>
      <c r="F516" s="13" t="s">
        <v>131</v>
      </c>
      <c r="G516" s="14">
        <v>20412203</v>
      </c>
      <c r="H516" s="13" t="s">
        <v>375</v>
      </c>
      <c r="I516" s="13" t="s">
        <v>221</v>
      </c>
      <c r="J516" s="14">
        <v>1</v>
      </c>
      <c r="K516" s="14">
        <v>8</v>
      </c>
      <c r="L516" s="15">
        <v>92.4</v>
      </c>
      <c r="M516" s="15">
        <v>92.4</v>
      </c>
    </row>
    <row r="517" spans="4:13">
      <c r="D517" s="12">
        <v>46112</v>
      </c>
      <c r="E517" s="13">
        <v>1590741</v>
      </c>
      <c r="F517" s="13" t="s">
        <v>131</v>
      </c>
      <c r="G517" s="14">
        <v>20309658</v>
      </c>
      <c r="H517" s="13" t="s">
        <v>365</v>
      </c>
      <c r="I517" s="13" t="s">
        <v>221</v>
      </c>
      <c r="J517" s="14">
        <v>1</v>
      </c>
      <c r="K517" s="14">
        <v>5</v>
      </c>
      <c r="L517" s="15">
        <v>52.8</v>
      </c>
      <c r="M517" s="15">
        <v>52.8</v>
      </c>
    </row>
    <row r="518" spans="4:13">
      <c r="D518" s="12">
        <v>46112</v>
      </c>
      <c r="E518" s="13">
        <v>1590741</v>
      </c>
      <c r="F518" s="13" t="s">
        <v>131</v>
      </c>
      <c r="G518" s="14">
        <v>20312572</v>
      </c>
      <c r="H518" s="13" t="s">
        <v>366</v>
      </c>
      <c r="I518" s="13" t="s">
        <v>221</v>
      </c>
      <c r="J518" s="14">
        <v>1</v>
      </c>
      <c r="K518" s="14">
        <v>27</v>
      </c>
      <c r="L518" s="15">
        <v>180</v>
      </c>
      <c r="M518" s="15">
        <f>J518*L518</f>
        <v>180</v>
      </c>
    </row>
    <row r="519" spans="4:13">
      <c r="D519" s="12">
        <v>46112</v>
      </c>
      <c r="E519" s="13">
        <v>1590741</v>
      </c>
      <c r="F519" s="13" t="s">
        <v>131</v>
      </c>
      <c r="G519" s="14">
        <v>20412034</v>
      </c>
      <c r="H519" s="13" t="s">
        <v>344</v>
      </c>
      <c r="I519" s="13" t="s">
        <v>221</v>
      </c>
      <c r="J519" s="14">
        <v>1</v>
      </c>
      <c r="K519" s="14">
        <v>28</v>
      </c>
      <c r="L519" s="15">
        <v>180</v>
      </c>
      <c r="M519" s="15">
        <f>J519*L519</f>
        <v>180</v>
      </c>
    </row>
    <row r="520" spans="4:13">
      <c r="D520" s="12">
        <v>46112</v>
      </c>
      <c r="E520" s="13">
        <v>1590741</v>
      </c>
      <c r="F520" s="13" t="s">
        <v>47</v>
      </c>
      <c r="G520" s="14">
        <v>20303011</v>
      </c>
      <c r="H520" s="13" t="s">
        <v>330</v>
      </c>
      <c r="I520" s="13" t="s">
        <v>331</v>
      </c>
      <c r="J520" s="14">
        <v>1</v>
      </c>
      <c r="K520" s="14">
        <v>26</v>
      </c>
      <c r="L520" s="15">
        <v>85.8</v>
      </c>
      <c r="M520" s="15">
        <v>85.8</v>
      </c>
    </row>
    <row r="521" spans="4:13">
      <c r="D521" s="12">
        <v>46112</v>
      </c>
      <c r="E521" s="13">
        <v>1590741</v>
      </c>
      <c r="F521" s="13" t="s">
        <v>47</v>
      </c>
      <c r="G521" s="14">
        <v>20306256</v>
      </c>
      <c r="H521" s="13" t="s">
        <v>349</v>
      </c>
      <c r="I521" s="13" t="s">
        <v>83</v>
      </c>
      <c r="J521" s="14">
        <v>3</v>
      </c>
      <c r="K521" s="14">
        <v>66</v>
      </c>
      <c r="L521" s="15">
        <v>72.6</v>
      </c>
      <c r="M521" s="15">
        <v>217.8</v>
      </c>
    </row>
    <row r="522" spans="4:13">
      <c r="D522" s="12">
        <v>46112</v>
      </c>
      <c r="E522" s="13">
        <v>1590741</v>
      </c>
      <c r="F522" s="13" t="s">
        <v>65</v>
      </c>
      <c r="G522" s="14">
        <v>20303836</v>
      </c>
      <c r="H522" s="13" t="s">
        <v>332</v>
      </c>
      <c r="I522" s="13" t="s">
        <v>83</v>
      </c>
      <c r="J522" s="14">
        <v>1</v>
      </c>
      <c r="K522" s="14">
        <v>4</v>
      </c>
      <c r="L522" s="15">
        <v>13.2</v>
      </c>
      <c r="M522" s="15">
        <v>13.2</v>
      </c>
    </row>
    <row r="523" spans="4:13">
      <c r="D523" s="12">
        <v>46112</v>
      </c>
      <c r="E523" s="13">
        <v>1590741</v>
      </c>
      <c r="F523" s="13" t="s">
        <v>65</v>
      </c>
      <c r="G523" s="14">
        <v>20312666</v>
      </c>
      <c r="H523" s="13" t="s">
        <v>471</v>
      </c>
      <c r="I523" s="13" t="s">
        <v>44</v>
      </c>
      <c r="J523" s="14">
        <v>1</v>
      </c>
      <c r="K523" s="14">
        <v>3</v>
      </c>
      <c r="L523" s="15">
        <v>9.9</v>
      </c>
      <c r="M523" s="15">
        <v>9.9</v>
      </c>
    </row>
    <row r="524" spans="4:13">
      <c r="D524" s="12">
        <v>46112</v>
      </c>
      <c r="E524" s="13">
        <v>1590766</v>
      </c>
      <c r="F524" s="13" t="s">
        <v>20</v>
      </c>
      <c r="G524" s="14">
        <v>20303977</v>
      </c>
      <c r="H524" s="13" t="s">
        <v>196</v>
      </c>
      <c r="I524" s="13" t="s">
        <v>33</v>
      </c>
      <c r="J524" s="14">
        <v>1</v>
      </c>
      <c r="K524" s="14">
        <v>1</v>
      </c>
      <c r="L524" s="15">
        <v>4.8</v>
      </c>
      <c r="M524" s="15">
        <v>4.8</v>
      </c>
    </row>
    <row r="525" spans="4:13">
      <c r="D525" s="12">
        <v>46112</v>
      </c>
      <c r="E525" s="13">
        <v>1590832</v>
      </c>
      <c r="F525" s="13" t="s">
        <v>378</v>
      </c>
      <c r="G525" s="14">
        <v>20310012</v>
      </c>
      <c r="H525" s="13" t="s">
        <v>379</v>
      </c>
      <c r="I525" s="13" t="s">
        <v>2</v>
      </c>
      <c r="J525" s="14">
        <v>4</v>
      </c>
      <c r="K525" s="14">
        <v>0</v>
      </c>
      <c r="L525" s="15">
        <v>15</v>
      </c>
      <c r="M525" s="15">
        <v>60</v>
      </c>
    </row>
    <row r="526" spans="4:13">
      <c r="D526" s="12">
        <v>46112</v>
      </c>
      <c r="E526" s="13">
        <v>1590862</v>
      </c>
      <c r="F526" s="13" t="s">
        <v>324</v>
      </c>
      <c r="G526" s="14">
        <v>20300049</v>
      </c>
      <c r="H526" s="13" t="s">
        <v>387</v>
      </c>
      <c r="I526" s="13" t="s">
        <v>326</v>
      </c>
      <c r="J526" s="14">
        <v>1</v>
      </c>
      <c r="K526" s="14">
        <v>33</v>
      </c>
      <c r="L526" s="15">
        <v>108.9</v>
      </c>
      <c r="M526" s="15">
        <v>108.9</v>
      </c>
    </row>
    <row r="527" spans="4:13">
      <c r="D527" s="12">
        <v>46112</v>
      </c>
      <c r="E527" s="13">
        <v>1590862</v>
      </c>
      <c r="F527" s="13" t="s">
        <v>324</v>
      </c>
      <c r="G527" s="14">
        <v>20331665</v>
      </c>
      <c r="H527" s="13" t="s">
        <v>421</v>
      </c>
      <c r="I527" s="13" t="s">
        <v>326</v>
      </c>
      <c r="J527" s="14">
        <v>1</v>
      </c>
      <c r="K527" s="14">
        <v>10</v>
      </c>
      <c r="L527" s="15">
        <v>33</v>
      </c>
      <c r="M527" s="15">
        <v>33</v>
      </c>
    </row>
    <row r="528" spans="4:13">
      <c r="D528" s="12">
        <v>46112</v>
      </c>
      <c r="E528" s="13">
        <v>1590862</v>
      </c>
      <c r="F528" s="13" t="s">
        <v>324</v>
      </c>
      <c r="G528" s="14">
        <v>20303002</v>
      </c>
      <c r="H528" s="13" t="s">
        <v>472</v>
      </c>
      <c r="I528" s="13" t="s">
        <v>326</v>
      </c>
      <c r="J528" s="14">
        <v>1</v>
      </c>
      <c r="K528" s="14">
        <v>22</v>
      </c>
      <c r="L528" s="15">
        <v>72.6</v>
      </c>
      <c r="M528" s="15">
        <v>72.6</v>
      </c>
    </row>
    <row r="529" spans="4:13">
      <c r="D529" s="12">
        <v>46112</v>
      </c>
      <c r="E529" s="13">
        <v>1590862</v>
      </c>
      <c r="F529" s="13" t="s">
        <v>324</v>
      </c>
      <c r="G529" s="14">
        <v>20303007</v>
      </c>
      <c r="H529" s="13" t="s">
        <v>449</v>
      </c>
      <c r="I529" s="13" t="s">
        <v>326</v>
      </c>
      <c r="J529" s="14">
        <v>1</v>
      </c>
      <c r="K529" s="14">
        <v>32</v>
      </c>
      <c r="L529" s="15">
        <v>105.6</v>
      </c>
      <c r="M529" s="15">
        <v>105.6</v>
      </c>
    </row>
    <row r="530" spans="4:13">
      <c r="D530" s="12">
        <v>46112</v>
      </c>
      <c r="E530" s="13">
        <v>1590862</v>
      </c>
      <c r="F530" s="13" t="s">
        <v>324</v>
      </c>
      <c r="G530" s="14">
        <v>20303015</v>
      </c>
      <c r="H530" s="13" t="s">
        <v>334</v>
      </c>
      <c r="I530" s="13" t="s">
        <v>326</v>
      </c>
      <c r="J530" s="14">
        <v>1</v>
      </c>
      <c r="K530" s="14">
        <v>34</v>
      </c>
      <c r="L530" s="15">
        <v>112.2</v>
      </c>
      <c r="M530" s="15">
        <v>112.2</v>
      </c>
    </row>
    <row r="531" spans="4:13">
      <c r="D531" s="12">
        <v>46112</v>
      </c>
      <c r="E531" s="13">
        <v>1590862</v>
      </c>
      <c r="F531" s="13" t="s">
        <v>324</v>
      </c>
      <c r="G531" s="14">
        <v>20303022</v>
      </c>
      <c r="H531" s="13" t="s">
        <v>352</v>
      </c>
      <c r="I531" s="13" t="s">
        <v>326</v>
      </c>
      <c r="J531" s="14">
        <v>1</v>
      </c>
      <c r="K531" s="14">
        <v>31</v>
      </c>
      <c r="L531" s="15">
        <v>102.3</v>
      </c>
      <c r="M531" s="15">
        <v>102.3</v>
      </c>
    </row>
    <row r="532" spans="4:13">
      <c r="D532" s="12">
        <v>46112</v>
      </c>
      <c r="E532" s="13">
        <v>1590862</v>
      </c>
      <c r="F532" s="13" t="s">
        <v>324</v>
      </c>
      <c r="G532" s="14">
        <v>20342050</v>
      </c>
      <c r="H532" s="13" t="s">
        <v>327</v>
      </c>
      <c r="I532" s="13" t="s">
        <v>328</v>
      </c>
      <c r="J532" s="14">
        <v>1</v>
      </c>
      <c r="K532" s="14">
        <v>19</v>
      </c>
      <c r="L532" s="15">
        <v>62.7</v>
      </c>
      <c r="M532" s="15">
        <v>62.7</v>
      </c>
    </row>
    <row r="533" spans="4:13">
      <c r="D533" s="12">
        <v>46112</v>
      </c>
      <c r="E533" s="13">
        <v>1590862</v>
      </c>
      <c r="F533" s="13" t="s">
        <v>324</v>
      </c>
      <c r="G533" s="14">
        <v>20309891</v>
      </c>
      <c r="H533" s="13" t="s">
        <v>473</v>
      </c>
      <c r="I533" s="13" t="s">
        <v>326</v>
      </c>
      <c r="J533" s="14">
        <v>1</v>
      </c>
      <c r="K533" s="14">
        <v>28</v>
      </c>
      <c r="L533" s="15">
        <v>92.4</v>
      </c>
      <c r="M533" s="15">
        <v>92.4</v>
      </c>
    </row>
    <row r="534" spans="4:13">
      <c r="D534" s="12">
        <v>46112</v>
      </c>
      <c r="E534" s="13">
        <v>1590862</v>
      </c>
      <c r="F534" s="13" t="s">
        <v>324</v>
      </c>
      <c r="G534" s="14">
        <v>20303023</v>
      </c>
      <c r="H534" s="13" t="s">
        <v>335</v>
      </c>
      <c r="I534" s="13" t="s">
        <v>326</v>
      </c>
      <c r="J534" s="14">
        <v>1</v>
      </c>
      <c r="K534" s="14">
        <v>63</v>
      </c>
      <c r="L534" s="15">
        <v>207.9</v>
      </c>
      <c r="M534" s="15">
        <v>207.9</v>
      </c>
    </row>
    <row r="535" spans="4:13">
      <c r="D535" s="12">
        <v>46112</v>
      </c>
      <c r="E535" s="13">
        <v>1590862</v>
      </c>
      <c r="F535" s="13" t="s">
        <v>324</v>
      </c>
      <c r="G535" s="14">
        <v>20303031</v>
      </c>
      <c r="H535" s="13" t="s">
        <v>474</v>
      </c>
      <c r="I535" s="13" t="s">
        <v>326</v>
      </c>
      <c r="J535" s="14">
        <v>1</v>
      </c>
      <c r="K535" s="14">
        <v>36</v>
      </c>
      <c r="L535" s="15">
        <v>118.8</v>
      </c>
      <c r="M535" s="15">
        <v>118.8</v>
      </c>
    </row>
    <row r="536" spans="4:13">
      <c r="D536" s="12">
        <v>46112</v>
      </c>
      <c r="E536" s="13">
        <v>1590862</v>
      </c>
      <c r="F536" s="13" t="s">
        <v>324</v>
      </c>
      <c r="G536" s="14">
        <v>20303038</v>
      </c>
      <c r="H536" s="13" t="s">
        <v>475</v>
      </c>
      <c r="I536" s="13" t="s">
        <v>326</v>
      </c>
      <c r="J536" s="14">
        <v>1</v>
      </c>
      <c r="K536" s="14">
        <v>23</v>
      </c>
      <c r="L536" s="15">
        <v>75.9</v>
      </c>
      <c r="M536" s="15">
        <v>75.9</v>
      </c>
    </row>
    <row r="537" spans="4:13">
      <c r="D537" s="12">
        <v>46112</v>
      </c>
      <c r="E537" s="13">
        <v>1590862</v>
      </c>
      <c r="F537" s="13" t="s">
        <v>324</v>
      </c>
      <c r="G537" s="14">
        <v>20306236</v>
      </c>
      <c r="H537" s="13" t="s">
        <v>413</v>
      </c>
      <c r="I537" s="13" t="s">
        <v>347</v>
      </c>
      <c r="J537" s="14">
        <v>1</v>
      </c>
      <c r="K537" s="14">
        <v>17</v>
      </c>
      <c r="L537" s="15">
        <v>56.1</v>
      </c>
      <c r="M537" s="15">
        <v>56.1</v>
      </c>
    </row>
    <row r="538" spans="4:13">
      <c r="D538" s="12">
        <v>46112</v>
      </c>
      <c r="E538" s="13">
        <v>1590862</v>
      </c>
      <c r="F538" s="13" t="s">
        <v>324</v>
      </c>
      <c r="G538" s="14">
        <v>20332470</v>
      </c>
      <c r="H538" s="13" t="s">
        <v>455</v>
      </c>
      <c r="I538" s="13" t="s">
        <v>62</v>
      </c>
      <c r="J538" s="14">
        <v>1</v>
      </c>
      <c r="K538" s="14">
        <v>11</v>
      </c>
      <c r="L538" s="15">
        <v>36.3</v>
      </c>
      <c r="M538" s="15">
        <v>36.3</v>
      </c>
    </row>
    <row r="539" spans="4:13">
      <c r="D539" s="12">
        <v>46112</v>
      </c>
      <c r="E539" s="13">
        <v>1590862</v>
      </c>
      <c r="F539" s="13" t="s">
        <v>20</v>
      </c>
      <c r="G539" s="14">
        <v>20303859</v>
      </c>
      <c r="H539" s="13" t="s">
        <v>46</v>
      </c>
      <c r="I539" s="13" t="s">
        <v>35</v>
      </c>
      <c r="J539" s="14">
        <v>1</v>
      </c>
      <c r="K539" s="14">
        <v>1</v>
      </c>
      <c r="L539" s="15">
        <v>4.8</v>
      </c>
      <c r="M539" s="15">
        <v>4.8</v>
      </c>
    </row>
    <row r="540" spans="4:13">
      <c r="D540" s="12">
        <v>46112</v>
      </c>
      <c r="E540" s="13">
        <v>1590862</v>
      </c>
      <c r="F540" s="13" t="s">
        <v>20</v>
      </c>
      <c r="G540" s="14">
        <v>20309432</v>
      </c>
      <c r="H540" s="13" t="s">
        <v>357</v>
      </c>
      <c r="I540" s="13" t="s">
        <v>57</v>
      </c>
      <c r="J540" s="14">
        <v>1</v>
      </c>
      <c r="K540" s="14">
        <v>2</v>
      </c>
      <c r="L540" s="15">
        <v>9.9</v>
      </c>
      <c r="M540" s="15">
        <v>9.9</v>
      </c>
    </row>
    <row r="541" spans="4:13">
      <c r="D541" s="12">
        <v>46112</v>
      </c>
      <c r="E541" s="13">
        <v>1590862</v>
      </c>
      <c r="F541" s="13" t="s">
        <v>20</v>
      </c>
      <c r="G541" s="14">
        <v>20313337</v>
      </c>
      <c r="H541" s="13" t="s">
        <v>353</v>
      </c>
      <c r="I541" s="13" t="s">
        <v>53</v>
      </c>
      <c r="J541" s="14">
        <v>1</v>
      </c>
      <c r="K541" s="14">
        <v>2</v>
      </c>
      <c r="L541" s="15">
        <v>9.9</v>
      </c>
      <c r="M541" s="15">
        <v>9.9</v>
      </c>
    </row>
    <row r="542" spans="4:13">
      <c r="D542" s="12">
        <v>46112</v>
      </c>
      <c r="E542" s="13">
        <v>1590862</v>
      </c>
      <c r="F542" s="13" t="s">
        <v>20</v>
      </c>
      <c r="G542" s="14">
        <v>20419566</v>
      </c>
      <c r="H542" s="13" t="s">
        <v>476</v>
      </c>
      <c r="I542" s="13" t="s">
        <v>57</v>
      </c>
      <c r="J542" s="14">
        <v>3</v>
      </c>
      <c r="K542" s="14">
        <v>3</v>
      </c>
      <c r="L542" s="15">
        <v>6.3</v>
      </c>
      <c r="M542" s="15">
        <f>L542*J542</f>
        <v>18.9</v>
      </c>
    </row>
    <row r="543" spans="4:13">
      <c r="D543" s="12">
        <v>46112</v>
      </c>
      <c r="E543" s="13">
        <v>1590862</v>
      </c>
      <c r="F543" s="13" t="s">
        <v>20</v>
      </c>
      <c r="G543" s="14">
        <v>20307293</v>
      </c>
      <c r="H543" s="13" t="s">
        <v>211</v>
      </c>
      <c r="I543" s="13" t="s">
        <v>22</v>
      </c>
      <c r="J543" s="14">
        <v>1</v>
      </c>
      <c r="K543" s="14">
        <v>2</v>
      </c>
      <c r="L543" s="15">
        <v>8.1</v>
      </c>
      <c r="M543" s="15">
        <v>8.1</v>
      </c>
    </row>
    <row r="544" spans="4:13">
      <c r="D544" s="12">
        <v>46112</v>
      </c>
      <c r="E544" s="13">
        <v>1590862</v>
      </c>
      <c r="F544" s="13" t="s">
        <v>20</v>
      </c>
      <c r="G544" s="14">
        <v>20303863</v>
      </c>
      <c r="H544" s="13" t="s">
        <v>28</v>
      </c>
      <c r="I544" s="13" t="s">
        <v>29</v>
      </c>
      <c r="J544" s="14">
        <v>1</v>
      </c>
      <c r="K544" s="14">
        <v>1</v>
      </c>
      <c r="L544" s="15">
        <v>4.8</v>
      </c>
      <c r="M544" s="15">
        <v>4.8</v>
      </c>
    </row>
    <row r="545" spans="4:13">
      <c r="D545" s="12">
        <v>46112</v>
      </c>
      <c r="E545" s="13">
        <v>1590862</v>
      </c>
      <c r="F545" s="13" t="s">
        <v>20</v>
      </c>
      <c r="G545" s="14">
        <v>20309447</v>
      </c>
      <c r="H545" s="13" t="s">
        <v>395</v>
      </c>
      <c r="I545" s="13" t="s">
        <v>29</v>
      </c>
      <c r="J545" s="14">
        <v>1</v>
      </c>
      <c r="K545" s="14">
        <v>1</v>
      </c>
      <c r="L545" s="15">
        <v>4.8</v>
      </c>
      <c r="M545" s="15">
        <v>4.8</v>
      </c>
    </row>
    <row r="546" spans="4:13">
      <c r="D546" s="12">
        <v>46112</v>
      </c>
      <c r="E546" s="13">
        <v>1590862</v>
      </c>
      <c r="F546" s="13" t="s">
        <v>20</v>
      </c>
      <c r="G546" s="14">
        <v>20305193</v>
      </c>
      <c r="H546" s="13" t="s">
        <v>396</v>
      </c>
      <c r="I546" s="13" t="s">
        <v>22</v>
      </c>
      <c r="J546" s="14">
        <v>1</v>
      </c>
      <c r="K546" s="14">
        <v>1</v>
      </c>
      <c r="L546" s="15">
        <v>4.8</v>
      </c>
      <c r="M546" s="15">
        <v>4.8</v>
      </c>
    </row>
    <row r="547" spans="4:13">
      <c r="D547" s="12">
        <v>46112</v>
      </c>
      <c r="E547" s="13">
        <v>1590862</v>
      </c>
      <c r="F547" s="13" t="s">
        <v>20</v>
      </c>
      <c r="G547" s="14">
        <v>20339012</v>
      </c>
      <c r="H547" s="13" t="s">
        <v>477</v>
      </c>
      <c r="I547" s="13" t="s">
        <v>22</v>
      </c>
      <c r="J547" s="14">
        <v>1</v>
      </c>
      <c r="K547" s="14">
        <v>6</v>
      </c>
      <c r="L547" s="15">
        <v>19.8</v>
      </c>
      <c r="M547" s="15">
        <v>19.8</v>
      </c>
    </row>
    <row r="548" spans="4:13">
      <c r="D548" s="12">
        <v>46112</v>
      </c>
      <c r="E548" s="13">
        <v>1590862</v>
      </c>
      <c r="F548" s="13" t="s">
        <v>47</v>
      </c>
      <c r="G548" s="14">
        <v>20302998</v>
      </c>
      <c r="H548" s="13" t="s">
        <v>346</v>
      </c>
      <c r="I548" s="13" t="s">
        <v>347</v>
      </c>
      <c r="J548" s="14">
        <v>2</v>
      </c>
      <c r="K548" s="14">
        <v>38</v>
      </c>
      <c r="L548" s="15">
        <v>62.7</v>
      </c>
      <c r="M548" s="15">
        <v>125.4</v>
      </c>
    </row>
    <row r="549" spans="4:13">
      <c r="D549" s="12">
        <v>46112</v>
      </c>
      <c r="E549" s="13">
        <v>1590862</v>
      </c>
      <c r="F549" s="13" t="s">
        <v>47</v>
      </c>
      <c r="G549" s="14">
        <v>20303011</v>
      </c>
      <c r="H549" s="13" t="s">
        <v>330</v>
      </c>
      <c r="I549" s="13" t="s">
        <v>331</v>
      </c>
      <c r="J549" s="14">
        <v>2</v>
      </c>
      <c r="K549" s="14">
        <v>52</v>
      </c>
      <c r="L549" s="15">
        <v>85.8</v>
      </c>
      <c r="M549" s="15">
        <v>171.6</v>
      </c>
    </row>
    <row r="550" spans="4:13">
      <c r="D550" s="12">
        <v>46112</v>
      </c>
      <c r="E550" s="13">
        <v>1590862</v>
      </c>
      <c r="F550" s="13" t="s">
        <v>47</v>
      </c>
      <c r="G550" s="14">
        <v>20306256</v>
      </c>
      <c r="H550" s="13" t="s">
        <v>349</v>
      </c>
      <c r="I550" s="13" t="s">
        <v>83</v>
      </c>
      <c r="J550" s="14">
        <v>2</v>
      </c>
      <c r="K550" s="14">
        <v>44</v>
      </c>
      <c r="L550" s="15">
        <v>72.6</v>
      </c>
      <c r="M550" s="15">
        <v>145.2</v>
      </c>
    </row>
    <row r="551" spans="4:13">
      <c r="D551" s="12">
        <v>46112</v>
      </c>
      <c r="E551" s="13">
        <v>1590862</v>
      </c>
      <c r="F551" s="13" t="s">
        <v>47</v>
      </c>
      <c r="G551" s="14">
        <v>20313307</v>
      </c>
      <c r="H551" s="13" t="s">
        <v>402</v>
      </c>
      <c r="I551" s="13" t="s">
        <v>83</v>
      </c>
      <c r="J551" s="14">
        <v>1</v>
      </c>
      <c r="K551" s="14">
        <v>11</v>
      </c>
      <c r="L551" s="15">
        <v>36.3</v>
      </c>
      <c r="M551" s="15">
        <v>36.3</v>
      </c>
    </row>
    <row r="552" spans="4:13">
      <c r="D552" s="12">
        <v>46112</v>
      </c>
      <c r="E552" s="13">
        <v>1590862</v>
      </c>
      <c r="F552" s="13" t="s">
        <v>65</v>
      </c>
      <c r="G552" s="14">
        <v>20303836</v>
      </c>
      <c r="H552" s="13" t="s">
        <v>332</v>
      </c>
      <c r="I552" s="13" t="s">
        <v>83</v>
      </c>
      <c r="J552" s="14">
        <v>5</v>
      </c>
      <c r="K552" s="14">
        <v>20</v>
      </c>
      <c r="L552" s="15">
        <v>13.2</v>
      </c>
      <c r="M552" s="15">
        <v>66</v>
      </c>
    </row>
    <row r="553" ht="25.5" spans="4:13">
      <c r="D553" s="12">
        <v>46112</v>
      </c>
      <c r="E553" s="13">
        <v>1590862</v>
      </c>
      <c r="F553" s="13" t="s">
        <v>65</v>
      </c>
      <c r="G553" s="14">
        <v>20315740</v>
      </c>
      <c r="H553" s="13" t="s">
        <v>478</v>
      </c>
      <c r="I553" s="13" t="s">
        <v>62</v>
      </c>
      <c r="J553" s="14">
        <v>1</v>
      </c>
      <c r="K553" s="14">
        <v>2</v>
      </c>
      <c r="L553" s="15">
        <v>9.9</v>
      </c>
      <c r="M553" s="15">
        <v>9.9</v>
      </c>
    </row>
    <row r="554" spans="4:13">
      <c r="D554" s="12">
        <v>46112</v>
      </c>
      <c r="E554" s="13">
        <v>1590862</v>
      </c>
      <c r="F554" s="13" t="s">
        <v>65</v>
      </c>
      <c r="G554" s="14">
        <v>20312663</v>
      </c>
      <c r="H554" s="13" t="s">
        <v>479</v>
      </c>
      <c r="I554" s="13" t="s">
        <v>44</v>
      </c>
      <c r="J554" s="14">
        <v>1</v>
      </c>
      <c r="K554" s="14">
        <v>2</v>
      </c>
      <c r="L554" s="15">
        <v>9.9</v>
      </c>
      <c r="M554" s="15">
        <v>9.9</v>
      </c>
    </row>
    <row r="555" spans="4:13">
      <c r="D555" s="12">
        <v>46112</v>
      </c>
      <c r="E555" s="13">
        <v>1590870</v>
      </c>
      <c r="F555" s="13" t="s">
        <v>163</v>
      </c>
      <c r="G555" s="14">
        <v>20303912</v>
      </c>
      <c r="H555" s="13" t="s">
        <v>329</v>
      </c>
      <c r="I555" s="13" t="s">
        <v>83</v>
      </c>
      <c r="J555" s="14">
        <v>1</v>
      </c>
      <c r="K555" s="14">
        <v>5</v>
      </c>
      <c r="L555" s="15">
        <v>16.5</v>
      </c>
      <c r="M555" s="15">
        <v>16.5</v>
      </c>
    </row>
    <row r="556" spans="4:13">
      <c r="D556" s="12">
        <v>46112</v>
      </c>
      <c r="E556" s="13">
        <v>1590870</v>
      </c>
      <c r="F556" s="13" t="s">
        <v>385</v>
      </c>
      <c r="G556" s="14">
        <v>20349421</v>
      </c>
      <c r="H556" s="13" t="s">
        <v>386</v>
      </c>
      <c r="I556" s="13" t="s">
        <v>221</v>
      </c>
      <c r="J556" s="14">
        <v>1</v>
      </c>
      <c r="K556" s="14">
        <v>2</v>
      </c>
      <c r="L556" s="15">
        <v>26.4</v>
      </c>
      <c r="M556" s="15">
        <v>26.4</v>
      </c>
    </row>
    <row r="557" spans="4:13">
      <c r="D557" s="12">
        <v>46112</v>
      </c>
      <c r="E557" s="13">
        <v>1590873</v>
      </c>
      <c r="F557" s="13" t="s">
        <v>15</v>
      </c>
      <c r="G557" s="14">
        <v>20309550</v>
      </c>
      <c r="H557" s="13" t="s">
        <v>313</v>
      </c>
      <c r="I557" s="13" t="s">
        <v>314</v>
      </c>
      <c r="J557" s="14">
        <v>1</v>
      </c>
      <c r="K557" s="14">
        <v>3</v>
      </c>
      <c r="L557" s="15">
        <v>39.6</v>
      </c>
      <c r="M557" s="15">
        <v>39.6</v>
      </c>
    </row>
    <row r="558" spans="4:13">
      <c r="D558" s="12">
        <v>46112</v>
      </c>
      <c r="E558" s="13">
        <v>1590873</v>
      </c>
      <c r="F558" s="13" t="s">
        <v>15</v>
      </c>
      <c r="G558" s="14">
        <v>20303868</v>
      </c>
      <c r="H558" s="13" t="s">
        <v>374</v>
      </c>
      <c r="I558" s="13" t="s">
        <v>128</v>
      </c>
      <c r="J558" s="14">
        <v>1</v>
      </c>
      <c r="K558" s="14">
        <v>1</v>
      </c>
      <c r="L558" s="15">
        <v>16.8</v>
      </c>
      <c r="M558" s="15">
        <v>16.8</v>
      </c>
    </row>
    <row r="559" spans="4:13">
      <c r="D559" s="12">
        <v>46112</v>
      </c>
      <c r="E559" s="13">
        <v>1590873</v>
      </c>
      <c r="F559" s="13" t="s">
        <v>15</v>
      </c>
      <c r="G559" s="14">
        <v>20309651</v>
      </c>
      <c r="H559" s="13" t="s">
        <v>130</v>
      </c>
      <c r="I559" s="13" t="s">
        <v>62</v>
      </c>
      <c r="J559" s="14">
        <v>1</v>
      </c>
      <c r="K559" s="14">
        <v>1</v>
      </c>
      <c r="L559" s="15">
        <v>21</v>
      </c>
      <c r="M559" s="15">
        <v>21</v>
      </c>
    </row>
    <row r="560" spans="4:13">
      <c r="D560" s="12">
        <v>46112</v>
      </c>
      <c r="E560" s="13">
        <v>1590873</v>
      </c>
      <c r="F560" s="13" t="s">
        <v>131</v>
      </c>
      <c r="G560" s="14">
        <v>20309648</v>
      </c>
      <c r="H560" s="13" t="s">
        <v>363</v>
      </c>
      <c r="I560" s="13" t="s">
        <v>221</v>
      </c>
      <c r="J560" s="14">
        <v>1</v>
      </c>
      <c r="K560" s="14">
        <v>14</v>
      </c>
      <c r="L560" s="15">
        <v>138.6</v>
      </c>
      <c r="M560" s="15">
        <v>138.6</v>
      </c>
    </row>
    <row r="561" spans="4:13">
      <c r="D561" s="12">
        <v>46112</v>
      </c>
      <c r="E561" s="13">
        <v>1590873</v>
      </c>
      <c r="F561" s="13" t="s">
        <v>131</v>
      </c>
      <c r="G561" s="14">
        <v>20312465</v>
      </c>
      <c r="H561" s="13" t="s">
        <v>320</v>
      </c>
      <c r="I561" s="13" t="s">
        <v>221</v>
      </c>
      <c r="J561" s="14">
        <v>1</v>
      </c>
      <c r="K561" s="14">
        <v>27</v>
      </c>
      <c r="L561" s="15">
        <v>180</v>
      </c>
      <c r="M561" s="15">
        <f>J561*L561</f>
        <v>180</v>
      </c>
    </row>
    <row r="562" spans="4:13">
      <c r="D562" s="12">
        <v>46112</v>
      </c>
      <c r="E562" s="13">
        <v>1590873</v>
      </c>
      <c r="F562" s="13" t="s">
        <v>131</v>
      </c>
      <c r="G562" s="14">
        <v>20411790</v>
      </c>
      <c r="H562" s="13" t="s">
        <v>345</v>
      </c>
      <c r="I562" s="13" t="s">
        <v>221</v>
      </c>
      <c r="J562" s="14">
        <v>1</v>
      </c>
      <c r="K562" s="14">
        <v>28</v>
      </c>
      <c r="L562" s="15">
        <v>180</v>
      </c>
      <c r="M562" s="15">
        <f>J562*L562</f>
        <v>180</v>
      </c>
    </row>
    <row r="563" spans="4:13">
      <c r="D563" s="12">
        <v>46112</v>
      </c>
      <c r="E563" s="13">
        <v>1590873</v>
      </c>
      <c r="F563" s="13" t="s">
        <v>385</v>
      </c>
      <c r="G563" s="14">
        <v>20399009</v>
      </c>
      <c r="H563" s="13" t="s">
        <v>404</v>
      </c>
      <c r="I563" s="13" t="s">
        <v>128</v>
      </c>
      <c r="J563" s="14">
        <v>1</v>
      </c>
      <c r="K563" s="14">
        <v>1</v>
      </c>
      <c r="L563" s="15">
        <v>16.8</v>
      </c>
      <c r="M563" s="15">
        <v>16.8</v>
      </c>
    </row>
    <row r="564" spans="4:13">
      <c r="D564" s="12">
        <v>46113</v>
      </c>
      <c r="E564" s="13">
        <v>1591008</v>
      </c>
      <c r="F564" s="13" t="s">
        <v>324</v>
      </c>
      <c r="G564" s="14">
        <v>20303022</v>
      </c>
      <c r="H564" s="13" t="s">
        <v>352</v>
      </c>
      <c r="I564" s="13" t="s">
        <v>326</v>
      </c>
      <c r="J564" s="14">
        <v>4</v>
      </c>
      <c r="K564" s="14">
        <v>124</v>
      </c>
      <c r="L564" s="15">
        <v>102.3</v>
      </c>
      <c r="M564" s="15">
        <v>409.2</v>
      </c>
    </row>
    <row r="565" spans="4:13">
      <c r="D565" s="12">
        <v>46113</v>
      </c>
      <c r="E565" s="13">
        <v>1591008</v>
      </c>
      <c r="F565" s="13" t="s">
        <v>131</v>
      </c>
      <c r="G565" s="14">
        <v>20339097</v>
      </c>
      <c r="H565" s="13" t="s">
        <v>343</v>
      </c>
      <c r="I565" s="13" t="s">
        <v>221</v>
      </c>
      <c r="J565" s="14">
        <v>1</v>
      </c>
      <c r="K565" s="14">
        <v>32</v>
      </c>
      <c r="L565" s="15">
        <v>180</v>
      </c>
      <c r="M565" s="15">
        <f>J565*L565</f>
        <v>180</v>
      </c>
    </row>
    <row r="566" spans="4:13">
      <c r="D566" s="12">
        <v>46113</v>
      </c>
      <c r="E566" s="13">
        <v>1591008</v>
      </c>
      <c r="F566" s="13" t="s">
        <v>47</v>
      </c>
      <c r="G566" s="14">
        <v>20303011</v>
      </c>
      <c r="H566" s="13" t="s">
        <v>330</v>
      </c>
      <c r="I566" s="13" t="s">
        <v>331</v>
      </c>
      <c r="J566" s="14">
        <v>1</v>
      </c>
      <c r="K566" s="14">
        <v>26</v>
      </c>
      <c r="L566" s="15">
        <v>85.8</v>
      </c>
      <c r="M566" s="15">
        <v>85.8</v>
      </c>
    </row>
    <row r="567" spans="4:13">
      <c r="D567" s="12">
        <v>46113</v>
      </c>
      <c r="E567" s="13">
        <v>1591008</v>
      </c>
      <c r="F567" s="13" t="s">
        <v>47</v>
      </c>
      <c r="G567" s="14">
        <v>20312383</v>
      </c>
      <c r="H567" s="13" t="s">
        <v>354</v>
      </c>
      <c r="I567" s="13" t="s">
        <v>331</v>
      </c>
      <c r="J567" s="14">
        <v>1</v>
      </c>
      <c r="K567" s="14">
        <v>7</v>
      </c>
      <c r="L567" s="15">
        <v>23.1</v>
      </c>
      <c r="M567" s="15">
        <v>23.1</v>
      </c>
    </row>
    <row r="568" spans="4:13">
      <c r="D568" s="12">
        <v>46113</v>
      </c>
      <c r="E568" s="13">
        <v>1591008</v>
      </c>
      <c r="F568" s="13" t="s">
        <v>65</v>
      </c>
      <c r="G568" s="14">
        <v>20303836</v>
      </c>
      <c r="H568" s="13" t="s">
        <v>332</v>
      </c>
      <c r="I568" s="13" t="s">
        <v>83</v>
      </c>
      <c r="J568" s="14">
        <v>4</v>
      </c>
      <c r="K568" s="14">
        <v>16</v>
      </c>
      <c r="L568" s="15">
        <v>13.2</v>
      </c>
      <c r="M568" s="15">
        <v>52.8</v>
      </c>
    </row>
    <row r="569" spans="4:13">
      <c r="D569" s="12">
        <v>46113</v>
      </c>
      <c r="E569" s="13">
        <v>1591032</v>
      </c>
      <c r="F569" s="13" t="s">
        <v>15</v>
      </c>
      <c r="G569" s="14">
        <v>20315046</v>
      </c>
      <c r="H569" s="13" t="s">
        <v>340</v>
      </c>
      <c r="I569" s="13" t="s">
        <v>314</v>
      </c>
      <c r="J569" s="14">
        <v>1</v>
      </c>
      <c r="K569" s="14">
        <v>1</v>
      </c>
      <c r="L569" s="15">
        <v>21</v>
      </c>
      <c r="M569" s="15">
        <v>21</v>
      </c>
    </row>
    <row r="570" spans="4:13">
      <c r="D570" s="12">
        <v>46113</v>
      </c>
      <c r="E570" s="13">
        <v>1591032</v>
      </c>
      <c r="F570" s="13" t="s">
        <v>15</v>
      </c>
      <c r="G570" s="14">
        <v>20303868</v>
      </c>
      <c r="H570" s="13" t="s">
        <v>374</v>
      </c>
      <c r="I570" s="13" t="s">
        <v>128</v>
      </c>
      <c r="J570" s="14">
        <v>1</v>
      </c>
      <c r="K570" s="14">
        <v>1</v>
      </c>
      <c r="L570" s="15">
        <v>16.8</v>
      </c>
      <c r="M570" s="15">
        <v>16.8</v>
      </c>
    </row>
    <row r="571" spans="4:13">
      <c r="D571" s="12">
        <v>46113</v>
      </c>
      <c r="E571" s="13">
        <v>1591032</v>
      </c>
      <c r="F571" s="13" t="s">
        <v>15</v>
      </c>
      <c r="G571" s="14">
        <v>20359638</v>
      </c>
      <c r="H571" s="13" t="s">
        <v>411</v>
      </c>
      <c r="I571" s="13" t="s">
        <v>128</v>
      </c>
      <c r="J571" s="14">
        <v>1</v>
      </c>
      <c r="K571" s="14">
        <v>1</v>
      </c>
      <c r="L571" s="15">
        <v>16.8</v>
      </c>
      <c r="M571" s="15">
        <v>16.8</v>
      </c>
    </row>
    <row r="572" spans="4:13">
      <c r="D572" s="12">
        <v>46113</v>
      </c>
      <c r="E572" s="13">
        <v>1591032</v>
      </c>
      <c r="F572" s="13" t="s">
        <v>131</v>
      </c>
      <c r="G572" s="14">
        <v>20303777</v>
      </c>
      <c r="H572" s="13" t="s">
        <v>351</v>
      </c>
      <c r="I572" s="13" t="s">
        <v>221</v>
      </c>
      <c r="J572" s="14">
        <v>1</v>
      </c>
      <c r="K572" s="14">
        <v>27</v>
      </c>
      <c r="L572" s="15">
        <v>180</v>
      </c>
      <c r="M572" s="15">
        <f>J572*L572</f>
        <v>180</v>
      </c>
    </row>
    <row r="573" spans="4:13">
      <c r="D573" s="12">
        <v>46113</v>
      </c>
      <c r="E573" s="13">
        <v>1591071</v>
      </c>
      <c r="F573" s="13" t="s">
        <v>324</v>
      </c>
      <c r="G573" s="14">
        <v>20303010</v>
      </c>
      <c r="H573" s="13" t="s">
        <v>325</v>
      </c>
      <c r="I573" s="13" t="s">
        <v>326</v>
      </c>
      <c r="J573" s="14">
        <v>1</v>
      </c>
      <c r="K573" s="14">
        <v>25</v>
      </c>
      <c r="L573" s="15">
        <v>82.5</v>
      </c>
      <c r="M573" s="15">
        <v>82.5</v>
      </c>
    </row>
    <row r="574" spans="4:13">
      <c r="D574" s="12">
        <v>46113</v>
      </c>
      <c r="E574" s="13">
        <v>1591071</v>
      </c>
      <c r="F574" s="13" t="s">
        <v>324</v>
      </c>
      <c r="G574" s="14">
        <v>20303023</v>
      </c>
      <c r="H574" s="13" t="s">
        <v>335</v>
      </c>
      <c r="I574" s="13" t="s">
        <v>326</v>
      </c>
      <c r="J574" s="14">
        <v>2</v>
      </c>
      <c r="K574" s="14">
        <v>126</v>
      </c>
      <c r="L574" s="15">
        <v>207.9</v>
      </c>
      <c r="M574" s="15">
        <v>415.8</v>
      </c>
    </row>
    <row r="575" spans="4:13">
      <c r="D575" s="12">
        <v>46113</v>
      </c>
      <c r="E575" s="13">
        <v>1591071</v>
      </c>
      <c r="F575" s="13" t="s">
        <v>324</v>
      </c>
      <c r="G575" s="14">
        <v>20303036</v>
      </c>
      <c r="H575" s="13" t="s">
        <v>431</v>
      </c>
      <c r="I575" s="13" t="s">
        <v>326</v>
      </c>
      <c r="J575" s="14">
        <v>1</v>
      </c>
      <c r="K575" s="14">
        <v>22</v>
      </c>
      <c r="L575" s="15">
        <v>72.6</v>
      </c>
      <c r="M575" s="15">
        <v>72.6</v>
      </c>
    </row>
    <row r="576" spans="4:13">
      <c r="D576" s="12">
        <v>46113</v>
      </c>
      <c r="E576" s="13">
        <v>1591071</v>
      </c>
      <c r="F576" s="13" t="s">
        <v>163</v>
      </c>
      <c r="G576" s="14">
        <v>20303912</v>
      </c>
      <c r="H576" s="13" t="s">
        <v>329</v>
      </c>
      <c r="I576" s="13" t="s">
        <v>83</v>
      </c>
      <c r="J576" s="14">
        <v>1</v>
      </c>
      <c r="K576" s="14">
        <v>5</v>
      </c>
      <c r="L576" s="15">
        <v>16.5</v>
      </c>
      <c r="M576" s="15">
        <v>16.5</v>
      </c>
    </row>
    <row r="577" spans="4:13">
      <c r="D577" s="12">
        <v>46113</v>
      </c>
      <c r="E577" s="13">
        <v>1591071</v>
      </c>
      <c r="F577" s="13" t="s">
        <v>20</v>
      </c>
      <c r="G577" s="14">
        <v>20303954</v>
      </c>
      <c r="H577" s="13" t="s">
        <v>295</v>
      </c>
      <c r="I577" s="13" t="s">
        <v>29</v>
      </c>
      <c r="J577" s="14">
        <v>1</v>
      </c>
      <c r="K577" s="14">
        <v>1</v>
      </c>
      <c r="L577" s="15">
        <v>4.8</v>
      </c>
      <c r="M577" s="15">
        <v>4.8</v>
      </c>
    </row>
    <row r="578" spans="4:13">
      <c r="D578" s="12">
        <v>46113</v>
      </c>
      <c r="E578" s="13">
        <v>1591071</v>
      </c>
      <c r="F578" s="13" t="s">
        <v>20</v>
      </c>
      <c r="G578" s="14">
        <v>20309432</v>
      </c>
      <c r="H578" s="13" t="s">
        <v>357</v>
      </c>
      <c r="I578" s="13" t="s">
        <v>57</v>
      </c>
      <c r="J578" s="14">
        <v>1</v>
      </c>
      <c r="K578" s="14">
        <v>2</v>
      </c>
      <c r="L578" s="15">
        <v>9.9</v>
      </c>
      <c r="M578" s="15">
        <v>9.9</v>
      </c>
    </row>
    <row r="579" spans="4:13">
      <c r="D579" s="12">
        <v>46113</v>
      </c>
      <c r="E579" s="13">
        <v>1591071</v>
      </c>
      <c r="F579" s="13" t="s">
        <v>47</v>
      </c>
      <c r="G579" s="14">
        <v>20303011</v>
      </c>
      <c r="H579" s="13" t="s">
        <v>330</v>
      </c>
      <c r="I579" s="13" t="s">
        <v>331</v>
      </c>
      <c r="J579" s="14">
        <v>1</v>
      </c>
      <c r="K579" s="14">
        <v>26</v>
      </c>
      <c r="L579" s="15">
        <v>85.8</v>
      </c>
      <c r="M579" s="15">
        <v>85.8</v>
      </c>
    </row>
    <row r="580" spans="4:13">
      <c r="D580" s="12">
        <v>46113</v>
      </c>
      <c r="E580" s="13">
        <v>1591071</v>
      </c>
      <c r="F580" s="13" t="s">
        <v>65</v>
      </c>
      <c r="G580" s="14">
        <v>20303836</v>
      </c>
      <c r="H580" s="13" t="s">
        <v>332</v>
      </c>
      <c r="I580" s="13" t="s">
        <v>83</v>
      </c>
      <c r="J580" s="14">
        <v>4</v>
      </c>
      <c r="K580" s="14">
        <v>16</v>
      </c>
      <c r="L580" s="15">
        <v>13.2</v>
      </c>
      <c r="M580" s="15">
        <v>52.8</v>
      </c>
    </row>
    <row r="581" spans="4:13">
      <c r="D581" s="12">
        <v>46113</v>
      </c>
      <c r="E581" s="13">
        <v>1591071</v>
      </c>
      <c r="F581" s="13" t="s">
        <v>65</v>
      </c>
      <c r="G581" s="14">
        <v>20310863</v>
      </c>
      <c r="H581" s="13" t="s">
        <v>333</v>
      </c>
      <c r="I581" s="13" t="s">
        <v>49</v>
      </c>
      <c r="J581" s="14">
        <v>1</v>
      </c>
      <c r="K581" s="14">
        <v>1</v>
      </c>
      <c r="L581" s="15">
        <v>9.9</v>
      </c>
      <c r="M581" s="15">
        <v>9.9</v>
      </c>
    </row>
    <row r="582" spans="4:13">
      <c r="D582" s="12">
        <v>46113</v>
      </c>
      <c r="E582" s="13">
        <v>1591094</v>
      </c>
      <c r="F582" s="13" t="s">
        <v>324</v>
      </c>
      <c r="G582" s="14">
        <v>20303002</v>
      </c>
      <c r="H582" s="13" t="s">
        <v>472</v>
      </c>
      <c r="I582" s="13" t="s">
        <v>326</v>
      </c>
      <c r="J582" s="14">
        <v>1</v>
      </c>
      <c r="K582" s="14">
        <v>22</v>
      </c>
      <c r="L582" s="15">
        <v>72.6</v>
      </c>
      <c r="M582" s="15">
        <v>72.6</v>
      </c>
    </row>
    <row r="583" spans="4:13">
      <c r="D583" s="12">
        <v>46113</v>
      </c>
      <c r="E583" s="13">
        <v>1591094</v>
      </c>
      <c r="F583" s="13" t="s">
        <v>324</v>
      </c>
      <c r="G583" s="14">
        <v>20303010</v>
      </c>
      <c r="H583" s="13" t="s">
        <v>325</v>
      </c>
      <c r="I583" s="13" t="s">
        <v>326</v>
      </c>
      <c r="J583" s="14">
        <v>1</v>
      </c>
      <c r="K583" s="14">
        <v>25</v>
      </c>
      <c r="L583" s="15">
        <v>82.5</v>
      </c>
      <c r="M583" s="15">
        <v>82.5</v>
      </c>
    </row>
    <row r="584" spans="4:13">
      <c r="D584" s="12">
        <v>46113</v>
      </c>
      <c r="E584" s="13">
        <v>1591094</v>
      </c>
      <c r="F584" s="13" t="s">
        <v>324</v>
      </c>
      <c r="G584" s="14">
        <v>20303015</v>
      </c>
      <c r="H584" s="13" t="s">
        <v>334</v>
      </c>
      <c r="I584" s="13" t="s">
        <v>326</v>
      </c>
      <c r="J584" s="14">
        <v>1</v>
      </c>
      <c r="K584" s="14">
        <v>34</v>
      </c>
      <c r="L584" s="15">
        <v>112.2</v>
      </c>
      <c r="M584" s="15">
        <v>112.2</v>
      </c>
    </row>
    <row r="585" spans="4:13">
      <c r="D585" s="12">
        <v>46113</v>
      </c>
      <c r="E585" s="13">
        <v>1591094</v>
      </c>
      <c r="F585" s="13" t="s">
        <v>324</v>
      </c>
      <c r="G585" s="14">
        <v>20303022</v>
      </c>
      <c r="H585" s="13" t="s">
        <v>352</v>
      </c>
      <c r="I585" s="13" t="s">
        <v>326</v>
      </c>
      <c r="J585" s="14">
        <v>1</v>
      </c>
      <c r="K585" s="14">
        <v>31</v>
      </c>
      <c r="L585" s="15">
        <v>102.3</v>
      </c>
      <c r="M585" s="15">
        <v>102.3</v>
      </c>
    </row>
    <row r="586" spans="4:13">
      <c r="D586" s="12">
        <v>46113</v>
      </c>
      <c r="E586" s="13">
        <v>1591094</v>
      </c>
      <c r="F586" s="13" t="s">
        <v>163</v>
      </c>
      <c r="G586" s="14">
        <v>20306235</v>
      </c>
      <c r="H586" s="13" t="s">
        <v>480</v>
      </c>
      <c r="I586" s="13" t="s">
        <v>83</v>
      </c>
      <c r="J586" s="14">
        <v>1</v>
      </c>
      <c r="K586" s="14">
        <v>5</v>
      </c>
      <c r="L586" s="15">
        <v>16.5</v>
      </c>
      <c r="M586" s="15">
        <v>16.5</v>
      </c>
    </row>
    <row r="587" spans="4:13">
      <c r="D587" s="12">
        <v>46113</v>
      </c>
      <c r="E587" s="13">
        <v>1591094</v>
      </c>
      <c r="F587" s="13" t="s">
        <v>163</v>
      </c>
      <c r="G587" s="14">
        <v>20303912</v>
      </c>
      <c r="H587" s="13" t="s">
        <v>329</v>
      </c>
      <c r="I587" s="13" t="s">
        <v>83</v>
      </c>
      <c r="J587" s="14">
        <v>1</v>
      </c>
      <c r="K587" s="14">
        <v>5</v>
      </c>
      <c r="L587" s="15">
        <v>16.5</v>
      </c>
      <c r="M587" s="15">
        <v>16.5</v>
      </c>
    </row>
    <row r="588" spans="4:13">
      <c r="D588" s="12">
        <v>46113</v>
      </c>
      <c r="E588" s="13">
        <v>1591094</v>
      </c>
      <c r="F588" s="13" t="s">
        <v>163</v>
      </c>
      <c r="G588" s="14">
        <v>20306222</v>
      </c>
      <c r="H588" s="13" t="s">
        <v>417</v>
      </c>
      <c r="I588" s="13" t="s">
        <v>83</v>
      </c>
      <c r="J588" s="14">
        <v>1</v>
      </c>
      <c r="K588" s="14">
        <v>10</v>
      </c>
      <c r="L588" s="15">
        <v>33</v>
      </c>
      <c r="M588" s="15">
        <v>33</v>
      </c>
    </row>
    <row r="589" spans="4:13">
      <c r="D589" s="12">
        <v>46113</v>
      </c>
      <c r="E589" s="13">
        <v>1591094</v>
      </c>
      <c r="F589" s="13" t="s">
        <v>15</v>
      </c>
      <c r="G589" s="14">
        <v>20305202</v>
      </c>
      <c r="H589" s="13" t="s">
        <v>481</v>
      </c>
      <c r="I589" s="13" t="s">
        <v>482</v>
      </c>
      <c r="J589" s="14">
        <v>1</v>
      </c>
      <c r="K589" s="14">
        <v>1</v>
      </c>
      <c r="L589" s="15">
        <v>15</v>
      </c>
      <c r="M589" s="15">
        <v>15</v>
      </c>
    </row>
    <row r="590" spans="4:13">
      <c r="D590" s="12">
        <v>46113</v>
      </c>
      <c r="E590" s="13">
        <v>1591094</v>
      </c>
      <c r="F590" s="13" t="s">
        <v>15</v>
      </c>
      <c r="G590" s="14">
        <v>20309651</v>
      </c>
      <c r="H590" s="13" t="s">
        <v>130</v>
      </c>
      <c r="I590" s="13" t="s">
        <v>62</v>
      </c>
      <c r="J590" s="14">
        <v>1</v>
      </c>
      <c r="K590" s="14">
        <v>1</v>
      </c>
      <c r="L590" s="15">
        <v>21</v>
      </c>
      <c r="M590" s="15">
        <v>21</v>
      </c>
    </row>
    <row r="591" spans="4:13">
      <c r="D591" s="12">
        <v>46113</v>
      </c>
      <c r="E591" s="13">
        <v>1591094</v>
      </c>
      <c r="F591" s="13" t="s">
        <v>131</v>
      </c>
      <c r="G591" s="14">
        <v>20315667</v>
      </c>
      <c r="H591" s="13" t="s">
        <v>425</v>
      </c>
      <c r="I591" s="13" t="s">
        <v>83</v>
      </c>
      <c r="J591" s="14">
        <v>1</v>
      </c>
      <c r="K591" s="14">
        <v>3</v>
      </c>
      <c r="L591" s="15">
        <v>39.6</v>
      </c>
      <c r="M591" s="15">
        <v>39.6</v>
      </c>
    </row>
    <row r="592" spans="4:13">
      <c r="D592" s="12">
        <v>46113</v>
      </c>
      <c r="E592" s="13">
        <v>1591094</v>
      </c>
      <c r="F592" s="13" t="s">
        <v>131</v>
      </c>
      <c r="G592" s="14">
        <v>20412034</v>
      </c>
      <c r="H592" s="13" t="s">
        <v>344</v>
      </c>
      <c r="I592" s="13" t="s">
        <v>221</v>
      </c>
      <c r="J592" s="14">
        <v>1</v>
      </c>
      <c r="K592" s="14">
        <v>28</v>
      </c>
      <c r="L592" s="15">
        <v>180</v>
      </c>
      <c r="M592" s="15">
        <f>J592*L592</f>
        <v>180</v>
      </c>
    </row>
    <row r="593" spans="4:13">
      <c r="D593" s="12">
        <v>46113</v>
      </c>
      <c r="E593" s="13">
        <v>1591094</v>
      </c>
      <c r="F593" s="13" t="s">
        <v>47</v>
      </c>
      <c r="G593" s="14">
        <v>20302998</v>
      </c>
      <c r="H593" s="13" t="s">
        <v>346</v>
      </c>
      <c r="I593" s="13" t="s">
        <v>347</v>
      </c>
      <c r="J593" s="14">
        <v>1</v>
      </c>
      <c r="K593" s="14">
        <v>19</v>
      </c>
      <c r="L593" s="15">
        <v>62.7</v>
      </c>
      <c r="M593" s="15">
        <v>62.7</v>
      </c>
    </row>
    <row r="594" spans="4:13">
      <c r="D594" s="12">
        <v>46113</v>
      </c>
      <c r="E594" s="13">
        <v>1591094</v>
      </c>
      <c r="F594" s="13" t="s">
        <v>47</v>
      </c>
      <c r="G594" s="14">
        <v>20303011</v>
      </c>
      <c r="H594" s="13" t="s">
        <v>330</v>
      </c>
      <c r="I594" s="13" t="s">
        <v>331</v>
      </c>
      <c r="J594" s="14">
        <v>1</v>
      </c>
      <c r="K594" s="14">
        <v>26</v>
      </c>
      <c r="L594" s="15">
        <v>85.8</v>
      </c>
      <c r="M594" s="15">
        <v>85.8</v>
      </c>
    </row>
    <row r="595" spans="4:13">
      <c r="D595" s="12">
        <v>46113</v>
      </c>
      <c r="E595" s="13">
        <v>1591104</v>
      </c>
      <c r="F595" s="13" t="s">
        <v>131</v>
      </c>
      <c r="G595" s="14">
        <v>20412203</v>
      </c>
      <c r="H595" s="13" t="s">
        <v>375</v>
      </c>
      <c r="I595" s="13" t="s">
        <v>221</v>
      </c>
      <c r="J595" s="14">
        <v>1</v>
      </c>
      <c r="K595" s="14">
        <v>8</v>
      </c>
      <c r="L595" s="15">
        <v>92.4</v>
      </c>
      <c r="M595" s="15">
        <v>92.4</v>
      </c>
    </row>
    <row r="596" spans="4:13">
      <c r="D596" s="12">
        <v>46113</v>
      </c>
      <c r="E596" s="13">
        <v>1591104</v>
      </c>
      <c r="F596" s="13" t="s">
        <v>47</v>
      </c>
      <c r="G596" s="14">
        <v>20303011</v>
      </c>
      <c r="H596" s="13" t="s">
        <v>330</v>
      </c>
      <c r="I596" s="13" t="s">
        <v>331</v>
      </c>
      <c r="J596" s="14">
        <v>1</v>
      </c>
      <c r="K596" s="14">
        <v>26</v>
      </c>
      <c r="L596" s="15">
        <v>85.8</v>
      </c>
      <c r="M596" s="15">
        <v>85.8</v>
      </c>
    </row>
    <row r="597" spans="4:13">
      <c r="D597" s="12">
        <v>46113</v>
      </c>
      <c r="E597" s="13">
        <v>1591129</v>
      </c>
      <c r="F597" s="13" t="s">
        <v>324</v>
      </c>
      <c r="G597" s="14">
        <v>20303003</v>
      </c>
      <c r="H597" s="13" t="s">
        <v>483</v>
      </c>
      <c r="I597" s="13" t="s">
        <v>326</v>
      </c>
      <c r="J597" s="14">
        <v>1</v>
      </c>
      <c r="K597" s="14">
        <v>23</v>
      </c>
      <c r="L597" s="15">
        <v>75.9</v>
      </c>
      <c r="M597" s="15">
        <v>75.9</v>
      </c>
    </row>
    <row r="598" spans="4:13">
      <c r="D598" s="12">
        <v>46113</v>
      </c>
      <c r="E598" s="13">
        <v>1591129</v>
      </c>
      <c r="F598" s="13" t="s">
        <v>324</v>
      </c>
      <c r="G598" s="14">
        <v>20303010</v>
      </c>
      <c r="H598" s="13" t="s">
        <v>325</v>
      </c>
      <c r="I598" s="13" t="s">
        <v>326</v>
      </c>
      <c r="J598" s="14">
        <v>1</v>
      </c>
      <c r="K598" s="14">
        <v>25</v>
      </c>
      <c r="L598" s="15">
        <v>82.5</v>
      </c>
      <c r="M598" s="15">
        <v>82.5</v>
      </c>
    </row>
    <row r="599" spans="4:13">
      <c r="D599" s="12">
        <v>46113</v>
      </c>
      <c r="E599" s="13">
        <v>1591129</v>
      </c>
      <c r="F599" s="13" t="s">
        <v>324</v>
      </c>
      <c r="G599" s="14">
        <v>20303013</v>
      </c>
      <c r="H599" s="13" t="s">
        <v>484</v>
      </c>
      <c r="I599" s="13" t="s">
        <v>326</v>
      </c>
      <c r="J599" s="14">
        <v>1</v>
      </c>
      <c r="K599" s="14">
        <v>27</v>
      </c>
      <c r="L599" s="15">
        <v>89.1</v>
      </c>
      <c r="M599" s="15">
        <v>89.1</v>
      </c>
    </row>
    <row r="600" spans="4:13">
      <c r="D600" s="12">
        <v>46113</v>
      </c>
      <c r="E600" s="13">
        <v>1591129</v>
      </c>
      <c r="F600" s="13" t="s">
        <v>324</v>
      </c>
      <c r="G600" s="14">
        <v>20303022</v>
      </c>
      <c r="H600" s="13" t="s">
        <v>352</v>
      </c>
      <c r="I600" s="13" t="s">
        <v>326</v>
      </c>
      <c r="J600" s="14">
        <v>2</v>
      </c>
      <c r="K600" s="14">
        <v>62</v>
      </c>
      <c r="L600" s="15">
        <v>102.3</v>
      </c>
      <c r="M600" s="15">
        <v>204.6</v>
      </c>
    </row>
    <row r="601" spans="4:13">
      <c r="D601" s="12">
        <v>46113</v>
      </c>
      <c r="E601" s="13">
        <v>1591129</v>
      </c>
      <c r="F601" s="13" t="s">
        <v>324</v>
      </c>
      <c r="G601" s="14">
        <v>20303027</v>
      </c>
      <c r="H601" s="13" t="s">
        <v>405</v>
      </c>
      <c r="I601" s="13" t="s">
        <v>326</v>
      </c>
      <c r="J601" s="14">
        <v>1</v>
      </c>
      <c r="K601" s="14">
        <v>25</v>
      </c>
      <c r="L601" s="15">
        <v>82.5</v>
      </c>
      <c r="M601" s="15">
        <v>82.5</v>
      </c>
    </row>
    <row r="602" spans="4:13">
      <c r="D602" s="12">
        <v>46113</v>
      </c>
      <c r="E602" s="13">
        <v>1591129</v>
      </c>
      <c r="F602" s="13" t="s">
        <v>324</v>
      </c>
      <c r="G602" s="14">
        <v>20303052</v>
      </c>
      <c r="H602" s="13" t="s">
        <v>388</v>
      </c>
      <c r="I602" s="13" t="s">
        <v>326</v>
      </c>
      <c r="J602" s="14">
        <v>1</v>
      </c>
      <c r="K602" s="14">
        <v>30</v>
      </c>
      <c r="L602" s="15">
        <v>99</v>
      </c>
      <c r="M602" s="15">
        <v>99</v>
      </c>
    </row>
    <row r="603" spans="4:13">
      <c r="D603" s="12">
        <v>46113</v>
      </c>
      <c r="E603" s="13">
        <v>1591129</v>
      </c>
      <c r="F603" s="13" t="s">
        <v>324</v>
      </c>
      <c r="G603" s="14">
        <v>20303054</v>
      </c>
      <c r="H603" s="13" t="s">
        <v>414</v>
      </c>
      <c r="I603" s="13" t="s">
        <v>326</v>
      </c>
      <c r="J603" s="14">
        <v>1</v>
      </c>
      <c r="K603" s="14">
        <v>18</v>
      </c>
      <c r="L603" s="15">
        <v>59.4</v>
      </c>
      <c r="M603" s="15">
        <v>59.4</v>
      </c>
    </row>
    <row r="604" spans="4:13">
      <c r="D604" s="12">
        <v>46113</v>
      </c>
      <c r="E604" s="13">
        <v>1591129</v>
      </c>
      <c r="F604" s="13" t="s">
        <v>131</v>
      </c>
      <c r="G604" s="14">
        <v>20314362</v>
      </c>
      <c r="H604" s="13" t="s">
        <v>364</v>
      </c>
      <c r="I604" s="13" t="s">
        <v>221</v>
      </c>
      <c r="J604" s="14">
        <v>1</v>
      </c>
      <c r="K604" s="14">
        <v>27</v>
      </c>
      <c r="L604" s="15">
        <v>180</v>
      </c>
      <c r="M604" s="15">
        <f>J604*L604</f>
        <v>180</v>
      </c>
    </row>
    <row r="605" spans="4:13">
      <c r="D605" s="12">
        <v>46113</v>
      </c>
      <c r="E605" s="13">
        <v>1591129</v>
      </c>
      <c r="F605" s="13" t="s">
        <v>131</v>
      </c>
      <c r="G605" s="14">
        <v>20309658</v>
      </c>
      <c r="H605" s="13" t="s">
        <v>365</v>
      </c>
      <c r="I605" s="13" t="s">
        <v>221</v>
      </c>
      <c r="J605" s="14">
        <v>2</v>
      </c>
      <c r="K605" s="14">
        <v>10</v>
      </c>
      <c r="L605" s="15">
        <v>52.8</v>
      </c>
      <c r="M605" s="15">
        <v>105.6</v>
      </c>
    </row>
    <row r="606" spans="4:13">
      <c r="D606" s="12">
        <v>46113</v>
      </c>
      <c r="E606" s="13">
        <v>1591129</v>
      </c>
      <c r="F606" s="13" t="s">
        <v>131</v>
      </c>
      <c r="G606" s="14">
        <v>20312572</v>
      </c>
      <c r="H606" s="13" t="s">
        <v>366</v>
      </c>
      <c r="I606" s="13" t="s">
        <v>221</v>
      </c>
      <c r="J606" s="14">
        <v>1</v>
      </c>
      <c r="K606" s="14">
        <v>27</v>
      </c>
      <c r="L606" s="15">
        <v>180</v>
      </c>
      <c r="M606" s="15">
        <f>J606*L606</f>
        <v>180</v>
      </c>
    </row>
    <row r="607" spans="4:13">
      <c r="D607" s="12">
        <v>46113</v>
      </c>
      <c r="E607" s="13">
        <v>1591129</v>
      </c>
      <c r="F607" s="13" t="s">
        <v>47</v>
      </c>
      <c r="G607" s="14">
        <v>20312383</v>
      </c>
      <c r="H607" s="13" t="s">
        <v>354</v>
      </c>
      <c r="I607" s="13" t="s">
        <v>331</v>
      </c>
      <c r="J607" s="14">
        <v>1</v>
      </c>
      <c r="K607" s="14">
        <v>7</v>
      </c>
      <c r="L607" s="15">
        <v>23.1</v>
      </c>
      <c r="M607" s="15">
        <v>23.1</v>
      </c>
    </row>
    <row r="608" spans="4:13">
      <c r="D608" s="12">
        <v>46113</v>
      </c>
      <c r="E608" s="13">
        <v>1591129</v>
      </c>
      <c r="F608" s="13" t="s">
        <v>65</v>
      </c>
      <c r="G608" s="14">
        <v>20303836</v>
      </c>
      <c r="H608" s="13" t="s">
        <v>332</v>
      </c>
      <c r="I608" s="13" t="s">
        <v>83</v>
      </c>
      <c r="J608" s="14">
        <v>2</v>
      </c>
      <c r="K608" s="14">
        <v>8</v>
      </c>
      <c r="L608" s="15">
        <v>13.2</v>
      </c>
      <c r="M608" s="15">
        <v>26.4</v>
      </c>
    </row>
    <row r="609" spans="4:13">
      <c r="D609" s="12">
        <v>46113</v>
      </c>
      <c r="E609" s="13">
        <v>1591131</v>
      </c>
      <c r="F609" s="13" t="s">
        <v>15</v>
      </c>
      <c r="G609" s="14">
        <v>20359947</v>
      </c>
      <c r="H609" s="13" t="s">
        <v>373</v>
      </c>
      <c r="I609" s="13" t="s">
        <v>128</v>
      </c>
      <c r="J609" s="14">
        <v>1</v>
      </c>
      <c r="K609" s="14">
        <v>1</v>
      </c>
      <c r="L609" s="15">
        <v>16.8</v>
      </c>
      <c r="M609" s="15">
        <v>16.8</v>
      </c>
    </row>
    <row r="610" spans="4:13">
      <c r="D610" s="12">
        <v>46113</v>
      </c>
      <c r="E610" s="13">
        <v>1591131</v>
      </c>
      <c r="F610" s="13" t="s">
        <v>15</v>
      </c>
      <c r="G610" s="14">
        <v>20358909</v>
      </c>
      <c r="H610" s="13" t="s">
        <v>407</v>
      </c>
      <c r="I610" s="13" t="s">
        <v>408</v>
      </c>
      <c r="J610" s="14">
        <v>1</v>
      </c>
      <c r="K610" s="14">
        <v>1</v>
      </c>
      <c r="L610" s="15">
        <v>16.8</v>
      </c>
      <c r="M610" s="15">
        <v>16.8</v>
      </c>
    </row>
    <row r="611" spans="4:13">
      <c r="D611" s="12">
        <v>46113</v>
      </c>
      <c r="E611" s="13">
        <v>1591131</v>
      </c>
      <c r="F611" s="13" t="s">
        <v>15</v>
      </c>
      <c r="G611" s="14">
        <v>20310294</v>
      </c>
      <c r="H611" s="13" t="s">
        <v>485</v>
      </c>
      <c r="I611" s="13" t="s">
        <v>128</v>
      </c>
      <c r="J611" s="14">
        <v>1</v>
      </c>
      <c r="K611" s="14">
        <v>1</v>
      </c>
      <c r="L611" s="15">
        <v>16.8</v>
      </c>
      <c r="M611" s="15">
        <v>16.8</v>
      </c>
    </row>
    <row r="612" spans="4:13">
      <c r="D612" s="12">
        <v>46113</v>
      </c>
      <c r="E612" s="13">
        <v>1591131</v>
      </c>
      <c r="F612" s="13" t="s">
        <v>15</v>
      </c>
      <c r="G612" s="14">
        <v>20358905</v>
      </c>
      <c r="H612" s="13" t="s">
        <v>360</v>
      </c>
      <c r="I612" s="13" t="s">
        <v>244</v>
      </c>
      <c r="J612" s="14">
        <v>1</v>
      </c>
      <c r="K612" s="14">
        <v>1</v>
      </c>
      <c r="L612" s="15">
        <v>15</v>
      </c>
      <c r="M612" s="15">
        <v>15</v>
      </c>
    </row>
    <row r="613" spans="4:13">
      <c r="D613" s="12">
        <v>46113</v>
      </c>
      <c r="E613" s="13">
        <v>1591131</v>
      </c>
      <c r="F613" s="13" t="s">
        <v>15</v>
      </c>
      <c r="G613" s="14">
        <v>20309651</v>
      </c>
      <c r="H613" s="13" t="s">
        <v>130</v>
      </c>
      <c r="I613" s="13" t="s">
        <v>62</v>
      </c>
      <c r="J613" s="14">
        <v>1</v>
      </c>
      <c r="K613" s="14">
        <v>1</v>
      </c>
      <c r="L613" s="15">
        <v>21</v>
      </c>
      <c r="M613" s="15">
        <v>21</v>
      </c>
    </row>
    <row r="614" spans="4:13">
      <c r="D614" s="12">
        <v>46113</v>
      </c>
      <c r="E614" s="13">
        <v>1591131</v>
      </c>
      <c r="F614" s="13" t="s">
        <v>15</v>
      </c>
      <c r="G614" s="14">
        <v>20309636</v>
      </c>
      <c r="H614" s="13" t="s">
        <v>397</v>
      </c>
      <c r="I614" s="13" t="s">
        <v>62</v>
      </c>
      <c r="J614" s="14">
        <v>1</v>
      </c>
      <c r="K614" s="14">
        <v>2</v>
      </c>
      <c r="L614" s="15">
        <v>26.4</v>
      </c>
      <c r="M614" s="15">
        <v>26.4</v>
      </c>
    </row>
    <row r="615" spans="4:13">
      <c r="D615" s="12">
        <v>46113</v>
      </c>
      <c r="E615" s="13">
        <v>1591131</v>
      </c>
      <c r="F615" s="13" t="s">
        <v>131</v>
      </c>
      <c r="G615" s="14">
        <v>20339097</v>
      </c>
      <c r="H615" s="13" t="s">
        <v>343</v>
      </c>
      <c r="I615" s="13" t="s">
        <v>221</v>
      </c>
      <c r="J615" s="14">
        <v>1</v>
      </c>
      <c r="K615" s="14">
        <v>32</v>
      </c>
      <c r="L615" s="15">
        <v>180</v>
      </c>
      <c r="M615" s="15">
        <f>J615*L615</f>
        <v>180</v>
      </c>
    </row>
    <row r="616" spans="4:13">
      <c r="D616" s="12">
        <v>46113</v>
      </c>
      <c r="E616" s="13">
        <v>1591131</v>
      </c>
      <c r="F616" s="13" t="s">
        <v>131</v>
      </c>
      <c r="G616" s="14">
        <v>20407365</v>
      </c>
      <c r="H616" s="13" t="s">
        <v>464</v>
      </c>
      <c r="I616" s="13" t="s">
        <v>83</v>
      </c>
      <c r="J616" s="14">
        <v>1</v>
      </c>
      <c r="K616" s="14">
        <v>5</v>
      </c>
      <c r="L616" s="15">
        <v>52.8</v>
      </c>
      <c r="M616" s="15">
        <v>52.8</v>
      </c>
    </row>
    <row r="617" spans="4:13">
      <c r="D617" s="12">
        <v>46113</v>
      </c>
      <c r="E617" s="13">
        <v>1591131</v>
      </c>
      <c r="F617" s="13" t="s">
        <v>131</v>
      </c>
      <c r="G617" s="14">
        <v>20384037</v>
      </c>
      <c r="H617" s="13" t="s">
        <v>376</v>
      </c>
      <c r="I617" s="13" t="s">
        <v>221</v>
      </c>
      <c r="J617" s="14">
        <v>1</v>
      </c>
      <c r="K617" s="14">
        <v>25</v>
      </c>
      <c r="L617" s="15">
        <v>180</v>
      </c>
      <c r="M617" s="15">
        <f>J617*L617</f>
        <v>180</v>
      </c>
    </row>
    <row r="618" spans="4:13">
      <c r="D618" s="12">
        <v>46113</v>
      </c>
      <c r="E618" s="13">
        <v>1591131</v>
      </c>
      <c r="F618" s="13" t="s">
        <v>131</v>
      </c>
      <c r="G618" s="14">
        <v>20309658</v>
      </c>
      <c r="H618" s="13" t="s">
        <v>365</v>
      </c>
      <c r="I618" s="13" t="s">
        <v>221</v>
      </c>
      <c r="J618" s="14">
        <v>1</v>
      </c>
      <c r="K618" s="14">
        <v>5</v>
      </c>
      <c r="L618" s="15">
        <v>52.8</v>
      </c>
      <c r="M618" s="15">
        <v>52.8</v>
      </c>
    </row>
    <row r="619" spans="4:13">
      <c r="D619" s="12">
        <v>46113</v>
      </c>
      <c r="E619" s="13">
        <v>1591131</v>
      </c>
      <c r="F619" s="13" t="s">
        <v>131</v>
      </c>
      <c r="G619" s="14">
        <v>20411790</v>
      </c>
      <c r="H619" s="13" t="s">
        <v>345</v>
      </c>
      <c r="I619" s="13" t="s">
        <v>221</v>
      </c>
      <c r="J619" s="14">
        <v>1</v>
      </c>
      <c r="K619" s="14">
        <v>28</v>
      </c>
      <c r="L619" s="15">
        <v>180</v>
      </c>
      <c r="M619" s="15">
        <f>J619*L619</f>
        <v>180</v>
      </c>
    </row>
    <row r="620" spans="4:13">
      <c r="D620" s="12">
        <v>46113</v>
      </c>
      <c r="E620" s="13">
        <v>1591188</v>
      </c>
      <c r="F620" s="13" t="s">
        <v>378</v>
      </c>
      <c r="G620" s="14">
        <v>20310012</v>
      </c>
      <c r="H620" s="13" t="s">
        <v>379</v>
      </c>
      <c r="I620" s="13" t="s">
        <v>2</v>
      </c>
      <c r="J620" s="14">
        <v>9</v>
      </c>
      <c r="K620" s="14">
        <v>0</v>
      </c>
      <c r="L620" s="15">
        <v>15</v>
      </c>
      <c r="M620" s="15">
        <v>135</v>
      </c>
    </row>
    <row r="621" spans="4:13">
      <c r="D621" s="12">
        <v>46113</v>
      </c>
      <c r="E621" s="13">
        <v>1591206</v>
      </c>
      <c r="F621" s="13" t="s">
        <v>324</v>
      </c>
      <c r="G621" s="14">
        <v>20303009</v>
      </c>
      <c r="H621" s="13" t="s">
        <v>355</v>
      </c>
      <c r="I621" s="13" t="s">
        <v>326</v>
      </c>
      <c r="J621" s="14">
        <v>1</v>
      </c>
      <c r="K621" s="14">
        <v>55</v>
      </c>
      <c r="L621" s="15">
        <v>181.5</v>
      </c>
      <c r="M621" s="15">
        <v>181.5</v>
      </c>
    </row>
    <row r="622" spans="4:13">
      <c r="D622" s="12">
        <v>46113</v>
      </c>
      <c r="E622" s="13">
        <v>1591206</v>
      </c>
      <c r="F622" s="13" t="s">
        <v>324</v>
      </c>
      <c r="G622" s="14">
        <v>20303022</v>
      </c>
      <c r="H622" s="13" t="s">
        <v>352</v>
      </c>
      <c r="I622" s="13" t="s">
        <v>326</v>
      </c>
      <c r="J622" s="14">
        <v>5</v>
      </c>
      <c r="K622" s="14">
        <v>155</v>
      </c>
      <c r="L622" s="15">
        <v>102.3</v>
      </c>
      <c r="M622" s="15">
        <v>511.5</v>
      </c>
    </row>
    <row r="623" spans="4:13">
      <c r="D623" s="12">
        <v>46113</v>
      </c>
      <c r="E623" s="13">
        <v>1591206</v>
      </c>
      <c r="F623" s="13" t="s">
        <v>324</v>
      </c>
      <c r="G623" s="14">
        <v>20303025</v>
      </c>
      <c r="H623" s="13" t="s">
        <v>336</v>
      </c>
      <c r="I623" s="13" t="s">
        <v>326</v>
      </c>
      <c r="J623" s="14">
        <v>1</v>
      </c>
      <c r="K623" s="14">
        <v>47</v>
      </c>
      <c r="L623" s="15">
        <v>155.1</v>
      </c>
      <c r="M623" s="15">
        <v>155.1</v>
      </c>
    </row>
    <row r="624" spans="4:13">
      <c r="D624" s="12">
        <v>46113</v>
      </c>
      <c r="E624" s="13">
        <v>1591206</v>
      </c>
      <c r="F624" s="13" t="s">
        <v>324</v>
      </c>
      <c r="G624" s="14">
        <v>20303029</v>
      </c>
      <c r="H624" s="13" t="s">
        <v>337</v>
      </c>
      <c r="I624" s="13" t="s">
        <v>326</v>
      </c>
      <c r="J624" s="14">
        <v>1</v>
      </c>
      <c r="K624" s="14">
        <v>47</v>
      </c>
      <c r="L624" s="15">
        <v>155.1</v>
      </c>
      <c r="M624" s="15">
        <v>155.1</v>
      </c>
    </row>
    <row r="625" spans="4:13">
      <c r="D625" s="12">
        <v>46113</v>
      </c>
      <c r="E625" s="13">
        <v>1591206</v>
      </c>
      <c r="F625" s="13" t="s">
        <v>324</v>
      </c>
      <c r="G625" s="14">
        <v>20309825</v>
      </c>
      <c r="H625" s="13" t="s">
        <v>466</v>
      </c>
      <c r="I625" s="13" t="s">
        <v>326</v>
      </c>
      <c r="J625" s="14">
        <v>1</v>
      </c>
      <c r="K625" s="14">
        <v>32</v>
      </c>
      <c r="L625" s="15">
        <v>105.6</v>
      </c>
      <c r="M625" s="15">
        <v>105.6</v>
      </c>
    </row>
    <row r="626" spans="4:13">
      <c r="D626" s="12">
        <v>46113</v>
      </c>
      <c r="E626" s="13">
        <v>1591206</v>
      </c>
      <c r="F626" s="13" t="s">
        <v>324</v>
      </c>
      <c r="G626" s="14">
        <v>20303052</v>
      </c>
      <c r="H626" s="13" t="s">
        <v>388</v>
      </c>
      <c r="I626" s="13" t="s">
        <v>326</v>
      </c>
      <c r="J626" s="14">
        <v>1</v>
      </c>
      <c r="K626" s="14">
        <v>30</v>
      </c>
      <c r="L626" s="15">
        <v>99</v>
      </c>
      <c r="M626" s="15">
        <v>99</v>
      </c>
    </row>
    <row r="627" spans="4:13">
      <c r="D627" s="12">
        <v>46113</v>
      </c>
      <c r="E627" s="13">
        <v>1591206</v>
      </c>
      <c r="F627" s="13" t="s">
        <v>324</v>
      </c>
      <c r="G627" s="14">
        <v>20303057</v>
      </c>
      <c r="H627" s="13" t="s">
        <v>457</v>
      </c>
      <c r="I627" s="13" t="s">
        <v>326</v>
      </c>
      <c r="J627" s="14">
        <v>1</v>
      </c>
      <c r="K627" s="14">
        <v>32</v>
      </c>
      <c r="L627" s="15">
        <v>105.6</v>
      </c>
      <c r="M627" s="15">
        <v>105.6</v>
      </c>
    </row>
    <row r="628" spans="4:13">
      <c r="D628" s="12">
        <v>46113</v>
      </c>
      <c r="E628" s="13">
        <v>1591206</v>
      </c>
      <c r="F628" s="13" t="s">
        <v>324</v>
      </c>
      <c r="G628" s="14">
        <v>20303058</v>
      </c>
      <c r="H628" s="13" t="s">
        <v>338</v>
      </c>
      <c r="I628" s="13" t="s">
        <v>326</v>
      </c>
      <c r="J628" s="14">
        <v>1</v>
      </c>
      <c r="K628" s="14">
        <v>57</v>
      </c>
      <c r="L628" s="15">
        <v>188.1</v>
      </c>
      <c r="M628" s="15">
        <v>188.1</v>
      </c>
    </row>
    <row r="629" spans="4:13">
      <c r="D629" s="12">
        <v>46113</v>
      </c>
      <c r="E629" s="13">
        <v>1591206</v>
      </c>
      <c r="F629" s="13" t="s">
        <v>163</v>
      </c>
      <c r="G629" s="14">
        <v>20303912</v>
      </c>
      <c r="H629" s="13" t="s">
        <v>329</v>
      </c>
      <c r="I629" s="13" t="s">
        <v>83</v>
      </c>
      <c r="J629" s="14">
        <v>2</v>
      </c>
      <c r="K629" s="14">
        <v>10</v>
      </c>
      <c r="L629" s="15">
        <v>16.5</v>
      </c>
      <c r="M629" s="15">
        <v>33</v>
      </c>
    </row>
    <row r="630" spans="4:13">
      <c r="D630" s="12">
        <v>46113</v>
      </c>
      <c r="E630" s="13">
        <v>1591206</v>
      </c>
      <c r="F630" s="13" t="s">
        <v>20</v>
      </c>
      <c r="G630" s="14">
        <v>20303954</v>
      </c>
      <c r="H630" s="13" t="s">
        <v>295</v>
      </c>
      <c r="I630" s="13" t="s">
        <v>29</v>
      </c>
      <c r="J630" s="14">
        <v>1</v>
      </c>
      <c r="K630" s="14">
        <v>1</v>
      </c>
      <c r="L630" s="15">
        <v>4.8</v>
      </c>
      <c r="M630" s="15">
        <v>4.8</v>
      </c>
    </row>
    <row r="631" spans="4:13">
      <c r="D631" s="12">
        <v>46113</v>
      </c>
      <c r="E631" s="13">
        <v>1591206</v>
      </c>
      <c r="F631" s="13" t="s">
        <v>20</v>
      </c>
      <c r="G631" s="14">
        <v>20303979</v>
      </c>
      <c r="H631" s="13" t="s">
        <v>368</v>
      </c>
      <c r="I631" s="13" t="s">
        <v>55</v>
      </c>
      <c r="J631" s="14">
        <v>1</v>
      </c>
      <c r="K631" s="14">
        <v>1</v>
      </c>
      <c r="L631" s="15">
        <v>7.8</v>
      </c>
      <c r="M631" s="15">
        <v>7.8</v>
      </c>
    </row>
    <row r="632" spans="4:13">
      <c r="D632" s="12">
        <v>46113</v>
      </c>
      <c r="E632" s="13">
        <v>1591206</v>
      </c>
      <c r="F632" s="13" t="s">
        <v>47</v>
      </c>
      <c r="G632" s="14">
        <v>20302998</v>
      </c>
      <c r="H632" s="13" t="s">
        <v>346</v>
      </c>
      <c r="I632" s="13" t="s">
        <v>347</v>
      </c>
      <c r="J632" s="14">
        <v>1</v>
      </c>
      <c r="K632" s="14">
        <v>19</v>
      </c>
      <c r="L632" s="15">
        <v>62.7</v>
      </c>
      <c r="M632" s="15">
        <v>62.7</v>
      </c>
    </row>
    <row r="633" spans="4:13">
      <c r="D633" s="12">
        <v>46113</v>
      </c>
      <c r="E633" s="13">
        <v>1591206</v>
      </c>
      <c r="F633" s="13" t="s">
        <v>47</v>
      </c>
      <c r="G633" s="14">
        <v>20303011</v>
      </c>
      <c r="H633" s="13" t="s">
        <v>330</v>
      </c>
      <c r="I633" s="13" t="s">
        <v>331</v>
      </c>
      <c r="J633" s="14">
        <v>2</v>
      </c>
      <c r="K633" s="14">
        <v>52</v>
      </c>
      <c r="L633" s="15">
        <v>85.8</v>
      </c>
      <c r="M633" s="15">
        <v>171.6</v>
      </c>
    </row>
    <row r="634" spans="4:13">
      <c r="D634" s="12">
        <v>46113</v>
      </c>
      <c r="E634" s="13">
        <v>1591206</v>
      </c>
      <c r="F634" s="13" t="s">
        <v>65</v>
      </c>
      <c r="G634" s="14">
        <v>20303836</v>
      </c>
      <c r="H634" s="13" t="s">
        <v>332</v>
      </c>
      <c r="I634" s="13" t="s">
        <v>83</v>
      </c>
      <c r="J634" s="14">
        <v>2</v>
      </c>
      <c r="K634" s="14">
        <v>8</v>
      </c>
      <c r="L634" s="15">
        <v>13.2</v>
      </c>
      <c r="M634" s="15">
        <v>26.4</v>
      </c>
    </row>
    <row r="635" spans="4:13">
      <c r="D635" s="12">
        <v>46113</v>
      </c>
      <c r="E635" s="13">
        <v>1591206</v>
      </c>
      <c r="F635" s="13" t="s">
        <v>65</v>
      </c>
      <c r="G635" s="14">
        <v>20383457</v>
      </c>
      <c r="H635" s="13" t="s">
        <v>420</v>
      </c>
      <c r="I635" s="13" t="s">
        <v>44</v>
      </c>
      <c r="J635" s="14">
        <v>1</v>
      </c>
      <c r="K635" s="14">
        <v>8</v>
      </c>
      <c r="L635" s="15">
        <v>26.4</v>
      </c>
      <c r="M635" s="15">
        <v>26.4</v>
      </c>
    </row>
    <row r="636" spans="4:13">
      <c r="D636" s="12">
        <v>46113</v>
      </c>
      <c r="E636" s="13">
        <v>1591209</v>
      </c>
      <c r="F636" s="13" t="s">
        <v>15</v>
      </c>
      <c r="G636" s="14">
        <v>20332469</v>
      </c>
      <c r="H636" s="13" t="s">
        <v>486</v>
      </c>
      <c r="I636" s="13" t="s">
        <v>317</v>
      </c>
      <c r="J636" s="14">
        <v>1</v>
      </c>
      <c r="K636" s="14">
        <v>8</v>
      </c>
      <c r="L636" s="15">
        <v>92.4</v>
      </c>
      <c r="M636" s="15">
        <v>92.4</v>
      </c>
    </row>
    <row r="637" spans="4:13">
      <c r="D637" s="12">
        <v>46113</v>
      </c>
      <c r="E637" s="13">
        <v>1591209</v>
      </c>
      <c r="F637" s="13" t="s">
        <v>131</v>
      </c>
      <c r="G637" s="14">
        <v>20309706</v>
      </c>
      <c r="H637" s="13" t="s">
        <v>487</v>
      </c>
      <c r="I637" s="13" t="s">
        <v>221</v>
      </c>
      <c r="J637" s="14">
        <v>1</v>
      </c>
      <c r="K637" s="14">
        <v>13</v>
      </c>
      <c r="L637" s="15">
        <v>125.4</v>
      </c>
      <c r="M637" s="15">
        <v>125.4</v>
      </c>
    </row>
    <row r="638" ht="25.5" spans="4:13">
      <c r="D638" s="12">
        <v>46113</v>
      </c>
      <c r="E638" s="13">
        <v>1591209</v>
      </c>
      <c r="F638" s="13" t="s">
        <v>131</v>
      </c>
      <c r="G638" s="14">
        <v>20312712</v>
      </c>
      <c r="H638" s="13" t="s">
        <v>409</v>
      </c>
      <c r="I638" s="13" t="s">
        <v>221</v>
      </c>
      <c r="J638" s="14">
        <v>1</v>
      </c>
      <c r="K638" s="14">
        <v>14</v>
      </c>
      <c r="L638" s="15">
        <v>138.6</v>
      </c>
      <c r="M638" s="15">
        <v>138.6</v>
      </c>
    </row>
    <row r="639" spans="4:13">
      <c r="D639" s="12">
        <v>46113</v>
      </c>
      <c r="E639" s="13">
        <v>1591209</v>
      </c>
      <c r="F639" s="13" t="s">
        <v>131</v>
      </c>
      <c r="G639" s="14">
        <v>20303777</v>
      </c>
      <c r="H639" s="13" t="s">
        <v>351</v>
      </c>
      <c r="I639" s="13" t="s">
        <v>221</v>
      </c>
      <c r="J639" s="14">
        <v>1</v>
      </c>
      <c r="K639" s="14">
        <v>27</v>
      </c>
      <c r="L639" s="15">
        <v>180</v>
      </c>
      <c r="M639" s="15">
        <f>J639*L639</f>
        <v>180</v>
      </c>
    </row>
    <row r="640" spans="4:13">
      <c r="D640" s="12">
        <v>46113</v>
      </c>
      <c r="E640" s="13">
        <v>1591213</v>
      </c>
      <c r="F640" s="13" t="s">
        <v>47</v>
      </c>
      <c r="G640" s="14">
        <v>20303046</v>
      </c>
      <c r="H640" s="13" t="s">
        <v>419</v>
      </c>
      <c r="I640" s="13" t="s">
        <v>331</v>
      </c>
      <c r="J640" s="14">
        <v>1</v>
      </c>
      <c r="K640" s="14">
        <v>21</v>
      </c>
      <c r="L640" s="15">
        <v>69.3</v>
      </c>
      <c r="M640" s="15">
        <v>69.3</v>
      </c>
    </row>
    <row r="641" spans="4:13">
      <c r="D641" s="12">
        <v>46113</v>
      </c>
      <c r="E641" s="13">
        <v>1591213</v>
      </c>
      <c r="F641" s="13" t="s">
        <v>65</v>
      </c>
      <c r="G641" s="14">
        <v>20303836</v>
      </c>
      <c r="H641" s="13" t="s">
        <v>332</v>
      </c>
      <c r="I641" s="13" t="s">
        <v>83</v>
      </c>
      <c r="J641" s="14">
        <v>1</v>
      </c>
      <c r="K641" s="14">
        <v>4</v>
      </c>
      <c r="L641" s="15">
        <v>13.2</v>
      </c>
      <c r="M641" s="15">
        <v>13.2</v>
      </c>
    </row>
    <row r="642" spans="4:13">
      <c r="D642" s="12">
        <v>46114</v>
      </c>
      <c r="E642" s="13">
        <v>1591356</v>
      </c>
      <c r="F642" s="13" t="s">
        <v>20</v>
      </c>
      <c r="G642" s="14">
        <v>20305112</v>
      </c>
      <c r="H642" s="13" t="s">
        <v>488</v>
      </c>
      <c r="I642" s="13" t="s">
        <v>53</v>
      </c>
      <c r="J642" s="14">
        <v>1</v>
      </c>
      <c r="K642" s="14">
        <v>1</v>
      </c>
      <c r="L642" s="15">
        <v>9.9</v>
      </c>
      <c r="M642" s="15">
        <v>9.9</v>
      </c>
    </row>
    <row r="643" spans="4:13">
      <c r="D643" s="12">
        <v>46114</v>
      </c>
      <c r="E643" s="13">
        <v>1591461</v>
      </c>
      <c r="F643" s="13" t="s">
        <v>324</v>
      </c>
      <c r="G643" s="14">
        <v>20303009</v>
      </c>
      <c r="H643" s="13" t="s">
        <v>355</v>
      </c>
      <c r="I643" s="13" t="s">
        <v>326</v>
      </c>
      <c r="J643" s="14">
        <v>1</v>
      </c>
      <c r="K643" s="14">
        <v>55</v>
      </c>
      <c r="L643" s="15">
        <v>181.5</v>
      </c>
      <c r="M643" s="15">
        <v>181.5</v>
      </c>
    </row>
    <row r="644" spans="4:13">
      <c r="D644" s="12">
        <v>46114</v>
      </c>
      <c r="E644" s="13">
        <v>1591461</v>
      </c>
      <c r="F644" s="13" t="s">
        <v>324</v>
      </c>
      <c r="G644" s="14">
        <v>20303022</v>
      </c>
      <c r="H644" s="13" t="s">
        <v>352</v>
      </c>
      <c r="I644" s="13" t="s">
        <v>326</v>
      </c>
      <c r="J644" s="14">
        <v>1</v>
      </c>
      <c r="K644" s="14">
        <v>31</v>
      </c>
      <c r="L644" s="15">
        <v>102.3</v>
      </c>
      <c r="M644" s="15">
        <v>102.3</v>
      </c>
    </row>
    <row r="645" spans="4:13">
      <c r="D645" s="12">
        <v>46114</v>
      </c>
      <c r="E645" s="13">
        <v>1591461</v>
      </c>
      <c r="F645" s="13" t="s">
        <v>324</v>
      </c>
      <c r="G645" s="14">
        <v>20303058</v>
      </c>
      <c r="H645" s="13" t="s">
        <v>338</v>
      </c>
      <c r="I645" s="13" t="s">
        <v>326</v>
      </c>
      <c r="J645" s="14">
        <v>1</v>
      </c>
      <c r="K645" s="14">
        <v>57</v>
      </c>
      <c r="L645" s="15">
        <v>188.1</v>
      </c>
      <c r="M645" s="15">
        <v>188.1</v>
      </c>
    </row>
    <row r="646" spans="4:13">
      <c r="D646" s="12">
        <v>46114</v>
      </c>
      <c r="E646" s="13">
        <v>1591461</v>
      </c>
      <c r="F646" s="13" t="s">
        <v>163</v>
      </c>
      <c r="G646" s="14">
        <v>20303912</v>
      </c>
      <c r="H646" s="13" t="s">
        <v>329</v>
      </c>
      <c r="I646" s="13" t="s">
        <v>83</v>
      </c>
      <c r="J646" s="14">
        <v>2</v>
      </c>
      <c r="K646" s="14">
        <v>10</v>
      </c>
      <c r="L646" s="15">
        <v>16.5</v>
      </c>
      <c r="M646" s="15">
        <v>33</v>
      </c>
    </row>
    <row r="647" spans="4:13">
      <c r="D647" s="12">
        <v>46114</v>
      </c>
      <c r="E647" s="13">
        <v>1591461</v>
      </c>
      <c r="F647" s="13" t="s">
        <v>163</v>
      </c>
      <c r="G647" s="14">
        <v>20306222</v>
      </c>
      <c r="H647" s="13" t="s">
        <v>417</v>
      </c>
      <c r="I647" s="13" t="s">
        <v>83</v>
      </c>
      <c r="J647" s="14">
        <v>1</v>
      </c>
      <c r="K647" s="14">
        <v>10</v>
      </c>
      <c r="L647" s="15">
        <v>33</v>
      </c>
      <c r="M647" s="15">
        <v>33</v>
      </c>
    </row>
    <row r="648" spans="4:13">
      <c r="D648" s="12">
        <v>46114</v>
      </c>
      <c r="E648" s="13">
        <v>1591461</v>
      </c>
      <c r="F648" s="13" t="s">
        <v>20</v>
      </c>
      <c r="G648" s="14">
        <v>20303954</v>
      </c>
      <c r="H648" s="13" t="s">
        <v>295</v>
      </c>
      <c r="I648" s="13" t="s">
        <v>29</v>
      </c>
      <c r="J648" s="14">
        <v>2</v>
      </c>
      <c r="K648" s="14">
        <v>2</v>
      </c>
      <c r="L648" s="15">
        <v>4.8</v>
      </c>
      <c r="M648" s="15">
        <v>9.6</v>
      </c>
    </row>
    <row r="649" spans="4:13">
      <c r="D649" s="12">
        <v>46114</v>
      </c>
      <c r="E649" s="13">
        <v>1591461</v>
      </c>
      <c r="F649" s="13" t="s">
        <v>20</v>
      </c>
      <c r="G649" s="14">
        <v>20309432</v>
      </c>
      <c r="H649" s="13" t="s">
        <v>357</v>
      </c>
      <c r="I649" s="13" t="s">
        <v>57</v>
      </c>
      <c r="J649" s="14">
        <v>1</v>
      </c>
      <c r="K649" s="14">
        <v>2</v>
      </c>
      <c r="L649" s="15">
        <v>9.9</v>
      </c>
      <c r="M649" s="15">
        <v>9.9</v>
      </c>
    </row>
    <row r="650" spans="4:13">
      <c r="D650" s="12">
        <v>46114</v>
      </c>
      <c r="E650" s="13">
        <v>1591461</v>
      </c>
      <c r="F650" s="13" t="s">
        <v>20</v>
      </c>
      <c r="G650" s="14">
        <v>20307293</v>
      </c>
      <c r="H650" s="13" t="s">
        <v>211</v>
      </c>
      <c r="I650" s="13" t="s">
        <v>22</v>
      </c>
      <c r="J650" s="14">
        <v>1</v>
      </c>
      <c r="K650" s="14">
        <v>2</v>
      </c>
      <c r="L650" s="15">
        <v>8.1</v>
      </c>
      <c r="M650" s="15">
        <v>8.1</v>
      </c>
    </row>
    <row r="651" spans="4:13">
      <c r="D651" s="12">
        <v>46114</v>
      </c>
      <c r="E651" s="13">
        <v>1591461</v>
      </c>
      <c r="F651" s="13" t="s">
        <v>15</v>
      </c>
      <c r="G651" s="14">
        <v>20309550</v>
      </c>
      <c r="H651" s="13" t="s">
        <v>313</v>
      </c>
      <c r="I651" s="13" t="s">
        <v>314</v>
      </c>
      <c r="J651" s="14">
        <v>1</v>
      </c>
      <c r="K651" s="14">
        <v>3</v>
      </c>
      <c r="L651" s="15">
        <v>39.6</v>
      </c>
      <c r="M651" s="15">
        <v>39.6</v>
      </c>
    </row>
    <row r="652" spans="4:13">
      <c r="D652" s="12">
        <v>46114</v>
      </c>
      <c r="E652" s="13">
        <v>1591461</v>
      </c>
      <c r="F652" s="13" t="s">
        <v>15</v>
      </c>
      <c r="G652" s="14">
        <v>20303868</v>
      </c>
      <c r="H652" s="13" t="s">
        <v>374</v>
      </c>
      <c r="I652" s="13" t="s">
        <v>128</v>
      </c>
      <c r="J652" s="14">
        <v>1</v>
      </c>
      <c r="K652" s="14">
        <v>1</v>
      </c>
      <c r="L652" s="15">
        <v>16.8</v>
      </c>
      <c r="M652" s="15">
        <v>16.8</v>
      </c>
    </row>
    <row r="653" spans="4:13">
      <c r="D653" s="12">
        <v>46114</v>
      </c>
      <c r="E653" s="13">
        <v>1591461</v>
      </c>
      <c r="F653" s="13" t="s">
        <v>15</v>
      </c>
      <c r="G653" s="14">
        <v>20309739</v>
      </c>
      <c r="H653" s="13" t="s">
        <v>430</v>
      </c>
      <c r="I653" s="13" t="s">
        <v>408</v>
      </c>
      <c r="J653" s="14">
        <v>1</v>
      </c>
      <c r="K653" s="14">
        <v>1</v>
      </c>
      <c r="L653" s="15">
        <v>16.8</v>
      </c>
      <c r="M653" s="15">
        <v>16.8</v>
      </c>
    </row>
    <row r="654" spans="4:13">
      <c r="D654" s="12">
        <v>46114</v>
      </c>
      <c r="E654" s="13">
        <v>1591461</v>
      </c>
      <c r="F654" s="13" t="s">
        <v>131</v>
      </c>
      <c r="G654" s="14">
        <v>20309648</v>
      </c>
      <c r="H654" s="13" t="s">
        <v>363</v>
      </c>
      <c r="I654" s="13" t="s">
        <v>221</v>
      </c>
      <c r="J654" s="14">
        <v>1</v>
      </c>
      <c r="K654" s="14">
        <v>14</v>
      </c>
      <c r="L654" s="15">
        <v>138.6</v>
      </c>
      <c r="M654" s="15">
        <v>138.6</v>
      </c>
    </row>
    <row r="655" spans="4:13">
      <c r="D655" s="12">
        <v>46114</v>
      </c>
      <c r="E655" s="13">
        <v>1591461</v>
      </c>
      <c r="F655" s="13" t="s">
        <v>131</v>
      </c>
      <c r="G655" s="14">
        <v>20339097</v>
      </c>
      <c r="H655" s="13" t="s">
        <v>343</v>
      </c>
      <c r="I655" s="13" t="s">
        <v>221</v>
      </c>
      <c r="J655" s="14">
        <v>1</v>
      </c>
      <c r="K655" s="14">
        <v>32</v>
      </c>
      <c r="L655" s="15">
        <v>180</v>
      </c>
      <c r="M655" s="15">
        <f>J655*L655</f>
        <v>180</v>
      </c>
    </row>
    <row r="656" spans="4:13">
      <c r="D656" s="12">
        <v>46114</v>
      </c>
      <c r="E656" s="13">
        <v>1591461</v>
      </c>
      <c r="F656" s="13" t="s">
        <v>131</v>
      </c>
      <c r="G656" s="14">
        <v>20309607</v>
      </c>
      <c r="H656" s="13" t="s">
        <v>489</v>
      </c>
      <c r="I656" s="13" t="s">
        <v>83</v>
      </c>
      <c r="J656" s="14">
        <v>1</v>
      </c>
      <c r="K656" s="14">
        <v>4</v>
      </c>
      <c r="L656" s="15">
        <v>39.6</v>
      </c>
      <c r="M656" s="15">
        <v>39.6</v>
      </c>
    </row>
    <row r="657" spans="4:13">
      <c r="D657" s="12">
        <v>46114</v>
      </c>
      <c r="E657" s="13">
        <v>1591461</v>
      </c>
      <c r="F657" s="13" t="s">
        <v>131</v>
      </c>
      <c r="G657" s="14">
        <v>20333784</v>
      </c>
      <c r="H657" s="13" t="s">
        <v>490</v>
      </c>
      <c r="I657" s="13" t="s">
        <v>221</v>
      </c>
      <c r="J657" s="14">
        <v>1</v>
      </c>
      <c r="K657" s="14">
        <v>13</v>
      </c>
      <c r="L657" s="15">
        <v>125.4</v>
      </c>
      <c r="M657" s="15">
        <v>125.4</v>
      </c>
    </row>
    <row r="658" spans="4:13">
      <c r="D658" s="12">
        <v>46114</v>
      </c>
      <c r="E658" s="13">
        <v>1591461</v>
      </c>
      <c r="F658" s="13" t="s">
        <v>47</v>
      </c>
      <c r="G658" s="14">
        <v>20316425</v>
      </c>
      <c r="H658" s="13" t="s">
        <v>491</v>
      </c>
      <c r="I658" s="13" t="s">
        <v>83</v>
      </c>
      <c r="J658" s="14">
        <v>1</v>
      </c>
      <c r="K658" s="14">
        <v>11</v>
      </c>
      <c r="L658" s="15">
        <v>36.3</v>
      </c>
      <c r="M658" s="15">
        <v>36.3</v>
      </c>
    </row>
    <row r="659" spans="4:13">
      <c r="D659" s="12">
        <v>46114</v>
      </c>
      <c r="E659" s="13">
        <v>1591461</v>
      </c>
      <c r="F659" s="13" t="s">
        <v>47</v>
      </c>
      <c r="G659" s="14">
        <v>20303011</v>
      </c>
      <c r="H659" s="13" t="s">
        <v>330</v>
      </c>
      <c r="I659" s="13" t="s">
        <v>331</v>
      </c>
      <c r="J659" s="14">
        <v>1</v>
      </c>
      <c r="K659" s="14">
        <v>26</v>
      </c>
      <c r="L659" s="15">
        <v>85.8</v>
      </c>
      <c r="M659" s="15">
        <v>85.8</v>
      </c>
    </row>
    <row r="660" spans="4:13">
      <c r="D660" s="12">
        <v>46114</v>
      </c>
      <c r="E660" s="13">
        <v>1591461</v>
      </c>
      <c r="F660" s="13" t="s">
        <v>47</v>
      </c>
      <c r="G660" s="14">
        <v>20306256</v>
      </c>
      <c r="H660" s="13" t="s">
        <v>349</v>
      </c>
      <c r="I660" s="13" t="s">
        <v>83</v>
      </c>
      <c r="J660" s="14">
        <v>1</v>
      </c>
      <c r="K660" s="14">
        <v>22</v>
      </c>
      <c r="L660" s="15">
        <v>72.6</v>
      </c>
      <c r="M660" s="15">
        <v>72.6</v>
      </c>
    </row>
    <row r="661" spans="4:13">
      <c r="D661" s="12">
        <v>46114</v>
      </c>
      <c r="E661" s="13">
        <v>1591461</v>
      </c>
      <c r="F661" s="13" t="s">
        <v>65</v>
      </c>
      <c r="G661" s="14">
        <v>20303836</v>
      </c>
      <c r="H661" s="13" t="s">
        <v>332</v>
      </c>
      <c r="I661" s="13" t="s">
        <v>83</v>
      </c>
      <c r="J661" s="14">
        <v>3</v>
      </c>
      <c r="K661" s="14">
        <v>12</v>
      </c>
      <c r="L661" s="15">
        <v>13.2</v>
      </c>
      <c r="M661" s="15">
        <v>39.6</v>
      </c>
    </row>
    <row r="662" spans="4:13">
      <c r="D662" s="12">
        <v>46114</v>
      </c>
      <c r="E662" s="13">
        <v>1591472</v>
      </c>
      <c r="F662" s="13" t="s">
        <v>15</v>
      </c>
      <c r="G662" s="14">
        <v>20310030</v>
      </c>
      <c r="H662" s="13" t="s">
        <v>424</v>
      </c>
      <c r="I662" s="13" t="s">
        <v>128</v>
      </c>
      <c r="J662" s="14">
        <v>1</v>
      </c>
      <c r="K662" s="14">
        <v>2</v>
      </c>
      <c r="L662" s="15">
        <v>26.4</v>
      </c>
      <c r="M662" s="15">
        <v>26.4</v>
      </c>
    </row>
    <row r="663" spans="4:13">
      <c r="D663" s="12">
        <v>46114</v>
      </c>
      <c r="E663" s="13">
        <v>1591472</v>
      </c>
      <c r="F663" s="13" t="s">
        <v>15</v>
      </c>
      <c r="G663" s="14">
        <v>20360685</v>
      </c>
      <c r="H663" s="13" t="s">
        <v>440</v>
      </c>
      <c r="I663" s="13" t="s">
        <v>128</v>
      </c>
      <c r="J663" s="14">
        <v>1</v>
      </c>
      <c r="K663" s="14">
        <v>1</v>
      </c>
      <c r="L663" s="15">
        <v>16.8</v>
      </c>
      <c r="M663" s="15">
        <v>16.8</v>
      </c>
    </row>
    <row r="664" spans="4:13">
      <c r="D664" s="12">
        <v>46114</v>
      </c>
      <c r="E664" s="13">
        <v>1591472</v>
      </c>
      <c r="F664" s="13" t="s">
        <v>385</v>
      </c>
      <c r="G664" s="14">
        <v>20349421</v>
      </c>
      <c r="H664" s="13" t="s">
        <v>386</v>
      </c>
      <c r="I664" s="13" t="s">
        <v>221</v>
      </c>
      <c r="J664" s="14">
        <v>1</v>
      </c>
      <c r="K664" s="14">
        <v>2</v>
      </c>
      <c r="L664" s="15">
        <v>26.4</v>
      </c>
      <c r="M664" s="15">
        <v>26.4</v>
      </c>
    </row>
    <row r="665" spans="4:13">
      <c r="D665" s="12">
        <v>46114</v>
      </c>
      <c r="E665" s="13">
        <v>1591518</v>
      </c>
      <c r="F665" s="13" t="s">
        <v>324</v>
      </c>
      <c r="G665" s="14">
        <v>20303010</v>
      </c>
      <c r="H665" s="13" t="s">
        <v>325</v>
      </c>
      <c r="I665" s="13" t="s">
        <v>326</v>
      </c>
      <c r="J665" s="14">
        <v>1</v>
      </c>
      <c r="K665" s="14">
        <v>25</v>
      </c>
      <c r="L665" s="15">
        <v>82.5</v>
      </c>
      <c r="M665" s="15">
        <v>82.5</v>
      </c>
    </row>
    <row r="666" spans="4:13">
      <c r="D666" s="12">
        <v>46114</v>
      </c>
      <c r="E666" s="13">
        <v>1591518</v>
      </c>
      <c r="F666" s="13" t="s">
        <v>324</v>
      </c>
      <c r="G666" s="14">
        <v>20303022</v>
      </c>
      <c r="H666" s="13" t="s">
        <v>352</v>
      </c>
      <c r="I666" s="13" t="s">
        <v>326</v>
      </c>
      <c r="J666" s="14">
        <v>2</v>
      </c>
      <c r="K666" s="14">
        <v>62</v>
      </c>
      <c r="L666" s="15">
        <v>102.3</v>
      </c>
      <c r="M666" s="15">
        <v>204.6</v>
      </c>
    </row>
    <row r="667" spans="4:13">
      <c r="D667" s="12">
        <v>46114</v>
      </c>
      <c r="E667" s="13">
        <v>1591518</v>
      </c>
      <c r="F667" s="13" t="s">
        <v>324</v>
      </c>
      <c r="G667" s="14">
        <v>20303029</v>
      </c>
      <c r="H667" s="13" t="s">
        <v>337</v>
      </c>
      <c r="I667" s="13" t="s">
        <v>326</v>
      </c>
      <c r="J667" s="14">
        <v>1</v>
      </c>
      <c r="K667" s="14">
        <v>47</v>
      </c>
      <c r="L667" s="15">
        <v>155.1</v>
      </c>
      <c r="M667" s="15">
        <v>155.1</v>
      </c>
    </row>
    <row r="668" spans="4:13">
      <c r="D668" s="12">
        <v>46114</v>
      </c>
      <c r="E668" s="13">
        <v>1591518</v>
      </c>
      <c r="F668" s="13" t="s">
        <v>324</v>
      </c>
      <c r="G668" s="14">
        <v>20300106</v>
      </c>
      <c r="H668" s="13" t="s">
        <v>438</v>
      </c>
      <c r="I668" s="13" t="s">
        <v>326</v>
      </c>
      <c r="J668" s="14">
        <v>1</v>
      </c>
      <c r="K668" s="14">
        <v>52</v>
      </c>
      <c r="L668" s="15">
        <v>171.6</v>
      </c>
      <c r="M668" s="15">
        <v>171.6</v>
      </c>
    </row>
    <row r="669" spans="4:13">
      <c r="D669" s="12">
        <v>46114</v>
      </c>
      <c r="E669" s="13">
        <v>1591518</v>
      </c>
      <c r="F669" s="13" t="s">
        <v>163</v>
      </c>
      <c r="G669" s="14">
        <v>20306235</v>
      </c>
      <c r="H669" s="13" t="s">
        <v>480</v>
      </c>
      <c r="I669" s="13" t="s">
        <v>83</v>
      </c>
      <c r="J669" s="14">
        <v>1</v>
      </c>
      <c r="K669" s="14">
        <v>5</v>
      </c>
      <c r="L669" s="15">
        <v>16.5</v>
      </c>
      <c r="M669" s="15">
        <v>16.5</v>
      </c>
    </row>
    <row r="670" spans="4:13">
      <c r="D670" s="12">
        <v>46114</v>
      </c>
      <c r="E670" s="13">
        <v>1591518</v>
      </c>
      <c r="F670" s="13" t="s">
        <v>163</v>
      </c>
      <c r="G670" s="14">
        <v>20303912</v>
      </c>
      <c r="H670" s="13" t="s">
        <v>329</v>
      </c>
      <c r="I670" s="13" t="s">
        <v>83</v>
      </c>
      <c r="J670" s="14">
        <v>1</v>
      </c>
      <c r="K670" s="14">
        <v>5</v>
      </c>
      <c r="L670" s="15">
        <v>16.5</v>
      </c>
      <c r="M670" s="15">
        <v>16.5</v>
      </c>
    </row>
    <row r="671" spans="4:13">
      <c r="D671" s="12">
        <v>46114</v>
      </c>
      <c r="E671" s="13">
        <v>1591518</v>
      </c>
      <c r="F671" s="13" t="s">
        <v>131</v>
      </c>
      <c r="G671" s="14">
        <v>20412034</v>
      </c>
      <c r="H671" s="13" t="s">
        <v>344</v>
      </c>
      <c r="I671" s="13" t="s">
        <v>221</v>
      </c>
      <c r="J671" s="14">
        <v>1</v>
      </c>
      <c r="K671" s="14">
        <v>28</v>
      </c>
      <c r="L671" s="15">
        <v>180</v>
      </c>
      <c r="M671" s="15">
        <f>J671*L671</f>
        <v>180</v>
      </c>
    </row>
    <row r="672" spans="4:13">
      <c r="D672" s="12">
        <v>46114</v>
      </c>
      <c r="E672" s="13">
        <v>1591518</v>
      </c>
      <c r="F672" s="13" t="s">
        <v>131</v>
      </c>
      <c r="G672" s="14">
        <v>20411790</v>
      </c>
      <c r="H672" s="13" t="s">
        <v>345</v>
      </c>
      <c r="I672" s="13" t="s">
        <v>221</v>
      </c>
      <c r="J672" s="14">
        <v>1</v>
      </c>
      <c r="K672" s="14">
        <v>28</v>
      </c>
      <c r="L672" s="15">
        <v>180</v>
      </c>
      <c r="M672" s="15">
        <f>J672*L672</f>
        <v>180</v>
      </c>
    </row>
    <row r="673" spans="4:13">
      <c r="D673" s="12">
        <v>46114</v>
      </c>
      <c r="E673" s="13">
        <v>1591518</v>
      </c>
      <c r="F673" s="13" t="s">
        <v>131</v>
      </c>
      <c r="G673" s="14">
        <v>20412194</v>
      </c>
      <c r="H673" s="13" t="s">
        <v>315</v>
      </c>
      <c r="I673" s="13" t="s">
        <v>221</v>
      </c>
      <c r="J673" s="14">
        <v>1</v>
      </c>
      <c r="K673" s="14">
        <v>22</v>
      </c>
      <c r="L673" s="15">
        <v>180</v>
      </c>
      <c r="M673" s="15">
        <f>J673*L673</f>
        <v>180</v>
      </c>
    </row>
    <row r="674" spans="4:13">
      <c r="D674" s="12">
        <v>46114</v>
      </c>
      <c r="E674" s="13">
        <v>1591518</v>
      </c>
      <c r="F674" s="13" t="s">
        <v>47</v>
      </c>
      <c r="G674" s="14">
        <v>20302998</v>
      </c>
      <c r="H674" s="13" t="s">
        <v>346</v>
      </c>
      <c r="I674" s="13" t="s">
        <v>347</v>
      </c>
      <c r="J674" s="14">
        <v>1</v>
      </c>
      <c r="K674" s="14">
        <v>19</v>
      </c>
      <c r="L674" s="15">
        <v>62.7</v>
      </c>
      <c r="M674" s="15">
        <v>62.7</v>
      </c>
    </row>
    <row r="675" spans="4:13">
      <c r="D675" s="12">
        <v>46114</v>
      </c>
      <c r="E675" s="13">
        <v>1591518</v>
      </c>
      <c r="F675" s="13" t="s">
        <v>65</v>
      </c>
      <c r="G675" s="14">
        <v>20303836</v>
      </c>
      <c r="H675" s="13" t="s">
        <v>332</v>
      </c>
      <c r="I675" s="13" t="s">
        <v>83</v>
      </c>
      <c r="J675" s="14">
        <v>1</v>
      </c>
      <c r="K675" s="14">
        <v>4</v>
      </c>
      <c r="L675" s="15">
        <v>13.2</v>
      </c>
      <c r="M675" s="15">
        <v>13.2</v>
      </c>
    </row>
    <row r="676" spans="4:13">
      <c r="D676" s="12">
        <v>46114</v>
      </c>
      <c r="E676" s="13">
        <v>1591518</v>
      </c>
      <c r="F676" s="13" t="s">
        <v>65</v>
      </c>
      <c r="G676" s="14">
        <v>20383457</v>
      </c>
      <c r="H676" s="13" t="s">
        <v>420</v>
      </c>
      <c r="I676" s="13" t="s">
        <v>44</v>
      </c>
      <c r="J676" s="14">
        <v>1</v>
      </c>
      <c r="K676" s="14">
        <v>8</v>
      </c>
      <c r="L676" s="15">
        <v>26.4</v>
      </c>
      <c r="M676" s="15">
        <v>26.4</v>
      </c>
    </row>
    <row r="677" spans="4:13">
      <c r="D677" s="12">
        <v>46114</v>
      </c>
      <c r="E677" s="13">
        <v>1591548</v>
      </c>
      <c r="F677" s="13" t="s">
        <v>65</v>
      </c>
      <c r="G677" s="14">
        <v>20303836</v>
      </c>
      <c r="H677" s="13" t="s">
        <v>332</v>
      </c>
      <c r="I677" s="13" t="s">
        <v>83</v>
      </c>
      <c r="J677" s="14">
        <v>3</v>
      </c>
      <c r="K677" s="14">
        <v>12</v>
      </c>
      <c r="L677" s="15">
        <v>13.2</v>
      </c>
      <c r="M677" s="15">
        <v>39.6</v>
      </c>
    </row>
    <row r="678" spans="4:13">
      <c r="D678" s="12">
        <v>46114</v>
      </c>
      <c r="E678" s="13">
        <v>1591572</v>
      </c>
      <c r="F678" s="13" t="s">
        <v>378</v>
      </c>
      <c r="G678" s="14">
        <v>20310012</v>
      </c>
      <c r="H678" s="13" t="s">
        <v>379</v>
      </c>
      <c r="I678" s="13" t="s">
        <v>2</v>
      </c>
      <c r="J678" s="14">
        <v>8</v>
      </c>
      <c r="K678" s="14">
        <v>0</v>
      </c>
      <c r="L678" s="15">
        <v>15</v>
      </c>
      <c r="M678" s="15">
        <v>120</v>
      </c>
    </row>
    <row r="679" spans="4:13">
      <c r="D679" s="12">
        <v>46114</v>
      </c>
      <c r="E679" s="13">
        <v>1591601</v>
      </c>
      <c r="F679" s="13" t="s">
        <v>324</v>
      </c>
      <c r="G679" s="14">
        <v>20300049</v>
      </c>
      <c r="H679" s="13" t="s">
        <v>387</v>
      </c>
      <c r="I679" s="13" t="s">
        <v>326</v>
      </c>
      <c r="J679" s="14">
        <v>1</v>
      </c>
      <c r="K679" s="14">
        <v>33</v>
      </c>
      <c r="L679" s="15">
        <v>108.9</v>
      </c>
      <c r="M679" s="15">
        <v>108.9</v>
      </c>
    </row>
    <row r="680" spans="4:13">
      <c r="D680" s="12">
        <v>46114</v>
      </c>
      <c r="E680" s="13">
        <v>1591601</v>
      </c>
      <c r="F680" s="13" t="s">
        <v>324</v>
      </c>
      <c r="G680" s="14">
        <v>20303007</v>
      </c>
      <c r="H680" s="13" t="s">
        <v>449</v>
      </c>
      <c r="I680" s="13" t="s">
        <v>326</v>
      </c>
      <c r="J680" s="14">
        <v>1</v>
      </c>
      <c r="K680" s="14">
        <v>32</v>
      </c>
      <c r="L680" s="15">
        <v>105.6</v>
      </c>
      <c r="M680" s="15">
        <v>105.6</v>
      </c>
    </row>
    <row r="681" spans="4:13">
      <c r="D681" s="12">
        <v>46114</v>
      </c>
      <c r="E681" s="13">
        <v>1591601</v>
      </c>
      <c r="F681" s="13" t="s">
        <v>324</v>
      </c>
      <c r="G681" s="14">
        <v>20303010</v>
      </c>
      <c r="H681" s="13" t="s">
        <v>325</v>
      </c>
      <c r="I681" s="13" t="s">
        <v>326</v>
      </c>
      <c r="J681" s="14">
        <v>3</v>
      </c>
      <c r="K681" s="14">
        <v>75</v>
      </c>
      <c r="L681" s="15">
        <v>82.5</v>
      </c>
      <c r="M681" s="15">
        <v>247.5</v>
      </c>
    </row>
    <row r="682" spans="4:13">
      <c r="D682" s="12">
        <v>46114</v>
      </c>
      <c r="E682" s="13">
        <v>1591601</v>
      </c>
      <c r="F682" s="13" t="s">
        <v>324</v>
      </c>
      <c r="G682" s="14">
        <v>20303015</v>
      </c>
      <c r="H682" s="13" t="s">
        <v>334</v>
      </c>
      <c r="I682" s="13" t="s">
        <v>326</v>
      </c>
      <c r="J682" s="14">
        <v>1</v>
      </c>
      <c r="K682" s="14">
        <v>34</v>
      </c>
      <c r="L682" s="15">
        <v>112.2</v>
      </c>
      <c r="M682" s="15">
        <v>112.2</v>
      </c>
    </row>
    <row r="683" spans="4:13">
      <c r="D683" s="12">
        <v>46114</v>
      </c>
      <c r="E683" s="13">
        <v>1591601</v>
      </c>
      <c r="F683" s="13" t="s">
        <v>324</v>
      </c>
      <c r="G683" s="14">
        <v>20303022</v>
      </c>
      <c r="H683" s="13" t="s">
        <v>352</v>
      </c>
      <c r="I683" s="13" t="s">
        <v>326</v>
      </c>
      <c r="J683" s="14">
        <v>2</v>
      </c>
      <c r="K683" s="14">
        <v>62</v>
      </c>
      <c r="L683" s="15">
        <v>102.3</v>
      </c>
      <c r="M683" s="15">
        <v>204.6</v>
      </c>
    </row>
    <row r="684" spans="4:13">
      <c r="D684" s="12">
        <v>46114</v>
      </c>
      <c r="E684" s="13">
        <v>1591601</v>
      </c>
      <c r="F684" s="13" t="s">
        <v>324</v>
      </c>
      <c r="G684" s="14">
        <v>20342050</v>
      </c>
      <c r="H684" s="13" t="s">
        <v>327</v>
      </c>
      <c r="I684" s="13" t="s">
        <v>328</v>
      </c>
      <c r="J684" s="14">
        <v>1</v>
      </c>
      <c r="K684" s="14">
        <v>19</v>
      </c>
      <c r="L684" s="15">
        <v>62.7</v>
      </c>
      <c r="M684" s="15">
        <v>62.7</v>
      </c>
    </row>
    <row r="685" spans="4:13">
      <c r="D685" s="12">
        <v>46114</v>
      </c>
      <c r="E685" s="13">
        <v>1591601</v>
      </c>
      <c r="F685" s="13" t="s">
        <v>324</v>
      </c>
      <c r="G685" s="14">
        <v>20303023</v>
      </c>
      <c r="H685" s="13" t="s">
        <v>335</v>
      </c>
      <c r="I685" s="13" t="s">
        <v>326</v>
      </c>
      <c r="J685" s="14">
        <v>1</v>
      </c>
      <c r="K685" s="14">
        <v>63</v>
      </c>
      <c r="L685" s="15">
        <v>207.9</v>
      </c>
      <c r="M685" s="15">
        <v>207.9</v>
      </c>
    </row>
    <row r="686" spans="4:13">
      <c r="D686" s="12">
        <v>46114</v>
      </c>
      <c r="E686" s="13">
        <v>1591601</v>
      </c>
      <c r="F686" s="13" t="s">
        <v>324</v>
      </c>
      <c r="G686" s="14">
        <v>20303025</v>
      </c>
      <c r="H686" s="13" t="s">
        <v>336</v>
      </c>
      <c r="I686" s="13" t="s">
        <v>326</v>
      </c>
      <c r="J686" s="14">
        <v>1</v>
      </c>
      <c r="K686" s="14">
        <v>47</v>
      </c>
      <c r="L686" s="15">
        <v>155.1</v>
      </c>
      <c r="M686" s="15">
        <v>155.1</v>
      </c>
    </row>
    <row r="687" spans="4:13">
      <c r="D687" s="12">
        <v>46114</v>
      </c>
      <c r="E687" s="13">
        <v>1591601</v>
      </c>
      <c r="F687" s="13" t="s">
        <v>324</v>
      </c>
      <c r="G687" s="14">
        <v>20303027</v>
      </c>
      <c r="H687" s="13" t="s">
        <v>405</v>
      </c>
      <c r="I687" s="13" t="s">
        <v>326</v>
      </c>
      <c r="J687" s="14">
        <v>1</v>
      </c>
      <c r="K687" s="14">
        <v>25</v>
      </c>
      <c r="L687" s="15">
        <v>82.5</v>
      </c>
      <c r="M687" s="15">
        <v>82.5</v>
      </c>
    </row>
    <row r="688" spans="4:13">
      <c r="D688" s="12">
        <v>46114</v>
      </c>
      <c r="E688" s="13">
        <v>1591601</v>
      </c>
      <c r="F688" s="13" t="s">
        <v>324</v>
      </c>
      <c r="G688" s="14">
        <v>20303028</v>
      </c>
      <c r="H688" s="13" t="s">
        <v>492</v>
      </c>
      <c r="I688" s="13" t="s">
        <v>326</v>
      </c>
      <c r="J688" s="14">
        <v>1</v>
      </c>
      <c r="K688" s="14">
        <v>27</v>
      </c>
      <c r="L688" s="15">
        <v>89.1</v>
      </c>
      <c r="M688" s="15">
        <v>89.1</v>
      </c>
    </row>
    <row r="689" spans="4:13">
      <c r="D689" s="12">
        <v>46114</v>
      </c>
      <c r="E689" s="13">
        <v>1591601</v>
      </c>
      <c r="F689" s="13" t="s">
        <v>324</v>
      </c>
      <c r="G689" s="14">
        <v>20303029</v>
      </c>
      <c r="H689" s="13" t="s">
        <v>337</v>
      </c>
      <c r="I689" s="13" t="s">
        <v>326</v>
      </c>
      <c r="J689" s="14">
        <v>1</v>
      </c>
      <c r="K689" s="14">
        <v>47</v>
      </c>
      <c r="L689" s="15">
        <v>155.1</v>
      </c>
      <c r="M689" s="15">
        <v>155.1</v>
      </c>
    </row>
    <row r="690" spans="4:13">
      <c r="D690" s="12">
        <v>46114</v>
      </c>
      <c r="E690" s="13">
        <v>1591601</v>
      </c>
      <c r="F690" s="13" t="s">
        <v>324</v>
      </c>
      <c r="G690" s="14">
        <v>20303041</v>
      </c>
      <c r="H690" s="13" t="s">
        <v>406</v>
      </c>
      <c r="I690" s="13" t="s">
        <v>44</v>
      </c>
      <c r="J690" s="14">
        <v>1</v>
      </c>
      <c r="K690" s="14">
        <v>17</v>
      </c>
      <c r="L690" s="15">
        <v>56.1</v>
      </c>
      <c r="M690" s="15">
        <v>56.1</v>
      </c>
    </row>
    <row r="691" spans="4:13">
      <c r="D691" s="12">
        <v>46114</v>
      </c>
      <c r="E691" s="13">
        <v>1591601</v>
      </c>
      <c r="F691" s="13" t="s">
        <v>324</v>
      </c>
      <c r="G691" s="14">
        <v>20309825</v>
      </c>
      <c r="H691" s="13" t="s">
        <v>466</v>
      </c>
      <c r="I691" s="13" t="s">
        <v>326</v>
      </c>
      <c r="J691" s="14">
        <v>1</v>
      </c>
      <c r="K691" s="14">
        <v>32</v>
      </c>
      <c r="L691" s="15">
        <v>105.6</v>
      </c>
      <c r="M691" s="15">
        <v>105.6</v>
      </c>
    </row>
    <row r="692" spans="4:13">
      <c r="D692" s="12">
        <v>46114</v>
      </c>
      <c r="E692" s="13">
        <v>1591601</v>
      </c>
      <c r="F692" s="13" t="s">
        <v>324</v>
      </c>
      <c r="G692" s="14">
        <v>20332470</v>
      </c>
      <c r="H692" s="13" t="s">
        <v>455</v>
      </c>
      <c r="I692" s="13" t="s">
        <v>62</v>
      </c>
      <c r="J692" s="14">
        <v>1</v>
      </c>
      <c r="K692" s="14">
        <v>11</v>
      </c>
      <c r="L692" s="15">
        <v>36.3</v>
      </c>
      <c r="M692" s="15">
        <v>36.3</v>
      </c>
    </row>
    <row r="693" spans="4:13">
      <c r="D693" s="12">
        <v>46114</v>
      </c>
      <c r="E693" s="13">
        <v>1591601</v>
      </c>
      <c r="F693" s="13" t="s">
        <v>324</v>
      </c>
      <c r="G693" s="14">
        <v>20303052</v>
      </c>
      <c r="H693" s="13" t="s">
        <v>388</v>
      </c>
      <c r="I693" s="13" t="s">
        <v>326</v>
      </c>
      <c r="J693" s="14">
        <v>1</v>
      </c>
      <c r="K693" s="14">
        <v>30</v>
      </c>
      <c r="L693" s="15">
        <v>99</v>
      </c>
      <c r="M693" s="15">
        <v>99</v>
      </c>
    </row>
    <row r="694" spans="4:13">
      <c r="D694" s="12">
        <v>46114</v>
      </c>
      <c r="E694" s="13">
        <v>1591601</v>
      </c>
      <c r="F694" s="13" t="s">
        <v>324</v>
      </c>
      <c r="G694" s="14">
        <v>20303056</v>
      </c>
      <c r="H694" s="13" t="s">
        <v>415</v>
      </c>
      <c r="I694" s="13" t="s">
        <v>326</v>
      </c>
      <c r="J694" s="14">
        <v>1</v>
      </c>
      <c r="K694" s="14">
        <v>25</v>
      </c>
      <c r="L694" s="15">
        <v>82.5</v>
      </c>
      <c r="M694" s="15">
        <v>82.5</v>
      </c>
    </row>
    <row r="695" spans="4:13">
      <c r="D695" s="12">
        <v>46114</v>
      </c>
      <c r="E695" s="13">
        <v>1591601</v>
      </c>
      <c r="F695" s="13" t="s">
        <v>324</v>
      </c>
      <c r="G695" s="14">
        <v>20303058</v>
      </c>
      <c r="H695" s="13" t="s">
        <v>338</v>
      </c>
      <c r="I695" s="13" t="s">
        <v>326</v>
      </c>
      <c r="J695" s="14">
        <v>2</v>
      </c>
      <c r="K695" s="14">
        <v>114</v>
      </c>
      <c r="L695" s="15">
        <v>188.1</v>
      </c>
      <c r="M695" s="15">
        <v>376.2</v>
      </c>
    </row>
    <row r="696" spans="4:13">
      <c r="D696" s="12">
        <v>46114</v>
      </c>
      <c r="E696" s="13">
        <v>1591601</v>
      </c>
      <c r="F696" s="13" t="s">
        <v>163</v>
      </c>
      <c r="G696" s="14">
        <v>20303912</v>
      </c>
      <c r="H696" s="13" t="s">
        <v>329</v>
      </c>
      <c r="I696" s="13" t="s">
        <v>83</v>
      </c>
      <c r="J696" s="14">
        <v>2</v>
      </c>
      <c r="K696" s="14">
        <v>10</v>
      </c>
      <c r="L696" s="15">
        <v>16.5</v>
      </c>
      <c r="M696" s="15">
        <v>33</v>
      </c>
    </row>
    <row r="697" spans="4:13">
      <c r="D697" s="12">
        <v>46114</v>
      </c>
      <c r="E697" s="13">
        <v>1591601</v>
      </c>
      <c r="F697" s="13" t="s">
        <v>163</v>
      </c>
      <c r="G697" s="14">
        <v>20310304</v>
      </c>
      <c r="H697" s="13" t="s">
        <v>339</v>
      </c>
      <c r="I697" s="13" t="s">
        <v>83</v>
      </c>
      <c r="J697" s="14">
        <v>1</v>
      </c>
      <c r="K697" s="14">
        <v>11</v>
      </c>
      <c r="L697" s="15">
        <v>36.3</v>
      </c>
      <c r="M697" s="15">
        <v>36.3</v>
      </c>
    </row>
    <row r="698" spans="4:13">
      <c r="D698" s="12">
        <v>46114</v>
      </c>
      <c r="E698" s="13">
        <v>1591601</v>
      </c>
      <c r="F698" s="13" t="s">
        <v>20</v>
      </c>
      <c r="G698" s="14">
        <v>20303954</v>
      </c>
      <c r="H698" s="13" t="s">
        <v>295</v>
      </c>
      <c r="I698" s="13" t="s">
        <v>29</v>
      </c>
      <c r="J698" s="14">
        <v>4</v>
      </c>
      <c r="K698" s="14">
        <v>4</v>
      </c>
      <c r="L698" s="15">
        <v>4.8</v>
      </c>
      <c r="M698" s="15">
        <v>19.2</v>
      </c>
    </row>
    <row r="699" spans="4:13">
      <c r="D699" s="12">
        <v>46114</v>
      </c>
      <c r="E699" s="13">
        <v>1591601</v>
      </c>
      <c r="F699" s="13" t="s">
        <v>20</v>
      </c>
      <c r="G699" s="14">
        <v>20309432</v>
      </c>
      <c r="H699" s="13" t="s">
        <v>357</v>
      </c>
      <c r="I699" s="13" t="s">
        <v>57</v>
      </c>
      <c r="J699" s="14">
        <v>1</v>
      </c>
      <c r="K699" s="14">
        <v>2</v>
      </c>
      <c r="L699" s="15">
        <v>9.9</v>
      </c>
      <c r="M699" s="15">
        <v>9.9</v>
      </c>
    </row>
    <row r="700" spans="4:13">
      <c r="D700" s="12">
        <v>46114</v>
      </c>
      <c r="E700" s="13">
        <v>1591601</v>
      </c>
      <c r="F700" s="13" t="s">
        <v>20</v>
      </c>
      <c r="G700" s="14">
        <v>20303977</v>
      </c>
      <c r="H700" s="13" t="s">
        <v>196</v>
      </c>
      <c r="I700" s="13" t="s">
        <v>33</v>
      </c>
      <c r="J700" s="14">
        <v>1</v>
      </c>
      <c r="K700" s="14">
        <v>1</v>
      </c>
      <c r="L700" s="15">
        <v>4.8</v>
      </c>
      <c r="M700" s="15">
        <v>4.8</v>
      </c>
    </row>
    <row r="701" spans="4:13">
      <c r="D701" s="12">
        <v>46114</v>
      </c>
      <c r="E701" s="13">
        <v>1591601</v>
      </c>
      <c r="F701" s="13" t="s">
        <v>20</v>
      </c>
      <c r="G701" s="14">
        <v>20305111</v>
      </c>
      <c r="H701" s="13" t="s">
        <v>136</v>
      </c>
      <c r="I701" s="13" t="s">
        <v>29</v>
      </c>
      <c r="J701" s="14">
        <v>1</v>
      </c>
      <c r="K701" s="14">
        <v>1</v>
      </c>
      <c r="L701" s="15">
        <v>4.8</v>
      </c>
      <c r="M701" s="15">
        <v>4.8</v>
      </c>
    </row>
    <row r="702" spans="4:13">
      <c r="D702" s="12">
        <v>46114</v>
      </c>
      <c r="E702" s="13">
        <v>1591601</v>
      </c>
      <c r="F702" s="13" t="s">
        <v>20</v>
      </c>
      <c r="G702" s="14">
        <v>20305112</v>
      </c>
      <c r="H702" s="13" t="s">
        <v>488</v>
      </c>
      <c r="I702" s="13" t="s">
        <v>53</v>
      </c>
      <c r="J702" s="14">
        <v>1</v>
      </c>
      <c r="K702" s="14">
        <v>1</v>
      </c>
      <c r="L702" s="15">
        <v>9.9</v>
      </c>
      <c r="M702" s="15">
        <v>9.9</v>
      </c>
    </row>
    <row r="703" spans="4:13">
      <c r="D703" s="12">
        <v>46114</v>
      </c>
      <c r="E703" s="13">
        <v>1591601</v>
      </c>
      <c r="F703" s="13" t="s">
        <v>20</v>
      </c>
      <c r="G703" s="14">
        <v>20304018</v>
      </c>
      <c r="H703" s="13" t="s">
        <v>450</v>
      </c>
      <c r="I703" s="13" t="s">
        <v>57</v>
      </c>
      <c r="J703" s="14">
        <v>1</v>
      </c>
      <c r="K703" s="14">
        <v>1</v>
      </c>
      <c r="L703" s="15">
        <v>9.9</v>
      </c>
      <c r="M703" s="15">
        <v>9.9</v>
      </c>
    </row>
    <row r="704" spans="4:13">
      <c r="D704" s="12">
        <v>46114</v>
      </c>
      <c r="E704" s="13">
        <v>1591601</v>
      </c>
      <c r="F704" s="13" t="s">
        <v>20</v>
      </c>
      <c r="G704" s="14">
        <v>20307293</v>
      </c>
      <c r="H704" s="13" t="s">
        <v>211</v>
      </c>
      <c r="I704" s="13" t="s">
        <v>22</v>
      </c>
      <c r="J704" s="14">
        <v>1</v>
      </c>
      <c r="K704" s="14">
        <v>2</v>
      </c>
      <c r="L704" s="15">
        <v>8.1</v>
      </c>
      <c r="M704" s="15">
        <v>8.1</v>
      </c>
    </row>
    <row r="705" spans="4:13">
      <c r="D705" s="12">
        <v>46114</v>
      </c>
      <c r="E705" s="13">
        <v>1591601</v>
      </c>
      <c r="F705" s="13" t="s">
        <v>20</v>
      </c>
      <c r="G705" s="14">
        <v>20303909</v>
      </c>
      <c r="H705" s="13" t="s">
        <v>493</v>
      </c>
      <c r="I705" s="13" t="s">
        <v>494</v>
      </c>
      <c r="J705" s="14">
        <v>1</v>
      </c>
      <c r="K705" s="14">
        <v>1</v>
      </c>
      <c r="L705" s="15">
        <v>4.8</v>
      </c>
      <c r="M705" s="15">
        <v>4.8</v>
      </c>
    </row>
    <row r="706" spans="4:13">
      <c r="D706" s="12">
        <v>46114</v>
      </c>
      <c r="E706" s="13">
        <v>1591601</v>
      </c>
      <c r="F706" s="13" t="s">
        <v>20</v>
      </c>
      <c r="G706" s="14">
        <v>20303979</v>
      </c>
      <c r="H706" s="13" t="s">
        <v>368</v>
      </c>
      <c r="I706" s="13" t="s">
        <v>55</v>
      </c>
      <c r="J706" s="14">
        <v>2</v>
      </c>
      <c r="K706" s="14">
        <v>2</v>
      </c>
      <c r="L706" s="15">
        <v>7.8</v>
      </c>
      <c r="M706" s="15">
        <v>15.6</v>
      </c>
    </row>
    <row r="707" spans="4:13">
      <c r="D707" s="12">
        <v>46114</v>
      </c>
      <c r="E707" s="13">
        <v>1591601</v>
      </c>
      <c r="F707" s="13" t="s">
        <v>20</v>
      </c>
      <c r="G707" s="14">
        <v>20309927</v>
      </c>
      <c r="H707" s="13" t="s">
        <v>495</v>
      </c>
      <c r="I707" s="13" t="s">
        <v>29</v>
      </c>
      <c r="J707" s="14">
        <v>1</v>
      </c>
      <c r="K707" s="14">
        <v>2</v>
      </c>
      <c r="L707" s="15">
        <v>8.1</v>
      </c>
      <c r="M707" s="15">
        <v>8.1</v>
      </c>
    </row>
    <row r="708" spans="4:13">
      <c r="D708" s="12">
        <v>46114</v>
      </c>
      <c r="E708" s="13">
        <v>1591601</v>
      </c>
      <c r="F708" s="13" t="s">
        <v>20</v>
      </c>
      <c r="G708" s="14">
        <v>20305193</v>
      </c>
      <c r="H708" s="13" t="s">
        <v>396</v>
      </c>
      <c r="I708" s="13" t="s">
        <v>22</v>
      </c>
      <c r="J708" s="14">
        <v>1</v>
      </c>
      <c r="K708" s="14">
        <v>1</v>
      </c>
      <c r="L708" s="15">
        <v>4.8</v>
      </c>
      <c r="M708" s="15">
        <v>4.8</v>
      </c>
    </row>
    <row r="709" spans="4:13">
      <c r="D709" s="12">
        <v>46114</v>
      </c>
      <c r="E709" s="13">
        <v>1591601</v>
      </c>
      <c r="F709" s="13" t="s">
        <v>20</v>
      </c>
      <c r="G709" s="14">
        <v>20304006</v>
      </c>
      <c r="H709" s="13" t="s">
        <v>435</v>
      </c>
      <c r="I709" s="13" t="s">
        <v>55</v>
      </c>
      <c r="J709" s="14">
        <v>1</v>
      </c>
      <c r="K709" s="14">
        <v>1</v>
      </c>
      <c r="L709" s="15">
        <v>9.9</v>
      </c>
      <c r="M709" s="15">
        <v>9.9</v>
      </c>
    </row>
    <row r="710" spans="4:13">
      <c r="D710" s="12">
        <v>46114</v>
      </c>
      <c r="E710" s="13">
        <v>1591601</v>
      </c>
      <c r="F710" s="13" t="s">
        <v>20</v>
      </c>
      <c r="G710" s="14">
        <v>20356562</v>
      </c>
      <c r="H710" s="13" t="s">
        <v>496</v>
      </c>
      <c r="I710" s="13" t="s">
        <v>55</v>
      </c>
      <c r="J710" s="14">
        <v>1</v>
      </c>
      <c r="K710" s="14">
        <v>1</v>
      </c>
      <c r="L710" s="15">
        <v>9.9</v>
      </c>
      <c r="M710" s="15">
        <v>9.9</v>
      </c>
    </row>
    <row r="711" spans="4:13">
      <c r="D711" s="12">
        <v>46114</v>
      </c>
      <c r="E711" s="13">
        <v>1591601</v>
      </c>
      <c r="F711" s="13" t="s">
        <v>47</v>
      </c>
      <c r="G711" s="14">
        <v>20302998</v>
      </c>
      <c r="H711" s="13" t="s">
        <v>346</v>
      </c>
      <c r="I711" s="13" t="s">
        <v>347</v>
      </c>
      <c r="J711" s="14">
        <v>1</v>
      </c>
      <c r="K711" s="14">
        <v>19</v>
      </c>
      <c r="L711" s="15">
        <v>62.7</v>
      </c>
      <c r="M711" s="15">
        <v>62.7</v>
      </c>
    </row>
    <row r="712" spans="4:13">
      <c r="D712" s="12">
        <v>46114</v>
      </c>
      <c r="E712" s="13">
        <v>1591601</v>
      </c>
      <c r="F712" s="13" t="s">
        <v>47</v>
      </c>
      <c r="G712" s="14">
        <v>20303011</v>
      </c>
      <c r="H712" s="13" t="s">
        <v>330</v>
      </c>
      <c r="I712" s="13" t="s">
        <v>331</v>
      </c>
      <c r="J712" s="14">
        <v>2</v>
      </c>
      <c r="K712" s="14">
        <v>52</v>
      </c>
      <c r="L712" s="15">
        <v>85.8</v>
      </c>
      <c r="M712" s="15">
        <v>171.6</v>
      </c>
    </row>
    <row r="713" spans="4:13">
      <c r="D713" s="12">
        <v>46114</v>
      </c>
      <c r="E713" s="13">
        <v>1591601</v>
      </c>
      <c r="F713" s="13" t="s">
        <v>47</v>
      </c>
      <c r="G713" s="14">
        <v>20303035</v>
      </c>
      <c r="H713" s="13" t="s">
        <v>400</v>
      </c>
      <c r="I713" s="13" t="s">
        <v>331</v>
      </c>
      <c r="J713" s="14">
        <v>1</v>
      </c>
      <c r="K713" s="14">
        <v>22</v>
      </c>
      <c r="L713" s="15">
        <v>72.6</v>
      </c>
      <c r="M713" s="15">
        <v>72.6</v>
      </c>
    </row>
    <row r="714" spans="4:13">
      <c r="D714" s="12">
        <v>46114</v>
      </c>
      <c r="E714" s="13">
        <v>1591601</v>
      </c>
      <c r="F714" s="13" t="s">
        <v>47</v>
      </c>
      <c r="G714" s="14">
        <v>20303046</v>
      </c>
      <c r="H714" s="13" t="s">
        <v>419</v>
      </c>
      <c r="I714" s="13" t="s">
        <v>331</v>
      </c>
      <c r="J714" s="14">
        <v>1</v>
      </c>
      <c r="K714" s="14">
        <v>21</v>
      </c>
      <c r="L714" s="15">
        <v>69.3</v>
      </c>
      <c r="M714" s="15">
        <v>69.3</v>
      </c>
    </row>
    <row r="715" spans="4:13">
      <c r="D715" s="12">
        <v>46114</v>
      </c>
      <c r="E715" s="13">
        <v>1591601</v>
      </c>
      <c r="F715" s="13" t="s">
        <v>47</v>
      </c>
      <c r="G715" s="14">
        <v>20306256</v>
      </c>
      <c r="H715" s="13" t="s">
        <v>349</v>
      </c>
      <c r="I715" s="13" t="s">
        <v>83</v>
      </c>
      <c r="J715" s="14">
        <v>3</v>
      </c>
      <c r="K715" s="14">
        <v>66</v>
      </c>
      <c r="L715" s="15">
        <v>72.6</v>
      </c>
      <c r="M715" s="15">
        <v>217.8</v>
      </c>
    </row>
    <row r="716" spans="4:13">
      <c r="D716" s="12">
        <v>46114</v>
      </c>
      <c r="E716" s="13">
        <v>1591601</v>
      </c>
      <c r="F716" s="13" t="s">
        <v>65</v>
      </c>
      <c r="G716" s="14">
        <v>20307306</v>
      </c>
      <c r="H716" s="13" t="s">
        <v>377</v>
      </c>
      <c r="I716" s="13" t="s">
        <v>44</v>
      </c>
      <c r="J716" s="14">
        <v>1</v>
      </c>
      <c r="K716" s="14">
        <v>2</v>
      </c>
      <c r="L716" s="15">
        <v>9.9</v>
      </c>
      <c r="M716" s="15">
        <v>9.9</v>
      </c>
    </row>
    <row r="717" spans="4:13">
      <c r="D717" s="12">
        <v>46114</v>
      </c>
      <c r="E717" s="13">
        <v>1591601</v>
      </c>
      <c r="F717" s="13" t="s">
        <v>65</v>
      </c>
      <c r="G717" s="14">
        <v>20303836</v>
      </c>
      <c r="H717" s="13" t="s">
        <v>332</v>
      </c>
      <c r="I717" s="13" t="s">
        <v>83</v>
      </c>
      <c r="J717" s="14">
        <v>3</v>
      </c>
      <c r="K717" s="14">
        <v>12</v>
      </c>
      <c r="L717" s="15">
        <v>13.2</v>
      </c>
      <c r="M717" s="15">
        <v>39.6</v>
      </c>
    </row>
    <row r="718" spans="4:13">
      <c r="D718" s="12">
        <v>46115</v>
      </c>
      <c r="E718" s="13">
        <v>1591614</v>
      </c>
      <c r="F718" s="13" t="s">
        <v>15</v>
      </c>
      <c r="G718" s="14">
        <v>20315046</v>
      </c>
      <c r="H718" s="13" t="s">
        <v>340</v>
      </c>
      <c r="I718" s="13" t="s">
        <v>314</v>
      </c>
      <c r="J718" s="14">
        <v>1</v>
      </c>
      <c r="K718" s="14">
        <v>1</v>
      </c>
      <c r="L718" s="15">
        <v>21</v>
      </c>
      <c r="M718" s="15">
        <v>21</v>
      </c>
    </row>
    <row r="719" spans="4:13">
      <c r="D719" s="12">
        <v>46115</v>
      </c>
      <c r="E719" s="13">
        <v>1591614</v>
      </c>
      <c r="F719" s="13" t="s">
        <v>15</v>
      </c>
      <c r="G719" s="14">
        <v>20370421</v>
      </c>
      <c r="H719" s="13" t="s">
        <v>380</v>
      </c>
      <c r="I719" s="13" t="s">
        <v>381</v>
      </c>
      <c r="J719" s="14">
        <v>1</v>
      </c>
      <c r="K719" s="14">
        <v>2</v>
      </c>
      <c r="L719" s="15">
        <v>26.4</v>
      </c>
      <c r="M719" s="15">
        <v>26.4</v>
      </c>
    </row>
    <row r="720" spans="4:13">
      <c r="D720" s="12">
        <v>46115</v>
      </c>
      <c r="E720" s="13">
        <v>1591614</v>
      </c>
      <c r="F720" s="13" t="s">
        <v>15</v>
      </c>
      <c r="G720" s="14">
        <v>20316908</v>
      </c>
      <c r="H720" s="13" t="s">
        <v>463</v>
      </c>
      <c r="I720" s="13" t="s">
        <v>244</v>
      </c>
      <c r="J720" s="14">
        <v>1</v>
      </c>
      <c r="K720" s="14">
        <v>9</v>
      </c>
      <c r="L720" s="15">
        <v>99</v>
      </c>
      <c r="M720" s="15">
        <v>99</v>
      </c>
    </row>
    <row r="721" spans="4:13">
      <c r="D721" s="12">
        <v>46115</v>
      </c>
      <c r="E721" s="13">
        <v>1591614</v>
      </c>
      <c r="F721" s="13" t="s">
        <v>15</v>
      </c>
      <c r="G721" s="14">
        <v>20358905</v>
      </c>
      <c r="H721" s="13" t="s">
        <v>360</v>
      </c>
      <c r="I721" s="13" t="s">
        <v>244</v>
      </c>
      <c r="J721" s="14">
        <v>1</v>
      </c>
      <c r="K721" s="14">
        <v>1</v>
      </c>
      <c r="L721" s="15">
        <v>15</v>
      </c>
      <c r="M721" s="15">
        <v>15</v>
      </c>
    </row>
    <row r="722" spans="4:13">
      <c r="D722" s="12">
        <v>46115</v>
      </c>
      <c r="E722" s="13">
        <v>1591614</v>
      </c>
      <c r="F722" s="13" t="s">
        <v>15</v>
      </c>
      <c r="G722" s="14">
        <v>20360685</v>
      </c>
      <c r="H722" s="13" t="s">
        <v>440</v>
      </c>
      <c r="I722" s="13" t="s">
        <v>128</v>
      </c>
      <c r="J722" s="14">
        <v>1</v>
      </c>
      <c r="K722" s="14">
        <v>1</v>
      </c>
      <c r="L722" s="15">
        <v>16.8</v>
      </c>
      <c r="M722" s="15">
        <v>16.8</v>
      </c>
    </row>
    <row r="723" spans="4:13">
      <c r="D723" s="12">
        <v>46115</v>
      </c>
      <c r="E723" s="13">
        <v>1591614</v>
      </c>
      <c r="F723" s="13" t="s">
        <v>15</v>
      </c>
      <c r="G723" s="14">
        <v>20359638</v>
      </c>
      <c r="H723" s="13" t="s">
        <v>411</v>
      </c>
      <c r="I723" s="13" t="s">
        <v>128</v>
      </c>
      <c r="J723" s="14">
        <v>1</v>
      </c>
      <c r="K723" s="14">
        <v>1</v>
      </c>
      <c r="L723" s="15">
        <v>16.8</v>
      </c>
      <c r="M723" s="15">
        <v>16.8</v>
      </c>
    </row>
    <row r="724" spans="4:13">
      <c r="D724" s="12">
        <v>46115</v>
      </c>
      <c r="E724" s="13">
        <v>1591614</v>
      </c>
      <c r="F724" s="13" t="s">
        <v>131</v>
      </c>
      <c r="G724" s="14">
        <v>20412362</v>
      </c>
      <c r="H724" s="13" t="s">
        <v>398</v>
      </c>
      <c r="I724" s="13" t="s">
        <v>221</v>
      </c>
      <c r="J724" s="14">
        <v>1</v>
      </c>
      <c r="K724" s="14">
        <v>2</v>
      </c>
      <c r="L724" s="15">
        <v>26.4</v>
      </c>
      <c r="M724" s="15">
        <v>26.4</v>
      </c>
    </row>
    <row r="725" spans="4:13">
      <c r="D725" s="12">
        <v>46115</v>
      </c>
      <c r="E725" s="13">
        <v>1591614</v>
      </c>
      <c r="F725" s="13" t="s">
        <v>131</v>
      </c>
      <c r="G725" s="14">
        <v>20339097</v>
      </c>
      <c r="H725" s="13" t="s">
        <v>343</v>
      </c>
      <c r="I725" s="13" t="s">
        <v>221</v>
      </c>
      <c r="J725" s="14">
        <v>1</v>
      </c>
      <c r="K725" s="14">
        <v>32</v>
      </c>
      <c r="L725" s="15">
        <v>180</v>
      </c>
      <c r="M725" s="15">
        <f>J725*L725</f>
        <v>180</v>
      </c>
    </row>
    <row r="726" spans="4:13">
      <c r="D726" s="12">
        <v>46115</v>
      </c>
      <c r="E726" s="13">
        <v>1591614</v>
      </c>
      <c r="F726" s="13" t="s">
        <v>131</v>
      </c>
      <c r="G726" s="14">
        <v>20412203</v>
      </c>
      <c r="H726" s="13" t="s">
        <v>375</v>
      </c>
      <c r="I726" s="13" t="s">
        <v>221</v>
      </c>
      <c r="J726" s="14">
        <v>1</v>
      </c>
      <c r="K726" s="14">
        <v>8</v>
      </c>
      <c r="L726" s="15">
        <v>92.4</v>
      </c>
      <c r="M726" s="15">
        <v>92.4</v>
      </c>
    </row>
    <row r="727" spans="4:13">
      <c r="D727" s="12">
        <v>46115</v>
      </c>
      <c r="E727" s="13">
        <v>1591614</v>
      </c>
      <c r="F727" s="13" t="s">
        <v>131</v>
      </c>
      <c r="G727" s="14">
        <v>20312465</v>
      </c>
      <c r="H727" s="13" t="s">
        <v>320</v>
      </c>
      <c r="I727" s="13" t="s">
        <v>221</v>
      </c>
      <c r="J727" s="14">
        <v>1</v>
      </c>
      <c r="K727" s="14">
        <v>27</v>
      </c>
      <c r="L727" s="15">
        <v>180</v>
      </c>
      <c r="M727" s="15">
        <f>J727*L727</f>
        <v>180</v>
      </c>
    </row>
    <row r="728" spans="4:13">
      <c r="D728" s="12">
        <v>46115</v>
      </c>
      <c r="E728" s="13">
        <v>1591614</v>
      </c>
      <c r="F728" s="13" t="s">
        <v>131</v>
      </c>
      <c r="G728" s="14">
        <v>20312767</v>
      </c>
      <c r="H728" s="13" t="s">
        <v>384</v>
      </c>
      <c r="I728" s="13" t="s">
        <v>221</v>
      </c>
      <c r="J728" s="14">
        <v>1</v>
      </c>
      <c r="K728" s="14">
        <v>9</v>
      </c>
      <c r="L728" s="15">
        <v>99</v>
      </c>
      <c r="M728" s="15">
        <v>99</v>
      </c>
    </row>
    <row r="729" spans="4:13">
      <c r="D729" s="12">
        <v>46115</v>
      </c>
      <c r="E729" s="13">
        <v>1591614</v>
      </c>
      <c r="F729" s="13" t="s">
        <v>131</v>
      </c>
      <c r="G729" s="14">
        <v>20314461</v>
      </c>
      <c r="H729" s="13" t="s">
        <v>426</v>
      </c>
      <c r="I729" s="13" t="s">
        <v>221</v>
      </c>
      <c r="J729" s="14">
        <v>1</v>
      </c>
      <c r="K729" s="14">
        <v>26</v>
      </c>
      <c r="L729" s="15">
        <v>180</v>
      </c>
      <c r="M729" s="15">
        <f>J729*L729</f>
        <v>180</v>
      </c>
    </row>
    <row r="730" spans="4:13">
      <c r="D730" s="12">
        <v>46115</v>
      </c>
      <c r="E730" s="13">
        <v>1591614</v>
      </c>
      <c r="F730" s="13" t="s">
        <v>131</v>
      </c>
      <c r="G730" s="14">
        <v>20407365</v>
      </c>
      <c r="H730" s="13" t="s">
        <v>464</v>
      </c>
      <c r="I730" s="13" t="s">
        <v>83</v>
      </c>
      <c r="J730" s="14">
        <v>1</v>
      </c>
      <c r="K730" s="14">
        <v>5</v>
      </c>
      <c r="L730" s="15">
        <v>52.8</v>
      </c>
      <c r="M730" s="15">
        <v>52.8</v>
      </c>
    </row>
    <row r="731" spans="4:13">
      <c r="D731" s="12">
        <v>46115</v>
      </c>
      <c r="E731" s="13">
        <v>1591614</v>
      </c>
      <c r="F731" s="13" t="s">
        <v>131</v>
      </c>
      <c r="G731" s="14">
        <v>20384037</v>
      </c>
      <c r="H731" s="13" t="s">
        <v>376</v>
      </c>
      <c r="I731" s="13" t="s">
        <v>221</v>
      </c>
      <c r="J731" s="14">
        <v>1</v>
      </c>
      <c r="K731" s="14">
        <v>25</v>
      </c>
      <c r="L731" s="15">
        <v>180</v>
      </c>
      <c r="M731" s="15">
        <f>J731*L731</f>
        <v>180</v>
      </c>
    </row>
    <row r="732" spans="4:13">
      <c r="D732" s="12">
        <v>46115</v>
      </c>
      <c r="E732" s="13">
        <v>1591614</v>
      </c>
      <c r="F732" s="13" t="s">
        <v>131</v>
      </c>
      <c r="G732" s="14">
        <v>20314362</v>
      </c>
      <c r="H732" s="13" t="s">
        <v>364</v>
      </c>
      <c r="I732" s="13" t="s">
        <v>221</v>
      </c>
      <c r="J732" s="14">
        <v>1</v>
      </c>
      <c r="K732" s="14">
        <v>27</v>
      </c>
      <c r="L732" s="15">
        <v>180</v>
      </c>
      <c r="M732" s="15">
        <f>J732*L732</f>
        <v>180</v>
      </c>
    </row>
    <row r="733" spans="4:13">
      <c r="D733" s="12">
        <v>46115</v>
      </c>
      <c r="E733" s="13">
        <v>1591614</v>
      </c>
      <c r="F733" s="13" t="s">
        <v>131</v>
      </c>
      <c r="G733" s="14">
        <v>20309658</v>
      </c>
      <c r="H733" s="13" t="s">
        <v>365</v>
      </c>
      <c r="I733" s="13" t="s">
        <v>221</v>
      </c>
      <c r="J733" s="14">
        <v>1</v>
      </c>
      <c r="K733" s="14">
        <v>5</v>
      </c>
      <c r="L733" s="15">
        <v>52.8</v>
      </c>
      <c r="M733" s="15">
        <v>52.8</v>
      </c>
    </row>
    <row r="734" spans="4:13">
      <c r="D734" s="12">
        <v>46115</v>
      </c>
      <c r="E734" s="13">
        <v>1591614</v>
      </c>
      <c r="F734" s="13" t="s">
        <v>131</v>
      </c>
      <c r="G734" s="14">
        <v>20303777</v>
      </c>
      <c r="H734" s="13" t="s">
        <v>351</v>
      </c>
      <c r="I734" s="13" t="s">
        <v>221</v>
      </c>
      <c r="J734" s="14">
        <v>1</v>
      </c>
      <c r="K734" s="14">
        <v>27</v>
      </c>
      <c r="L734" s="15">
        <v>180</v>
      </c>
      <c r="M734" s="15">
        <f>J734*L734</f>
        <v>180</v>
      </c>
    </row>
    <row r="735" spans="4:13">
      <c r="D735" s="12">
        <v>46115</v>
      </c>
      <c r="E735" s="13">
        <v>1591703</v>
      </c>
      <c r="F735" s="13" t="s">
        <v>324</v>
      </c>
      <c r="G735" s="14">
        <v>20303010</v>
      </c>
      <c r="H735" s="13" t="s">
        <v>325</v>
      </c>
      <c r="I735" s="13" t="s">
        <v>326</v>
      </c>
      <c r="J735" s="14">
        <v>1</v>
      </c>
      <c r="K735" s="14">
        <v>25</v>
      </c>
      <c r="L735" s="15">
        <v>82.5</v>
      </c>
      <c r="M735" s="15">
        <v>82.5</v>
      </c>
    </row>
    <row r="736" spans="4:13">
      <c r="D736" s="12">
        <v>46115</v>
      </c>
      <c r="E736" s="13">
        <v>1591703</v>
      </c>
      <c r="F736" s="13" t="s">
        <v>324</v>
      </c>
      <c r="G736" s="14">
        <v>20303022</v>
      </c>
      <c r="H736" s="13" t="s">
        <v>352</v>
      </c>
      <c r="I736" s="13" t="s">
        <v>326</v>
      </c>
      <c r="J736" s="14">
        <v>2</v>
      </c>
      <c r="K736" s="14">
        <v>62</v>
      </c>
      <c r="L736" s="15">
        <v>102.3</v>
      </c>
      <c r="M736" s="15">
        <v>204.6</v>
      </c>
    </row>
    <row r="737" spans="4:13">
      <c r="D737" s="12">
        <v>46115</v>
      </c>
      <c r="E737" s="13">
        <v>1591703</v>
      </c>
      <c r="F737" s="13" t="s">
        <v>324</v>
      </c>
      <c r="G737" s="14">
        <v>20303023</v>
      </c>
      <c r="H737" s="13" t="s">
        <v>335</v>
      </c>
      <c r="I737" s="13" t="s">
        <v>326</v>
      </c>
      <c r="J737" s="14">
        <v>1</v>
      </c>
      <c r="K737" s="14">
        <v>63</v>
      </c>
      <c r="L737" s="15">
        <v>207.9</v>
      </c>
      <c r="M737" s="15">
        <v>207.9</v>
      </c>
    </row>
    <row r="738" spans="4:13">
      <c r="D738" s="12">
        <v>46115</v>
      </c>
      <c r="E738" s="13">
        <v>1591703</v>
      </c>
      <c r="F738" s="13" t="s">
        <v>324</v>
      </c>
      <c r="G738" s="14">
        <v>20306236</v>
      </c>
      <c r="H738" s="13" t="s">
        <v>413</v>
      </c>
      <c r="I738" s="13" t="s">
        <v>347</v>
      </c>
      <c r="J738" s="14">
        <v>1</v>
      </c>
      <c r="K738" s="14">
        <v>17</v>
      </c>
      <c r="L738" s="15">
        <v>56.1</v>
      </c>
      <c r="M738" s="15">
        <v>56.1</v>
      </c>
    </row>
    <row r="739" spans="4:13">
      <c r="D739" s="12">
        <v>46115</v>
      </c>
      <c r="E739" s="13">
        <v>1591703</v>
      </c>
      <c r="F739" s="13" t="s">
        <v>47</v>
      </c>
      <c r="G739" s="14">
        <v>20302998</v>
      </c>
      <c r="H739" s="13" t="s">
        <v>346</v>
      </c>
      <c r="I739" s="13" t="s">
        <v>347</v>
      </c>
      <c r="J739" s="14">
        <v>1</v>
      </c>
      <c r="K739" s="14">
        <v>19</v>
      </c>
      <c r="L739" s="15">
        <v>62.7</v>
      </c>
      <c r="M739" s="15">
        <v>62.7</v>
      </c>
    </row>
    <row r="740" spans="4:13">
      <c r="D740" s="12">
        <v>46115</v>
      </c>
      <c r="E740" s="13">
        <v>1591703</v>
      </c>
      <c r="F740" s="13" t="s">
        <v>47</v>
      </c>
      <c r="G740" s="14">
        <v>20303941</v>
      </c>
      <c r="H740" s="13" t="s">
        <v>348</v>
      </c>
      <c r="I740" s="13" t="s">
        <v>331</v>
      </c>
      <c r="J740" s="14">
        <v>1</v>
      </c>
      <c r="K740" s="14">
        <v>8</v>
      </c>
      <c r="L740" s="15">
        <v>26.4</v>
      </c>
      <c r="M740" s="15">
        <v>26.4</v>
      </c>
    </row>
    <row r="741" spans="4:13">
      <c r="D741" s="12">
        <v>46115</v>
      </c>
      <c r="E741" s="13">
        <v>1591703</v>
      </c>
      <c r="F741" s="13" t="s">
        <v>47</v>
      </c>
      <c r="G741" s="14">
        <v>20306256</v>
      </c>
      <c r="H741" s="13" t="s">
        <v>349</v>
      </c>
      <c r="I741" s="13" t="s">
        <v>83</v>
      </c>
      <c r="J741" s="14">
        <v>1</v>
      </c>
      <c r="K741" s="14">
        <v>22</v>
      </c>
      <c r="L741" s="15">
        <v>72.6</v>
      </c>
      <c r="M741" s="15">
        <v>72.6</v>
      </c>
    </row>
    <row r="742" spans="4:13">
      <c r="D742" s="12">
        <v>46115</v>
      </c>
      <c r="E742" s="13">
        <v>1591703</v>
      </c>
      <c r="F742" s="13" t="s">
        <v>65</v>
      </c>
      <c r="G742" s="14">
        <v>20303836</v>
      </c>
      <c r="H742" s="13" t="s">
        <v>332</v>
      </c>
      <c r="I742" s="13" t="s">
        <v>83</v>
      </c>
      <c r="J742" s="14">
        <v>5</v>
      </c>
      <c r="K742" s="14">
        <v>20</v>
      </c>
      <c r="L742" s="15">
        <v>13.2</v>
      </c>
      <c r="M742" s="15">
        <v>66</v>
      </c>
    </row>
    <row r="743" spans="4:13">
      <c r="D743" s="12">
        <v>46115</v>
      </c>
      <c r="E743" s="13">
        <v>1591781</v>
      </c>
      <c r="F743" s="13" t="s">
        <v>15</v>
      </c>
      <c r="G743" s="14">
        <v>20315046</v>
      </c>
      <c r="H743" s="13" t="s">
        <v>340</v>
      </c>
      <c r="I743" s="13" t="s">
        <v>314</v>
      </c>
      <c r="J743" s="14">
        <v>1</v>
      </c>
      <c r="K743" s="14">
        <v>1</v>
      </c>
      <c r="L743" s="15">
        <v>21</v>
      </c>
      <c r="M743" s="15">
        <v>21</v>
      </c>
    </row>
    <row r="744" spans="4:13">
      <c r="D744" s="12">
        <v>46115</v>
      </c>
      <c r="E744" s="13">
        <v>1591781</v>
      </c>
      <c r="F744" s="13" t="s">
        <v>15</v>
      </c>
      <c r="G744" s="14">
        <v>20314042</v>
      </c>
      <c r="H744" s="13" t="s">
        <v>341</v>
      </c>
      <c r="I744" s="13" t="s">
        <v>128</v>
      </c>
      <c r="J744" s="14">
        <v>1</v>
      </c>
      <c r="K744" s="14">
        <v>1</v>
      </c>
      <c r="L744" s="15">
        <v>16.8</v>
      </c>
      <c r="M744" s="15">
        <v>16.8</v>
      </c>
    </row>
    <row r="745" spans="4:13">
      <c r="D745" s="12">
        <v>46115</v>
      </c>
      <c r="E745" s="13">
        <v>1591781</v>
      </c>
      <c r="F745" s="13" t="s">
        <v>15</v>
      </c>
      <c r="G745" s="14">
        <v>20360685</v>
      </c>
      <c r="H745" s="13" t="s">
        <v>440</v>
      </c>
      <c r="I745" s="13" t="s">
        <v>128</v>
      </c>
      <c r="J745" s="14">
        <v>1</v>
      </c>
      <c r="K745" s="14">
        <v>1</v>
      </c>
      <c r="L745" s="15">
        <v>16.8</v>
      </c>
      <c r="M745" s="15">
        <v>16.8</v>
      </c>
    </row>
    <row r="746" spans="4:13">
      <c r="D746" s="12">
        <v>46115</v>
      </c>
      <c r="E746" s="13">
        <v>1591781</v>
      </c>
      <c r="F746" s="13" t="s">
        <v>131</v>
      </c>
      <c r="G746" s="14">
        <v>20312572</v>
      </c>
      <c r="H746" s="13" t="s">
        <v>366</v>
      </c>
      <c r="I746" s="13" t="s">
        <v>221</v>
      </c>
      <c r="J746" s="14">
        <v>1</v>
      </c>
      <c r="K746" s="14">
        <v>27</v>
      </c>
      <c r="L746" s="15">
        <v>180</v>
      </c>
      <c r="M746" s="15">
        <f>J746*L746</f>
        <v>180</v>
      </c>
    </row>
    <row r="747" spans="4:13">
      <c r="D747" s="12">
        <v>46115</v>
      </c>
      <c r="E747" s="13">
        <v>1591781</v>
      </c>
      <c r="F747" s="13" t="s">
        <v>131</v>
      </c>
      <c r="G747" s="14">
        <v>20412202</v>
      </c>
      <c r="H747" s="13" t="s">
        <v>322</v>
      </c>
      <c r="I747" s="13" t="s">
        <v>221</v>
      </c>
      <c r="J747" s="14">
        <v>1</v>
      </c>
      <c r="K747" s="14">
        <v>23</v>
      </c>
      <c r="L747" s="15">
        <v>180</v>
      </c>
      <c r="M747" s="15">
        <f>J747*L747</f>
        <v>180</v>
      </c>
    </row>
    <row r="748" ht="24" spans="4:13">
      <c r="D748" s="12">
        <v>46115</v>
      </c>
      <c r="E748" s="13">
        <v>1591804</v>
      </c>
      <c r="F748" s="13" t="s">
        <v>324</v>
      </c>
      <c r="G748" s="14">
        <v>20338672</v>
      </c>
      <c r="H748" s="13" t="s">
        <v>412</v>
      </c>
      <c r="I748" s="13" t="s">
        <v>326</v>
      </c>
      <c r="J748" s="14">
        <v>1</v>
      </c>
      <c r="K748" s="14">
        <v>15</v>
      </c>
      <c r="L748" s="15">
        <v>49.5</v>
      </c>
      <c r="M748" s="15">
        <v>49.5</v>
      </c>
    </row>
    <row r="749" spans="4:13">
      <c r="D749" s="12">
        <v>46115</v>
      </c>
      <c r="E749" s="13">
        <v>1591804</v>
      </c>
      <c r="F749" s="13" t="s">
        <v>324</v>
      </c>
      <c r="G749" s="14">
        <v>20303022</v>
      </c>
      <c r="H749" s="13" t="s">
        <v>352</v>
      </c>
      <c r="I749" s="13" t="s">
        <v>326</v>
      </c>
      <c r="J749" s="14">
        <v>2</v>
      </c>
      <c r="K749" s="14">
        <v>62</v>
      </c>
      <c r="L749" s="15">
        <v>102.3</v>
      </c>
      <c r="M749" s="15">
        <v>204.6</v>
      </c>
    </row>
    <row r="750" spans="4:13">
      <c r="D750" s="12">
        <v>46115</v>
      </c>
      <c r="E750" s="13">
        <v>1591804</v>
      </c>
      <c r="F750" s="13" t="s">
        <v>324</v>
      </c>
      <c r="G750" s="14">
        <v>20303023</v>
      </c>
      <c r="H750" s="13" t="s">
        <v>335</v>
      </c>
      <c r="I750" s="13" t="s">
        <v>326</v>
      </c>
      <c r="J750" s="14">
        <v>1</v>
      </c>
      <c r="K750" s="14">
        <v>63</v>
      </c>
      <c r="L750" s="15">
        <v>207.9</v>
      </c>
      <c r="M750" s="15">
        <v>207.9</v>
      </c>
    </row>
    <row r="751" spans="4:13">
      <c r="D751" s="12">
        <v>46115</v>
      </c>
      <c r="E751" s="13">
        <v>1591804</v>
      </c>
      <c r="F751" s="13" t="s">
        <v>324</v>
      </c>
      <c r="G751" s="14">
        <v>20303029</v>
      </c>
      <c r="H751" s="13" t="s">
        <v>337</v>
      </c>
      <c r="I751" s="13" t="s">
        <v>326</v>
      </c>
      <c r="J751" s="14">
        <v>2</v>
      </c>
      <c r="K751" s="14">
        <v>94</v>
      </c>
      <c r="L751" s="15">
        <v>155.1</v>
      </c>
      <c r="M751" s="15">
        <v>310.2</v>
      </c>
    </row>
    <row r="752" spans="4:13">
      <c r="D752" s="12">
        <v>46115</v>
      </c>
      <c r="E752" s="13">
        <v>1591804</v>
      </c>
      <c r="F752" s="13" t="s">
        <v>163</v>
      </c>
      <c r="G752" s="14">
        <v>20303912</v>
      </c>
      <c r="H752" s="13" t="s">
        <v>329</v>
      </c>
      <c r="I752" s="13" t="s">
        <v>83</v>
      </c>
      <c r="J752" s="14">
        <v>1</v>
      </c>
      <c r="K752" s="14">
        <v>5</v>
      </c>
      <c r="L752" s="15">
        <v>16.5</v>
      </c>
      <c r="M752" s="15">
        <v>16.5</v>
      </c>
    </row>
    <row r="753" spans="4:13">
      <c r="D753" s="12">
        <v>46115</v>
      </c>
      <c r="E753" s="13">
        <v>1591804</v>
      </c>
      <c r="F753" s="13" t="s">
        <v>20</v>
      </c>
      <c r="G753" s="14">
        <v>20305028</v>
      </c>
      <c r="H753" s="13" t="s">
        <v>432</v>
      </c>
      <c r="I753" s="13" t="s">
        <v>29</v>
      </c>
      <c r="J753" s="14">
        <v>1</v>
      </c>
      <c r="K753" s="14">
        <v>1</v>
      </c>
      <c r="L753" s="15">
        <v>4.8</v>
      </c>
      <c r="M753" s="15">
        <v>4.8</v>
      </c>
    </row>
    <row r="754" spans="4:13">
      <c r="D754" s="12">
        <v>46115</v>
      </c>
      <c r="E754" s="13">
        <v>1591804</v>
      </c>
      <c r="F754" s="13" t="s">
        <v>20</v>
      </c>
      <c r="G754" s="14">
        <v>20307293</v>
      </c>
      <c r="H754" s="13" t="s">
        <v>211</v>
      </c>
      <c r="I754" s="13" t="s">
        <v>22</v>
      </c>
      <c r="J754" s="14">
        <v>1</v>
      </c>
      <c r="K754" s="14">
        <v>2</v>
      </c>
      <c r="L754" s="15">
        <v>8.1</v>
      </c>
      <c r="M754" s="15">
        <v>8.1</v>
      </c>
    </row>
    <row r="755" spans="4:13">
      <c r="D755" s="12">
        <v>46115</v>
      </c>
      <c r="E755" s="13">
        <v>1591804</v>
      </c>
      <c r="F755" s="13" t="s">
        <v>20</v>
      </c>
      <c r="G755" s="14">
        <v>20304006</v>
      </c>
      <c r="H755" s="13" t="s">
        <v>435</v>
      </c>
      <c r="I755" s="13" t="s">
        <v>55</v>
      </c>
      <c r="J755" s="14">
        <v>1</v>
      </c>
      <c r="K755" s="14">
        <v>1</v>
      </c>
      <c r="L755" s="15">
        <v>9.9</v>
      </c>
      <c r="M755" s="15">
        <v>9.9</v>
      </c>
    </row>
    <row r="756" spans="4:13">
      <c r="D756" s="12">
        <v>46115</v>
      </c>
      <c r="E756" s="13">
        <v>1591804</v>
      </c>
      <c r="F756" s="13" t="s">
        <v>15</v>
      </c>
      <c r="G756" s="14">
        <v>20358909</v>
      </c>
      <c r="H756" s="13" t="s">
        <v>407</v>
      </c>
      <c r="I756" s="13" t="s">
        <v>408</v>
      </c>
      <c r="J756" s="14">
        <v>1</v>
      </c>
      <c r="K756" s="14">
        <v>1</v>
      </c>
      <c r="L756" s="15">
        <v>16.8</v>
      </c>
      <c r="M756" s="15">
        <v>16.8</v>
      </c>
    </row>
    <row r="757" spans="4:13">
      <c r="D757" s="12">
        <v>46115</v>
      </c>
      <c r="E757" s="13">
        <v>1591804</v>
      </c>
      <c r="F757" s="13" t="s">
        <v>131</v>
      </c>
      <c r="G757" s="14">
        <v>20309648</v>
      </c>
      <c r="H757" s="13" t="s">
        <v>363</v>
      </c>
      <c r="I757" s="13" t="s">
        <v>221</v>
      </c>
      <c r="J757" s="14">
        <v>1</v>
      </c>
      <c r="K757" s="14">
        <v>14</v>
      </c>
      <c r="L757" s="15">
        <v>138.6</v>
      </c>
      <c r="M757" s="15">
        <v>138.6</v>
      </c>
    </row>
    <row r="758" spans="4:13">
      <c r="D758" s="12">
        <v>46115</v>
      </c>
      <c r="E758" s="13">
        <v>1591804</v>
      </c>
      <c r="F758" s="13" t="s">
        <v>47</v>
      </c>
      <c r="G758" s="14">
        <v>20303011</v>
      </c>
      <c r="H758" s="13" t="s">
        <v>330</v>
      </c>
      <c r="I758" s="13" t="s">
        <v>331</v>
      </c>
      <c r="J758" s="14">
        <v>1</v>
      </c>
      <c r="K758" s="14">
        <v>26</v>
      </c>
      <c r="L758" s="15">
        <v>85.8</v>
      </c>
      <c r="M758" s="15">
        <v>85.8</v>
      </c>
    </row>
    <row r="759" spans="4:13">
      <c r="D759" s="12">
        <v>46115</v>
      </c>
      <c r="E759" s="13">
        <v>1591804</v>
      </c>
      <c r="F759" s="13" t="s">
        <v>47</v>
      </c>
      <c r="G759" s="14">
        <v>20303035</v>
      </c>
      <c r="H759" s="13" t="s">
        <v>400</v>
      </c>
      <c r="I759" s="13" t="s">
        <v>331</v>
      </c>
      <c r="J759" s="14">
        <v>1</v>
      </c>
      <c r="K759" s="14">
        <v>22</v>
      </c>
      <c r="L759" s="15">
        <v>72.6</v>
      </c>
      <c r="M759" s="15">
        <v>72.6</v>
      </c>
    </row>
    <row r="760" spans="4:13">
      <c r="D760" s="12">
        <v>46115</v>
      </c>
      <c r="E760" s="13">
        <v>1591804</v>
      </c>
      <c r="F760" s="13" t="s">
        <v>385</v>
      </c>
      <c r="G760" s="14">
        <v>20349421</v>
      </c>
      <c r="H760" s="13" t="s">
        <v>386</v>
      </c>
      <c r="I760" s="13" t="s">
        <v>221</v>
      </c>
      <c r="J760" s="14">
        <v>1</v>
      </c>
      <c r="K760" s="14">
        <v>2</v>
      </c>
      <c r="L760" s="15">
        <v>26.4</v>
      </c>
      <c r="M760" s="15">
        <v>26.4</v>
      </c>
    </row>
    <row r="761" spans="4:13">
      <c r="D761" s="12">
        <v>46115</v>
      </c>
      <c r="E761" s="13">
        <v>1591804</v>
      </c>
      <c r="F761" s="13" t="s">
        <v>65</v>
      </c>
      <c r="G761" s="14">
        <v>20303836</v>
      </c>
      <c r="H761" s="13" t="s">
        <v>332</v>
      </c>
      <c r="I761" s="13" t="s">
        <v>83</v>
      </c>
      <c r="J761" s="14">
        <v>6</v>
      </c>
      <c r="K761" s="14">
        <v>24</v>
      </c>
      <c r="L761" s="15">
        <v>13.2</v>
      </c>
      <c r="M761" s="15">
        <v>79.2</v>
      </c>
    </row>
    <row r="762" spans="4:13">
      <c r="D762" s="12">
        <v>46115</v>
      </c>
      <c r="E762" s="13">
        <v>1591804</v>
      </c>
      <c r="F762" s="13" t="s">
        <v>65</v>
      </c>
      <c r="G762" s="14">
        <v>20310863</v>
      </c>
      <c r="H762" s="13" t="s">
        <v>333</v>
      </c>
      <c r="I762" s="13" t="s">
        <v>49</v>
      </c>
      <c r="J762" s="14">
        <v>1</v>
      </c>
      <c r="K762" s="14">
        <v>1</v>
      </c>
      <c r="L762" s="15">
        <v>9.9</v>
      </c>
      <c r="M762" s="15">
        <v>9.9</v>
      </c>
    </row>
    <row r="763" spans="4:13">
      <c r="D763" s="12">
        <v>46115</v>
      </c>
      <c r="E763" s="13">
        <v>1591804</v>
      </c>
      <c r="F763" s="13" t="s">
        <v>65</v>
      </c>
      <c r="G763" s="14">
        <v>20327614</v>
      </c>
      <c r="H763" s="13" t="s">
        <v>350</v>
      </c>
      <c r="I763" s="13" t="s">
        <v>44</v>
      </c>
      <c r="J763" s="14">
        <v>1</v>
      </c>
      <c r="K763" s="14">
        <v>6</v>
      </c>
      <c r="L763" s="15">
        <v>19.8</v>
      </c>
      <c r="M763" s="15">
        <v>19.8</v>
      </c>
    </row>
    <row r="764" spans="4:13">
      <c r="D764" s="12">
        <v>46115</v>
      </c>
      <c r="E764" s="13">
        <v>1591874</v>
      </c>
      <c r="F764" s="13" t="s">
        <v>324</v>
      </c>
      <c r="G764" s="14">
        <v>20303025</v>
      </c>
      <c r="H764" s="13" t="s">
        <v>336</v>
      </c>
      <c r="I764" s="13" t="s">
        <v>326</v>
      </c>
      <c r="J764" s="14">
        <v>1</v>
      </c>
      <c r="K764" s="14">
        <v>47</v>
      </c>
      <c r="L764" s="15">
        <v>155.1</v>
      </c>
      <c r="M764" s="15">
        <v>155.1</v>
      </c>
    </row>
    <row r="765" spans="4:13">
      <c r="D765" s="12">
        <v>46115</v>
      </c>
      <c r="E765" s="13">
        <v>1591874</v>
      </c>
      <c r="F765" s="13" t="s">
        <v>15</v>
      </c>
      <c r="G765" s="14">
        <v>20361239</v>
      </c>
      <c r="H765" s="13" t="s">
        <v>382</v>
      </c>
      <c r="I765" s="13" t="s">
        <v>383</v>
      </c>
      <c r="J765" s="14">
        <v>1</v>
      </c>
      <c r="K765" s="14">
        <v>10</v>
      </c>
      <c r="L765" s="15">
        <v>99</v>
      </c>
      <c r="M765" s="15">
        <v>99</v>
      </c>
    </row>
    <row r="766" spans="4:13">
      <c r="D766" s="12">
        <v>46115</v>
      </c>
      <c r="E766" s="13">
        <v>1591874</v>
      </c>
      <c r="F766" s="13" t="s">
        <v>15</v>
      </c>
      <c r="G766" s="14">
        <v>20310030</v>
      </c>
      <c r="H766" s="13" t="s">
        <v>424</v>
      </c>
      <c r="I766" s="13" t="s">
        <v>128</v>
      </c>
      <c r="J766" s="14">
        <v>1</v>
      </c>
      <c r="K766" s="14">
        <v>2</v>
      </c>
      <c r="L766" s="15">
        <v>26.4</v>
      </c>
      <c r="M766" s="15">
        <v>26.4</v>
      </c>
    </row>
    <row r="767" spans="4:13">
      <c r="D767" s="12">
        <v>46115</v>
      </c>
      <c r="E767" s="13">
        <v>1591874</v>
      </c>
      <c r="F767" s="13" t="s">
        <v>131</v>
      </c>
      <c r="G767" s="14">
        <v>20309648</v>
      </c>
      <c r="H767" s="13" t="s">
        <v>363</v>
      </c>
      <c r="I767" s="13" t="s">
        <v>221</v>
      </c>
      <c r="J767" s="14">
        <v>1</v>
      </c>
      <c r="K767" s="14">
        <v>14</v>
      </c>
      <c r="L767" s="15">
        <v>138.6</v>
      </c>
      <c r="M767" s="15">
        <v>138.6</v>
      </c>
    </row>
    <row r="768" spans="4:13">
      <c r="D768" s="12">
        <v>46115</v>
      </c>
      <c r="E768" s="13">
        <v>1591874</v>
      </c>
      <c r="F768" s="13" t="s">
        <v>131</v>
      </c>
      <c r="G768" s="14">
        <v>20312465</v>
      </c>
      <c r="H768" s="13" t="s">
        <v>320</v>
      </c>
      <c r="I768" s="13" t="s">
        <v>221</v>
      </c>
      <c r="J768" s="14">
        <v>1</v>
      </c>
      <c r="K768" s="14">
        <v>27</v>
      </c>
      <c r="L768" s="15">
        <v>180</v>
      </c>
      <c r="M768" s="15">
        <f>J768*L768</f>
        <v>180</v>
      </c>
    </row>
    <row r="769" spans="4:13">
      <c r="D769" s="12">
        <v>46115</v>
      </c>
      <c r="E769" s="13">
        <v>1591889</v>
      </c>
      <c r="F769" s="13" t="s">
        <v>324</v>
      </c>
      <c r="G769" s="14">
        <v>20303029</v>
      </c>
      <c r="H769" s="13" t="s">
        <v>337</v>
      </c>
      <c r="I769" s="13" t="s">
        <v>326</v>
      </c>
      <c r="J769" s="14">
        <v>1</v>
      </c>
      <c r="K769" s="14">
        <v>47</v>
      </c>
      <c r="L769" s="15">
        <v>155.1</v>
      </c>
      <c r="M769" s="15">
        <v>155.1</v>
      </c>
    </row>
    <row r="770" spans="4:13">
      <c r="D770" s="12">
        <v>46115</v>
      </c>
      <c r="E770" s="13">
        <v>1591889</v>
      </c>
      <c r="F770" s="13" t="s">
        <v>324</v>
      </c>
      <c r="G770" s="14">
        <v>20303052</v>
      </c>
      <c r="H770" s="13" t="s">
        <v>388</v>
      </c>
      <c r="I770" s="13" t="s">
        <v>326</v>
      </c>
      <c r="J770" s="14">
        <v>1</v>
      </c>
      <c r="K770" s="14">
        <v>30</v>
      </c>
      <c r="L770" s="15">
        <v>99</v>
      </c>
      <c r="M770" s="15">
        <v>99</v>
      </c>
    </row>
    <row r="771" spans="4:13">
      <c r="D771" s="12">
        <v>46115</v>
      </c>
      <c r="E771" s="13">
        <v>1591889</v>
      </c>
      <c r="F771" s="13" t="s">
        <v>324</v>
      </c>
      <c r="G771" s="14">
        <v>20303053</v>
      </c>
      <c r="H771" s="13" t="s">
        <v>389</v>
      </c>
      <c r="I771" s="13" t="s">
        <v>326</v>
      </c>
      <c r="J771" s="14">
        <v>1</v>
      </c>
      <c r="K771" s="14">
        <v>26</v>
      </c>
      <c r="L771" s="15">
        <v>85.8</v>
      </c>
      <c r="M771" s="15">
        <v>85.8</v>
      </c>
    </row>
    <row r="772" spans="4:13">
      <c r="D772" s="12">
        <v>46115</v>
      </c>
      <c r="E772" s="13">
        <v>1591889</v>
      </c>
      <c r="F772" s="13" t="s">
        <v>20</v>
      </c>
      <c r="G772" s="14">
        <v>20307293</v>
      </c>
      <c r="H772" s="13" t="s">
        <v>211</v>
      </c>
      <c r="I772" s="13" t="s">
        <v>22</v>
      </c>
      <c r="J772" s="14">
        <v>1</v>
      </c>
      <c r="K772" s="14">
        <v>2</v>
      </c>
      <c r="L772" s="15">
        <v>8.1</v>
      </c>
      <c r="M772" s="15">
        <v>8.1</v>
      </c>
    </row>
    <row r="773" spans="4:13">
      <c r="D773" s="12">
        <v>46115</v>
      </c>
      <c r="E773" s="13">
        <v>1591889</v>
      </c>
      <c r="F773" s="13" t="s">
        <v>15</v>
      </c>
      <c r="G773" s="14">
        <v>20315046</v>
      </c>
      <c r="H773" s="13" t="s">
        <v>340</v>
      </c>
      <c r="I773" s="13" t="s">
        <v>314</v>
      </c>
      <c r="J773" s="14">
        <v>1</v>
      </c>
      <c r="K773" s="14">
        <v>1</v>
      </c>
      <c r="L773" s="15">
        <v>21</v>
      </c>
      <c r="M773" s="15">
        <v>21</v>
      </c>
    </row>
    <row r="774" spans="4:13">
      <c r="D774" s="12">
        <v>46115</v>
      </c>
      <c r="E774" s="13">
        <v>1591889</v>
      </c>
      <c r="F774" s="13" t="s">
        <v>15</v>
      </c>
      <c r="G774" s="14">
        <v>20370421</v>
      </c>
      <c r="H774" s="13" t="s">
        <v>380</v>
      </c>
      <c r="I774" s="13" t="s">
        <v>381</v>
      </c>
      <c r="J774" s="14">
        <v>1</v>
      </c>
      <c r="K774" s="14">
        <v>2</v>
      </c>
      <c r="L774" s="15">
        <v>26.4</v>
      </c>
      <c r="M774" s="15">
        <v>26.4</v>
      </c>
    </row>
    <row r="775" spans="4:13">
      <c r="D775" s="12">
        <v>46115</v>
      </c>
      <c r="E775" s="13">
        <v>1591889</v>
      </c>
      <c r="F775" s="13" t="s">
        <v>15</v>
      </c>
      <c r="G775" s="14">
        <v>20359780</v>
      </c>
      <c r="H775" s="13" t="s">
        <v>372</v>
      </c>
      <c r="I775" s="13" t="s">
        <v>319</v>
      </c>
      <c r="J775" s="14">
        <v>1</v>
      </c>
      <c r="K775" s="14">
        <v>1</v>
      </c>
      <c r="L775" s="15">
        <v>13.2</v>
      </c>
      <c r="M775" s="15">
        <v>13.2</v>
      </c>
    </row>
    <row r="776" spans="4:13">
      <c r="D776" s="12">
        <v>46115</v>
      </c>
      <c r="E776" s="13">
        <v>1591889</v>
      </c>
      <c r="F776" s="13" t="s">
        <v>15</v>
      </c>
      <c r="G776" s="14">
        <v>20360685</v>
      </c>
      <c r="H776" s="13" t="s">
        <v>440</v>
      </c>
      <c r="I776" s="13" t="s">
        <v>128</v>
      </c>
      <c r="J776" s="14">
        <v>1</v>
      </c>
      <c r="K776" s="14">
        <v>1</v>
      </c>
      <c r="L776" s="15">
        <v>16.8</v>
      </c>
      <c r="M776" s="15">
        <v>16.8</v>
      </c>
    </row>
    <row r="777" spans="4:13">
      <c r="D777" s="12">
        <v>46115</v>
      </c>
      <c r="E777" s="13">
        <v>1591889</v>
      </c>
      <c r="F777" s="13" t="s">
        <v>131</v>
      </c>
      <c r="G777" s="14">
        <v>20412362</v>
      </c>
      <c r="H777" s="13" t="s">
        <v>398</v>
      </c>
      <c r="I777" s="13" t="s">
        <v>221</v>
      </c>
      <c r="J777" s="14">
        <v>1</v>
      </c>
      <c r="K777" s="14">
        <v>2</v>
      </c>
      <c r="L777" s="15">
        <v>26.4</v>
      </c>
      <c r="M777" s="15">
        <v>26.4</v>
      </c>
    </row>
    <row r="778" spans="4:13">
      <c r="D778" s="12">
        <v>46115</v>
      </c>
      <c r="E778" s="13">
        <v>1591889</v>
      </c>
      <c r="F778" s="13" t="s">
        <v>131</v>
      </c>
      <c r="G778" s="14">
        <v>20339097</v>
      </c>
      <c r="H778" s="13" t="s">
        <v>343</v>
      </c>
      <c r="I778" s="13" t="s">
        <v>221</v>
      </c>
      <c r="J778" s="14">
        <v>1</v>
      </c>
      <c r="K778" s="14">
        <v>32</v>
      </c>
      <c r="L778" s="15">
        <v>180</v>
      </c>
      <c r="M778" s="15">
        <f>J778*L778</f>
        <v>180</v>
      </c>
    </row>
    <row r="779" spans="4:13">
      <c r="D779" s="12">
        <v>46115</v>
      </c>
      <c r="E779" s="13">
        <v>1591889</v>
      </c>
      <c r="F779" s="13" t="s">
        <v>131</v>
      </c>
      <c r="G779" s="14">
        <v>20312767</v>
      </c>
      <c r="H779" s="13" t="s">
        <v>384</v>
      </c>
      <c r="I779" s="13" t="s">
        <v>221</v>
      </c>
      <c r="J779" s="14">
        <v>1</v>
      </c>
      <c r="K779" s="14">
        <v>9</v>
      </c>
      <c r="L779" s="15">
        <v>99</v>
      </c>
      <c r="M779" s="15">
        <v>99</v>
      </c>
    </row>
    <row r="780" spans="4:13">
      <c r="D780" s="12">
        <v>46115</v>
      </c>
      <c r="E780" s="13">
        <v>1591889</v>
      </c>
      <c r="F780" s="13" t="s">
        <v>131</v>
      </c>
      <c r="G780" s="14">
        <v>20407365</v>
      </c>
      <c r="H780" s="13" t="s">
        <v>464</v>
      </c>
      <c r="I780" s="13" t="s">
        <v>83</v>
      </c>
      <c r="J780" s="14">
        <v>1</v>
      </c>
      <c r="K780" s="14">
        <v>5</v>
      </c>
      <c r="L780" s="15">
        <v>52.8</v>
      </c>
      <c r="M780" s="15">
        <v>52.8</v>
      </c>
    </row>
    <row r="781" spans="4:13">
      <c r="D781" s="12">
        <v>46115</v>
      </c>
      <c r="E781" s="13">
        <v>1591889</v>
      </c>
      <c r="F781" s="13" t="s">
        <v>131</v>
      </c>
      <c r="G781" s="14">
        <v>20314362</v>
      </c>
      <c r="H781" s="13" t="s">
        <v>364</v>
      </c>
      <c r="I781" s="13" t="s">
        <v>221</v>
      </c>
      <c r="J781" s="14">
        <v>1</v>
      </c>
      <c r="K781" s="14">
        <v>27</v>
      </c>
      <c r="L781" s="15">
        <v>180</v>
      </c>
      <c r="M781" s="15">
        <f>J781*L781</f>
        <v>180</v>
      </c>
    </row>
    <row r="782" spans="4:13">
      <c r="D782" s="12">
        <v>46115</v>
      </c>
      <c r="E782" s="13">
        <v>1591889</v>
      </c>
      <c r="F782" s="13" t="s">
        <v>131</v>
      </c>
      <c r="G782" s="14">
        <v>20309658</v>
      </c>
      <c r="H782" s="13" t="s">
        <v>365</v>
      </c>
      <c r="I782" s="13" t="s">
        <v>221</v>
      </c>
      <c r="J782" s="14">
        <v>1</v>
      </c>
      <c r="K782" s="14">
        <v>5</v>
      </c>
      <c r="L782" s="15">
        <v>52.8</v>
      </c>
      <c r="M782" s="15">
        <v>52.8</v>
      </c>
    </row>
    <row r="783" spans="4:13">
      <c r="D783" s="12">
        <v>46115</v>
      </c>
      <c r="E783" s="13">
        <v>1591889</v>
      </c>
      <c r="F783" s="13" t="s">
        <v>131</v>
      </c>
      <c r="G783" s="14">
        <v>20412194</v>
      </c>
      <c r="H783" s="13" t="s">
        <v>315</v>
      </c>
      <c r="I783" s="13" t="s">
        <v>221</v>
      </c>
      <c r="J783" s="14">
        <v>1</v>
      </c>
      <c r="K783" s="14">
        <v>22</v>
      </c>
      <c r="L783" s="15">
        <v>180</v>
      </c>
      <c r="M783" s="15">
        <f>J783*L783</f>
        <v>180</v>
      </c>
    </row>
    <row r="784" spans="4:13">
      <c r="D784" s="12">
        <v>46115</v>
      </c>
      <c r="E784" s="13">
        <v>1591964</v>
      </c>
      <c r="F784" s="13" t="s">
        <v>378</v>
      </c>
      <c r="G784" s="14">
        <v>20310012</v>
      </c>
      <c r="H784" s="13" t="s">
        <v>379</v>
      </c>
      <c r="I784" s="13" t="s">
        <v>2</v>
      </c>
      <c r="J784" s="14">
        <v>7</v>
      </c>
      <c r="K784" s="14">
        <v>0</v>
      </c>
      <c r="L784" s="15">
        <v>15</v>
      </c>
      <c r="M784" s="15">
        <v>105</v>
      </c>
    </row>
    <row r="785" spans="4:13">
      <c r="D785" s="12">
        <v>46115</v>
      </c>
      <c r="E785" s="13">
        <v>1591979</v>
      </c>
      <c r="F785" s="13" t="s">
        <v>324</v>
      </c>
      <c r="G785" s="14">
        <v>20303008</v>
      </c>
      <c r="H785" s="13" t="s">
        <v>465</v>
      </c>
      <c r="I785" s="13" t="s">
        <v>326</v>
      </c>
      <c r="J785" s="14">
        <v>1</v>
      </c>
      <c r="K785" s="14">
        <v>11</v>
      </c>
      <c r="L785" s="15">
        <v>36.3</v>
      </c>
      <c r="M785" s="15">
        <v>36.3</v>
      </c>
    </row>
    <row r="786" spans="4:13">
      <c r="D786" s="12">
        <v>46115</v>
      </c>
      <c r="E786" s="13">
        <v>1591979</v>
      </c>
      <c r="F786" s="13" t="s">
        <v>324</v>
      </c>
      <c r="G786" s="14">
        <v>20303010</v>
      </c>
      <c r="H786" s="13" t="s">
        <v>325</v>
      </c>
      <c r="I786" s="13" t="s">
        <v>326</v>
      </c>
      <c r="J786" s="14">
        <v>2</v>
      </c>
      <c r="K786" s="14">
        <v>50</v>
      </c>
      <c r="L786" s="15">
        <v>82.5</v>
      </c>
      <c r="M786" s="15">
        <v>165</v>
      </c>
    </row>
    <row r="787" spans="4:13">
      <c r="D787" s="12">
        <v>46115</v>
      </c>
      <c r="E787" s="13">
        <v>1591979</v>
      </c>
      <c r="F787" s="13" t="s">
        <v>324</v>
      </c>
      <c r="G787" s="14">
        <v>20303022</v>
      </c>
      <c r="H787" s="13" t="s">
        <v>352</v>
      </c>
      <c r="I787" s="13" t="s">
        <v>326</v>
      </c>
      <c r="J787" s="14">
        <v>4</v>
      </c>
      <c r="K787" s="14">
        <v>124</v>
      </c>
      <c r="L787" s="15">
        <v>102.3</v>
      </c>
      <c r="M787" s="15">
        <v>409.2</v>
      </c>
    </row>
    <row r="788" spans="4:13">
      <c r="D788" s="12">
        <v>46115</v>
      </c>
      <c r="E788" s="13">
        <v>1591979</v>
      </c>
      <c r="F788" s="13" t="s">
        <v>324</v>
      </c>
      <c r="G788" s="14">
        <v>20303023</v>
      </c>
      <c r="H788" s="13" t="s">
        <v>335</v>
      </c>
      <c r="I788" s="13" t="s">
        <v>326</v>
      </c>
      <c r="J788" s="14">
        <v>1</v>
      </c>
      <c r="K788" s="14">
        <v>63</v>
      </c>
      <c r="L788" s="15">
        <v>207.9</v>
      </c>
      <c r="M788" s="15">
        <v>207.9</v>
      </c>
    </row>
    <row r="789" spans="4:13">
      <c r="D789" s="12">
        <v>46115</v>
      </c>
      <c r="E789" s="13">
        <v>1591979</v>
      </c>
      <c r="F789" s="13" t="s">
        <v>324</v>
      </c>
      <c r="G789" s="14">
        <v>20303025</v>
      </c>
      <c r="H789" s="13" t="s">
        <v>336</v>
      </c>
      <c r="I789" s="13" t="s">
        <v>326</v>
      </c>
      <c r="J789" s="14">
        <v>1</v>
      </c>
      <c r="K789" s="14">
        <v>47</v>
      </c>
      <c r="L789" s="15">
        <v>155.1</v>
      </c>
      <c r="M789" s="15">
        <v>155.1</v>
      </c>
    </row>
    <row r="790" spans="4:13">
      <c r="D790" s="12">
        <v>46115</v>
      </c>
      <c r="E790" s="13">
        <v>1591979</v>
      </c>
      <c r="F790" s="13" t="s">
        <v>324</v>
      </c>
      <c r="G790" s="14">
        <v>20303028</v>
      </c>
      <c r="H790" s="13" t="s">
        <v>492</v>
      </c>
      <c r="I790" s="13" t="s">
        <v>326</v>
      </c>
      <c r="J790" s="14">
        <v>1</v>
      </c>
      <c r="K790" s="14">
        <v>27</v>
      </c>
      <c r="L790" s="15">
        <v>89.1</v>
      </c>
      <c r="M790" s="15">
        <v>89.1</v>
      </c>
    </row>
    <row r="791" spans="4:13">
      <c r="D791" s="12">
        <v>46115</v>
      </c>
      <c r="E791" s="13">
        <v>1591979</v>
      </c>
      <c r="F791" s="13" t="s">
        <v>324</v>
      </c>
      <c r="G791" s="14">
        <v>20303029</v>
      </c>
      <c r="H791" s="13" t="s">
        <v>337</v>
      </c>
      <c r="I791" s="13" t="s">
        <v>326</v>
      </c>
      <c r="J791" s="14">
        <v>1</v>
      </c>
      <c r="K791" s="14">
        <v>47</v>
      </c>
      <c r="L791" s="15">
        <v>155.1</v>
      </c>
      <c r="M791" s="15">
        <v>155.1</v>
      </c>
    </row>
    <row r="792" spans="4:13">
      <c r="D792" s="12">
        <v>46115</v>
      </c>
      <c r="E792" s="13">
        <v>1591979</v>
      </c>
      <c r="F792" s="13" t="s">
        <v>324</v>
      </c>
      <c r="G792" s="14">
        <v>20309825</v>
      </c>
      <c r="H792" s="13" t="s">
        <v>466</v>
      </c>
      <c r="I792" s="13" t="s">
        <v>326</v>
      </c>
      <c r="J792" s="14">
        <v>1</v>
      </c>
      <c r="K792" s="14">
        <v>32</v>
      </c>
      <c r="L792" s="15">
        <v>105.6</v>
      </c>
      <c r="M792" s="15">
        <v>105.6</v>
      </c>
    </row>
    <row r="793" spans="4:13">
      <c r="D793" s="12">
        <v>46115</v>
      </c>
      <c r="E793" s="13">
        <v>1591979</v>
      </c>
      <c r="F793" s="13" t="s">
        <v>324</v>
      </c>
      <c r="G793" s="14">
        <v>20332470</v>
      </c>
      <c r="H793" s="13" t="s">
        <v>455</v>
      </c>
      <c r="I793" s="13" t="s">
        <v>62</v>
      </c>
      <c r="J793" s="14">
        <v>1</v>
      </c>
      <c r="K793" s="14">
        <v>11</v>
      </c>
      <c r="L793" s="15">
        <v>36.3</v>
      </c>
      <c r="M793" s="15">
        <v>36.3</v>
      </c>
    </row>
    <row r="794" spans="4:13">
      <c r="D794" s="12">
        <v>46115</v>
      </c>
      <c r="E794" s="13">
        <v>1591979</v>
      </c>
      <c r="F794" s="13" t="s">
        <v>324</v>
      </c>
      <c r="G794" s="14">
        <v>20303052</v>
      </c>
      <c r="H794" s="13" t="s">
        <v>388</v>
      </c>
      <c r="I794" s="13" t="s">
        <v>326</v>
      </c>
      <c r="J794" s="14">
        <v>1</v>
      </c>
      <c r="K794" s="14">
        <v>30</v>
      </c>
      <c r="L794" s="15">
        <v>99</v>
      </c>
      <c r="M794" s="15">
        <v>99</v>
      </c>
    </row>
    <row r="795" spans="4:13">
      <c r="D795" s="12">
        <v>46115</v>
      </c>
      <c r="E795" s="13">
        <v>1591979</v>
      </c>
      <c r="F795" s="13" t="s">
        <v>324</v>
      </c>
      <c r="G795" s="14">
        <v>20303054</v>
      </c>
      <c r="H795" s="13" t="s">
        <v>414</v>
      </c>
      <c r="I795" s="13" t="s">
        <v>326</v>
      </c>
      <c r="J795" s="14">
        <v>1</v>
      </c>
      <c r="K795" s="14">
        <v>18</v>
      </c>
      <c r="L795" s="15">
        <v>59.4</v>
      </c>
      <c r="M795" s="15">
        <v>59.4</v>
      </c>
    </row>
    <row r="796" spans="4:13">
      <c r="D796" s="12">
        <v>46115</v>
      </c>
      <c r="E796" s="13">
        <v>1591979</v>
      </c>
      <c r="F796" s="13" t="s">
        <v>324</v>
      </c>
      <c r="G796" s="14">
        <v>20303058</v>
      </c>
      <c r="H796" s="13" t="s">
        <v>338</v>
      </c>
      <c r="I796" s="13" t="s">
        <v>326</v>
      </c>
      <c r="J796" s="14">
        <v>1</v>
      </c>
      <c r="K796" s="14">
        <v>57</v>
      </c>
      <c r="L796" s="15">
        <v>188.1</v>
      </c>
      <c r="M796" s="15">
        <v>188.1</v>
      </c>
    </row>
    <row r="797" spans="4:13">
      <c r="D797" s="12">
        <v>46115</v>
      </c>
      <c r="E797" s="13">
        <v>1591979</v>
      </c>
      <c r="F797" s="13" t="s">
        <v>163</v>
      </c>
      <c r="G797" s="14">
        <v>20303912</v>
      </c>
      <c r="H797" s="13" t="s">
        <v>329</v>
      </c>
      <c r="I797" s="13" t="s">
        <v>83</v>
      </c>
      <c r="J797" s="14">
        <v>1</v>
      </c>
      <c r="K797" s="14">
        <v>5</v>
      </c>
      <c r="L797" s="15">
        <v>16.5</v>
      </c>
      <c r="M797" s="15">
        <v>16.5</v>
      </c>
    </row>
    <row r="798" spans="4:13">
      <c r="D798" s="12">
        <v>46115</v>
      </c>
      <c r="E798" s="13">
        <v>1591979</v>
      </c>
      <c r="F798" s="13" t="s">
        <v>20</v>
      </c>
      <c r="G798" s="14">
        <v>20303954</v>
      </c>
      <c r="H798" s="13" t="s">
        <v>295</v>
      </c>
      <c r="I798" s="13" t="s">
        <v>29</v>
      </c>
      <c r="J798" s="14">
        <v>2</v>
      </c>
      <c r="K798" s="14">
        <v>2</v>
      </c>
      <c r="L798" s="15">
        <v>4.8</v>
      </c>
      <c r="M798" s="15">
        <v>9.6</v>
      </c>
    </row>
    <row r="799" spans="4:13">
      <c r="D799" s="12">
        <v>46115</v>
      </c>
      <c r="E799" s="13">
        <v>1591979</v>
      </c>
      <c r="F799" s="13" t="s">
        <v>20</v>
      </c>
      <c r="G799" s="14">
        <v>20310250</v>
      </c>
      <c r="H799" s="13" t="s">
        <v>497</v>
      </c>
      <c r="I799" s="13" t="s">
        <v>57</v>
      </c>
      <c r="J799" s="14">
        <v>1</v>
      </c>
      <c r="K799" s="14">
        <v>2</v>
      </c>
      <c r="L799" s="15">
        <v>9.9</v>
      </c>
      <c r="M799" s="15">
        <v>9.9</v>
      </c>
    </row>
    <row r="800" spans="4:13">
      <c r="D800" s="12">
        <v>46115</v>
      </c>
      <c r="E800" s="13">
        <v>1591979</v>
      </c>
      <c r="F800" s="13" t="s">
        <v>20</v>
      </c>
      <c r="G800" s="14">
        <v>20323504</v>
      </c>
      <c r="H800" s="13" t="s">
        <v>498</v>
      </c>
      <c r="I800" s="13" t="s">
        <v>33</v>
      </c>
      <c r="J800" s="14">
        <v>1</v>
      </c>
      <c r="K800" s="14">
        <v>1</v>
      </c>
      <c r="L800" s="15">
        <v>4.8</v>
      </c>
      <c r="M800" s="15">
        <v>4.8</v>
      </c>
    </row>
    <row r="801" spans="4:13">
      <c r="D801" s="12">
        <v>46115</v>
      </c>
      <c r="E801" s="13">
        <v>1591979</v>
      </c>
      <c r="F801" s="13" t="s">
        <v>20</v>
      </c>
      <c r="G801" s="14">
        <v>20305028</v>
      </c>
      <c r="H801" s="13" t="s">
        <v>432</v>
      </c>
      <c r="I801" s="13" t="s">
        <v>29</v>
      </c>
      <c r="J801" s="14">
        <v>1</v>
      </c>
      <c r="K801" s="14">
        <v>1</v>
      </c>
      <c r="L801" s="15">
        <v>4.8</v>
      </c>
      <c r="M801" s="15">
        <v>4.8</v>
      </c>
    </row>
    <row r="802" spans="4:13">
      <c r="D802" s="12">
        <v>46115</v>
      </c>
      <c r="E802" s="13">
        <v>1591979</v>
      </c>
      <c r="F802" s="13" t="s">
        <v>20</v>
      </c>
      <c r="G802" s="14">
        <v>20305111</v>
      </c>
      <c r="H802" s="13" t="s">
        <v>136</v>
      </c>
      <c r="I802" s="13" t="s">
        <v>29</v>
      </c>
      <c r="J802" s="14">
        <v>1</v>
      </c>
      <c r="K802" s="14">
        <v>1</v>
      </c>
      <c r="L802" s="15">
        <v>4.8</v>
      </c>
      <c r="M802" s="15">
        <v>4.8</v>
      </c>
    </row>
    <row r="803" spans="4:13">
      <c r="D803" s="12">
        <v>46115</v>
      </c>
      <c r="E803" s="13">
        <v>1591979</v>
      </c>
      <c r="F803" s="13" t="s">
        <v>20</v>
      </c>
      <c r="G803" s="14">
        <v>20303717</v>
      </c>
      <c r="H803" s="13" t="s">
        <v>70</v>
      </c>
      <c r="I803" s="13" t="s">
        <v>35</v>
      </c>
      <c r="J803" s="14">
        <v>2</v>
      </c>
      <c r="K803" s="14">
        <v>2</v>
      </c>
      <c r="L803" s="15">
        <v>4.8</v>
      </c>
      <c r="M803" s="15">
        <v>9.6</v>
      </c>
    </row>
    <row r="804" spans="4:13">
      <c r="D804" s="12">
        <v>46115</v>
      </c>
      <c r="E804" s="13">
        <v>1591979</v>
      </c>
      <c r="F804" s="13" t="s">
        <v>20</v>
      </c>
      <c r="G804" s="14">
        <v>20303863</v>
      </c>
      <c r="H804" s="13" t="s">
        <v>28</v>
      </c>
      <c r="I804" s="13" t="s">
        <v>29</v>
      </c>
      <c r="J804" s="14">
        <v>1</v>
      </c>
      <c r="K804" s="14">
        <v>1</v>
      </c>
      <c r="L804" s="15">
        <v>4.8</v>
      </c>
      <c r="M804" s="15">
        <v>4.8</v>
      </c>
    </row>
    <row r="805" spans="4:13">
      <c r="D805" s="12">
        <v>46115</v>
      </c>
      <c r="E805" s="13">
        <v>1591979</v>
      </c>
      <c r="F805" s="13" t="s">
        <v>20</v>
      </c>
      <c r="G805" s="14">
        <v>20303979</v>
      </c>
      <c r="H805" s="13" t="s">
        <v>368</v>
      </c>
      <c r="I805" s="13" t="s">
        <v>55</v>
      </c>
      <c r="J805" s="14">
        <v>3</v>
      </c>
      <c r="K805" s="14">
        <v>3</v>
      </c>
      <c r="L805" s="15">
        <v>7.8</v>
      </c>
      <c r="M805" s="15">
        <v>23.4</v>
      </c>
    </row>
    <row r="806" spans="4:13">
      <c r="D806" s="12">
        <v>46115</v>
      </c>
      <c r="E806" s="13">
        <v>1591979</v>
      </c>
      <c r="F806" s="13" t="s">
        <v>20</v>
      </c>
      <c r="G806" s="14">
        <v>20309447</v>
      </c>
      <c r="H806" s="13" t="s">
        <v>395</v>
      </c>
      <c r="I806" s="13" t="s">
        <v>29</v>
      </c>
      <c r="J806" s="14">
        <v>1</v>
      </c>
      <c r="K806" s="14">
        <v>1</v>
      </c>
      <c r="L806" s="15">
        <v>4.8</v>
      </c>
      <c r="M806" s="15">
        <v>4.8</v>
      </c>
    </row>
    <row r="807" spans="4:13">
      <c r="D807" s="12">
        <v>46115</v>
      </c>
      <c r="E807" s="13">
        <v>1591979</v>
      </c>
      <c r="F807" s="13" t="s">
        <v>20</v>
      </c>
      <c r="G807" s="14">
        <v>20316042</v>
      </c>
      <c r="H807" s="13" t="s">
        <v>34</v>
      </c>
      <c r="I807" s="13" t="s">
        <v>35</v>
      </c>
      <c r="J807" s="14">
        <v>1</v>
      </c>
      <c r="K807" s="14">
        <v>1</v>
      </c>
      <c r="L807" s="15">
        <v>4.8</v>
      </c>
      <c r="M807" s="15">
        <v>4.8</v>
      </c>
    </row>
    <row r="808" spans="4:13">
      <c r="D808" s="12">
        <v>46115</v>
      </c>
      <c r="E808" s="13">
        <v>1591979</v>
      </c>
      <c r="F808" s="13" t="s">
        <v>47</v>
      </c>
      <c r="G808" s="14">
        <v>20303011</v>
      </c>
      <c r="H808" s="13" t="s">
        <v>330</v>
      </c>
      <c r="I808" s="13" t="s">
        <v>331</v>
      </c>
      <c r="J808" s="14">
        <v>3</v>
      </c>
      <c r="K808" s="14">
        <v>78</v>
      </c>
      <c r="L808" s="15">
        <v>85.8</v>
      </c>
      <c r="M808" s="15">
        <v>257.4</v>
      </c>
    </row>
    <row r="809" spans="4:13">
      <c r="D809" s="12">
        <v>46115</v>
      </c>
      <c r="E809" s="13">
        <v>1591979</v>
      </c>
      <c r="F809" s="13" t="s">
        <v>47</v>
      </c>
      <c r="G809" s="14">
        <v>20303035</v>
      </c>
      <c r="H809" s="13" t="s">
        <v>400</v>
      </c>
      <c r="I809" s="13" t="s">
        <v>331</v>
      </c>
      <c r="J809" s="14">
        <v>1</v>
      </c>
      <c r="K809" s="14">
        <v>22</v>
      </c>
      <c r="L809" s="15">
        <v>72.6</v>
      </c>
      <c r="M809" s="15">
        <v>72.6</v>
      </c>
    </row>
    <row r="810" spans="4:13">
      <c r="D810" s="12">
        <v>46115</v>
      </c>
      <c r="E810" s="13">
        <v>1591979</v>
      </c>
      <c r="F810" s="13" t="s">
        <v>47</v>
      </c>
      <c r="G810" s="14">
        <v>20312383</v>
      </c>
      <c r="H810" s="13" t="s">
        <v>354</v>
      </c>
      <c r="I810" s="13" t="s">
        <v>331</v>
      </c>
      <c r="J810" s="14">
        <v>1</v>
      </c>
      <c r="K810" s="14">
        <v>7</v>
      </c>
      <c r="L810" s="15">
        <v>23.1</v>
      </c>
      <c r="M810" s="15">
        <v>23.1</v>
      </c>
    </row>
    <row r="811" spans="4:13">
      <c r="D811" s="12">
        <v>46115</v>
      </c>
      <c r="E811" s="13">
        <v>1591979</v>
      </c>
      <c r="F811" s="13" t="s">
        <v>47</v>
      </c>
      <c r="G811" s="14">
        <v>20306256</v>
      </c>
      <c r="H811" s="13" t="s">
        <v>349</v>
      </c>
      <c r="I811" s="13" t="s">
        <v>83</v>
      </c>
      <c r="J811" s="14">
        <v>2</v>
      </c>
      <c r="K811" s="14">
        <v>44</v>
      </c>
      <c r="L811" s="15">
        <v>72.6</v>
      </c>
      <c r="M811" s="15">
        <v>145.2</v>
      </c>
    </row>
    <row r="812" spans="4:13">
      <c r="D812" s="12">
        <v>46115</v>
      </c>
      <c r="E812" s="13">
        <v>1591979</v>
      </c>
      <c r="F812" s="13" t="s">
        <v>65</v>
      </c>
      <c r="G812" s="14">
        <v>20362519</v>
      </c>
      <c r="H812" s="13" t="s">
        <v>467</v>
      </c>
      <c r="I812" s="13" t="s">
        <v>62</v>
      </c>
      <c r="J812" s="14">
        <v>1</v>
      </c>
      <c r="K812" s="14">
        <v>2</v>
      </c>
      <c r="L812" s="15">
        <v>9.9</v>
      </c>
      <c r="M812" s="15">
        <v>9.9</v>
      </c>
    </row>
    <row r="813" spans="4:13">
      <c r="D813" s="12">
        <v>46115</v>
      </c>
      <c r="E813" s="13">
        <v>1591979</v>
      </c>
      <c r="F813" s="13" t="s">
        <v>65</v>
      </c>
      <c r="G813" s="14">
        <v>20309865</v>
      </c>
      <c r="H813" s="13" t="s">
        <v>499</v>
      </c>
      <c r="I813" s="13" t="s">
        <v>49</v>
      </c>
      <c r="J813" s="14">
        <v>1</v>
      </c>
      <c r="K813" s="14">
        <v>2</v>
      </c>
      <c r="L813" s="15">
        <v>9.9</v>
      </c>
      <c r="M813" s="15">
        <v>9.9</v>
      </c>
    </row>
    <row r="814" spans="4:13">
      <c r="D814" s="12">
        <v>46115</v>
      </c>
      <c r="E814" s="13">
        <v>1591979</v>
      </c>
      <c r="F814" s="13" t="s">
        <v>65</v>
      </c>
      <c r="G814" s="14">
        <v>20303836</v>
      </c>
      <c r="H814" s="13" t="s">
        <v>332</v>
      </c>
      <c r="I814" s="13" t="s">
        <v>83</v>
      </c>
      <c r="J814" s="14">
        <v>2</v>
      </c>
      <c r="K814" s="14">
        <v>8</v>
      </c>
      <c r="L814" s="15">
        <v>13.2</v>
      </c>
      <c r="M814" s="15">
        <v>26.4</v>
      </c>
    </row>
    <row r="815" spans="4:13">
      <c r="D815" s="12">
        <v>46115</v>
      </c>
      <c r="E815" s="13">
        <v>1591979</v>
      </c>
      <c r="F815" s="13" t="s">
        <v>65</v>
      </c>
      <c r="G815" s="14">
        <v>20310863</v>
      </c>
      <c r="H815" s="13" t="s">
        <v>333</v>
      </c>
      <c r="I815" s="13" t="s">
        <v>49</v>
      </c>
      <c r="J815" s="14">
        <v>1</v>
      </c>
      <c r="K815" s="14">
        <v>1</v>
      </c>
      <c r="L815" s="15">
        <v>9.9</v>
      </c>
      <c r="M815" s="15">
        <v>9.9</v>
      </c>
    </row>
    <row r="816" spans="4:13">
      <c r="D816" s="12">
        <v>46115</v>
      </c>
      <c r="E816" s="13">
        <v>1592026</v>
      </c>
      <c r="F816" s="13" t="s">
        <v>15</v>
      </c>
      <c r="G816" s="14">
        <v>20315046</v>
      </c>
      <c r="H816" s="13" t="s">
        <v>340</v>
      </c>
      <c r="I816" s="13" t="s">
        <v>314</v>
      </c>
      <c r="J816" s="14">
        <v>1</v>
      </c>
      <c r="K816" s="14">
        <v>1</v>
      </c>
      <c r="L816" s="15">
        <v>21</v>
      </c>
      <c r="M816" s="15">
        <v>21</v>
      </c>
    </row>
    <row r="817" spans="4:13">
      <c r="D817" s="12">
        <v>46115</v>
      </c>
      <c r="E817" s="13">
        <v>1592026</v>
      </c>
      <c r="F817" s="13" t="s">
        <v>15</v>
      </c>
      <c r="G817" s="14">
        <v>20323229</v>
      </c>
      <c r="H817" s="13" t="s">
        <v>316</v>
      </c>
      <c r="I817" s="13" t="s">
        <v>317</v>
      </c>
      <c r="J817" s="14">
        <v>1</v>
      </c>
      <c r="K817" s="14">
        <v>1</v>
      </c>
      <c r="L817" s="15">
        <v>15</v>
      </c>
      <c r="M817" s="15">
        <v>15</v>
      </c>
    </row>
    <row r="818" spans="4:13">
      <c r="D818" s="12">
        <v>46115</v>
      </c>
      <c r="E818" s="13">
        <v>1592026</v>
      </c>
      <c r="F818" s="13" t="s">
        <v>15</v>
      </c>
      <c r="G818" s="14">
        <v>20309651</v>
      </c>
      <c r="H818" s="13" t="s">
        <v>130</v>
      </c>
      <c r="I818" s="13" t="s">
        <v>62</v>
      </c>
      <c r="J818" s="14">
        <v>1</v>
      </c>
      <c r="K818" s="14">
        <v>1</v>
      </c>
      <c r="L818" s="15">
        <v>21</v>
      </c>
      <c r="M818" s="15">
        <v>21</v>
      </c>
    </row>
    <row r="819" spans="4:13">
      <c r="D819" s="12">
        <v>46115</v>
      </c>
      <c r="E819" s="13">
        <v>1592026</v>
      </c>
      <c r="F819" s="13" t="s">
        <v>131</v>
      </c>
      <c r="G819" s="14">
        <v>20339097</v>
      </c>
      <c r="H819" s="13" t="s">
        <v>343</v>
      </c>
      <c r="I819" s="13" t="s">
        <v>221</v>
      </c>
      <c r="J819" s="14">
        <v>1</v>
      </c>
      <c r="K819" s="14">
        <v>32</v>
      </c>
      <c r="L819" s="15">
        <v>180</v>
      </c>
      <c r="M819" s="15">
        <f>J819*L819</f>
        <v>180</v>
      </c>
    </row>
    <row r="820" spans="4:13">
      <c r="D820" s="12">
        <v>46115</v>
      </c>
      <c r="E820" s="13">
        <v>1592026</v>
      </c>
      <c r="F820" s="13" t="s">
        <v>131</v>
      </c>
      <c r="G820" s="14">
        <v>20314461</v>
      </c>
      <c r="H820" s="13" t="s">
        <v>426</v>
      </c>
      <c r="I820" s="13" t="s">
        <v>221</v>
      </c>
      <c r="J820" s="14">
        <v>1</v>
      </c>
      <c r="K820" s="14">
        <v>26</v>
      </c>
      <c r="L820" s="15">
        <v>180</v>
      </c>
      <c r="M820" s="15">
        <f>J820*L820</f>
        <v>180</v>
      </c>
    </row>
    <row r="821" spans="4:13">
      <c r="D821" s="12">
        <v>46115</v>
      </c>
      <c r="E821" s="13">
        <v>1592026</v>
      </c>
      <c r="F821" s="13" t="s">
        <v>131</v>
      </c>
      <c r="G821" s="14">
        <v>20384037</v>
      </c>
      <c r="H821" s="13" t="s">
        <v>376</v>
      </c>
      <c r="I821" s="13" t="s">
        <v>221</v>
      </c>
      <c r="J821" s="14">
        <v>1</v>
      </c>
      <c r="K821" s="14">
        <v>25</v>
      </c>
      <c r="L821" s="15">
        <v>180</v>
      </c>
      <c r="M821" s="15">
        <f>J821*L821</f>
        <v>180</v>
      </c>
    </row>
    <row r="822" spans="4:13">
      <c r="D822" s="12">
        <v>46115</v>
      </c>
      <c r="E822" s="13">
        <v>1592026</v>
      </c>
      <c r="F822" s="13" t="s">
        <v>131</v>
      </c>
      <c r="G822" s="14">
        <v>20309658</v>
      </c>
      <c r="H822" s="13" t="s">
        <v>365</v>
      </c>
      <c r="I822" s="13" t="s">
        <v>221</v>
      </c>
      <c r="J822" s="14">
        <v>2</v>
      </c>
      <c r="K822" s="14">
        <v>10</v>
      </c>
      <c r="L822" s="15">
        <v>52.8</v>
      </c>
      <c r="M822" s="15">
        <v>105.6</v>
      </c>
    </row>
    <row r="823" spans="4:13">
      <c r="D823" s="12">
        <v>46115</v>
      </c>
      <c r="E823" s="13">
        <v>1592026</v>
      </c>
      <c r="F823" s="13" t="s">
        <v>131</v>
      </c>
      <c r="G823" s="14">
        <v>20312572</v>
      </c>
      <c r="H823" s="13" t="s">
        <v>366</v>
      </c>
      <c r="I823" s="13" t="s">
        <v>221</v>
      </c>
      <c r="J823" s="14">
        <v>1</v>
      </c>
      <c r="K823" s="14">
        <v>27</v>
      </c>
      <c r="L823" s="15">
        <v>180</v>
      </c>
      <c r="M823" s="15">
        <f>J823*L823</f>
        <v>180</v>
      </c>
    </row>
    <row r="824" spans="4:13">
      <c r="D824" s="12">
        <v>46115</v>
      </c>
      <c r="E824" s="13">
        <v>1592026</v>
      </c>
      <c r="F824" s="13" t="s">
        <v>131</v>
      </c>
      <c r="G824" s="14">
        <v>20303777</v>
      </c>
      <c r="H824" s="13" t="s">
        <v>351</v>
      </c>
      <c r="I824" s="13" t="s">
        <v>221</v>
      </c>
      <c r="J824" s="14">
        <v>1</v>
      </c>
      <c r="K824" s="14">
        <v>27</v>
      </c>
      <c r="L824" s="15">
        <v>180</v>
      </c>
      <c r="M824" s="15">
        <f>J824*L824</f>
        <v>180</v>
      </c>
    </row>
    <row r="825" spans="4:13">
      <c r="D825" s="12">
        <v>46115</v>
      </c>
      <c r="E825" s="13">
        <v>1592026</v>
      </c>
      <c r="F825" s="13" t="s">
        <v>131</v>
      </c>
      <c r="G825" s="14">
        <v>20411790</v>
      </c>
      <c r="H825" s="13" t="s">
        <v>345</v>
      </c>
      <c r="I825" s="13" t="s">
        <v>221</v>
      </c>
      <c r="J825" s="14">
        <v>1</v>
      </c>
      <c r="K825" s="14">
        <v>28</v>
      </c>
      <c r="L825" s="15">
        <v>180</v>
      </c>
      <c r="M825" s="15">
        <f>J825*L825</f>
        <v>180</v>
      </c>
    </row>
    <row r="826" spans="4:13">
      <c r="D826" s="12">
        <v>46115</v>
      </c>
      <c r="E826" s="13">
        <v>1592027</v>
      </c>
      <c r="F826" s="13" t="s">
        <v>15</v>
      </c>
      <c r="G826" s="14">
        <v>20359622</v>
      </c>
      <c r="H826" s="13" t="s">
        <v>500</v>
      </c>
      <c r="I826" s="13" t="s">
        <v>128</v>
      </c>
      <c r="J826" s="14">
        <v>1</v>
      </c>
      <c r="K826" s="14">
        <v>1</v>
      </c>
      <c r="L826" s="15">
        <v>16.8</v>
      </c>
      <c r="M826" s="15">
        <v>16.8</v>
      </c>
    </row>
    <row r="827" spans="4:13">
      <c r="D827" s="12">
        <v>46115</v>
      </c>
      <c r="E827" s="13">
        <v>1592027</v>
      </c>
      <c r="F827" s="13" t="s">
        <v>15</v>
      </c>
      <c r="G827" s="14">
        <v>20359638</v>
      </c>
      <c r="H827" s="13" t="s">
        <v>411</v>
      </c>
      <c r="I827" s="13" t="s">
        <v>128</v>
      </c>
      <c r="J827" s="14">
        <v>1</v>
      </c>
      <c r="K827" s="14">
        <v>1</v>
      </c>
      <c r="L827" s="15">
        <v>16.8</v>
      </c>
      <c r="M827" s="15">
        <v>16.8</v>
      </c>
    </row>
    <row r="828" spans="4:13">
      <c r="D828" s="12">
        <v>46115</v>
      </c>
      <c r="E828" s="13">
        <v>1592027</v>
      </c>
      <c r="F828" s="13" t="s">
        <v>131</v>
      </c>
      <c r="G828" s="14">
        <v>20412034</v>
      </c>
      <c r="H828" s="13" t="s">
        <v>344</v>
      </c>
      <c r="I828" s="13" t="s">
        <v>221</v>
      </c>
      <c r="J828" s="14">
        <v>1</v>
      </c>
      <c r="K828" s="14">
        <v>28</v>
      </c>
      <c r="L828" s="15">
        <v>180</v>
      </c>
      <c r="M828" s="15">
        <f>J828*L828</f>
        <v>180</v>
      </c>
    </row>
    <row r="829" spans="4:13">
      <c r="D829" s="12">
        <v>46116</v>
      </c>
      <c r="E829" s="13">
        <v>1592069</v>
      </c>
      <c r="F829" s="13" t="s">
        <v>324</v>
      </c>
      <c r="G829" s="14">
        <v>20303022</v>
      </c>
      <c r="H829" s="13" t="s">
        <v>352</v>
      </c>
      <c r="I829" s="13" t="s">
        <v>326</v>
      </c>
      <c r="J829" s="14">
        <v>3</v>
      </c>
      <c r="K829" s="14">
        <v>93</v>
      </c>
      <c r="L829" s="15">
        <v>102.3</v>
      </c>
      <c r="M829" s="15">
        <v>306.9</v>
      </c>
    </row>
    <row r="830" spans="4:13">
      <c r="D830" s="12">
        <v>46116</v>
      </c>
      <c r="E830" s="13">
        <v>1592069</v>
      </c>
      <c r="F830" s="13" t="s">
        <v>324</v>
      </c>
      <c r="G830" s="14">
        <v>20303025</v>
      </c>
      <c r="H830" s="13" t="s">
        <v>336</v>
      </c>
      <c r="I830" s="13" t="s">
        <v>326</v>
      </c>
      <c r="J830" s="14">
        <v>1</v>
      </c>
      <c r="K830" s="14">
        <v>47</v>
      </c>
      <c r="L830" s="15">
        <v>155.1</v>
      </c>
      <c r="M830" s="15">
        <v>155.1</v>
      </c>
    </row>
    <row r="831" spans="4:13">
      <c r="D831" s="12">
        <v>46116</v>
      </c>
      <c r="E831" s="13">
        <v>1592069</v>
      </c>
      <c r="F831" s="13" t="s">
        <v>324</v>
      </c>
      <c r="G831" s="14">
        <v>20303052</v>
      </c>
      <c r="H831" s="13" t="s">
        <v>388</v>
      </c>
      <c r="I831" s="13" t="s">
        <v>326</v>
      </c>
      <c r="J831" s="14">
        <v>1</v>
      </c>
      <c r="K831" s="14">
        <v>30</v>
      </c>
      <c r="L831" s="15">
        <v>99</v>
      </c>
      <c r="M831" s="15">
        <v>99</v>
      </c>
    </row>
    <row r="832" spans="4:13">
      <c r="D832" s="12">
        <v>46116</v>
      </c>
      <c r="E832" s="13">
        <v>1592069</v>
      </c>
      <c r="F832" s="13" t="s">
        <v>47</v>
      </c>
      <c r="G832" s="14">
        <v>20302998</v>
      </c>
      <c r="H832" s="13" t="s">
        <v>346</v>
      </c>
      <c r="I832" s="13" t="s">
        <v>347</v>
      </c>
      <c r="J832" s="14">
        <v>1</v>
      </c>
      <c r="K832" s="14">
        <v>19</v>
      </c>
      <c r="L832" s="15">
        <v>62.7</v>
      </c>
      <c r="M832" s="15">
        <v>62.7</v>
      </c>
    </row>
    <row r="833" spans="4:13">
      <c r="D833" s="12">
        <v>46116</v>
      </c>
      <c r="E833" s="13">
        <v>1592069</v>
      </c>
      <c r="F833" s="13" t="s">
        <v>47</v>
      </c>
      <c r="G833" s="14">
        <v>20303011</v>
      </c>
      <c r="H833" s="13" t="s">
        <v>330</v>
      </c>
      <c r="I833" s="13" t="s">
        <v>331</v>
      </c>
      <c r="J833" s="14">
        <v>1</v>
      </c>
      <c r="K833" s="14">
        <v>26</v>
      </c>
      <c r="L833" s="15">
        <v>85.8</v>
      </c>
      <c r="M833" s="15">
        <v>85.8</v>
      </c>
    </row>
    <row r="834" spans="4:13">
      <c r="D834" s="12">
        <v>46116</v>
      </c>
      <c r="E834" s="13">
        <v>1592069</v>
      </c>
      <c r="F834" s="13" t="s">
        <v>65</v>
      </c>
      <c r="G834" s="14">
        <v>20303836</v>
      </c>
      <c r="H834" s="13" t="s">
        <v>332</v>
      </c>
      <c r="I834" s="13" t="s">
        <v>83</v>
      </c>
      <c r="J834" s="14">
        <v>5</v>
      </c>
      <c r="K834" s="14">
        <v>20</v>
      </c>
      <c r="L834" s="15">
        <v>13.2</v>
      </c>
      <c r="M834" s="15">
        <v>66</v>
      </c>
    </row>
    <row r="835" spans="4:13">
      <c r="D835" s="12">
        <v>46117</v>
      </c>
      <c r="E835" s="13">
        <v>1592262</v>
      </c>
      <c r="F835" s="13" t="s">
        <v>324</v>
      </c>
      <c r="G835" s="14">
        <v>20303010</v>
      </c>
      <c r="H835" s="13" t="s">
        <v>325</v>
      </c>
      <c r="I835" s="13" t="s">
        <v>326</v>
      </c>
      <c r="J835" s="14">
        <v>3</v>
      </c>
      <c r="K835" s="14">
        <v>75</v>
      </c>
      <c r="L835" s="15">
        <v>82.5</v>
      </c>
      <c r="M835" s="15">
        <v>247.5</v>
      </c>
    </row>
    <row r="836" spans="4:13">
      <c r="D836" s="12">
        <v>46117</v>
      </c>
      <c r="E836" s="13">
        <v>1592262</v>
      </c>
      <c r="F836" s="13" t="s">
        <v>324</v>
      </c>
      <c r="G836" s="14">
        <v>20303022</v>
      </c>
      <c r="H836" s="13" t="s">
        <v>352</v>
      </c>
      <c r="I836" s="13" t="s">
        <v>326</v>
      </c>
      <c r="J836" s="14">
        <v>4</v>
      </c>
      <c r="K836" s="14">
        <v>124</v>
      </c>
      <c r="L836" s="15">
        <v>102.3</v>
      </c>
      <c r="M836" s="15">
        <v>409.2</v>
      </c>
    </row>
    <row r="837" spans="4:13">
      <c r="D837" s="12">
        <v>46117</v>
      </c>
      <c r="E837" s="13">
        <v>1592262</v>
      </c>
      <c r="F837" s="13" t="s">
        <v>324</v>
      </c>
      <c r="G837" s="14">
        <v>20303023</v>
      </c>
      <c r="H837" s="13" t="s">
        <v>335</v>
      </c>
      <c r="I837" s="13" t="s">
        <v>326</v>
      </c>
      <c r="J837" s="14">
        <v>1</v>
      </c>
      <c r="K837" s="14">
        <v>63</v>
      </c>
      <c r="L837" s="15">
        <v>207.9</v>
      </c>
      <c r="M837" s="15">
        <v>207.9</v>
      </c>
    </row>
    <row r="838" spans="4:13">
      <c r="D838" s="12">
        <v>46117</v>
      </c>
      <c r="E838" s="13">
        <v>1592262</v>
      </c>
      <c r="F838" s="13" t="s">
        <v>324</v>
      </c>
      <c r="G838" s="14">
        <v>20303029</v>
      </c>
      <c r="H838" s="13" t="s">
        <v>337</v>
      </c>
      <c r="I838" s="13" t="s">
        <v>326</v>
      </c>
      <c r="J838" s="14">
        <v>1</v>
      </c>
      <c r="K838" s="14">
        <v>47</v>
      </c>
      <c r="L838" s="15">
        <v>155.1</v>
      </c>
      <c r="M838" s="15">
        <v>155.1</v>
      </c>
    </row>
    <row r="839" spans="4:13">
      <c r="D839" s="12">
        <v>46117</v>
      </c>
      <c r="E839" s="13">
        <v>1592262</v>
      </c>
      <c r="F839" s="13" t="s">
        <v>324</v>
      </c>
      <c r="G839" s="14">
        <v>20303041</v>
      </c>
      <c r="H839" s="13" t="s">
        <v>406</v>
      </c>
      <c r="I839" s="13" t="s">
        <v>44</v>
      </c>
      <c r="J839" s="14">
        <v>1</v>
      </c>
      <c r="K839" s="14">
        <v>17</v>
      </c>
      <c r="L839" s="15">
        <v>56.1</v>
      </c>
      <c r="M839" s="15">
        <v>56.1</v>
      </c>
    </row>
    <row r="840" spans="4:13">
      <c r="D840" s="12">
        <v>46117</v>
      </c>
      <c r="E840" s="13">
        <v>1592262</v>
      </c>
      <c r="F840" s="13" t="s">
        <v>324</v>
      </c>
      <c r="G840" s="14">
        <v>20332470</v>
      </c>
      <c r="H840" s="13" t="s">
        <v>455</v>
      </c>
      <c r="I840" s="13" t="s">
        <v>62</v>
      </c>
      <c r="J840" s="14">
        <v>1</v>
      </c>
      <c r="K840" s="14">
        <v>11</v>
      </c>
      <c r="L840" s="15">
        <v>36.3</v>
      </c>
      <c r="M840" s="15">
        <v>36.3</v>
      </c>
    </row>
    <row r="841" spans="4:13">
      <c r="D841" s="12">
        <v>46117</v>
      </c>
      <c r="E841" s="13">
        <v>1592262</v>
      </c>
      <c r="F841" s="13" t="s">
        <v>324</v>
      </c>
      <c r="G841" s="14">
        <v>20303058</v>
      </c>
      <c r="H841" s="13" t="s">
        <v>338</v>
      </c>
      <c r="I841" s="13" t="s">
        <v>326</v>
      </c>
      <c r="J841" s="14">
        <v>2</v>
      </c>
      <c r="K841" s="14">
        <v>114</v>
      </c>
      <c r="L841" s="15">
        <v>188.1</v>
      </c>
      <c r="M841" s="15">
        <v>376.2</v>
      </c>
    </row>
    <row r="842" spans="4:13">
      <c r="D842" s="12">
        <v>46117</v>
      </c>
      <c r="E842" s="13">
        <v>1592262</v>
      </c>
      <c r="F842" s="13" t="s">
        <v>163</v>
      </c>
      <c r="G842" s="14">
        <v>20303912</v>
      </c>
      <c r="H842" s="13" t="s">
        <v>329</v>
      </c>
      <c r="I842" s="13" t="s">
        <v>83</v>
      </c>
      <c r="J842" s="14">
        <v>3</v>
      </c>
      <c r="K842" s="14">
        <v>15</v>
      </c>
      <c r="L842" s="15">
        <v>16.5</v>
      </c>
      <c r="M842" s="15">
        <v>49.5</v>
      </c>
    </row>
    <row r="843" spans="4:13">
      <c r="D843" s="12">
        <v>46117</v>
      </c>
      <c r="E843" s="13">
        <v>1592262</v>
      </c>
      <c r="F843" s="13" t="s">
        <v>163</v>
      </c>
      <c r="G843" s="14">
        <v>20310304</v>
      </c>
      <c r="H843" s="13" t="s">
        <v>339</v>
      </c>
      <c r="I843" s="13" t="s">
        <v>83</v>
      </c>
      <c r="J843" s="14">
        <v>1</v>
      </c>
      <c r="K843" s="14">
        <v>11</v>
      </c>
      <c r="L843" s="15">
        <v>36.3</v>
      </c>
      <c r="M843" s="15">
        <v>36.3</v>
      </c>
    </row>
    <row r="844" spans="4:13">
      <c r="D844" s="12">
        <v>46117</v>
      </c>
      <c r="E844" s="13">
        <v>1592262</v>
      </c>
      <c r="F844" s="13" t="s">
        <v>163</v>
      </c>
      <c r="G844" s="14">
        <v>20306222</v>
      </c>
      <c r="H844" s="13" t="s">
        <v>417</v>
      </c>
      <c r="I844" s="13" t="s">
        <v>83</v>
      </c>
      <c r="J844" s="14">
        <v>1</v>
      </c>
      <c r="K844" s="14">
        <v>10</v>
      </c>
      <c r="L844" s="15">
        <v>33</v>
      </c>
      <c r="M844" s="15">
        <v>33</v>
      </c>
    </row>
    <row r="845" spans="4:13">
      <c r="D845" s="12">
        <v>46117</v>
      </c>
      <c r="E845" s="13">
        <v>1592262</v>
      </c>
      <c r="F845" s="13" t="s">
        <v>20</v>
      </c>
      <c r="G845" s="14">
        <v>20303954</v>
      </c>
      <c r="H845" s="13" t="s">
        <v>295</v>
      </c>
      <c r="I845" s="13" t="s">
        <v>29</v>
      </c>
      <c r="J845" s="14">
        <v>3</v>
      </c>
      <c r="K845" s="14">
        <v>3</v>
      </c>
      <c r="L845" s="15">
        <v>4.8</v>
      </c>
      <c r="M845" s="15">
        <v>14.4</v>
      </c>
    </row>
    <row r="846" spans="4:13">
      <c r="D846" s="12">
        <v>46117</v>
      </c>
      <c r="E846" s="13">
        <v>1592262</v>
      </c>
      <c r="F846" s="13" t="s">
        <v>20</v>
      </c>
      <c r="G846" s="14">
        <v>20313337</v>
      </c>
      <c r="H846" s="13" t="s">
        <v>353</v>
      </c>
      <c r="I846" s="13" t="s">
        <v>53</v>
      </c>
      <c r="J846" s="14">
        <v>1</v>
      </c>
      <c r="K846" s="14">
        <v>2</v>
      </c>
      <c r="L846" s="15">
        <v>9.9</v>
      </c>
      <c r="M846" s="15">
        <v>9.9</v>
      </c>
    </row>
    <row r="847" spans="4:13">
      <c r="D847" s="12">
        <v>46117</v>
      </c>
      <c r="E847" s="13">
        <v>1592262</v>
      </c>
      <c r="F847" s="13" t="s">
        <v>20</v>
      </c>
      <c r="G847" s="14">
        <v>20307293</v>
      </c>
      <c r="H847" s="13" t="s">
        <v>211</v>
      </c>
      <c r="I847" s="13" t="s">
        <v>22</v>
      </c>
      <c r="J847" s="14">
        <v>1</v>
      </c>
      <c r="K847" s="14">
        <v>2</v>
      </c>
      <c r="L847" s="15">
        <v>8.1</v>
      </c>
      <c r="M847" s="15">
        <v>8.1</v>
      </c>
    </row>
    <row r="848" spans="4:13">
      <c r="D848" s="12">
        <v>46117</v>
      </c>
      <c r="E848" s="13">
        <v>1592262</v>
      </c>
      <c r="F848" s="13" t="s">
        <v>15</v>
      </c>
      <c r="G848" s="14">
        <v>20370421</v>
      </c>
      <c r="H848" s="13" t="s">
        <v>380</v>
      </c>
      <c r="I848" s="13" t="s">
        <v>381</v>
      </c>
      <c r="J848" s="14">
        <v>1</v>
      </c>
      <c r="K848" s="14">
        <v>2</v>
      </c>
      <c r="L848" s="15">
        <v>26.4</v>
      </c>
      <c r="M848" s="15">
        <v>26.4</v>
      </c>
    </row>
    <row r="849" spans="4:13">
      <c r="D849" s="12">
        <v>46117</v>
      </c>
      <c r="E849" s="13">
        <v>1592262</v>
      </c>
      <c r="F849" s="13" t="s">
        <v>15</v>
      </c>
      <c r="G849" s="14">
        <v>20314042</v>
      </c>
      <c r="H849" s="13" t="s">
        <v>341</v>
      </c>
      <c r="I849" s="13" t="s">
        <v>128</v>
      </c>
      <c r="J849" s="14">
        <v>1</v>
      </c>
      <c r="K849" s="14">
        <v>1</v>
      </c>
      <c r="L849" s="15">
        <v>16.8</v>
      </c>
      <c r="M849" s="15">
        <v>16.8</v>
      </c>
    </row>
    <row r="850" spans="4:13">
      <c r="D850" s="12">
        <v>46117</v>
      </c>
      <c r="E850" s="13">
        <v>1592262</v>
      </c>
      <c r="F850" s="13" t="s">
        <v>15</v>
      </c>
      <c r="G850" s="14">
        <v>20360954</v>
      </c>
      <c r="H850" s="13" t="s">
        <v>441</v>
      </c>
      <c r="I850" s="13" t="s">
        <v>128</v>
      </c>
      <c r="J850" s="14">
        <v>1</v>
      </c>
      <c r="K850" s="14">
        <v>1</v>
      </c>
      <c r="L850" s="15">
        <v>16.8</v>
      </c>
      <c r="M850" s="15">
        <v>16.8</v>
      </c>
    </row>
    <row r="851" spans="4:13">
      <c r="D851" s="12">
        <v>46117</v>
      </c>
      <c r="E851" s="13">
        <v>1592262</v>
      </c>
      <c r="F851" s="13" t="s">
        <v>131</v>
      </c>
      <c r="G851" s="14">
        <v>20339097</v>
      </c>
      <c r="H851" s="13" t="s">
        <v>343</v>
      </c>
      <c r="I851" s="13" t="s">
        <v>221</v>
      </c>
      <c r="J851" s="14">
        <v>1</v>
      </c>
      <c r="K851" s="14">
        <v>32</v>
      </c>
      <c r="L851" s="15">
        <v>180</v>
      </c>
      <c r="M851" s="15">
        <f>J851*L851</f>
        <v>180</v>
      </c>
    </row>
    <row r="852" spans="4:13">
      <c r="D852" s="12">
        <v>46117</v>
      </c>
      <c r="E852" s="13">
        <v>1592262</v>
      </c>
      <c r="F852" s="13" t="s">
        <v>131</v>
      </c>
      <c r="G852" s="14">
        <v>20312465</v>
      </c>
      <c r="H852" s="13" t="s">
        <v>320</v>
      </c>
      <c r="I852" s="13" t="s">
        <v>221</v>
      </c>
      <c r="J852" s="14">
        <v>1</v>
      </c>
      <c r="K852" s="14">
        <v>27</v>
      </c>
      <c r="L852" s="15">
        <v>180</v>
      </c>
      <c r="M852" s="15">
        <f>J852*L852</f>
        <v>180</v>
      </c>
    </row>
    <row r="853" spans="4:13">
      <c r="D853" s="12">
        <v>46117</v>
      </c>
      <c r="E853" s="13">
        <v>1592262</v>
      </c>
      <c r="F853" s="13" t="s">
        <v>131</v>
      </c>
      <c r="G853" s="14">
        <v>20303777</v>
      </c>
      <c r="H853" s="13" t="s">
        <v>351</v>
      </c>
      <c r="I853" s="13" t="s">
        <v>221</v>
      </c>
      <c r="J853" s="14">
        <v>1</v>
      </c>
      <c r="K853" s="14">
        <v>27</v>
      </c>
      <c r="L853" s="15">
        <v>180</v>
      </c>
      <c r="M853" s="15">
        <f>J853*L853</f>
        <v>180</v>
      </c>
    </row>
    <row r="854" spans="4:13">
      <c r="D854" s="12">
        <v>46117</v>
      </c>
      <c r="E854" s="13">
        <v>1592262</v>
      </c>
      <c r="F854" s="13" t="s">
        <v>131</v>
      </c>
      <c r="G854" s="14">
        <v>20412034</v>
      </c>
      <c r="H854" s="13" t="s">
        <v>344</v>
      </c>
      <c r="I854" s="13" t="s">
        <v>221</v>
      </c>
      <c r="J854" s="14">
        <v>1</v>
      </c>
      <c r="K854" s="14">
        <v>28</v>
      </c>
      <c r="L854" s="15">
        <v>180</v>
      </c>
      <c r="M854" s="15">
        <f>J854*L854</f>
        <v>180</v>
      </c>
    </row>
    <row r="855" spans="4:13">
      <c r="D855" s="12">
        <v>46117</v>
      </c>
      <c r="E855" s="13">
        <v>1592262</v>
      </c>
      <c r="F855" s="13" t="s">
        <v>131</v>
      </c>
      <c r="G855" s="14">
        <v>20412202</v>
      </c>
      <c r="H855" s="13" t="s">
        <v>322</v>
      </c>
      <c r="I855" s="13" t="s">
        <v>221</v>
      </c>
      <c r="J855" s="14">
        <v>1</v>
      </c>
      <c r="K855" s="14">
        <v>23</v>
      </c>
      <c r="L855" s="15">
        <v>180</v>
      </c>
      <c r="M855" s="15">
        <f>J855*L855</f>
        <v>180</v>
      </c>
    </row>
    <row r="856" spans="4:13">
      <c r="D856" s="12">
        <v>46117</v>
      </c>
      <c r="E856" s="13">
        <v>1592262</v>
      </c>
      <c r="F856" s="13" t="s">
        <v>47</v>
      </c>
      <c r="G856" s="14">
        <v>20303011</v>
      </c>
      <c r="H856" s="13" t="s">
        <v>330</v>
      </c>
      <c r="I856" s="13" t="s">
        <v>331</v>
      </c>
      <c r="J856" s="14">
        <v>3</v>
      </c>
      <c r="K856" s="14">
        <v>78</v>
      </c>
      <c r="L856" s="15">
        <v>85.8</v>
      </c>
      <c r="M856" s="15">
        <v>257.4</v>
      </c>
    </row>
    <row r="857" spans="4:13">
      <c r="D857" s="12">
        <v>46117</v>
      </c>
      <c r="E857" s="13">
        <v>1592262</v>
      </c>
      <c r="F857" s="13" t="s">
        <v>47</v>
      </c>
      <c r="G857" s="14">
        <v>20303941</v>
      </c>
      <c r="H857" s="13" t="s">
        <v>348</v>
      </c>
      <c r="I857" s="13" t="s">
        <v>331</v>
      </c>
      <c r="J857" s="14">
        <v>1</v>
      </c>
      <c r="K857" s="14">
        <v>8</v>
      </c>
      <c r="L857" s="15">
        <v>26.4</v>
      </c>
      <c r="M857" s="15">
        <v>26.4</v>
      </c>
    </row>
    <row r="858" spans="4:13">
      <c r="D858" s="12">
        <v>46117</v>
      </c>
      <c r="E858" s="13">
        <v>1592262</v>
      </c>
      <c r="F858" s="13" t="s">
        <v>47</v>
      </c>
      <c r="G858" s="14">
        <v>20306256</v>
      </c>
      <c r="H858" s="13" t="s">
        <v>349</v>
      </c>
      <c r="I858" s="13" t="s">
        <v>83</v>
      </c>
      <c r="J858" s="14">
        <v>2</v>
      </c>
      <c r="K858" s="14">
        <v>44</v>
      </c>
      <c r="L858" s="15">
        <v>72.6</v>
      </c>
      <c r="M858" s="15">
        <v>145.2</v>
      </c>
    </row>
    <row r="859" spans="4:13">
      <c r="D859" s="12">
        <v>46117</v>
      </c>
      <c r="E859" s="13">
        <v>1592262</v>
      </c>
      <c r="F859" s="13" t="s">
        <v>385</v>
      </c>
      <c r="G859" s="14">
        <v>20349421</v>
      </c>
      <c r="H859" s="13" t="s">
        <v>386</v>
      </c>
      <c r="I859" s="13" t="s">
        <v>221</v>
      </c>
      <c r="J859" s="14">
        <v>1</v>
      </c>
      <c r="K859" s="14">
        <v>2</v>
      </c>
      <c r="L859" s="15">
        <v>26.4</v>
      </c>
      <c r="M859" s="15">
        <v>26.4</v>
      </c>
    </row>
    <row r="860" spans="4:13">
      <c r="D860" s="12">
        <v>46117</v>
      </c>
      <c r="E860" s="13">
        <v>1592262</v>
      </c>
      <c r="F860" s="13" t="s">
        <v>65</v>
      </c>
      <c r="G860" s="14">
        <v>20362519</v>
      </c>
      <c r="H860" s="13" t="s">
        <v>467</v>
      </c>
      <c r="I860" s="13" t="s">
        <v>62</v>
      </c>
      <c r="J860" s="14">
        <v>1</v>
      </c>
      <c r="K860" s="14">
        <v>2</v>
      </c>
      <c r="L860" s="15">
        <v>9.9</v>
      </c>
      <c r="M860" s="15">
        <v>9.9</v>
      </c>
    </row>
    <row r="861" spans="4:13">
      <c r="D861" s="12">
        <v>46117</v>
      </c>
      <c r="E861" s="13">
        <v>1592262</v>
      </c>
      <c r="F861" s="13" t="s">
        <v>65</v>
      </c>
      <c r="G861" s="14">
        <v>20309865</v>
      </c>
      <c r="H861" s="13" t="s">
        <v>499</v>
      </c>
      <c r="I861" s="13" t="s">
        <v>49</v>
      </c>
      <c r="J861" s="14">
        <v>1</v>
      </c>
      <c r="K861" s="14">
        <v>2</v>
      </c>
      <c r="L861" s="15">
        <v>9.9</v>
      </c>
      <c r="M861" s="15">
        <v>9.9</v>
      </c>
    </row>
    <row r="862" spans="4:13">
      <c r="D862" s="12">
        <v>46117</v>
      </c>
      <c r="E862" s="13">
        <v>1592262</v>
      </c>
      <c r="F862" s="13" t="s">
        <v>65</v>
      </c>
      <c r="G862" s="14">
        <v>20303836</v>
      </c>
      <c r="H862" s="13" t="s">
        <v>332</v>
      </c>
      <c r="I862" s="13" t="s">
        <v>83</v>
      </c>
      <c r="J862" s="14">
        <v>11</v>
      </c>
      <c r="K862" s="14">
        <v>44</v>
      </c>
      <c r="L862" s="15">
        <v>13.2</v>
      </c>
      <c r="M862" s="15">
        <v>145.2</v>
      </c>
    </row>
    <row r="863" spans="4:13">
      <c r="D863" s="12">
        <v>46117</v>
      </c>
      <c r="E863" s="13">
        <v>1592262</v>
      </c>
      <c r="F863" s="13" t="s">
        <v>65</v>
      </c>
      <c r="G863" s="14">
        <v>20307305</v>
      </c>
      <c r="H863" s="13" t="s">
        <v>453</v>
      </c>
      <c r="I863" s="13" t="s">
        <v>49</v>
      </c>
      <c r="J863" s="14">
        <v>1</v>
      </c>
      <c r="K863" s="14">
        <v>2</v>
      </c>
      <c r="L863" s="15">
        <v>9.9</v>
      </c>
      <c r="M863" s="15">
        <v>9.9</v>
      </c>
    </row>
    <row r="864" spans="4:13">
      <c r="D864" s="12">
        <v>46117</v>
      </c>
      <c r="E864" s="13">
        <v>1592262</v>
      </c>
      <c r="F864" s="13" t="s">
        <v>65</v>
      </c>
      <c r="G864" s="14">
        <v>20303940</v>
      </c>
      <c r="H864" s="13" t="s">
        <v>403</v>
      </c>
      <c r="I864" s="13" t="s">
        <v>44</v>
      </c>
      <c r="J864" s="14">
        <v>1</v>
      </c>
      <c r="K864" s="14">
        <v>1</v>
      </c>
      <c r="L864" s="15">
        <v>9.9</v>
      </c>
      <c r="M864" s="15">
        <v>9.9</v>
      </c>
    </row>
    <row r="865" spans="4:13">
      <c r="D865" s="12">
        <v>46117</v>
      </c>
      <c r="E865" s="13">
        <v>1592280</v>
      </c>
      <c r="F865" s="13" t="s">
        <v>378</v>
      </c>
      <c r="G865" s="14">
        <v>20310012</v>
      </c>
      <c r="H865" s="13" t="s">
        <v>379</v>
      </c>
      <c r="I865" s="13" t="s">
        <v>2</v>
      </c>
      <c r="J865" s="14">
        <v>8</v>
      </c>
      <c r="K865" s="14">
        <v>0</v>
      </c>
      <c r="L865" s="15">
        <v>15</v>
      </c>
      <c r="M865" s="15">
        <v>120</v>
      </c>
    </row>
    <row r="866" spans="4:13">
      <c r="D866" s="12">
        <v>46117</v>
      </c>
      <c r="E866" s="13">
        <v>1592292</v>
      </c>
      <c r="F866" s="13" t="s">
        <v>324</v>
      </c>
      <c r="G866" s="14">
        <v>20303022</v>
      </c>
      <c r="H866" s="13" t="s">
        <v>352</v>
      </c>
      <c r="I866" s="13" t="s">
        <v>326</v>
      </c>
      <c r="J866" s="14">
        <v>1</v>
      </c>
      <c r="K866" s="14">
        <v>31</v>
      </c>
      <c r="L866" s="15">
        <v>102.3</v>
      </c>
      <c r="M866" s="15">
        <v>102.3</v>
      </c>
    </row>
    <row r="867" spans="4:13">
      <c r="D867" s="12">
        <v>46117</v>
      </c>
      <c r="E867" s="13">
        <v>1592292</v>
      </c>
      <c r="F867" s="13" t="s">
        <v>131</v>
      </c>
      <c r="G867" s="14">
        <v>20407365</v>
      </c>
      <c r="H867" s="13" t="s">
        <v>464</v>
      </c>
      <c r="I867" s="13" t="s">
        <v>83</v>
      </c>
      <c r="J867" s="14">
        <v>1</v>
      </c>
      <c r="K867" s="14">
        <v>5</v>
      </c>
      <c r="L867" s="15">
        <v>52.8</v>
      </c>
      <c r="M867" s="15">
        <v>52.8</v>
      </c>
    </row>
    <row r="868" spans="4:13">
      <c r="D868" s="12">
        <v>46118</v>
      </c>
      <c r="E868" s="13">
        <v>1592317</v>
      </c>
      <c r="F868" s="13" t="s">
        <v>324</v>
      </c>
      <c r="G868" s="14">
        <v>20303008</v>
      </c>
      <c r="H868" s="13" t="s">
        <v>465</v>
      </c>
      <c r="I868" s="13" t="s">
        <v>326</v>
      </c>
      <c r="J868" s="14">
        <v>1</v>
      </c>
      <c r="K868" s="14">
        <v>11</v>
      </c>
      <c r="L868" s="15">
        <v>36.3</v>
      </c>
      <c r="M868" s="15">
        <v>36.3</v>
      </c>
    </row>
    <row r="869" spans="4:13">
      <c r="D869" s="12">
        <v>46118</v>
      </c>
      <c r="E869" s="13">
        <v>1592317</v>
      </c>
      <c r="F869" s="13" t="s">
        <v>324</v>
      </c>
      <c r="G869" s="14">
        <v>20303028</v>
      </c>
      <c r="H869" s="13" t="s">
        <v>492</v>
      </c>
      <c r="I869" s="13" t="s">
        <v>326</v>
      </c>
      <c r="J869" s="14">
        <v>1</v>
      </c>
      <c r="K869" s="14">
        <v>27</v>
      </c>
      <c r="L869" s="15">
        <v>89.1</v>
      </c>
      <c r="M869" s="15">
        <v>89.1</v>
      </c>
    </row>
    <row r="870" spans="4:13">
      <c r="D870" s="12">
        <v>46118</v>
      </c>
      <c r="E870" s="13">
        <v>1592317</v>
      </c>
      <c r="F870" s="13" t="s">
        <v>324</v>
      </c>
      <c r="G870" s="14">
        <v>20309825</v>
      </c>
      <c r="H870" s="13" t="s">
        <v>466</v>
      </c>
      <c r="I870" s="13" t="s">
        <v>326</v>
      </c>
      <c r="J870" s="14">
        <v>1</v>
      </c>
      <c r="K870" s="14">
        <v>32</v>
      </c>
      <c r="L870" s="15">
        <v>105.6</v>
      </c>
      <c r="M870" s="15">
        <v>105.6</v>
      </c>
    </row>
    <row r="871" spans="4:13">
      <c r="D871" s="12">
        <v>46118</v>
      </c>
      <c r="E871" s="13">
        <v>1592317</v>
      </c>
      <c r="F871" s="13" t="s">
        <v>324</v>
      </c>
      <c r="G871" s="14">
        <v>20303058</v>
      </c>
      <c r="H871" s="13" t="s">
        <v>338</v>
      </c>
      <c r="I871" s="13" t="s">
        <v>326</v>
      </c>
      <c r="J871" s="14">
        <v>2</v>
      </c>
      <c r="K871" s="14">
        <v>114</v>
      </c>
      <c r="L871" s="15">
        <v>188.1</v>
      </c>
      <c r="M871" s="15">
        <v>376.2</v>
      </c>
    </row>
    <row r="872" spans="4:13">
      <c r="D872" s="12">
        <v>46118</v>
      </c>
      <c r="E872" s="13">
        <v>1592317</v>
      </c>
      <c r="F872" s="13" t="s">
        <v>324</v>
      </c>
      <c r="G872" s="14">
        <v>20303059</v>
      </c>
      <c r="H872" s="13" t="s">
        <v>416</v>
      </c>
      <c r="I872" s="13" t="s">
        <v>326</v>
      </c>
      <c r="J872" s="14">
        <v>1</v>
      </c>
      <c r="K872" s="14">
        <v>65</v>
      </c>
      <c r="L872" s="15">
        <v>214.5</v>
      </c>
      <c r="M872" s="15">
        <v>214.5</v>
      </c>
    </row>
    <row r="873" spans="4:13">
      <c r="D873" s="12">
        <v>46118</v>
      </c>
      <c r="E873" s="13">
        <v>1592317</v>
      </c>
      <c r="F873" s="13" t="s">
        <v>20</v>
      </c>
      <c r="G873" s="14">
        <v>20358752</v>
      </c>
      <c r="H873" s="13" t="s">
        <v>501</v>
      </c>
      <c r="I873" s="13" t="s">
        <v>22</v>
      </c>
      <c r="J873" s="14">
        <v>1</v>
      </c>
      <c r="K873" s="14">
        <v>1</v>
      </c>
      <c r="L873" s="15">
        <v>4.8</v>
      </c>
      <c r="M873" s="15">
        <v>4.8</v>
      </c>
    </row>
    <row r="874" spans="4:13">
      <c r="D874" s="12">
        <v>46118</v>
      </c>
      <c r="E874" s="13">
        <v>1592317</v>
      </c>
      <c r="F874" s="13" t="s">
        <v>20</v>
      </c>
      <c r="G874" s="14">
        <v>20309447</v>
      </c>
      <c r="H874" s="13" t="s">
        <v>395</v>
      </c>
      <c r="I874" s="13" t="s">
        <v>29</v>
      </c>
      <c r="J874" s="14">
        <v>1</v>
      </c>
      <c r="K874" s="14">
        <v>1</v>
      </c>
      <c r="L874" s="15">
        <v>4.8</v>
      </c>
      <c r="M874" s="15">
        <v>4.8</v>
      </c>
    </row>
    <row r="875" spans="4:13">
      <c r="D875" s="12">
        <v>46118</v>
      </c>
      <c r="E875" s="13">
        <v>1592317</v>
      </c>
      <c r="F875" s="13" t="s">
        <v>20</v>
      </c>
      <c r="G875" s="14">
        <v>20305193</v>
      </c>
      <c r="H875" s="13" t="s">
        <v>396</v>
      </c>
      <c r="I875" s="13" t="s">
        <v>22</v>
      </c>
      <c r="J875" s="14">
        <v>2</v>
      </c>
      <c r="K875" s="14">
        <v>2</v>
      </c>
      <c r="L875" s="15">
        <v>4.8</v>
      </c>
      <c r="M875" s="15">
        <v>9.6</v>
      </c>
    </row>
    <row r="876" spans="4:13">
      <c r="D876" s="12">
        <v>46118</v>
      </c>
      <c r="E876" s="13">
        <v>1592317</v>
      </c>
      <c r="F876" s="13" t="s">
        <v>20</v>
      </c>
      <c r="G876" s="14">
        <v>20356562</v>
      </c>
      <c r="H876" s="13" t="s">
        <v>496</v>
      </c>
      <c r="I876" s="13" t="s">
        <v>55</v>
      </c>
      <c r="J876" s="14">
        <v>1</v>
      </c>
      <c r="K876" s="14">
        <v>1</v>
      </c>
      <c r="L876" s="15">
        <v>9.9</v>
      </c>
      <c r="M876" s="15">
        <v>9.9</v>
      </c>
    </row>
    <row r="877" spans="4:13">
      <c r="D877" s="12">
        <v>46118</v>
      </c>
      <c r="E877" s="13">
        <v>1592317</v>
      </c>
      <c r="F877" s="13" t="s">
        <v>131</v>
      </c>
      <c r="G877" s="14">
        <v>20309607</v>
      </c>
      <c r="H877" s="13" t="s">
        <v>489</v>
      </c>
      <c r="I877" s="13" t="s">
        <v>83</v>
      </c>
      <c r="J877" s="14">
        <v>1</v>
      </c>
      <c r="K877" s="14">
        <v>4</v>
      </c>
      <c r="L877" s="15">
        <v>39.6</v>
      </c>
      <c r="M877" s="15">
        <v>39.6</v>
      </c>
    </row>
    <row r="878" spans="4:13">
      <c r="D878" s="12">
        <v>46118</v>
      </c>
      <c r="E878" s="13">
        <v>1592317</v>
      </c>
      <c r="F878" s="13" t="s">
        <v>47</v>
      </c>
      <c r="G878" s="14">
        <v>20362876</v>
      </c>
      <c r="H878" s="13" t="s">
        <v>502</v>
      </c>
      <c r="I878" s="13" t="s">
        <v>44</v>
      </c>
      <c r="J878" s="14">
        <v>1</v>
      </c>
      <c r="K878" s="14">
        <v>11</v>
      </c>
      <c r="L878" s="15">
        <v>36.3</v>
      </c>
      <c r="M878" s="15">
        <v>36.3</v>
      </c>
    </row>
    <row r="879" spans="4:13">
      <c r="D879" s="12">
        <v>46118</v>
      </c>
      <c r="E879" s="13">
        <v>1592317</v>
      </c>
      <c r="F879" s="13" t="s">
        <v>65</v>
      </c>
      <c r="G879" s="14">
        <v>20303836</v>
      </c>
      <c r="H879" s="13" t="s">
        <v>332</v>
      </c>
      <c r="I879" s="13" t="s">
        <v>83</v>
      </c>
      <c r="J879" s="14">
        <v>1</v>
      </c>
      <c r="K879" s="14">
        <v>4</v>
      </c>
      <c r="L879" s="15">
        <v>13.2</v>
      </c>
      <c r="M879" s="15">
        <v>13.2</v>
      </c>
    </row>
    <row r="880" spans="4:13">
      <c r="D880" s="12">
        <v>46119</v>
      </c>
      <c r="E880" s="13">
        <v>1592381</v>
      </c>
      <c r="F880" s="13" t="s">
        <v>324</v>
      </c>
      <c r="G880" s="14">
        <v>20303022</v>
      </c>
      <c r="H880" s="13" t="s">
        <v>352</v>
      </c>
      <c r="I880" s="13" t="s">
        <v>326</v>
      </c>
      <c r="J880" s="14">
        <v>1</v>
      </c>
      <c r="K880" s="14">
        <v>31</v>
      </c>
      <c r="L880" s="15">
        <v>102.3</v>
      </c>
      <c r="M880" s="15">
        <v>102.3</v>
      </c>
    </row>
    <row r="881" spans="4:13">
      <c r="D881" s="12">
        <v>46119</v>
      </c>
      <c r="E881" s="13">
        <v>1592381</v>
      </c>
      <c r="F881" s="13" t="s">
        <v>163</v>
      </c>
      <c r="G881" s="14">
        <v>20303912</v>
      </c>
      <c r="H881" s="13" t="s">
        <v>329</v>
      </c>
      <c r="I881" s="13" t="s">
        <v>83</v>
      </c>
      <c r="J881" s="14">
        <v>1</v>
      </c>
      <c r="K881" s="14">
        <v>5</v>
      </c>
      <c r="L881" s="15">
        <v>16.5</v>
      </c>
      <c r="M881" s="15">
        <v>16.5</v>
      </c>
    </row>
    <row r="882" spans="4:13">
      <c r="D882" s="12">
        <v>46119</v>
      </c>
      <c r="E882" s="13">
        <v>1592381</v>
      </c>
      <c r="F882" s="13" t="s">
        <v>163</v>
      </c>
      <c r="G882" s="14">
        <v>20306222</v>
      </c>
      <c r="H882" s="13" t="s">
        <v>417</v>
      </c>
      <c r="I882" s="13" t="s">
        <v>83</v>
      </c>
      <c r="J882" s="14">
        <v>1</v>
      </c>
      <c r="K882" s="14">
        <v>10</v>
      </c>
      <c r="L882" s="15">
        <v>33</v>
      </c>
      <c r="M882" s="15">
        <v>33</v>
      </c>
    </row>
    <row r="883" spans="4:13">
      <c r="D883" s="12">
        <v>46119</v>
      </c>
      <c r="E883" s="13">
        <v>1592381</v>
      </c>
      <c r="F883" s="13" t="s">
        <v>20</v>
      </c>
      <c r="G883" s="14">
        <v>20303954</v>
      </c>
      <c r="H883" s="13" t="s">
        <v>295</v>
      </c>
      <c r="I883" s="13" t="s">
        <v>29</v>
      </c>
      <c r="J883" s="14">
        <v>1</v>
      </c>
      <c r="K883" s="14">
        <v>1</v>
      </c>
      <c r="L883" s="15">
        <v>4.8</v>
      </c>
      <c r="M883" s="15">
        <v>4.8</v>
      </c>
    </row>
    <row r="884" spans="4:13">
      <c r="D884" s="12">
        <v>46119</v>
      </c>
      <c r="E884" s="13">
        <v>1592381</v>
      </c>
      <c r="F884" s="13" t="s">
        <v>20</v>
      </c>
      <c r="G884" s="14">
        <v>20311063</v>
      </c>
      <c r="H884" s="13" t="s">
        <v>183</v>
      </c>
      <c r="I884" s="13" t="s">
        <v>29</v>
      </c>
      <c r="J884" s="14">
        <v>1</v>
      </c>
      <c r="K884" s="14">
        <v>1</v>
      </c>
      <c r="L884" s="15">
        <v>4.8</v>
      </c>
      <c r="M884" s="15">
        <v>4.8</v>
      </c>
    </row>
    <row r="885" spans="4:13">
      <c r="D885" s="12">
        <v>46119</v>
      </c>
      <c r="E885" s="13">
        <v>1592381</v>
      </c>
      <c r="F885" s="13" t="s">
        <v>20</v>
      </c>
      <c r="G885" s="14">
        <v>20304006</v>
      </c>
      <c r="H885" s="13" t="s">
        <v>435</v>
      </c>
      <c r="I885" s="13" t="s">
        <v>55</v>
      </c>
      <c r="J885" s="14">
        <v>1</v>
      </c>
      <c r="K885" s="14">
        <v>1</v>
      </c>
      <c r="L885" s="15">
        <v>9.9</v>
      </c>
      <c r="M885" s="15">
        <v>9.9</v>
      </c>
    </row>
    <row r="886" spans="4:13">
      <c r="D886" s="12">
        <v>46119</v>
      </c>
      <c r="E886" s="13">
        <v>1592381</v>
      </c>
      <c r="F886" s="13" t="s">
        <v>47</v>
      </c>
      <c r="G886" s="14">
        <v>20302998</v>
      </c>
      <c r="H886" s="13" t="s">
        <v>346</v>
      </c>
      <c r="I886" s="13" t="s">
        <v>347</v>
      </c>
      <c r="J886" s="14">
        <v>1</v>
      </c>
      <c r="K886" s="14">
        <v>19</v>
      </c>
      <c r="L886" s="15">
        <v>62.7</v>
      </c>
      <c r="M886" s="15">
        <v>62.7</v>
      </c>
    </row>
    <row r="887" spans="4:13">
      <c r="D887" s="12">
        <v>46119</v>
      </c>
      <c r="E887" s="13">
        <v>1592381</v>
      </c>
      <c r="F887" s="13" t="s">
        <v>65</v>
      </c>
      <c r="G887" s="14">
        <v>20303836</v>
      </c>
      <c r="H887" s="13" t="s">
        <v>332</v>
      </c>
      <c r="I887" s="13" t="s">
        <v>83</v>
      </c>
      <c r="J887" s="14">
        <v>2</v>
      </c>
      <c r="K887" s="14">
        <v>8</v>
      </c>
      <c r="L887" s="15">
        <v>13.2</v>
      </c>
      <c r="M887" s="15">
        <v>26.4</v>
      </c>
    </row>
    <row r="888" spans="4:13">
      <c r="D888" s="12">
        <v>46119</v>
      </c>
      <c r="E888" s="13">
        <v>1592381</v>
      </c>
      <c r="F888" s="13" t="s">
        <v>65</v>
      </c>
      <c r="G888" s="14">
        <v>20303983</v>
      </c>
      <c r="H888" s="13" t="s">
        <v>442</v>
      </c>
      <c r="I888" s="13" t="s">
        <v>331</v>
      </c>
      <c r="J888" s="14">
        <v>1</v>
      </c>
      <c r="K888" s="14">
        <v>1</v>
      </c>
      <c r="L888" s="15">
        <v>9.9</v>
      </c>
      <c r="M888" s="15">
        <v>9.9</v>
      </c>
    </row>
    <row r="889" spans="4:13">
      <c r="D889" s="12">
        <v>46119</v>
      </c>
      <c r="E889" s="13">
        <v>1592477</v>
      </c>
      <c r="F889" s="13" t="s">
        <v>324</v>
      </c>
      <c r="G889" s="14">
        <v>20303010</v>
      </c>
      <c r="H889" s="13" t="s">
        <v>325</v>
      </c>
      <c r="I889" s="13" t="s">
        <v>326</v>
      </c>
      <c r="J889" s="14">
        <v>1</v>
      </c>
      <c r="K889" s="14">
        <v>25</v>
      </c>
      <c r="L889" s="15">
        <v>82.5</v>
      </c>
      <c r="M889" s="15">
        <v>82.5</v>
      </c>
    </row>
    <row r="890" spans="4:13">
      <c r="D890" s="12">
        <v>46119</v>
      </c>
      <c r="E890" s="13">
        <v>1592477</v>
      </c>
      <c r="F890" s="13" t="s">
        <v>324</v>
      </c>
      <c r="G890" s="14">
        <v>20303022</v>
      </c>
      <c r="H890" s="13" t="s">
        <v>352</v>
      </c>
      <c r="I890" s="13" t="s">
        <v>326</v>
      </c>
      <c r="J890" s="14">
        <v>3</v>
      </c>
      <c r="K890" s="14">
        <v>93</v>
      </c>
      <c r="L890" s="15">
        <v>102.3</v>
      </c>
      <c r="M890" s="15">
        <v>306.9</v>
      </c>
    </row>
    <row r="891" spans="4:13">
      <c r="D891" s="12">
        <v>46119</v>
      </c>
      <c r="E891" s="13">
        <v>1592477</v>
      </c>
      <c r="F891" s="13" t="s">
        <v>324</v>
      </c>
      <c r="G891" s="14">
        <v>20303020</v>
      </c>
      <c r="H891" s="13" t="s">
        <v>469</v>
      </c>
      <c r="I891" s="13" t="s">
        <v>326</v>
      </c>
      <c r="J891" s="14">
        <v>1</v>
      </c>
      <c r="K891" s="14">
        <v>13</v>
      </c>
      <c r="L891" s="15">
        <v>42.9</v>
      </c>
      <c r="M891" s="15">
        <v>42.9</v>
      </c>
    </row>
    <row r="892" spans="4:13">
      <c r="D892" s="12">
        <v>46119</v>
      </c>
      <c r="E892" s="13">
        <v>1592477</v>
      </c>
      <c r="F892" s="13" t="s">
        <v>324</v>
      </c>
      <c r="G892" s="14">
        <v>20303029</v>
      </c>
      <c r="H892" s="13" t="s">
        <v>337</v>
      </c>
      <c r="I892" s="13" t="s">
        <v>326</v>
      </c>
      <c r="J892" s="14">
        <v>1</v>
      </c>
      <c r="K892" s="14">
        <v>47</v>
      </c>
      <c r="L892" s="15">
        <v>155.1</v>
      </c>
      <c r="M892" s="15">
        <v>155.1</v>
      </c>
    </row>
    <row r="893" spans="4:13">
      <c r="D893" s="12">
        <v>46119</v>
      </c>
      <c r="E893" s="13">
        <v>1592477</v>
      </c>
      <c r="F893" s="13" t="s">
        <v>324</v>
      </c>
      <c r="G893" s="14">
        <v>20388057</v>
      </c>
      <c r="H893" s="13" t="s">
        <v>470</v>
      </c>
      <c r="I893" s="13" t="s">
        <v>326</v>
      </c>
      <c r="J893" s="14">
        <v>1</v>
      </c>
      <c r="K893" s="14">
        <v>15</v>
      </c>
      <c r="L893" s="15">
        <v>49.5</v>
      </c>
      <c r="M893" s="15">
        <v>49.5</v>
      </c>
    </row>
    <row r="894" spans="4:13">
      <c r="D894" s="12">
        <v>46119</v>
      </c>
      <c r="E894" s="13">
        <v>1592477</v>
      </c>
      <c r="F894" s="13" t="s">
        <v>324</v>
      </c>
      <c r="G894" s="14">
        <v>20303052</v>
      </c>
      <c r="H894" s="13" t="s">
        <v>388</v>
      </c>
      <c r="I894" s="13" t="s">
        <v>326</v>
      </c>
      <c r="J894" s="14">
        <v>1</v>
      </c>
      <c r="K894" s="14">
        <v>30</v>
      </c>
      <c r="L894" s="15">
        <v>99</v>
      </c>
      <c r="M894" s="15">
        <v>99</v>
      </c>
    </row>
    <row r="895" spans="4:13">
      <c r="D895" s="12">
        <v>46119</v>
      </c>
      <c r="E895" s="13">
        <v>1592477</v>
      </c>
      <c r="F895" s="13" t="s">
        <v>324</v>
      </c>
      <c r="G895" s="14">
        <v>20303053</v>
      </c>
      <c r="H895" s="13" t="s">
        <v>389</v>
      </c>
      <c r="I895" s="13" t="s">
        <v>326</v>
      </c>
      <c r="J895" s="14">
        <v>1</v>
      </c>
      <c r="K895" s="14">
        <v>26</v>
      </c>
      <c r="L895" s="15">
        <v>85.8</v>
      </c>
      <c r="M895" s="15">
        <v>85.8</v>
      </c>
    </row>
    <row r="896" spans="4:13">
      <c r="D896" s="12">
        <v>46119</v>
      </c>
      <c r="E896" s="13">
        <v>1592477</v>
      </c>
      <c r="F896" s="13" t="s">
        <v>324</v>
      </c>
      <c r="G896" s="14">
        <v>20303058</v>
      </c>
      <c r="H896" s="13" t="s">
        <v>338</v>
      </c>
      <c r="I896" s="13" t="s">
        <v>326</v>
      </c>
      <c r="J896" s="14">
        <v>1</v>
      </c>
      <c r="K896" s="14">
        <v>57</v>
      </c>
      <c r="L896" s="15">
        <v>188.1</v>
      </c>
      <c r="M896" s="15">
        <v>188.1</v>
      </c>
    </row>
    <row r="897" spans="4:13">
      <c r="D897" s="12">
        <v>46119</v>
      </c>
      <c r="E897" s="13">
        <v>1592477</v>
      </c>
      <c r="F897" s="13" t="s">
        <v>163</v>
      </c>
      <c r="G897" s="14">
        <v>20303912</v>
      </c>
      <c r="H897" s="13" t="s">
        <v>329</v>
      </c>
      <c r="I897" s="13" t="s">
        <v>83</v>
      </c>
      <c r="J897" s="14">
        <v>2</v>
      </c>
      <c r="K897" s="14">
        <v>10</v>
      </c>
      <c r="L897" s="15">
        <v>16.5</v>
      </c>
      <c r="M897" s="15">
        <v>33</v>
      </c>
    </row>
    <row r="898" spans="4:13">
      <c r="D898" s="12">
        <v>46119</v>
      </c>
      <c r="E898" s="13">
        <v>1592477</v>
      </c>
      <c r="F898" s="13" t="s">
        <v>20</v>
      </c>
      <c r="G898" s="14">
        <v>20303954</v>
      </c>
      <c r="H898" s="13" t="s">
        <v>295</v>
      </c>
      <c r="I898" s="13" t="s">
        <v>29</v>
      </c>
      <c r="J898" s="14">
        <v>1</v>
      </c>
      <c r="K898" s="14">
        <v>1</v>
      </c>
      <c r="L898" s="15">
        <v>4.8</v>
      </c>
      <c r="M898" s="15">
        <v>4.8</v>
      </c>
    </row>
    <row r="899" spans="4:13">
      <c r="D899" s="12">
        <v>46119</v>
      </c>
      <c r="E899" s="13">
        <v>1592477</v>
      </c>
      <c r="F899" s="13" t="s">
        <v>131</v>
      </c>
      <c r="G899" s="14">
        <v>20309648</v>
      </c>
      <c r="H899" s="13" t="s">
        <v>363</v>
      </c>
      <c r="I899" s="13" t="s">
        <v>221</v>
      </c>
      <c r="J899" s="14">
        <v>2</v>
      </c>
      <c r="K899" s="14">
        <v>28</v>
      </c>
      <c r="L899" s="15">
        <v>138.6</v>
      </c>
      <c r="M899" s="15">
        <v>277.2</v>
      </c>
    </row>
    <row r="900" spans="4:13">
      <c r="D900" s="12">
        <v>46119</v>
      </c>
      <c r="E900" s="13">
        <v>1592477</v>
      </c>
      <c r="F900" s="13" t="s">
        <v>131</v>
      </c>
      <c r="G900" s="14">
        <v>20312465</v>
      </c>
      <c r="H900" s="13" t="s">
        <v>320</v>
      </c>
      <c r="I900" s="13" t="s">
        <v>221</v>
      </c>
      <c r="J900" s="14">
        <v>1</v>
      </c>
      <c r="K900" s="14">
        <v>27</v>
      </c>
      <c r="L900" s="15">
        <v>180</v>
      </c>
      <c r="M900" s="15">
        <f>J900*L900</f>
        <v>180</v>
      </c>
    </row>
    <row r="901" spans="4:13">
      <c r="D901" s="12">
        <v>46119</v>
      </c>
      <c r="E901" s="13">
        <v>1592477</v>
      </c>
      <c r="F901" s="13" t="s">
        <v>131</v>
      </c>
      <c r="G901" s="14">
        <v>20312572</v>
      </c>
      <c r="H901" s="13" t="s">
        <v>366</v>
      </c>
      <c r="I901" s="13" t="s">
        <v>221</v>
      </c>
      <c r="J901" s="14">
        <v>1</v>
      </c>
      <c r="K901" s="14">
        <v>27</v>
      </c>
      <c r="L901" s="15">
        <v>180</v>
      </c>
      <c r="M901" s="15">
        <f>J901*L901</f>
        <v>180</v>
      </c>
    </row>
    <row r="902" spans="4:13">
      <c r="D902" s="12">
        <v>46119</v>
      </c>
      <c r="E902" s="13">
        <v>1592477</v>
      </c>
      <c r="F902" s="13" t="s">
        <v>131</v>
      </c>
      <c r="G902" s="14">
        <v>20412034</v>
      </c>
      <c r="H902" s="13" t="s">
        <v>344</v>
      </c>
      <c r="I902" s="13" t="s">
        <v>221</v>
      </c>
      <c r="J902" s="14">
        <v>1</v>
      </c>
      <c r="K902" s="14">
        <v>28</v>
      </c>
      <c r="L902" s="15">
        <v>180</v>
      </c>
      <c r="M902" s="15">
        <f>J902*L902</f>
        <v>180</v>
      </c>
    </row>
    <row r="903" spans="4:13">
      <c r="D903" s="12">
        <v>46119</v>
      </c>
      <c r="E903" s="13">
        <v>1592477</v>
      </c>
      <c r="F903" s="13" t="s">
        <v>47</v>
      </c>
      <c r="G903" s="14">
        <v>20303011</v>
      </c>
      <c r="H903" s="13" t="s">
        <v>330</v>
      </c>
      <c r="I903" s="13" t="s">
        <v>331</v>
      </c>
      <c r="J903" s="14">
        <v>2</v>
      </c>
      <c r="K903" s="14">
        <v>52</v>
      </c>
      <c r="L903" s="15">
        <v>85.8</v>
      </c>
      <c r="M903" s="15">
        <v>171.6</v>
      </c>
    </row>
    <row r="904" spans="4:13">
      <c r="D904" s="12">
        <v>46119</v>
      </c>
      <c r="E904" s="13">
        <v>1592477</v>
      </c>
      <c r="F904" s="13" t="s">
        <v>385</v>
      </c>
      <c r="G904" s="14">
        <v>20399009</v>
      </c>
      <c r="H904" s="13" t="s">
        <v>404</v>
      </c>
      <c r="I904" s="13" t="s">
        <v>128</v>
      </c>
      <c r="J904" s="14">
        <v>1</v>
      </c>
      <c r="K904" s="14">
        <v>1</v>
      </c>
      <c r="L904" s="15">
        <v>16.8</v>
      </c>
      <c r="M904" s="15">
        <v>16.8</v>
      </c>
    </row>
    <row r="905" spans="4:13">
      <c r="D905" s="12">
        <v>46119</v>
      </c>
      <c r="E905" s="13">
        <v>1592477</v>
      </c>
      <c r="F905" s="13" t="s">
        <v>65</v>
      </c>
      <c r="G905" s="14">
        <v>20354743</v>
      </c>
      <c r="H905" s="13" t="s">
        <v>503</v>
      </c>
      <c r="I905" s="13" t="s">
        <v>44</v>
      </c>
      <c r="J905" s="14">
        <v>1</v>
      </c>
      <c r="K905" s="14">
        <v>2</v>
      </c>
      <c r="L905" s="15">
        <v>9.9</v>
      </c>
      <c r="M905" s="15">
        <v>9.9</v>
      </c>
    </row>
    <row r="906" spans="4:13">
      <c r="D906" s="12">
        <v>46119</v>
      </c>
      <c r="E906" s="13">
        <v>1592520</v>
      </c>
      <c r="F906" s="13" t="s">
        <v>131</v>
      </c>
      <c r="G906" s="14">
        <v>20309648</v>
      </c>
      <c r="H906" s="13" t="s">
        <v>363</v>
      </c>
      <c r="I906" s="13" t="s">
        <v>221</v>
      </c>
      <c r="J906" s="14">
        <v>1</v>
      </c>
      <c r="K906" s="14">
        <v>14</v>
      </c>
      <c r="L906" s="15">
        <v>138.6</v>
      </c>
      <c r="M906" s="15">
        <v>138.6</v>
      </c>
    </row>
    <row r="907" spans="4:13">
      <c r="D907" s="12">
        <v>46119</v>
      </c>
      <c r="E907" s="13">
        <v>1592607</v>
      </c>
      <c r="F907" s="13" t="s">
        <v>324</v>
      </c>
      <c r="G907" s="14">
        <v>20303010</v>
      </c>
      <c r="H907" s="13" t="s">
        <v>325</v>
      </c>
      <c r="I907" s="13" t="s">
        <v>326</v>
      </c>
      <c r="J907" s="14">
        <v>1</v>
      </c>
      <c r="K907" s="14">
        <v>25</v>
      </c>
      <c r="L907" s="15">
        <v>82.5</v>
      </c>
      <c r="M907" s="15">
        <v>82.5</v>
      </c>
    </row>
    <row r="908" spans="4:13">
      <c r="D908" s="12">
        <v>46119</v>
      </c>
      <c r="E908" s="13">
        <v>1592607</v>
      </c>
      <c r="F908" s="13" t="s">
        <v>324</v>
      </c>
      <c r="G908" s="14">
        <v>20303022</v>
      </c>
      <c r="H908" s="13" t="s">
        <v>352</v>
      </c>
      <c r="I908" s="13" t="s">
        <v>326</v>
      </c>
      <c r="J908" s="14">
        <v>2</v>
      </c>
      <c r="K908" s="14">
        <v>62</v>
      </c>
      <c r="L908" s="15">
        <v>102.3</v>
      </c>
      <c r="M908" s="15">
        <v>204.6</v>
      </c>
    </row>
    <row r="909" spans="4:13">
      <c r="D909" s="12">
        <v>46119</v>
      </c>
      <c r="E909" s="13">
        <v>1592607</v>
      </c>
      <c r="F909" s="13" t="s">
        <v>324</v>
      </c>
      <c r="G909" s="14">
        <v>20303023</v>
      </c>
      <c r="H909" s="13" t="s">
        <v>335</v>
      </c>
      <c r="I909" s="13" t="s">
        <v>326</v>
      </c>
      <c r="J909" s="14">
        <v>1</v>
      </c>
      <c r="K909" s="14">
        <v>63</v>
      </c>
      <c r="L909" s="15">
        <v>207.9</v>
      </c>
      <c r="M909" s="15">
        <v>207.9</v>
      </c>
    </row>
    <row r="910" spans="4:13">
      <c r="D910" s="12">
        <v>46119</v>
      </c>
      <c r="E910" s="13">
        <v>1592607</v>
      </c>
      <c r="F910" s="13" t="s">
        <v>20</v>
      </c>
      <c r="G910" s="14">
        <v>20307293</v>
      </c>
      <c r="H910" s="13" t="s">
        <v>211</v>
      </c>
      <c r="I910" s="13" t="s">
        <v>22</v>
      </c>
      <c r="J910" s="14">
        <v>1</v>
      </c>
      <c r="K910" s="14">
        <v>2</v>
      </c>
      <c r="L910" s="15">
        <v>8.1</v>
      </c>
      <c r="M910" s="15">
        <v>8.1</v>
      </c>
    </row>
    <row r="911" spans="4:13">
      <c r="D911" s="12">
        <v>46119</v>
      </c>
      <c r="E911" s="13">
        <v>1592607</v>
      </c>
      <c r="F911" s="13" t="s">
        <v>20</v>
      </c>
      <c r="G911" s="14">
        <v>20305022</v>
      </c>
      <c r="H911" s="13" t="s">
        <v>434</v>
      </c>
      <c r="I911" s="13" t="s">
        <v>105</v>
      </c>
      <c r="J911" s="14">
        <v>1</v>
      </c>
      <c r="K911" s="14">
        <v>1</v>
      </c>
      <c r="L911" s="15">
        <v>4.8</v>
      </c>
      <c r="M911" s="15">
        <v>4.8</v>
      </c>
    </row>
    <row r="912" spans="4:13">
      <c r="D912" s="12">
        <v>46119</v>
      </c>
      <c r="E912" s="13">
        <v>1592607</v>
      </c>
      <c r="F912" s="13" t="s">
        <v>20</v>
      </c>
      <c r="G912" s="14">
        <v>20303835</v>
      </c>
      <c r="H912" s="13" t="s">
        <v>504</v>
      </c>
      <c r="I912" s="13" t="s">
        <v>308</v>
      </c>
      <c r="J912" s="14">
        <v>1</v>
      </c>
      <c r="K912" s="14">
        <v>2</v>
      </c>
      <c r="L912" s="15">
        <v>9.9</v>
      </c>
      <c r="M912" s="15">
        <v>9.9</v>
      </c>
    </row>
    <row r="913" spans="4:13">
      <c r="D913" s="12">
        <v>46119</v>
      </c>
      <c r="E913" s="13">
        <v>1592607</v>
      </c>
      <c r="F913" s="13" t="s">
        <v>15</v>
      </c>
      <c r="G913" s="14">
        <v>20359638</v>
      </c>
      <c r="H913" s="13" t="s">
        <v>411</v>
      </c>
      <c r="I913" s="13" t="s">
        <v>128</v>
      </c>
      <c r="J913" s="14">
        <v>1</v>
      </c>
      <c r="K913" s="14">
        <v>1</v>
      </c>
      <c r="L913" s="15">
        <v>16.8</v>
      </c>
      <c r="M913" s="15">
        <v>16.8</v>
      </c>
    </row>
    <row r="914" spans="4:13">
      <c r="D914" s="12">
        <v>46119</v>
      </c>
      <c r="E914" s="13">
        <v>1592607</v>
      </c>
      <c r="F914" s="13" t="s">
        <v>131</v>
      </c>
      <c r="G914" s="14">
        <v>20303777</v>
      </c>
      <c r="H914" s="13" t="s">
        <v>351</v>
      </c>
      <c r="I914" s="13" t="s">
        <v>221</v>
      </c>
      <c r="J914" s="14">
        <v>1</v>
      </c>
      <c r="K914" s="14">
        <v>27</v>
      </c>
      <c r="L914" s="15">
        <v>180</v>
      </c>
      <c r="M914" s="15">
        <f>J914*L914</f>
        <v>180</v>
      </c>
    </row>
    <row r="915" spans="4:13">
      <c r="D915" s="12">
        <v>46119</v>
      </c>
      <c r="E915" s="13">
        <v>1592607</v>
      </c>
      <c r="F915" s="13" t="s">
        <v>131</v>
      </c>
      <c r="G915" s="14">
        <v>20412202</v>
      </c>
      <c r="H915" s="13" t="s">
        <v>322</v>
      </c>
      <c r="I915" s="13" t="s">
        <v>221</v>
      </c>
      <c r="J915" s="14">
        <v>1</v>
      </c>
      <c r="K915" s="14">
        <v>23</v>
      </c>
      <c r="L915" s="15">
        <v>180</v>
      </c>
      <c r="M915" s="15">
        <f>J915*L915</f>
        <v>180</v>
      </c>
    </row>
    <row r="916" spans="4:13">
      <c r="D916" s="12">
        <v>46119</v>
      </c>
      <c r="E916" s="13">
        <v>1592607</v>
      </c>
      <c r="F916" s="13" t="s">
        <v>47</v>
      </c>
      <c r="G916" s="14">
        <v>20312383</v>
      </c>
      <c r="H916" s="13" t="s">
        <v>354</v>
      </c>
      <c r="I916" s="13" t="s">
        <v>331</v>
      </c>
      <c r="J916" s="14">
        <v>1</v>
      </c>
      <c r="K916" s="14">
        <v>7</v>
      </c>
      <c r="L916" s="15">
        <v>23.1</v>
      </c>
      <c r="M916" s="15">
        <v>23.1</v>
      </c>
    </row>
    <row r="917" spans="4:13">
      <c r="D917" s="12">
        <v>46119</v>
      </c>
      <c r="E917" s="13">
        <v>1592607</v>
      </c>
      <c r="F917" s="13" t="s">
        <v>65</v>
      </c>
      <c r="G917" s="14">
        <v>20303836</v>
      </c>
      <c r="H917" s="13" t="s">
        <v>332</v>
      </c>
      <c r="I917" s="13" t="s">
        <v>83</v>
      </c>
      <c r="J917" s="14">
        <v>5</v>
      </c>
      <c r="K917" s="14">
        <v>20</v>
      </c>
      <c r="L917" s="15">
        <v>13.2</v>
      </c>
      <c r="M917" s="15">
        <v>66</v>
      </c>
    </row>
    <row r="918" spans="4:13">
      <c r="D918" s="12">
        <v>46119</v>
      </c>
      <c r="E918" s="13">
        <v>1592607</v>
      </c>
      <c r="F918" s="13" t="s">
        <v>65</v>
      </c>
      <c r="G918" s="14">
        <v>20383457</v>
      </c>
      <c r="H918" s="13" t="s">
        <v>420</v>
      </c>
      <c r="I918" s="13" t="s">
        <v>44</v>
      </c>
      <c r="J918" s="14">
        <v>1</v>
      </c>
      <c r="K918" s="14">
        <v>8</v>
      </c>
      <c r="L918" s="15">
        <v>26.4</v>
      </c>
      <c r="M918" s="15">
        <v>26.4</v>
      </c>
    </row>
    <row r="919" spans="4:13">
      <c r="D919" s="12">
        <v>46119</v>
      </c>
      <c r="E919" s="13">
        <v>1592614</v>
      </c>
      <c r="F919" s="13" t="s">
        <v>378</v>
      </c>
      <c r="G919" s="14">
        <v>20310012</v>
      </c>
      <c r="H919" s="13" t="s">
        <v>379</v>
      </c>
      <c r="I919" s="13" t="s">
        <v>2</v>
      </c>
      <c r="J919" s="14">
        <v>6</v>
      </c>
      <c r="K919" s="14">
        <v>0</v>
      </c>
      <c r="L919" s="15">
        <v>15</v>
      </c>
      <c r="M919" s="15">
        <v>90</v>
      </c>
    </row>
    <row r="920" spans="4:13">
      <c r="D920" s="12">
        <v>46119</v>
      </c>
      <c r="E920" s="13">
        <v>1592619</v>
      </c>
      <c r="F920" s="13" t="s">
        <v>324</v>
      </c>
      <c r="G920" s="14">
        <v>20303022</v>
      </c>
      <c r="H920" s="13" t="s">
        <v>352</v>
      </c>
      <c r="I920" s="13" t="s">
        <v>326</v>
      </c>
      <c r="J920" s="14">
        <v>2</v>
      </c>
      <c r="K920" s="14">
        <v>62</v>
      </c>
      <c r="L920" s="15">
        <v>102.3</v>
      </c>
      <c r="M920" s="15">
        <v>204.6</v>
      </c>
    </row>
    <row r="921" spans="4:13">
      <c r="D921" s="12">
        <v>46119</v>
      </c>
      <c r="E921" s="13">
        <v>1592619</v>
      </c>
      <c r="F921" s="13" t="s">
        <v>324</v>
      </c>
      <c r="G921" s="14">
        <v>20303025</v>
      </c>
      <c r="H921" s="13" t="s">
        <v>336</v>
      </c>
      <c r="I921" s="13" t="s">
        <v>326</v>
      </c>
      <c r="J921" s="14">
        <v>1</v>
      </c>
      <c r="K921" s="14">
        <v>47</v>
      </c>
      <c r="L921" s="15">
        <v>155.1</v>
      </c>
      <c r="M921" s="15">
        <v>155.1</v>
      </c>
    </row>
    <row r="922" spans="4:13">
      <c r="D922" s="12">
        <v>46119</v>
      </c>
      <c r="E922" s="13">
        <v>1592619</v>
      </c>
      <c r="F922" s="13" t="s">
        <v>324</v>
      </c>
      <c r="G922" s="14">
        <v>20303029</v>
      </c>
      <c r="H922" s="13" t="s">
        <v>337</v>
      </c>
      <c r="I922" s="13" t="s">
        <v>326</v>
      </c>
      <c r="J922" s="14">
        <v>1</v>
      </c>
      <c r="K922" s="14">
        <v>47</v>
      </c>
      <c r="L922" s="15">
        <v>155.1</v>
      </c>
      <c r="M922" s="15">
        <v>155.1</v>
      </c>
    </row>
    <row r="923" spans="4:13">
      <c r="D923" s="12">
        <v>46119</v>
      </c>
      <c r="E923" s="13">
        <v>1592619</v>
      </c>
      <c r="F923" s="13" t="s">
        <v>163</v>
      </c>
      <c r="G923" s="14">
        <v>20306235</v>
      </c>
      <c r="H923" s="13" t="s">
        <v>480</v>
      </c>
      <c r="I923" s="13" t="s">
        <v>83</v>
      </c>
      <c r="J923" s="14">
        <v>1</v>
      </c>
      <c r="K923" s="14">
        <v>5</v>
      </c>
      <c r="L923" s="15">
        <v>16.5</v>
      </c>
      <c r="M923" s="15">
        <v>16.5</v>
      </c>
    </row>
    <row r="924" spans="4:13">
      <c r="D924" s="12">
        <v>46119</v>
      </c>
      <c r="E924" s="13">
        <v>1592619</v>
      </c>
      <c r="F924" s="13" t="s">
        <v>163</v>
      </c>
      <c r="G924" s="14">
        <v>20303912</v>
      </c>
      <c r="H924" s="13" t="s">
        <v>329</v>
      </c>
      <c r="I924" s="13" t="s">
        <v>83</v>
      </c>
      <c r="J924" s="14">
        <v>2</v>
      </c>
      <c r="K924" s="14">
        <v>10</v>
      </c>
      <c r="L924" s="15">
        <v>16.5</v>
      </c>
      <c r="M924" s="15">
        <v>33</v>
      </c>
    </row>
    <row r="925" spans="4:13">
      <c r="D925" s="12">
        <v>46119</v>
      </c>
      <c r="E925" s="13">
        <v>1592619</v>
      </c>
      <c r="F925" s="13" t="s">
        <v>20</v>
      </c>
      <c r="G925" s="14">
        <v>20303954</v>
      </c>
      <c r="H925" s="13" t="s">
        <v>295</v>
      </c>
      <c r="I925" s="13" t="s">
        <v>29</v>
      </c>
      <c r="J925" s="14">
        <v>2</v>
      </c>
      <c r="K925" s="14">
        <v>2</v>
      </c>
      <c r="L925" s="15">
        <v>4.8</v>
      </c>
      <c r="M925" s="15">
        <v>9.6</v>
      </c>
    </row>
    <row r="926" spans="4:13">
      <c r="D926" s="12">
        <v>46119</v>
      </c>
      <c r="E926" s="13">
        <v>1592619</v>
      </c>
      <c r="F926" s="13" t="s">
        <v>20</v>
      </c>
      <c r="G926" s="14">
        <v>20309432</v>
      </c>
      <c r="H926" s="13" t="s">
        <v>357</v>
      </c>
      <c r="I926" s="13" t="s">
        <v>57</v>
      </c>
      <c r="J926" s="14">
        <v>1</v>
      </c>
      <c r="K926" s="14">
        <v>2</v>
      </c>
      <c r="L926" s="15">
        <v>9.9</v>
      </c>
      <c r="M926" s="15">
        <v>9.9</v>
      </c>
    </row>
    <row r="927" spans="4:13">
      <c r="D927" s="12">
        <v>46119</v>
      </c>
      <c r="E927" s="13">
        <v>1592619</v>
      </c>
      <c r="F927" s="13" t="s">
        <v>20</v>
      </c>
      <c r="G927" s="14">
        <v>20307293</v>
      </c>
      <c r="H927" s="13" t="s">
        <v>211</v>
      </c>
      <c r="I927" s="13" t="s">
        <v>22</v>
      </c>
      <c r="J927" s="14">
        <v>1</v>
      </c>
      <c r="K927" s="14">
        <v>2</v>
      </c>
      <c r="L927" s="15">
        <v>8.1</v>
      </c>
      <c r="M927" s="15">
        <v>8.1</v>
      </c>
    </row>
    <row r="928" spans="4:13">
      <c r="D928" s="12">
        <v>46119</v>
      </c>
      <c r="E928" s="13">
        <v>1592619</v>
      </c>
      <c r="F928" s="13" t="s">
        <v>131</v>
      </c>
      <c r="G928" s="14">
        <v>20412194</v>
      </c>
      <c r="H928" s="13" t="s">
        <v>315</v>
      </c>
      <c r="I928" s="13" t="s">
        <v>221</v>
      </c>
      <c r="J928" s="14">
        <v>1</v>
      </c>
      <c r="K928" s="14">
        <v>22</v>
      </c>
      <c r="L928" s="15">
        <v>180</v>
      </c>
      <c r="M928" s="15">
        <f>J928*L928</f>
        <v>180</v>
      </c>
    </row>
    <row r="929" spans="4:13">
      <c r="D929" s="12">
        <v>46119</v>
      </c>
      <c r="E929" s="13">
        <v>1592619</v>
      </c>
      <c r="F929" s="13" t="s">
        <v>47</v>
      </c>
      <c r="G929" s="14">
        <v>20303941</v>
      </c>
      <c r="H929" s="13" t="s">
        <v>348</v>
      </c>
      <c r="I929" s="13" t="s">
        <v>331</v>
      </c>
      <c r="J929" s="14">
        <v>1</v>
      </c>
      <c r="K929" s="14">
        <v>8</v>
      </c>
      <c r="L929" s="15">
        <v>26.4</v>
      </c>
      <c r="M929" s="15">
        <v>26.4</v>
      </c>
    </row>
    <row r="930" spans="4:13">
      <c r="D930" s="12">
        <v>46119</v>
      </c>
      <c r="E930" s="13">
        <v>1592619</v>
      </c>
      <c r="F930" s="13" t="s">
        <v>65</v>
      </c>
      <c r="G930" s="14">
        <v>20303836</v>
      </c>
      <c r="H930" s="13" t="s">
        <v>332</v>
      </c>
      <c r="I930" s="13" t="s">
        <v>83</v>
      </c>
      <c r="J930" s="14">
        <v>1</v>
      </c>
      <c r="K930" s="14">
        <v>4</v>
      </c>
      <c r="L930" s="15">
        <v>13.2</v>
      </c>
      <c r="M930" s="15">
        <v>13.2</v>
      </c>
    </row>
    <row r="931" spans="4:13">
      <c r="D931" s="12">
        <v>46119</v>
      </c>
      <c r="E931" s="13">
        <v>1592619</v>
      </c>
      <c r="F931" s="13" t="s">
        <v>65</v>
      </c>
      <c r="G931" s="14">
        <v>20307305</v>
      </c>
      <c r="H931" s="13" t="s">
        <v>453</v>
      </c>
      <c r="I931" s="13" t="s">
        <v>49</v>
      </c>
      <c r="J931" s="14">
        <v>1</v>
      </c>
      <c r="K931" s="14">
        <v>2</v>
      </c>
      <c r="L931" s="15">
        <v>9.9</v>
      </c>
      <c r="M931" s="15">
        <v>9.9</v>
      </c>
    </row>
    <row r="932" spans="4:13">
      <c r="D932" s="12">
        <v>46120</v>
      </c>
      <c r="E932" s="13">
        <v>1592784</v>
      </c>
      <c r="F932" s="13" t="s">
        <v>324</v>
      </c>
      <c r="G932" s="14">
        <v>20303022</v>
      </c>
      <c r="H932" s="13" t="s">
        <v>352</v>
      </c>
      <c r="I932" s="13" t="s">
        <v>326</v>
      </c>
      <c r="J932" s="14">
        <v>2</v>
      </c>
      <c r="K932" s="14">
        <v>62</v>
      </c>
      <c r="L932" s="15">
        <v>102.3</v>
      </c>
      <c r="M932" s="15">
        <v>204.6</v>
      </c>
    </row>
    <row r="933" spans="4:13">
      <c r="D933" s="12">
        <v>46120</v>
      </c>
      <c r="E933" s="13">
        <v>1592784</v>
      </c>
      <c r="F933" s="13" t="s">
        <v>324</v>
      </c>
      <c r="G933" s="14">
        <v>20303023</v>
      </c>
      <c r="H933" s="13" t="s">
        <v>335</v>
      </c>
      <c r="I933" s="13" t="s">
        <v>326</v>
      </c>
      <c r="J933" s="14">
        <v>1</v>
      </c>
      <c r="K933" s="14">
        <v>63</v>
      </c>
      <c r="L933" s="15">
        <v>207.9</v>
      </c>
      <c r="M933" s="15">
        <v>207.9</v>
      </c>
    </row>
    <row r="934" spans="4:13">
      <c r="D934" s="12">
        <v>46120</v>
      </c>
      <c r="E934" s="13">
        <v>1592784</v>
      </c>
      <c r="F934" s="13" t="s">
        <v>324</v>
      </c>
      <c r="G934" s="14">
        <v>20303025</v>
      </c>
      <c r="H934" s="13" t="s">
        <v>336</v>
      </c>
      <c r="I934" s="13" t="s">
        <v>326</v>
      </c>
      <c r="J934" s="14">
        <v>1</v>
      </c>
      <c r="K934" s="14">
        <v>47</v>
      </c>
      <c r="L934" s="15">
        <v>155.1</v>
      </c>
      <c r="M934" s="15">
        <v>155.1</v>
      </c>
    </row>
    <row r="935" spans="4:13">
      <c r="D935" s="12">
        <v>46120</v>
      </c>
      <c r="E935" s="13">
        <v>1592784</v>
      </c>
      <c r="F935" s="13" t="s">
        <v>324</v>
      </c>
      <c r="G935" s="14">
        <v>20303030</v>
      </c>
      <c r="H935" s="13" t="s">
        <v>505</v>
      </c>
      <c r="I935" s="13" t="s">
        <v>326</v>
      </c>
      <c r="J935" s="14">
        <v>1</v>
      </c>
      <c r="K935" s="14">
        <v>37</v>
      </c>
      <c r="L935" s="15">
        <v>122.1</v>
      </c>
      <c r="M935" s="15">
        <v>122.1</v>
      </c>
    </row>
    <row r="936" spans="4:13">
      <c r="D936" s="12">
        <v>46120</v>
      </c>
      <c r="E936" s="13">
        <v>1592784</v>
      </c>
      <c r="F936" s="13" t="s">
        <v>163</v>
      </c>
      <c r="G936" s="14">
        <v>20303912</v>
      </c>
      <c r="H936" s="13" t="s">
        <v>329</v>
      </c>
      <c r="I936" s="13" t="s">
        <v>83</v>
      </c>
      <c r="J936" s="14">
        <v>2</v>
      </c>
      <c r="K936" s="14">
        <v>10</v>
      </c>
      <c r="L936" s="15">
        <v>16.5</v>
      </c>
      <c r="M936" s="15">
        <v>33</v>
      </c>
    </row>
    <row r="937" spans="4:13">
      <c r="D937" s="12">
        <v>46120</v>
      </c>
      <c r="E937" s="13">
        <v>1592784</v>
      </c>
      <c r="F937" s="13" t="s">
        <v>20</v>
      </c>
      <c r="G937" s="14">
        <v>20303954</v>
      </c>
      <c r="H937" s="13" t="s">
        <v>295</v>
      </c>
      <c r="I937" s="13" t="s">
        <v>29</v>
      </c>
      <c r="J937" s="14">
        <v>2</v>
      </c>
      <c r="K937" s="14">
        <v>2</v>
      </c>
      <c r="L937" s="15">
        <v>4.8</v>
      </c>
      <c r="M937" s="15">
        <v>9.6</v>
      </c>
    </row>
    <row r="938" spans="4:13">
      <c r="D938" s="12">
        <v>46120</v>
      </c>
      <c r="E938" s="13">
        <v>1592784</v>
      </c>
      <c r="F938" s="13" t="s">
        <v>20</v>
      </c>
      <c r="G938" s="14">
        <v>20323504</v>
      </c>
      <c r="H938" s="13" t="s">
        <v>498</v>
      </c>
      <c r="I938" s="13" t="s">
        <v>33</v>
      </c>
      <c r="J938" s="14">
        <v>1</v>
      </c>
      <c r="K938" s="14">
        <v>1</v>
      </c>
      <c r="L938" s="15">
        <v>4.8</v>
      </c>
      <c r="M938" s="15">
        <v>4.8</v>
      </c>
    </row>
    <row r="939" spans="4:13">
      <c r="D939" s="12">
        <v>46120</v>
      </c>
      <c r="E939" s="13">
        <v>1592784</v>
      </c>
      <c r="F939" s="13" t="s">
        <v>20</v>
      </c>
      <c r="G939" s="14">
        <v>20307293</v>
      </c>
      <c r="H939" s="13" t="s">
        <v>211</v>
      </c>
      <c r="I939" s="13" t="s">
        <v>22</v>
      </c>
      <c r="J939" s="14">
        <v>2</v>
      </c>
      <c r="K939" s="14">
        <v>4</v>
      </c>
      <c r="L939" s="15">
        <v>8.1</v>
      </c>
      <c r="M939" s="15">
        <v>16.2</v>
      </c>
    </row>
    <row r="940" spans="4:13">
      <c r="D940" s="12">
        <v>46120</v>
      </c>
      <c r="E940" s="13">
        <v>1592784</v>
      </c>
      <c r="F940" s="13" t="s">
        <v>20</v>
      </c>
      <c r="G940" s="14">
        <v>20311063</v>
      </c>
      <c r="H940" s="13" t="s">
        <v>183</v>
      </c>
      <c r="I940" s="13" t="s">
        <v>29</v>
      </c>
      <c r="J940" s="14">
        <v>1</v>
      </c>
      <c r="K940" s="14">
        <v>1</v>
      </c>
      <c r="L940" s="15">
        <v>4.8</v>
      </c>
      <c r="M940" s="15">
        <v>4.8</v>
      </c>
    </row>
    <row r="941" spans="4:13">
      <c r="D941" s="12">
        <v>46120</v>
      </c>
      <c r="E941" s="13">
        <v>1592784</v>
      </c>
      <c r="F941" s="13" t="s">
        <v>20</v>
      </c>
      <c r="G941" s="14">
        <v>20320645</v>
      </c>
      <c r="H941" s="13" t="s">
        <v>506</v>
      </c>
      <c r="I941" s="13" t="s">
        <v>29</v>
      </c>
      <c r="J941" s="14">
        <v>1</v>
      </c>
      <c r="K941" s="14">
        <v>1</v>
      </c>
      <c r="L941" s="15">
        <v>4.8</v>
      </c>
      <c r="M941" s="15">
        <v>4.8</v>
      </c>
    </row>
    <row r="942" spans="4:13">
      <c r="D942" s="12">
        <v>46120</v>
      </c>
      <c r="E942" s="13">
        <v>1592784</v>
      </c>
      <c r="F942" s="13" t="s">
        <v>20</v>
      </c>
      <c r="G942" s="14">
        <v>20310437</v>
      </c>
      <c r="H942" s="13" t="s">
        <v>507</v>
      </c>
      <c r="I942" s="13" t="s">
        <v>33</v>
      </c>
      <c r="J942" s="14">
        <v>1</v>
      </c>
      <c r="K942" s="14">
        <v>1</v>
      </c>
      <c r="L942" s="15">
        <v>4.8</v>
      </c>
      <c r="M942" s="15">
        <v>4.8</v>
      </c>
    </row>
    <row r="943" spans="4:13">
      <c r="D943" s="12">
        <v>46120</v>
      </c>
      <c r="E943" s="13">
        <v>1592784</v>
      </c>
      <c r="F943" s="13" t="s">
        <v>15</v>
      </c>
      <c r="G943" s="14">
        <v>20315046</v>
      </c>
      <c r="H943" s="13" t="s">
        <v>340</v>
      </c>
      <c r="I943" s="13" t="s">
        <v>314</v>
      </c>
      <c r="J943" s="14">
        <v>1</v>
      </c>
      <c r="K943" s="14">
        <v>1</v>
      </c>
      <c r="L943" s="15">
        <v>21</v>
      </c>
      <c r="M943" s="15">
        <v>21</v>
      </c>
    </row>
    <row r="944" spans="4:13">
      <c r="D944" s="12">
        <v>46120</v>
      </c>
      <c r="E944" s="13">
        <v>1592784</v>
      </c>
      <c r="F944" s="13" t="s">
        <v>15</v>
      </c>
      <c r="G944" s="14">
        <v>20360685</v>
      </c>
      <c r="H944" s="13" t="s">
        <v>440</v>
      </c>
      <c r="I944" s="13" t="s">
        <v>128</v>
      </c>
      <c r="J944" s="14">
        <v>1</v>
      </c>
      <c r="K944" s="14">
        <v>1</v>
      </c>
      <c r="L944" s="15">
        <v>16.8</v>
      </c>
      <c r="M944" s="15">
        <v>16.8</v>
      </c>
    </row>
    <row r="945" spans="4:13">
      <c r="D945" s="12">
        <v>46120</v>
      </c>
      <c r="E945" s="13">
        <v>1592784</v>
      </c>
      <c r="F945" s="13" t="s">
        <v>131</v>
      </c>
      <c r="G945" s="14">
        <v>20309658</v>
      </c>
      <c r="H945" s="13" t="s">
        <v>365</v>
      </c>
      <c r="I945" s="13" t="s">
        <v>221</v>
      </c>
      <c r="J945" s="14">
        <v>1</v>
      </c>
      <c r="K945" s="14">
        <v>5</v>
      </c>
      <c r="L945" s="15">
        <v>52.8</v>
      </c>
      <c r="M945" s="15">
        <v>52.8</v>
      </c>
    </row>
    <row r="946" spans="4:13">
      <c r="D946" s="12">
        <v>46120</v>
      </c>
      <c r="E946" s="13">
        <v>1592784</v>
      </c>
      <c r="F946" s="13" t="s">
        <v>131</v>
      </c>
      <c r="G946" s="14">
        <v>20312572</v>
      </c>
      <c r="H946" s="13" t="s">
        <v>366</v>
      </c>
      <c r="I946" s="13" t="s">
        <v>221</v>
      </c>
      <c r="J946" s="14">
        <v>1</v>
      </c>
      <c r="K946" s="14">
        <v>27</v>
      </c>
      <c r="L946" s="15">
        <v>180</v>
      </c>
      <c r="M946" s="15">
        <f>J946*L946</f>
        <v>180</v>
      </c>
    </row>
    <row r="947" spans="4:13">
      <c r="D947" s="12">
        <v>46120</v>
      </c>
      <c r="E947" s="13">
        <v>1592784</v>
      </c>
      <c r="F947" s="13" t="s">
        <v>131</v>
      </c>
      <c r="G947" s="14">
        <v>20324183</v>
      </c>
      <c r="H947" s="13" t="s">
        <v>321</v>
      </c>
      <c r="I947" s="13" t="s">
        <v>221</v>
      </c>
      <c r="J947" s="14">
        <v>1</v>
      </c>
      <c r="K947" s="14">
        <v>18</v>
      </c>
      <c r="L947" s="15">
        <v>178.2</v>
      </c>
      <c r="M947" s="15">
        <v>178.2</v>
      </c>
    </row>
    <row r="948" spans="4:13">
      <c r="D948" s="12">
        <v>46120</v>
      </c>
      <c r="E948" s="13">
        <v>1592784</v>
      </c>
      <c r="F948" s="13" t="s">
        <v>47</v>
      </c>
      <c r="G948" s="14">
        <v>20303011</v>
      </c>
      <c r="H948" s="13" t="s">
        <v>330</v>
      </c>
      <c r="I948" s="13" t="s">
        <v>331</v>
      </c>
      <c r="J948" s="14">
        <v>2</v>
      </c>
      <c r="K948" s="14">
        <v>52</v>
      </c>
      <c r="L948" s="15">
        <v>85.8</v>
      </c>
      <c r="M948" s="15">
        <v>171.6</v>
      </c>
    </row>
    <row r="949" spans="4:13">
      <c r="D949" s="12">
        <v>46120</v>
      </c>
      <c r="E949" s="13">
        <v>1592784</v>
      </c>
      <c r="F949" s="13" t="s">
        <v>47</v>
      </c>
      <c r="G949" s="14">
        <v>20402945</v>
      </c>
      <c r="H949" s="13" t="s">
        <v>508</v>
      </c>
      <c r="I949" s="13" t="s">
        <v>221</v>
      </c>
      <c r="J949" s="14">
        <v>1</v>
      </c>
      <c r="K949" s="14">
        <v>27</v>
      </c>
      <c r="L949" s="15">
        <v>89.1</v>
      </c>
      <c r="M949" s="15">
        <v>89.1</v>
      </c>
    </row>
    <row r="950" spans="4:13">
      <c r="D950" s="12">
        <v>46120</v>
      </c>
      <c r="E950" s="13">
        <v>1592784</v>
      </c>
      <c r="F950" s="13" t="s">
        <v>65</v>
      </c>
      <c r="G950" s="14">
        <v>20303836</v>
      </c>
      <c r="H950" s="13" t="s">
        <v>332</v>
      </c>
      <c r="I950" s="13" t="s">
        <v>83</v>
      </c>
      <c r="J950" s="14">
        <v>2</v>
      </c>
      <c r="K950" s="14">
        <v>8</v>
      </c>
      <c r="L950" s="15">
        <v>13.2</v>
      </c>
      <c r="M950" s="15">
        <v>26.4</v>
      </c>
    </row>
    <row r="951" spans="4:13">
      <c r="D951" s="12">
        <v>46120</v>
      </c>
      <c r="E951" s="13">
        <v>1592784</v>
      </c>
      <c r="F951" s="13" t="s">
        <v>65</v>
      </c>
      <c r="G951" s="14">
        <v>20303940</v>
      </c>
      <c r="H951" s="13" t="s">
        <v>403</v>
      </c>
      <c r="I951" s="13" t="s">
        <v>44</v>
      </c>
      <c r="J951" s="14">
        <v>1</v>
      </c>
      <c r="K951" s="14">
        <v>1</v>
      </c>
      <c r="L951" s="15">
        <v>9.9</v>
      </c>
      <c r="M951" s="15">
        <v>9.9</v>
      </c>
    </row>
    <row r="952" ht="25.5" spans="4:13">
      <c r="D952" s="12">
        <v>46120</v>
      </c>
      <c r="E952" s="13">
        <v>1592784</v>
      </c>
      <c r="F952" s="13" t="s">
        <v>65</v>
      </c>
      <c r="G952" s="14">
        <v>20315740</v>
      </c>
      <c r="H952" s="13" t="s">
        <v>478</v>
      </c>
      <c r="I952" s="13" t="s">
        <v>62</v>
      </c>
      <c r="J952" s="14">
        <v>1</v>
      </c>
      <c r="K952" s="14">
        <v>2</v>
      </c>
      <c r="L952" s="15">
        <v>9.9</v>
      </c>
      <c r="M952" s="15">
        <v>9.9</v>
      </c>
    </row>
    <row r="953" spans="4:13">
      <c r="D953" s="12">
        <v>46120</v>
      </c>
      <c r="E953" s="13">
        <v>1592787</v>
      </c>
      <c r="F953" s="13" t="s">
        <v>15</v>
      </c>
      <c r="G953" s="14">
        <v>20358909</v>
      </c>
      <c r="H953" s="13" t="s">
        <v>407</v>
      </c>
      <c r="I953" s="13" t="s">
        <v>408</v>
      </c>
      <c r="J953" s="14">
        <v>1</v>
      </c>
      <c r="K953" s="14">
        <v>1</v>
      </c>
      <c r="L953" s="15">
        <v>16.8</v>
      </c>
      <c r="M953" s="15">
        <v>16.8</v>
      </c>
    </row>
    <row r="954" spans="4:13">
      <c r="D954" s="12">
        <v>46120</v>
      </c>
      <c r="E954" s="13">
        <v>1592787</v>
      </c>
      <c r="F954" s="13" t="s">
        <v>131</v>
      </c>
      <c r="G954" s="14">
        <v>20309648</v>
      </c>
      <c r="H954" s="13" t="s">
        <v>363</v>
      </c>
      <c r="I954" s="13" t="s">
        <v>221</v>
      </c>
      <c r="J954" s="14">
        <v>2</v>
      </c>
      <c r="K954" s="14">
        <v>28</v>
      </c>
      <c r="L954" s="15">
        <v>138.6</v>
      </c>
      <c r="M954" s="15">
        <v>277.2</v>
      </c>
    </row>
    <row r="955" spans="4:13">
      <c r="D955" s="12">
        <v>46120</v>
      </c>
      <c r="E955" s="13">
        <v>1592800</v>
      </c>
      <c r="F955" s="13" t="s">
        <v>131</v>
      </c>
      <c r="G955" s="14">
        <v>20309744</v>
      </c>
      <c r="H955" s="13" t="s">
        <v>361</v>
      </c>
      <c r="I955" s="13" t="s">
        <v>221</v>
      </c>
      <c r="J955" s="14">
        <v>1</v>
      </c>
      <c r="K955" s="14">
        <v>9</v>
      </c>
      <c r="L955" s="15">
        <v>92.4</v>
      </c>
      <c r="M955" s="15">
        <v>92.4</v>
      </c>
    </row>
    <row r="956" spans="4:13">
      <c r="D956" s="12">
        <v>46120</v>
      </c>
      <c r="E956" s="13">
        <v>1592844</v>
      </c>
      <c r="F956" s="13" t="s">
        <v>15</v>
      </c>
      <c r="G956" s="14">
        <v>20310294</v>
      </c>
      <c r="H956" s="13" t="s">
        <v>485</v>
      </c>
      <c r="I956" s="13" t="s">
        <v>128</v>
      </c>
      <c r="J956" s="14">
        <v>1</v>
      </c>
      <c r="K956" s="14">
        <v>1</v>
      </c>
      <c r="L956" s="15">
        <v>16.8</v>
      </c>
      <c r="M956" s="15">
        <v>16.8</v>
      </c>
    </row>
    <row r="957" spans="4:13">
      <c r="D957" s="12">
        <v>46120</v>
      </c>
      <c r="E957" s="13">
        <v>1592844</v>
      </c>
      <c r="F957" s="13" t="s">
        <v>131</v>
      </c>
      <c r="G957" s="14">
        <v>20309658</v>
      </c>
      <c r="H957" s="13" t="s">
        <v>365</v>
      </c>
      <c r="I957" s="13" t="s">
        <v>221</v>
      </c>
      <c r="J957" s="14">
        <v>1</v>
      </c>
      <c r="K957" s="14">
        <v>5</v>
      </c>
      <c r="L957" s="15">
        <v>52.8</v>
      </c>
      <c r="M957" s="15">
        <v>52.8</v>
      </c>
    </row>
    <row r="958" spans="4:13">
      <c r="D958" s="12">
        <v>46120</v>
      </c>
      <c r="E958" s="13">
        <v>1592844</v>
      </c>
      <c r="F958" s="13" t="s">
        <v>131</v>
      </c>
      <c r="G958" s="14">
        <v>20412034</v>
      </c>
      <c r="H958" s="13" t="s">
        <v>344</v>
      </c>
      <c r="I958" s="13" t="s">
        <v>221</v>
      </c>
      <c r="J958" s="14">
        <v>1</v>
      </c>
      <c r="K958" s="14">
        <v>28</v>
      </c>
      <c r="L958" s="15">
        <v>180</v>
      </c>
      <c r="M958" s="15">
        <f>J958*L958</f>
        <v>180</v>
      </c>
    </row>
    <row r="959" spans="4:13">
      <c r="D959" s="12">
        <v>46120</v>
      </c>
      <c r="E959" s="13">
        <v>1592881</v>
      </c>
      <c r="F959" s="13" t="s">
        <v>15</v>
      </c>
      <c r="G959" s="14">
        <v>20358905</v>
      </c>
      <c r="H959" s="13" t="s">
        <v>360</v>
      </c>
      <c r="I959" s="13" t="s">
        <v>244</v>
      </c>
      <c r="J959" s="14">
        <v>1</v>
      </c>
      <c r="K959" s="14">
        <v>1</v>
      </c>
      <c r="L959" s="15">
        <v>15</v>
      </c>
      <c r="M959" s="15">
        <v>15</v>
      </c>
    </row>
    <row r="960" spans="4:13">
      <c r="D960" s="12">
        <v>46120</v>
      </c>
      <c r="E960" s="13">
        <v>1592881</v>
      </c>
      <c r="F960" s="13" t="s">
        <v>15</v>
      </c>
      <c r="G960" s="14">
        <v>20309651</v>
      </c>
      <c r="H960" s="13" t="s">
        <v>130</v>
      </c>
      <c r="I960" s="13" t="s">
        <v>62</v>
      </c>
      <c r="J960" s="14">
        <v>1</v>
      </c>
      <c r="K960" s="14">
        <v>1</v>
      </c>
      <c r="L960" s="15">
        <v>21</v>
      </c>
      <c r="M960" s="15">
        <v>21</v>
      </c>
    </row>
    <row r="961" spans="4:13">
      <c r="D961" s="12">
        <v>46120</v>
      </c>
      <c r="E961" s="13">
        <v>1592881</v>
      </c>
      <c r="F961" s="13" t="s">
        <v>15</v>
      </c>
      <c r="G961" s="14">
        <v>20359638</v>
      </c>
      <c r="H961" s="13" t="s">
        <v>411</v>
      </c>
      <c r="I961" s="13" t="s">
        <v>128</v>
      </c>
      <c r="J961" s="14">
        <v>1</v>
      </c>
      <c r="K961" s="14">
        <v>1</v>
      </c>
      <c r="L961" s="15">
        <v>16.8</v>
      </c>
      <c r="M961" s="15">
        <v>16.8</v>
      </c>
    </row>
    <row r="962" spans="4:13">
      <c r="D962" s="12">
        <v>46120</v>
      </c>
      <c r="E962" s="13">
        <v>1592881</v>
      </c>
      <c r="F962" s="13" t="s">
        <v>131</v>
      </c>
      <c r="G962" s="14">
        <v>20309744</v>
      </c>
      <c r="H962" s="13" t="s">
        <v>361</v>
      </c>
      <c r="I962" s="13" t="s">
        <v>221</v>
      </c>
      <c r="J962" s="14">
        <v>1</v>
      </c>
      <c r="K962" s="14">
        <v>9</v>
      </c>
      <c r="L962" s="15">
        <v>92.4</v>
      </c>
      <c r="M962" s="15">
        <v>92.4</v>
      </c>
    </row>
    <row r="963" spans="4:13">
      <c r="D963" s="12">
        <v>46120</v>
      </c>
      <c r="E963" s="13">
        <v>1592881</v>
      </c>
      <c r="F963" s="13" t="s">
        <v>131</v>
      </c>
      <c r="G963" s="14">
        <v>20309648</v>
      </c>
      <c r="H963" s="13" t="s">
        <v>363</v>
      </c>
      <c r="I963" s="13" t="s">
        <v>221</v>
      </c>
      <c r="J963" s="14">
        <v>1</v>
      </c>
      <c r="K963" s="14">
        <v>14</v>
      </c>
      <c r="L963" s="15">
        <v>138.6</v>
      </c>
      <c r="M963" s="15">
        <v>138.6</v>
      </c>
    </row>
    <row r="964" spans="4:13">
      <c r="D964" s="12">
        <v>46120</v>
      </c>
      <c r="E964" s="13">
        <v>1592881</v>
      </c>
      <c r="F964" s="13" t="s">
        <v>131</v>
      </c>
      <c r="G964" s="14">
        <v>20384037</v>
      </c>
      <c r="H964" s="13" t="s">
        <v>376</v>
      </c>
      <c r="I964" s="13" t="s">
        <v>221</v>
      </c>
      <c r="J964" s="14">
        <v>1</v>
      </c>
      <c r="K964" s="14">
        <v>25</v>
      </c>
      <c r="L964" s="15">
        <v>180</v>
      </c>
      <c r="M964" s="15">
        <f>J964*L964</f>
        <v>180</v>
      </c>
    </row>
    <row r="965" spans="4:13">
      <c r="D965" s="12">
        <v>46120</v>
      </c>
      <c r="E965" s="13">
        <v>1592881</v>
      </c>
      <c r="F965" s="13" t="s">
        <v>131</v>
      </c>
      <c r="G965" s="14">
        <v>20314362</v>
      </c>
      <c r="H965" s="13" t="s">
        <v>364</v>
      </c>
      <c r="I965" s="13" t="s">
        <v>221</v>
      </c>
      <c r="J965" s="14">
        <v>1</v>
      </c>
      <c r="K965" s="14">
        <v>27</v>
      </c>
      <c r="L965" s="15">
        <v>180</v>
      </c>
      <c r="M965" s="15">
        <f>J965*L965</f>
        <v>180</v>
      </c>
    </row>
    <row r="966" spans="4:13">
      <c r="D966" s="12">
        <v>46120</v>
      </c>
      <c r="E966" s="13">
        <v>1592881</v>
      </c>
      <c r="F966" s="13" t="s">
        <v>131</v>
      </c>
      <c r="G966" s="14">
        <v>20309658</v>
      </c>
      <c r="H966" s="13" t="s">
        <v>365</v>
      </c>
      <c r="I966" s="13" t="s">
        <v>221</v>
      </c>
      <c r="J966" s="14">
        <v>3</v>
      </c>
      <c r="K966" s="14">
        <v>15</v>
      </c>
      <c r="L966" s="15">
        <v>52.8</v>
      </c>
      <c r="M966" s="15">
        <v>158.4</v>
      </c>
    </row>
    <row r="967" spans="4:13">
      <c r="D967" s="12">
        <v>46120</v>
      </c>
      <c r="E967" s="13">
        <v>1592881</v>
      </c>
      <c r="F967" s="13" t="s">
        <v>131</v>
      </c>
      <c r="G967" s="14">
        <v>20303777</v>
      </c>
      <c r="H967" s="13" t="s">
        <v>351</v>
      </c>
      <c r="I967" s="13" t="s">
        <v>221</v>
      </c>
      <c r="J967" s="14">
        <v>1</v>
      </c>
      <c r="K967" s="14">
        <v>27</v>
      </c>
      <c r="L967" s="15">
        <v>180</v>
      </c>
      <c r="M967" s="15">
        <f>J967*L967</f>
        <v>180</v>
      </c>
    </row>
    <row r="968" spans="4:13">
      <c r="D968" s="12">
        <v>46120</v>
      </c>
      <c r="E968" s="13">
        <v>1592928</v>
      </c>
      <c r="F968" s="13" t="s">
        <v>324</v>
      </c>
      <c r="G968" s="14">
        <v>20331665</v>
      </c>
      <c r="H968" s="13" t="s">
        <v>421</v>
      </c>
      <c r="I968" s="13" t="s">
        <v>326</v>
      </c>
      <c r="J968" s="14">
        <v>1</v>
      </c>
      <c r="K968" s="14">
        <v>10</v>
      </c>
      <c r="L968" s="15">
        <v>33</v>
      </c>
      <c r="M968" s="15">
        <v>33</v>
      </c>
    </row>
    <row r="969" spans="4:13">
      <c r="D969" s="12">
        <v>46120</v>
      </c>
      <c r="E969" s="13">
        <v>1592928</v>
      </c>
      <c r="F969" s="13" t="s">
        <v>324</v>
      </c>
      <c r="G969" s="14">
        <v>20303002</v>
      </c>
      <c r="H969" s="13" t="s">
        <v>472</v>
      </c>
      <c r="I969" s="13" t="s">
        <v>326</v>
      </c>
      <c r="J969" s="14">
        <v>1</v>
      </c>
      <c r="K969" s="14">
        <v>22</v>
      </c>
      <c r="L969" s="15">
        <v>72.6</v>
      </c>
      <c r="M969" s="15">
        <v>72.6</v>
      </c>
    </row>
    <row r="970" spans="4:13">
      <c r="D970" s="12">
        <v>46120</v>
      </c>
      <c r="E970" s="13">
        <v>1592928</v>
      </c>
      <c r="F970" s="13" t="s">
        <v>324</v>
      </c>
      <c r="G970" s="14">
        <v>20303010</v>
      </c>
      <c r="H970" s="13" t="s">
        <v>325</v>
      </c>
      <c r="I970" s="13" t="s">
        <v>326</v>
      </c>
      <c r="J970" s="14">
        <v>3</v>
      </c>
      <c r="K970" s="14">
        <v>75</v>
      </c>
      <c r="L970" s="15">
        <v>82.5</v>
      </c>
      <c r="M970" s="15">
        <v>247.5</v>
      </c>
    </row>
    <row r="971" spans="4:13">
      <c r="D971" s="12">
        <v>46120</v>
      </c>
      <c r="E971" s="13">
        <v>1592928</v>
      </c>
      <c r="F971" s="13" t="s">
        <v>324</v>
      </c>
      <c r="G971" s="14">
        <v>20303022</v>
      </c>
      <c r="H971" s="13" t="s">
        <v>352</v>
      </c>
      <c r="I971" s="13" t="s">
        <v>326</v>
      </c>
      <c r="J971" s="14">
        <v>3</v>
      </c>
      <c r="K971" s="14">
        <v>93</v>
      </c>
      <c r="L971" s="15">
        <v>102.3</v>
      </c>
      <c r="M971" s="15">
        <v>306.9</v>
      </c>
    </row>
    <row r="972" spans="4:13">
      <c r="D972" s="12">
        <v>46120</v>
      </c>
      <c r="E972" s="13">
        <v>1592928</v>
      </c>
      <c r="F972" s="13" t="s">
        <v>324</v>
      </c>
      <c r="G972" s="14">
        <v>20303025</v>
      </c>
      <c r="H972" s="13" t="s">
        <v>336</v>
      </c>
      <c r="I972" s="13" t="s">
        <v>326</v>
      </c>
      <c r="J972" s="14">
        <v>1</v>
      </c>
      <c r="K972" s="14">
        <v>47</v>
      </c>
      <c r="L972" s="15">
        <v>155.1</v>
      </c>
      <c r="M972" s="15">
        <v>155.1</v>
      </c>
    </row>
    <row r="973" spans="4:13">
      <c r="D973" s="12">
        <v>46120</v>
      </c>
      <c r="E973" s="13">
        <v>1592928</v>
      </c>
      <c r="F973" s="13" t="s">
        <v>324</v>
      </c>
      <c r="G973" s="14">
        <v>20303036</v>
      </c>
      <c r="H973" s="13" t="s">
        <v>431</v>
      </c>
      <c r="I973" s="13" t="s">
        <v>326</v>
      </c>
      <c r="J973" s="14">
        <v>1</v>
      </c>
      <c r="K973" s="14">
        <v>22</v>
      </c>
      <c r="L973" s="15">
        <v>72.6</v>
      </c>
      <c r="M973" s="15">
        <v>72.6</v>
      </c>
    </row>
    <row r="974" spans="4:13">
      <c r="D974" s="12">
        <v>46120</v>
      </c>
      <c r="E974" s="13">
        <v>1592928</v>
      </c>
      <c r="F974" s="13" t="s">
        <v>324</v>
      </c>
      <c r="G974" s="14">
        <v>20303041</v>
      </c>
      <c r="H974" s="13" t="s">
        <v>406</v>
      </c>
      <c r="I974" s="13" t="s">
        <v>44</v>
      </c>
      <c r="J974" s="14">
        <v>1</v>
      </c>
      <c r="K974" s="14">
        <v>17</v>
      </c>
      <c r="L974" s="15">
        <v>56.1</v>
      </c>
      <c r="M974" s="15">
        <v>56.1</v>
      </c>
    </row>
    <row r="975" spans="4:13">
      <c r="D975" s="12">
        <v>46120</v>
      </c>
      <c r="E975" s="13">
        <v>1592928</v>
      </c>
      <c r="F975" s="13" t="s">
        <v>324</v>
      </c>
      <c r="G975" s="14">
        <v>20303054</v>
      </c>
      <c r="H975" s="13" t="s">
        <v>414</v>
      </c>
      <c r="I975" s="13" t="s">
        <v>326</v>
      </c>
      <c r="J975" s="14">
        <v>1</v>
      </c>
      <c r="K975" s="14">
        <v>18</v>
      </c>
      <c r="L975" s="15">
        <v>59.4</v>
      </c>
      <c r="M975" s="15">
        <v>59.4</v>
      </c>
    </row>
    <row r="976" spans="4:13">
      <c r="D976" s="12">
        <v>46120</v>
      </c>
      <c r="E976" s="13">
        <v>1592928</v>
      </c>
      <c r="F976" s="13" t="s">
        <v>324</v>
      </c>
      <c r="G976" s="14">
        <v>20303056</v>
      </c>
      <c r="H976" s="13" t="s">
        <v>415</v>
      </c>
      <c r="I976" s="13" t="s">
        <v>326</v>
      </c>
      <c r="J976" s="14">
        <v>1</v>
      </c>
      <c r="K976" s="14">
        <v>25</v>
      </c>
      <c r="L976" s="15">
        <v>82.5</v>
      </c>
      <c r="M976" s="15">
        <v>82.5</v>
      </c>
    </row>
    <row r="977" spans="4:13">
      <c r="D977" s="12">
        <v>46120</v>
      </c>
      <c r="E977" s="13">
        <v>1592928</v>
      </c>
      <c r="F977" s="13" t="s">
        <v>20</v>
      </c>
      <c r="G977" s="14">
        <v>20305022</v>
      </c>
      <c r="H977" s="13" t="s">
        <v>434</v>
      </c>
      <c r="I977" s="13" t="s">
        <v>105</v>
      </c>
      <c r="J977" s="14">
        <v>1</v>
      </c>
      <c r="K977" s="14">
        <v>1</v>
      </c>
      <c r="L977" s="15">
        <v>4.8</v>
      </c>
      <c r="M977" s="15">
        <v>4.8</v>
      </c>
    </row>
    <row r="978" spans="4:13">
      <c r="D978" s="12">
        <v>46120</v>
      </c>
      <c r="E978" s="13">
        <v>1592928</v>
      </c>
      <c r="F978" s="13" t="s">
        <v>47</v>
      </c>
      <c r="G978" s="14">
        <v>20302998</v>
      </c>
      <c r="H978" s="13" t="s">
        <v>346</v>
      </c>
      <c r="I978" s="13" t="s">
        <v>347</v>
      </c>
      <c r="J978" s="14">
        <v>1</v>
      </c>
      <c r="K978" s="14">
        <v>19</v>
      </c>
      <c r="L978" s="15">
        <v>62.7</v>
      </c>
      <c r="M978" s="15">
        <v>62.7</v>
      </c>
    </row>
    <row r="979" spans="4:13">
      <c r="D979" s="12">
        <v>46120</v>
      </c>
      <c r="E979" s="13">
        <v>1592928</v>
      </c>
      <c r="F979" s="13" t="s">
        <v>47</v>
      </c>
      <c r="G979" s="14">
        <v>20303011</v>
      </c>
      <c r="H979" s="13" t="s">
        <v>330</v>
      </c>
      <c r="I979" s="13" t="s">
        <v>331</v>
      </c>
      <c r="J979" s="14">
        <v>1</v>
      </c>
      <c r="K979" s="14">
        <v>26</v>
      </c>
      <c r="L979" s="15">
        <v>85.8</v>
      </c>
      <c r="M979" s="15">
        <v>85.8</v>
      </c>
    </row>
    <row r="980" spans="4:13">
      <c r="D980" s="12">
        <v>46120</v>
      </c>
      <c r="E980" s="13">
        <v>1592928</v>
      </c>
      <c r="F980" s="13" t="s">
        <v>47</v>
      </c>
      <c r="G980" s="14">
        <v>20303035</v>
      </c>
      <c r="H980" s="13" t="s">
        <v>400</v>
      </c>
      <c r="I980" s="13" t="s">
        <v>331</v>
      </c>
      <c r="J980" s="14">
        <v>1</v>
      </c>
      <c r="K980" s="14">
        <v>22</v>
      </c>
      <c r="L980" s="15">
        <v>72.6</v>
      </c>
      <c r="M980" s="15">
        <v>72.6</v>
      </c>
    </row>
    <row r="981" spans="4:13">
      <c r="D981" s="12">
        <v>46120</v>
      </c>
      <c r="E981" s="13">
        <v>1592928</v>
      </c>
      <c r="F981" s="13" t="s">
        <v>47</v>
      </c>
      <c r="G981" s="14">
        <v>20303046</v>
      </c>
      <c r="H981" s="13" t="s">
        <v>419</v>
      </c>
      <c r="I981" s="13" t="s">
        <v>331</v>
      </c>
      <c r="J981" s="14">
        <v>1</v>
      </c>
      <c r="K981" s="14">
        <v>21</v>
      </c>
      <c r="L981" s="15">
        <v>69.3</v>
      </c>
      <c r="M981" s="15">
        <v>69.3</v>
      </c>
    </row>
    <row r="982" spans="4:13">
      <c r="D982" s="12">
        <v>46120</v>
      </c>
      <c r="E982" s="13">
        <v>1592937</v>
      </c>
      <c r="F982" s="13" t="s">
        <v>65</v>
      </c>
      <c r="G982" s="14">
        <v>20303836</v>
      </c>
      <c r="H982" s="13" t="s">
        <v>332</v>
      </c>
      <c r="I982" s="13" t="s">
        <v>83</v>
      </c>
      <c r="J982" s="14">
        <v>2</v>
      </c>
      <c r="K982" s="14">
        <v>8</v>
      </c>
      <c r="L982" s="15">
        <v>13.2</v>
      </c>
      <c r="M982" s="15">
        <v>26.4</v>
      </c>
    </row>
    <row r="983" spans="4:13">
      <c r="D983" s="12">
        <v>46120</v>
      </c>
      <c r="E983" s="13">
        <v>1592988</v>
      </c>
      <c r="F983" s="13" t="s">
        <v>378</v>
      </c>
      <c r="G983" s="14">
        <v>20310012</v>
      </c>
      <c r="H983" s="13" t="s">
        <v>379</v>
      </c>
      <c r="I983" s="13" t="s">
        <v>2</v>
      </c>
      <c r="J983" s="14">
        <v>6</v>
      </c>
      <c r="K983" s="14">
        <v>0</v>
      </c>
      <c r="L983" s="15">
        <v>15</v>
      </c>
      <c r="M983" s="15">
        <v>90</v>
      </c>
    </row>
    <row r="984" spans="4:13">
      <c r="D984" s="12">
        <v>46120</v>
      </c>
      <c r="E984" s="13">
        <v>1593026</v>
      </c>
      <c r="F984" s="13" t="s">
        <v>324</v>
      </c>
      <c r="G984" s="14">
        <v>20303022</v>
      </c>
      <c r="H984" s="13" t="s">
        <v>352</v>
      </c>
      <c r="I984" s="13" t="s">
        <v>326</v>
      </c>
      <c r="J984" s="14">
        <v>3</v>
      </c>
      <c r="K984" s="14">
        <v>93</v>
      </c>
      <c r="L984" s="15">
        <v>102.3</v>
      </c>
      <c r="M984" s="15">
        <v>306.9</v>
      </c>
    </row>
    <row r="985" spans="4:13">
      <c r="D985" s="12">
        <v>46120</v>
      </c>
      <c r="E985" s="13">
        <v>1593026</v>
      </c>
      <c r="F985" s="13" t="s">
        <v>324</v>
      </c>
      <c r="G985" s="14">
        <v>20303023</v>
      </c>
      <c r="H985" s="13" t="s">
        <v>335</v>
      </c>
      <c r="I985" s="13" t="s">
        <v>326</v>
      </c>
      <c r="J985" s="14">
        <v>1</v>
      </c>
      <c r="K985" s="14">
        <v>63</v>
      </c>
      <c r="L985" s="15">
        <v>207.9</v>
      </c>
      <c r="M985" s="15">
        <v>207.9</v>
      </c>
    </row>
    <row r="986" spans="4:13">
      <c r="D986" s="12">
        <v>46120</v>
      </c>
      <c r="E986" s="13">
        <v>1593026</v>
      </c>
      <c r="F986" s="13" t="s">
        <v>324</v>
      </c>
      <c r="G986" s="14">
        <v>20332470</v>
      </c>
      <c r="H986" s="13" t="s">
        <v>455</v>
      </c>
      <c r="I986" s="13" t="s">
        <v>62</v>
      </c>
      <c r="J986" s="14">
        <v>1</v>
      </c>
      <c r="K986" s="14">
        <v>11</v>
      </c>
      <c r="L986" s="15">
        <v>36.3</v>
      </c>
      <c r="M986" s="15">
        <v>36.3</v>
      </c>
    </row>
    <row r="987" spans="4:13">
      <c r="D987" s="12">
        <v>46120</v>
      </c>
      <c r="E987" s="13">
        <v>1593026</v>
      </c>
      <c r="F987" s="13" t="s">
        <v>20</v>
      </c>
      <c r="G987" s="14">
        <v>20311365</v>
      </c>
      <c r="H987" s="13" t="s">
        <v>509</v>
      </c>
      <c r="I987" s="13" t="s">
        <v>308</v>
      </c>
      <c r="J987" s="14">
        <v>1</v>
      </c>
      <c r="K987" s="14">
        <v>2</v>
      </c>
      <c r="L987" s="15">
        <v>9.9</v>
      </c>
      <c r="M987" s="15">
        <v>9.9</v>
      </c>
    </row>
    <row r="988" spans="4:13">
      <c r="D988" s="12">
        <v>46120</v>
      </c>
      <c r="E988" s="13">
        <v>1593026</v>
      </c>
      <c r="F988" s="13" t="s">
        <v>20</v>
      </c>
      <c r="G988" s="14">
        <v>20303954</v>
      </c>
      <c r="H988" s="13" t="s">
        <v>295</v>
      </c>
      <c r="I988" s="13" t="s">
        <v>29</v>
      </c>
      <c r="J988" s="14">
        <v>2</v>
      </c>
      <c r="K988" s="14">
        <v>2</v>
      </c>
      <c r="L988" s="15">
        <v>4.8</v>
      </c>
      <c r="M988" s="15">
        <v>9.6</v>
      </c>
    </row>
    <row r="989" spans="4:13">
      <c r="D989" s="12">
        <v>46120</v>
      </c>
      <c r="E989" s="13">
        <v>1593026</v>
      </c>
      <c r="F989" s="13" t="s">
        <v>20</v>
      </c>
      <c r="G989" s="14">
        <v>20309432</v>
      </c>
      <c r="H989" s="13" t="s">
        <v>357</v>
      </c>
      <c r="I989" s="13" t="s">
        <v>57</v>
      </c>
      <c r="J989" s="14">
        <v>1</v>
      </c>
      <c r="K989" s="14">
        <v>2</v>
      </c>
      <c r="L989" s="15">
        <v>9.9</v>
      </c>
      <c r="M989" s="15">
        <v>9.9</v>
      </c>
    </row>
    <row r="990" spans="4:13">
      <c r="D990" s="12">
        <v>46120</v>
      </c>
      <c r="E990" s="13">
        <v>1593026</v>
      </c>
      <c r="F990" s="13" t="s">
        <v>20</v>
      </c>
      <c r="G990" s="14">
        <v>20304006</v>
      </c>
      <c r="H990" s="13" t="s">
        <v>435</v>
      </c>
      <c r="I990" s="13" t="s">
        <v>55</v>
      </c>
      <c r="J990" s="14">
        <v>2</v>
      </c>
      <c r="K990" s="14">
        <v>2</v>
      </c>
      <c r="L990" s="15">
        <v>9.9</v>
      </c>
      <c r="M990" s="15">
        <v>19.8</v>
      </c>
    </row>
    <row r="991" spans="4:13">
      <c r="D991" s="12">
        <v>46120</v>
      </c>
      <c r="E991" s="13">
        <v>1593026</v>
      </c>
      <c r="F991" s="13" t="s">
        <v>47</v>
      </c>
      <c r="G991" s="14">
        <v>20302998</v>
      </c>
      <c r="H991" s="13" t="s">
        <v>346</v>
      </c>
      <c r="I991" s="13" t="s">
        <v>347</v>
      </c>
      <c r="J991" s="14">
        <v>1</v>
      </c>
      <c r="K991" s="14">
        <v>19</v>
      </c>
      <c r="L991" s="15">
        <v>62.7</v>
      </c>
      <c r="M991" s="15">
        <v>62.7</v>
      </c>
    </row>
    <row r="992" spans="4:13">
      <c r="D992" s="12">
        <v>46120</v>
      </c>
      <c r="E992" s="13">
        <v>1593026</v>
      </c>
      <c r="F992" s="13" t="s">
        <v>47</v>
      </c>
      <c r="G992" s="14">
        <v>20303011</v>
      </c>
      <c r="H992" s="13" t="s">
        <v>330</v>
      </c>
      <c r="I992" s="13" t="s">
        <v>331</v>
      </c>
      <c r="J992" s="14">
        <v>1</v>
      </c>
      <c r="K992" s="14">
        <v>26</v>
      </c>
      <c r="L992" s="15">
        <v>85.8</v>
      </c>
      <c r="M992" s="15">
        <v>85.8</v>
      </c>
    </row>
    <row r="993" spans="4:13">
      <c r="D993" s="12">
        <v>46120</v>
      </c>
      <c r="E993" s="13">
        <v>1593026</v>
      </c>
      <c r="F993" s="13" t="s">
        <v>47</v>
      </c>
      <c r="G993" s="14">
        <v>20306256</v>
      </c>
      <c r="H993" s="13" t="s">
        <v>349</v>
      </c>
      <c r="I993" s="13" t="s">
        <v>83</v>
      </c>
      <c r="J993" s="14">
        <v>1</v>
      </c>
      <c r="K993" s="14">
        <v>22</v>
      </c>
      <c r="L993" s="15">
        <v>72.6</v>
      </c>
      <c r="M993" s="15">
        <v>72.6</v>
      </c>
    </row>
    <row r="994" spans="4:13">
      <c r="D994" s="12">
        <v>46120</v>
      </c>
      <c r="E994" s="13">
        <v>1593026</v>
      </c>
      <c r="F994" s="13" t="s">
        <v>65</v>
      </c>
      <c r="G994" s="14">
        <v>20303836</v>
      </c>
      <c r="H994" s="13" t="s">
        <v>332</v>
      </c>
      <c r="I994" s="13" t="s">
        <v>83</v>
      </c>
      <c r="J994" s="14">
        <v>10</v>
      </c>
      <c r="K994" s="14">
        <v>40</v>
      </c>
      <c r="L994" s="15">
        <v>13.2</v>
      </c>
      <c r="M994" s="15">
        <v>132</v>
      </c>
    </row>
    <row r="995" spans="4:13">
      <c r="D995" s="12">
        <v>46120</v>
      </c>
      <c r="E995" s="13">
        <v>1593044</v>
      </c>
      <c r="F995" s="13" t="s">
        <v>15</v>
      </c>
      <c r="G995" s="14">
        <v>20315046</v>
      </c>
      <c r="H995" s="13" t="s">
        <v>340</v>
      </c>
      <c r="I995" s="13" t="s">
        <v>314</v>
      </c>
      <c r="J995" s="14">
        <v>1</v>
      </c>
      <c r="K995" s="14">
        <v>1</v>
      </c>
      <c r="L995" s="15">
        <v>21</v>
      </c>
      <c r="M995" s="15">
        <v>21</v>
      </c>
    </row>
    <row r="996" spans="4:13">
      <c r="D996" s="12">
        <v>46120</v>
      </c>
      <c r="E996" s="13">
        <v>1593044</v>
      </c>
      <c r="F996" s="13" t="s">
        <v>15</v>
      </c>
      <c r="G996" s="14">
        <v>20311521</v>
      </c>
      <c r="H996" s="13" t="s">
        <v>510</v>
      </c>
      <c r="I996" s="13" t="s">
        <v>370</v>
      </c>
      <c r="J996" s="14">
        <v>1</v>
      </c>
      <c r="K996" s="14">
        <v>1</v>
      </c>
      <c r="L996" s="15">
        <v>13.2</v>
      </c>
      <c r="M996" s="15">
        <v>13.2</v>
      </c>
    </row>
    <row r="997" spans="4:13">
      <c r="D997" s="12">
        <v>46120</v>
      </c>
      <c r="E997" s="13">
        <v>1593044</v>
      </c>
      <c r="F997" s="13" t="s">
        <v>15</v>
      </c>
      <c r="G997" s="14">
        <v>20359947</v>
      </c>
      <c r="H997" s="13" t="s">
        <v>373</v>
      </c>
      <c r="I997" s="13" t="s">
        <v>128</v>
      </c>
      <c r="J997" s="14">
        <v>1</v>
      </c>
      <c r="K997" s="14">
        <v>1</v>
      </c>
      <c r="L997" s="15">
        <v>16.8</v>
      </c>
      <c r="M997" s="15">
        <v>16.8</v>
      </c>
    </row>
    <row r="998" spans="4:13">
      <c r="D998" s="12">
        <v>46120</v>
      </c>
      <c r="E998" s="13">
        <v>1593044</v>
      </c>
      <c r="F998" s="13" t="s">
        <v>15</v>
      </c>
      <c r="G998" s="14">
        <v>20314042</v>
      </c>
      <c r="H998" s="13" t="s">
        <v>341</v>
      </c>
      <c r="I998" s="13" t="s">
        <v>128</v>
      </c>
      <c r="J998" s="14">
        <v>2</v>
      </c>
      <c r="K998" s="14">
        <v>2</v>
      </c>
      <c r="L998" s="15">
        <v>16.8</v>
      </c>
      <c r="M998" s="15">
        <v>33.6</v>
      </c>
    </row>
    <row r="999" spans="4:13">
      <c r="D999" s="12">
        <v>46120</v>
      </c>
      <c r="E999" s="13">
        <v>1593044</v>
      </c>
      <c r="F999" s="13" t="s">
        <v>15</v>
      </c>
      <c r="G999" s="14">
        <v>20358905</v>
      </c>
      <c r="H999" s="13" t="s">
        <v>360</v>
      </c>
      <c r="I999" s="13" t="s">
        <v>244</v>
      </c>
      <c r="J999" s="14">
        <v>1</v>
      </c>
      <c r="K999" s="14">
        <v>1</v>
      </c>
      <c r="L999" s="15">
        <v>15</v>
      </c>
      <c r="M999" s="15">
        <v>15</v>
      </c>
    </row>
    <row r="1000" spans="4:13">
      <c r="D1000" s="12">
        <v>46120</v>
      </c>
      <c r="E1000" s="13">
        <v>1593044</v>
      </c>
      <c r="F1000" s="13" t="s">
        <v>15</v>
      </c>
      <c r="G1000" s="14">
        <v>20309651</v>
      </c>
      <c r="H1000" s="13" t="s">
        <v>130</v>
      </c>
      <c r="I1000" s="13" t="s">
        <v>62</v>
      </c>
      <c r="J1000" s="14">
        <v>2</v>
      </c>
      <c r="K1000" s="14">
        <v>2</v>
      </c>
      <c r="L1000" s="15">
        <v>21</v>
      </c>
      <c r="M1000" s="15">
        <v>42</v>
      </c>
    </row>
    <row r="1001" spans="4:13">
      <c r="D1001" s="12">
        <v>46120</v>
      </c>
      <c r="E1001" s="13">
        <v>1593044</v>
      </c>
      <c r="F1001" s="13" t="s">
        <v>15</v>
      </c>
      <c r="G1001" s="14">
        <v>20360685</v>
      </c>
      <c r="H1001" s="13" t="s">
        <v>440</v>
      </c>
      <c r="I1001" s="13" t="s">
        <v>128</v>
      </c>
      <c r="J1001" s="14">
        <v>1</v>
      </c>
      <c r="K1001" s="14">
        <v>1</v>
      </c>
      <c r="L1001" s="15">
        <v>16.8</v>
      </c>
      <c r="M1001" s="15">
        <v>16.8</v>
      </c>
    </row>
    <row r="1002" spans="4:13">
      <c r="D1002" s="12">
        <v>46120</v>
      </c>
      <c r="E1002" s="13">
        <v>1593044</v>
      </c>
      <c r="F1002" s="13" t="s">
        <v>131</v>
      </c>
      <c r="G1002" s="14">
        <v>20315667</v>
      </c>
      <c r="H1002" s="13" t="s">
        <v>425</v>
      </c>
      <c r="I1002" s="13" t="s">
        <v>83</v>
      </c>
      <c r="J1002" s="14">
        <v>1</v>
      </c>
      <c r="K1002" s="14">
        <v>3</v>
      </c>
      <c r="L1002" s="15">
        <v>39.6</v>
      </c>
      <c r="M1002" s="15">
        <v>39.6</v>
      </c>
    </row>
    <row r="1003" spans="4:13">
      <c r="D1003" s="12">
        <v>46120</v>
      </c>
      <c r="E1003" s="13">
        <v>1593044</v>
      </c>
      <c r="F1003" s="13" t="s">
        <v>131</v>
      </c>
      <c r="G1003" s="14">
        <v>20309677</v>
      </c>
      <c r="H1003" s="13" t="s">
        <v>362</v>
      </c>
      <c r="I1003" s="13" t="s">
        <v>221</v>
      </c>
      <c r="J1003" s="14">
        <v>1</v>
      </c>
      <c r="K1003" s="14">
        <v>12</v>
      </c>
      <c r="L1003" s="15">
        <v>112.2</v>
      </c>
      <c r="M1003" s="15">
        <v>112.2</v>
      </c>
    </row>
    <row r="1004" spans="4:13">
      <c r="D1004" s="12">
        <v>46120</v>
      </c>
      <c r="E1004" s="13">
        <v>1593044</v>
      </c>
      <c r="F1004" s="13" t="s">
        <v>131</v>
      </c>
      <c r="G1004" s="14">
        <v>20309648</v>
      </c>
      <c r="H1004" s="13" t="s">
        <v>363</v>
      </c>
      <c r="I1004" s="13" t="s">
        <v>221</v>
      </c>
      <c r="J1004" s="14">
        <v>1</v>
      </c>
      <c r="K1004" s="14">
        <v>14</v>
      </c>
      <c r="L1004" s="15">
        <v>138.6</v>
      </c>
      <c r="M1004" s="15">
        <v>138.6</v>
      </c>
    </row>
    <row r="1005" spans="4:13">
      <c r="D1005" s="12">
        <v>46120</v>
      </c>
      <c r="E1005" s="13">
        <v>1593044</v>
      </c>
      <c r="F1005" s="13" t="s">
        <v>131</v>
      </c>
      <c r="G1005" s="14">
        <v>20312465</v>
      </c>
      <c r="H1005" s="13" t="s">
        <v>320</v>
      </c>
      <c r="I1005" s="13" t="s">
        <v>221</v>
      </c>
      <c r="J1005" s="14">
        <v>1</v>
      </c>
      <c r="K1005" s="14">
        <v>27</v>
      </c>
      <c r="L1005" s="15">
        <v>180</v>
      </c>
      <c r="M1005" s="15">
        <f>J1005*L1005</f>
        <v>180</v>
      </c>
    </row>
    <row r="1006" spans="4:13">
      <c r="D1006" s="12">
        <v>46120</v>
      </c>
      <c r="E1006" s="13">
        <v>1593044</v>
      </c>
      <c r="F1006" s="13" t="s">
        <v>131</v>
      </c>
      <c r="G1006" s="14">
        <v>20309658</v>
      </c>
      <c r="H1006" s="13" t="s">
        <v>365</v>
      </c>
      <c r="I1006" s="13" t="s">
        <v>221</v>
      </c>
      <c r="J1006" s="14">
        <v>2</v>
      </c>
      <c r="K1006" s="14">
        <v>10</v>
      </c>
      <c r="L1006" s="15">
        <v>52.8</v>
      </c>
      <c r="M1006" s="15">
        <v>105.6</v>
      </c>
    </row>
    <row r="1007" spans="4:13">
      <c r="D1007" s="12">
        <v>46120</v>
      </c>
      <c r="E1007" s="13">
        <v>1593044</v>
      </c>
      <c r="F1007" s="13" t="s">
        <v>131</v>
      </c>
      <c r="G1007" s="14">
        <v>20312572</v>
      </c>
      <c r="H1007" s="13" t="s">
        <v>366</v>
      </c>
      <c r="I1007" s="13" t="s">
        <v>221</v>
      </c>
      <c r="J1007" s="14">
        <v>1</v>
      </c>
      <c r="K1007" s="14">
        <v>27</v>
      </c>
      <c r="L1007" s="15">
        <v>180</v>
      </c>
      <c r="M1007" s="15">
        <f>J1007*L1007</f>
        <v>180</v>
      </c>
    </row>
    <row r="1008" spans="4:13">
      <c r="D1008" s="12">
        <v>46120</v>
      </c>
      <c r="E1008" s="13">
        <v>1593044</v>
      </c>
      <c r="F1008" s="13" t="s">
        <v>131</v>
      </c>
      <c r="G1008" s="14">
        <v>20412034</v>
      </c>
      <c r="H1008" s="13" t="s">
        <v>344</v>
      </c>
      <c r="I1008" s="13" t="s">
        <v>221</v>
      </c>
      <c r="J1008" s="14">
        <v>1</v>
      </c>
      <c r="K1008" s="14">
        <v>28</v>
      </c>
      <c r="L1008" s="15">
        <v>180</v>
      </c>
      <c r="M1008" s="15">
        <f>J1008*L1008</f>
        <v>180</v>
      </c>
    </row>
    <row r="1009" spans="4:13">
      <c r="D1009" s="12">
        <v>46120</v>
      </c>
      <c r="E1009" s="13">
        <v>1593044</v>
      </c>
      <c r="F1009" s="13" t="s">
        <v>131</v>
      </c>
      <c r="G1009" s="14">
        <v>20411790</v>
      </c>
      <c r="H1009" s="13" t="s">
        <v>345</v>
      </c>
      <c r="I1009" s="13" t="s">
        <v>221</v>
      </c>
      <c r="J1009" s="14">
        <v>1</v>
      </c>
      <c r="K1009" s="14">
        <v>28</v>
      </c>
      <c r="L1009" s="15">
        <v>180</v>
      </c>
      <c r="M1009" s="15">
        <f>J1009*L1009</f>
        <v>180</v>
      </c>
    </row>
    <row r="1010" spans="4:13">
      <c r="D1010" s="12">
        <v>46120</v>
      </c>
      <c r="E1010" s="13">
        <v>1593044</v>
      </c>
      <c r="F1010" s="13" t="s">
        <v>131</v>
      </c>
      <c r="G1010" s="14">
        <v>20412194</v>
      </c>
      <c r="H1010" s="13" t="s">
        <v>315</v>
      </c>
      <c r="I1010" s="13" t="s">
        <v>221</v>
      </c>
      <c r="J1010" s="14">
        <v>1</v>
      </c>
      <c r="K1010" s="14">
        <v>22</v>
      </c>
      <c r="L1010" s="15">
        <v>180</v>
      </c>
      <c r="M1010" s="15">
        <f>J1010*L1010</f>
        <v>180</v>
      </c>
    </row>
    <row r="1011" spans="4:13">
      <c r="D1011" s="12">
        <v>46120</v>
      </c>
      <c r="E1011" s="13">
        <v>1593044</v>
      </c>
      <c r="F1011" s="13" t="s">
        <v>385</v>
      </c>
      <c r="G1011" s="14">
        <v>20349421</v>
      </c>
      <c r="H1011" s="13" t="s">
        <v>386</v>
      </c>
      <c r="I1011" s="13" t="s">
        <v>221</v>
      </c>
      <c r="J1011" s="14">
        <v>1</v>
      </c>
      <c r="K1011" s="14">
        <v>2</v>
      </c>
      <c r="L1011" s="15">
        <v>26.4</v>
      </c>
      <c r="M1011" s="15">
        <v>26.4</v>
      </c>
    </row>
    <row r="1012" spans="4:13">
      <c r="D1012" s="12">
        <v>46121</v>
      </c>
      <c r="E1012" s="13">
        <v>1593168</v>
      </c>
      <c r="F1012" s="13" t="s">
        <v>324</v>
      </c>
      <c r="G1012" s="14">
        <v>20303022</v>
      </c>
      <c r="H1012" s="13" t="s">
        <v>352</v>
      </c>
      <c r="I1012" s="13" t="s">
        <v>326</v>
      </c>
      <c r="J1012" s="14">
        <v>1</v>
      </c>
      <c r="K1012" s="14">
        <v>31</v>
      </c>
      <c r="L1012" s="15">
        <v>102.3</v>
      </c>
      <c r="M1012" s="15">
        <v>102.3</v>
      </c>
    </row>
    <row r="1013" spans="4:13">
      <c r="D1013" s="12">
        <v>46121</v>
      </c>
      <c r="E1013" s="13">
        <v>1593168</v>
      </c>
      <c r="F1013" s="13" t="s">
        <v>324</v>
      </c>
      <c r="G1013" s="14">
        <v>20303023</v>
      </c>
      <c r="H1013" s="13" t="s">
        <v>335</v>
      </c>
      <c r="I1013" s="13" t="s">
        <v>326</v>
      </c>
      <c r="J1013" s="14">
        <v>1</v>
      </c>
      <c r="K1013" s="14">
        <v>63</v>
      </c>
      <c r="L1013" s="15">
        <v>207.9</v>
      </c>
      <c r="M1013" s="15">
        <v>207.9</v>
      </c>
    </row>
    <row r="1014" spans="4:13">
      <c r="D1014" s="12">
        <v>46121</v>
      </c>
      <c r="E1014" s="13">
        <v>1593168</v>
      </c>
      <c r="F1014" s="13" t="s">
        <v>163</v>
      </c>
      <c r="G1014" s="14">
        <v>20303912</v>
      </c>
      <c r="H1014" s="13" t="s">
        <v>329</v>
      </c>
      <c r="I1014" s="13" t="s">
        <v>83</v>
      </c>
      <c r="J1014" s="14">
        <v>2</v>
      </c>
      <c r="K1014" s="14">
        <v>10</v>
      </c>
      <c r="L1014" s="15">
        <v>16.5</v>
      </c>
      <c r="M1014" s="15">
        <v>33</v>
      </c>
    </row>
    <row r="1015" spans="4:13">
      <c r="D1015" s="12">
        <v>46121</v>
      </c>
      <c r="E1015" s="13">
        <v>1593168</v>
      </c>
      <c r="F1015" s="13" t="s">
        <v>20</v>
      </c>
      <c r="G1015" s="14">
        <v>20303954</v>
      </c>
      <c r="H1015" s="13" t="s">
        <v>295</v>
      </c>
      <c r="I1015" s="13" t="s">
        <v>29</v>
      </c>
      <c r="J1015" s="14">
        <v>2</v>
      </c>
      <c r="K1015" s="14">
        <v>2</v>
      </c>
      <c r="L1015" s="15">
        <v>4.8</v>
      </c>
      <c r="M1015" s="15">
        <v>9.6</v>
      </c>
    </row>
    <row r="1016" spans="4:13">
      <c r="D1016" s="12">
        <v>46121</v>
      </c>
      <c r="E1016" s="13">
        <v>1593168</v>
      </c>
      <c r="F1016" s="13" t="s">
        <v>20</v>
      </c>
      <c r="G1016" s="14">
        <v>20309432</v>
      </c>
      <c r="H1016" s="13" t="s">
        <v>357</v>
      </c>
      <c r="I1016" s="13" t="s">
        <v>57</v>
      </c>
      <c r="J1016" s="14">
        <v>1</v>
      </c>
      <c r="K1016" s="14">
        <v>2</v>
      </c>
      <c r="L1016" s="15">
        <v>9.9</v>
      </c>
      <c r="M1016" s="15">
        <v>9.9</v>
      </c>
    </row>
    <row r="1017" spans="4:13">
      <c r="D1017" s="12">
        <v>46121</v>
      </c>
      <c r="E1017" s="13">
        <v>1593168</v>
      </c>
      <c r="F1017" s="13" t="s">
        <v>20</v>
      </c>
      <c r="G1017" s="14">
        <v>20303979</v>
      </c>
      <c r="H1017" s="13" t="s">
        <v>368</v>
      </c>
      <c r="I1017" s="13" t="s">
        <v>55</v>
      </c>
      <c r="J1017" s="14">
        <v>1</v>
      </c>
      <c r="K1017" s="14">
        <v>1</v>
      </c>
      <c r="L1017" s="15">
        <v>7.8</v>
      </c>
      <c r="M1017" s="15">
        <v>7.8</v>
      </c>
    </row>
    <row r="1018" spans="4:13">
      <c r="D1018" s="12">
        <v>46121</v>
      </c>
      <c r="E1018" s="13">
        <v>1593168</v>
      </c>
      <c r="F1018" s="13" t="s">
        <v>20</v>
      </c>
      <c r="G1018" s="14">
        <v>20304006</v>
      </c>
      <c r="H1018" s="13" t="s">
        <v>435</v>
      </c>
      <c r="I1018" s="13" t="s">
        <v>55</v>
      </c>
      <c r="J1018" s="14">
        <v>1</v>
      </c>
      <c r="K1018" s="14">
        <v>1</v>
      </c>
      <c r="L1018" s="15">
        <v>9.9</v>
      </c>
      <c r="M1018" s="15">
        <v>9.9</v>
      </c>
    </row>
    <row r="1019" spans="4:13">
      <c r="D1019" s="12">
        <v>46121</v>
      </c>
      <c r="E1019" s="13">
        <v>1593168</v>
      </c>
      <c r="F1019" s="13" t="s">
        <v>47</v>
      </c>
      <c r="G1019" s="14">
        <v>20303011</v>
      </c>
      <c r="H1019" s="13" t="s">
        <v>330</v>
      </c>
      <c r="I1019" s="13" t="s">
        <v>331</v>
      </c>
      <c r="J1019" s="14">
        <v>1</v>
      </c>
      <c r="K1019" s="14">
        <v>26</v>
      </c>
      <c r="L1019" s="15">
        <v>85.8</v>
      </c>
      <c r="M1019" s="15">
        <v>85.8</v>
      </c>
    </row>
    <row r="1020" spans="4:13">
      <c r="D1020" s="12">
        <v>46121</v>
      </c>
      <c r="E1020" s="13">
        <v>1593168</v>
      </c>
      <c r="F1020" s="13" t="s">
        <v>47</v>
      </c>
      <c r="G1020" s="14">
        <v>20303035</v>
      </c>
      <c r="H1020" s="13" t="s">
        <v>400</v>
      </c>
      <c r="I1020" s="13" t="s">
        <v>331</v>
      </c>
      <c r="J1020" s="14">
        <v>1</v>
      </c>
      <c r="K1020" s="14">
        <v>22</v>
      </c>
      <c r="L1020" s="15">
        <v>72.6</v>
      </c>
      <c r="M1020" s="15">
        <v>72.6</v>
      </c>
    </row>
    <row r="1021" spans="4:13">
      <c r="D1021" s="12">
        <v>46121</v>
      </c>
      <c r="E1021" s="13">
        <v>1593168</v>
      </c>
      <c r="F1021" s="13" t="s">
        <v>65</v>
      </c>
      <c r="G1021" s="14">
        <v>20303836</v>
      </c>
      <c r="H1021" s="13" t="s">
        <v>332</v>
      </c>
      <c r="I1021" s="13" t="s">
        <v>83</v>
      </c>
      <c r="J1021" s="14">
        <v>3</v>
      </c>
      <c r="K1021" s="14">
        <v>12</v>
      </c>
      <c r="L1021" s="15">
        <v>13.2</v>
      </c>
      <c r="M1021" s="15">
        <v>39.6</v>
      </c>
    </row>
    <row r="1022" spans="4:13">
      <c r="D1022" s="12">
        <v>46121</v>
      </c>
      <c r="E1022" s="13">
        <v>1593208</v>
      </c>
      <c r="F1022" s="13" t="s">
        <v>324</v>
      </c>
      <c r="G1022" s="14">
        <v>20303022</v>
      </c>
      <c r="H1022" s="13" t="s">
        <v>352</v>
      </c>
      <c r="I1022" s="13" t="s">
        <v>326</v>
      </c>
      <c r="J1022" s="14">
        <v>1</v>
      </c>
      <c r="K1022" s="14">
        <v>31</v>
      </c>
      <c r="L1022" s="15">
        <v>102.3</v>
      </c>
      <c r="M1022" s="15">
        <v>102.3</v>
      </c>
    </row>
    <row r="1023" spans="4:13">
      <c r="D1023" s="12">
        <v>46121</v>
      </c>
      <c r="E1023" s="13">
        <v>1593208</v>
      </c>
      <c r="F1023" s="13" t="s">
        <v>15</v>
      </c>
      <c r="G1023" s="14">
        <v>20381474</v>
      </c>
      <c r="H1023" s="13" t="s">
        <v>511</v>
      </c>
      <c r="I1023" s="13" t="s">
        <v>408</v>
      </c>
      <c r="J1023" s="14">
        <v>1</v>
      </c>
      <c r="K1023" s="14">
        <v>6</v>
      </c>
      <c r="L1023" s="15">
        <v>66</v>
      </c>
      <c r="M1023" s="15">
        <v>66</v>
      </c>
    </row>
    <row r="1024" spans="4:13">
      <c r="D1024" s="12">
        <v>46121</v>
      </c>
      <c r="E1024" s="13">
        <v>1593208</v>
      </c>
      <c r="F1024" s="13" t="s">
        <v>131</v>
      </c>
      <c r="G1024" s="14">
        <v>20332661</v>
      </c>
      <c r="H1024" s="13" t="s">
        <v>512</v>
      </c>
      <c r="I1024" s="13" t="s">
        <v>221</v>
      </c>
      <c r="J1024" s="14">
        <v>1</v>
      </c>
      <c r="K1024" s="14">
        <v>7</v>
      </c>
      <c r="L1024" s="15">
        <v>79.2</v>
      </c>
      <c r="M1024" s="15">
        <v>79.2</v>
      </c>
    </row>
    <row r="1025" spans="4:13">
      <c r="D1025" s="12">
        <v>46121</v>
      </c>
      <c r="E1025" s="13">
        <v>1593208</v>
      </c>
      <c r="F1025" s="13" t="s">
        <v>131</v>
      </c>
      <c r="G1025" s="14">
        <v>20309648</v>
      </c>
      <c r="H1025" s="13" t="s">
        <v>363</v>
      </c>
      <c r="I1025" s="13" t="s">
        <v>221</v>
      </c>
      <c r="J1025" s="14">
        <v>1</v>
      </c>
      <c r="K1025" s="14">
        <v>14</v>
      </c>
      <c r="L1025" s="15">
        <v>138.6</v>
      </c>
      <c r="M1025" s="15">
        <v>138.6</v>
      </c>
    </row>
    <row r="1026" spans="4:13">
      <c r="D1026" s="12">
        <v>46121</v>
      </c>
      <c r="E1026" s="13">
        <v>1593208</v>
      </c>
      <c r="F1026" s="13" t="s">
        <v>131</v>
      </c>
      <c r="G1026" s="14">
        <v>20309658</v>
      </c>
      <c r="H1026" s="13" t="s">
        <v>365</v>
      </c>
      <c r="I1026" s="13" t="s">
        <v>221</v>
      </c>
      <c r="J1026" s="14">
        <v>1</v>
      </c>
      <c r="K1026" s="14">
        <v>5</v>
      </c>
      <c r="L1026" s="15">
        <v>52.8</v>
      </c>
      <c r="M1026" s="15">
        <v>52.8</v>
      </c>
    </row>
    <row r="1027" spans="4:13">
      <c r="D1027" s="12">
        <v>46121</v>
      </c>
      <c r="E1027" s="13">
        <v>1593243</v>
      </c>
      <c r="F1027" s="13" t="s">
        <v>163</v>
      </c>
      <c r="G1027" s="14">
        <v>20303912</v>
      </c>
      <c r="H1027" s="13" t="s">
        <v>329</v>
      </c>
      <c r="I1027" s="13" t="s">
        <v>83</v>
      </c>
      <c r="J1027" s="14">
        <v>1</v>
      </c>
      <c r="K1027" s="14">
        <v>5</v>
      </c>
      <c r="L1027" s="15">
        <v>16.5</v>
      </c>
      <c r="M1027" s="15">
        <v>16.5</v>
      </c>
    </row>
    <row r="1028" spans="4:13">
      <c r="D1028" s="12">
        <v>46121</v>
      </c>
      <c r="E1028" s="13">
        <v>1593243</v>
      </c>
      <c r="F1028" s="13" t="s">
        <v>131</v>
      </c>
      <c r="G1028" s="14">
        <v>20412194</v>
      </c>
      <c r="H1028" s="13" t="s">
        <v>315</v>
      </c>
      <c r="I1028" s="13" t="s">
        <v>221</v>
      </c>
      <c r="J1028" s="14">
        <v>1</v>
      </c>
      <c r="K1028" s="14">
        <v>22</v>
      </c>
      <c r="L1028" s="15">
        <v>180</v>
      </c>
      <c r="M1028" s="15">
        <f>J1028*L1028</f>
        <v>180</v>
      </c>
    </row>
    <row r="1029" spans="4:13">
      <c r="D1029" s="12">
        <v>46121</v>
      </c>
      <c r="E1029" s="13">
        <v>1593243</v>
      </c>
      <c r="F1029" s="13" t="s">
        <v>385</v>
      </c>
      <c r="G1029" s="14">
        <v>20349421</v>
      </c>
      <c r="H1029" s="13" t="s">
        <v>386</v>
      </c>
      <c r="I1029" s="13" t="s">
        <v>221</v>
      </c>
      <c r="J1029" s="14">
        <v>1</v>
      </c>
      <c r="K1029" s="14">
        <v>2</v>
      </c>
      <c r="L1029" s="15">
        <v>26.4</v>
      </c>
      <c r="M1029" s="15">
        <v>26.4</v>
      </c>
    </row>
    <row r="1030" spans="4:13">
      <c r="D1030" s="12">
        <v>46121</v>
      </c>
      <c r="E1030" s="13">
        <v>1593255</v>
      </c>
      <c r="F1030" s="13" t="s">
        <v>131</v>
      </c>
      <c r="G1030" s="14">
        <v>20309648</v>
      </c>
      <c r="H1030" s="13" t="s">
        <v>363</v>
      </c>
      <c r="I1030" s="13" t="s">
        <v>221</v>
      </c>
      <c r="J1030" s="14">
        <v>1</v>
      </c>
      <c r="K1030" s="14">
        <v>14</v>
      </c>
      <c r="L1030" s="15">
        <v>138.6</v>
      </c>
      <c r="M1030" s="15">
        <v>138.6</v>
      </c>
    </row>
    <row r="1031" spans="4:13">
      <c r="D1031" s="12">
        <v>46121</v>
      </c>
      <c r="E1031" s="13">
        <v>1593255</v>
      </c>
      <c r="F1031" s="13" t="s">
        <v>131</v>
      </c>
      <c r="G1031" s="14">
        <v>20303777</v>
      </c>
      <c r="H1031" s="13" t="s">
        <v>351</v>
      </c>
      <c r="I1031" s="13" t="s">
        <v>221</v>
      </c>
      <c r="J1031" s="14">
        <v>1</v>
      </c>
      <c r="K1031" s="14">
        <v>27</v>
      </c>
      <c r="L1031" s="15">
        <v>180</v>
      </c>
      <c r="M1031" s="15">
        <f>J1031*L1031</f>
        <v>180</v>
      </c>
    </row>
    <row r="1032" spans="4:13">
      <c r="D1032" s="12">
        <v>46121</v>
      </c>
      <c r="E1032" s="13">
        <v>1593304</v>
      </c>
      <c r="F1032" s="13" t="s">
        <v>324</v>
      </c>
      <c r="G1032" s="14">
        <v>20303003</v>
      </c>
      <c r="H1032" s="13" t="s">
        <v>483</v>
      </c>
      <c r="I1032" s="13" t="s">
        <v>326</v>
      </c>
      <c r="J1032" s="14">
        <v>1</v>
      </c>
      <c r="K1032" s="14">
        <v>23</v>
      </c>
      <c r="L1032" s="15">
        <v>75.9</v>
      </c>
      <c r="M1032" s="15">
        <v>75.9</v>
      </c>
    </row>
    <row r="1033" spans="4:13">
      <c r="D1033" s="12">
        <v>46121</v>
      </c>
      <c r="E1033" s="13">
        <v>1593304</v>
      </c>
      <c r="F1033" s="13" t="s">
        <v>324</v>
      </c>
      <c r="G1033" s="14">
        <v>20303010</v>
      </c>
      <c r="H1033" s="13" t="s">
        <v>325</v>
      </c>
      <c r="I1033" s="13" t="s">
        <v>326</v>
      </c>
      <c r="J1033" s="14">
        <v>1</v>
      </c>
      <c r="K1033" s="14">
        <v>25</v>
      </c>
      <c r="L1033" s="15">
        <v>82.5</v>
      </c>
      <c r="M1033" s="15">
        <v>82.5</v>
      </c>
    </row>
    <row r="1034" spans="4:13">
      <c r="D1034" s="12">
        <v>46121</v>
      </c>
      <c r="E1034" s="13">
        <v>1593304</v>
      </c>
      <c r="F1034" s="13" t="s">
        <v>324</v>
      </c>
      <c r="G1034" s="14">
        <v>20303022</v>
      </c>
      <c r="H1034" s="13" t="s">
        <v>352</v>
      </c>
      <c r="I1034" s="13" t="s">
        <v>326</v>
      </c>
      <c r="J1034" s="14">
        <v>2</v>
      </c>
      <c r="K1034" s="14">
        <v>62</v>
      </c>
      <c r="L1034" s="15">
        <v>102.3</v>
      </c>
      <c r="M1034" s="15">
        <v>204.6</v>
      </c>
    </row>
    <row r="1035" spans="4:13">
      <c r="D1035" s="12">
        <v>46121</v>
      </c>
      <c r="E1035" s="13">
        <v>1593304</v>
      </c>
      <c r="F1035" s="13" t="s">
        <v>324</v>
      </c>
      <c r="G1035" s="14">
        <v>20303029</v>
      </c>
      <c r="H1035" s="13" t="s">
        <v>337</v>
      </c>
      <c r="I1035" s="13" t="s">
        <v>326</v>
      </c>
      <c r="J1035" s="14">
        <v>2</v>
      </c>
      <c r="K1035" s="14">
        <v>94</v>
      </c>
      <c r="L1035" s="15">
        <v>155.1</v>
      </c>
      <c r="M1035" s="15">
        <v>310.2</v>
      </c>
    </row>
    <row r="1036" spans="4:13">
      <c r="D1036" s="12">
        <v>46121</v>
      </c>
      <c r="E1036" s="13">
        <v>1593304</v>
      </c>
      <c r="F1036" s="13" t="s">
        <v>324</v>
      </c>
      <c r="G1036" s="14">
        <v>20303057</v>
      </c>
      <c r="H1036" s="13" t="s">
        <v>457</v>
      </c>
      <c r="I1036" s="13" t="s">
        <v>326</v>
      </c>
      <c r="J1036" s="14">
        <v>1</v>
      </c>
      <c r="K1036" s="14">
        <v>32</v>
      </c>
      <c r="L1036" s="15">
        <v>105.6</v>
      </c>
      <c r="M1036" s="15">
        <v>105.6</v>
      </c>
    </row>
    <row r="1037" spans="4:13">
      <c r="D1037" s="12">
        <v>46121</v>
      </c>
      <c r="E1037" s="13">
        <v>1593304</v>
      </c>
      <c r="F1037" s="13" t="s">
        <v>131</v>
      </c>
      <c r="G1037" s="14">
        <v>20315667</v>
      </c>
      <c r="H1037" s="13" t="s">
        <v>425</v>
      </c>
      <c r="I1037" s="13" t="s">
        <v>83</v>
      </c>
      <c r="J1037" s="14">
        <v>1</v>
      </c>
      <c r="K1037" s="14">
        <v>3</v>
      </c>
      <c r="L1037" s="15">
        <v>39.6</v>
      </c>
      <c r="M1037" s="15">
        <v>39.6</v>
      </c>
    </row>
    <row r="1038" spans="4:13">
      <c r="D1038" s="12">
        <v>46121</v>
      </c>
      <c r="E1038" s="13">
        <v>1593304</v>
      </c>
      <c r="F1038" s="13" t="s">
        <v>131</v>
      </c>
      <c r="G1038" s="14">
        <v>20309648</v>
      </c>
      <c r="H1038" s="13" t="s">
        <v>363</v>
      </c>
      <c r="I1038" s="13" t="s">
        <v>221</v>
      </c>
      <c r="J1038" s="14">
        <v>1</v>
      </c>
      <c r="K1038" s="14">
        <v>14</v>
      </c>
      <c r="L1038" s="15">
        <v>138.6</v>
      </c>
      <c r="M1038" s="15">
        <v>138.6</v>
      </c>
    </row>
    <row r="1039" spans="4:13">
      <c r="D1039" s="12">
        <v>46121</v>
      </c>
      <c r="E1039" s="13">
        <v>1593304</v>
      </c>
      <c r="F1039" s="13" t="s">
        <v>131</v>
      </c>
      <c r="G1039" s="14">
        <v>20412034</v>
      </c>
      <c r="H1039" s="13" t="s">
        <v>344</v>
      </c>
      <c r="I1039" s="13" t="s">
        <v>221</v>
      </c>
      <c r="J1039" s="14">
        <v>1</v>
      </c>
      <c r="K1039" s="14">
        <v>28</v>
      </c>
      <c r="L1039" s="15">
        <v>180</v>
      </c>
      <c r="M1039" s="15">
        <f>J1039*L1039</f>
        <v>180</v>
      </c>
    </row>
    <row r="1040" spans="4:13">
      <c r="D1040" s="12">
        <v>46121</v>
      </c>
      <c r="E1040" s="13">
        <v>1593304</v>
      </c>
      <c r="F1040" s="13" t="s">
        <v>47</v>
      </c>
      <c r="G1040" s="14">
        <v>20302998</v>
      </c>
      <c r="H1040" s="13" t="s">
        <v>346</v>
      </c>
      <c r="I1040" s="13" t="s">
        <v>347</v>
      </c>
      <c r="J1040" s="14">
        <v>1</v>
      </c>
      <c r="K1040" s="14">
        <v>19</v>
      </c>
      <c r="L1040" s="15">
        <v>62.7</v>
      </c>
      <c r="M1040" s="15">
        <v>62.7</v>
      </c>
    </row>
    <row r="1041" spans="4:13">
      <c r="D1041" s="12">
        <v>46121</v>
      </c>
      <c r="E1041" s="13">
        <v>1593304</v>
      </c>
      <c r="F1041" s="13" t="s">
        <v>47</v>
      </c>
      <c r="G1041" s="14">
        <v>20303011</v>
      </c>
      <c r="H1041" s="13" t="s">
        <v>330</v>
      </c>
      <c r="I1041" s="13" t="s">
        <v>331</v>
      </c>
      <c r="J1041" s="14">
        <v>1</v>
      </c>
      <c r="K1041" s="14">
        <v>26</v>
      </c>
      <c r="L1041" s="15">
        <v>85.8</v>
      </c>
      <c r="M1041" s="15">
        <v>85.8</v>
      </c>
    </row>
    <row r="1042" spans="4:13">
      <c r="D1042" s="12">
        <v>46121</v>
      </c>
      <c r="E1042" s="13">
        <v>1593304</v>
      </c>
      <c r="F1042" s="13" t="s">
        <v>47</v>
      </c>
      <c r="G1042" s="14">
        <v>20303051</v>
      </c>
      <c r="H1042" s="13" t="s">
        <v>391</v>
      </c>
      <c r="I1042" s="13" t="s">
        <v>347</v>
      </c>
      <c r="J1042" s="14">
        <v>1</v>
      </c>
      <c r="K1042" s="14">
        <v>11</v>
      </c>
      <c r="L1042" s="15">
        <v>36.3</v>
      </c>
      <c r="M1042" s="15">
        <v>36.3</v>
      </c>
    </row>
    <row r="1043" spans="4:13">
      <c r="D1043" s="12">
        <v>46121</v>
      </c>
      <c r="E1043" s="13">
        <v>1593319</v>
      </c>
      <c r="F1043" s="13" t="s">
        <v>15</v>
      </c>
      <c r="G1043" s="14">
        <v>20361239</v>
      </c>
      <c r="H1043" s="13" t="s">
        <v>382</v>
      </c>
      <c r="I1043" s="13" t="s">
        <v>383</v>
      </c>
      <c r="J1043" s="14">
        <v>1</v>
      </c>
      <c r="K1043" s="14">
        <v>10</v>
      </c>
      <c r="L1043" s="15">
        <v>99</v>
      </c>
      <c r="M1043" s="15">
        <v>99</v>
      </c>
    </row>
    <row r="1044" spans="4:13">
      <c r="D1044" s="12">
        <v>46121</v>
      </c>
      <c r="E1044" s="13">
        <v>1593319</v>
      </c>
      <c r="F1044" s="13" t="s">
        <v>131</v>
      </c>
      <c r="G1044" s="14">
        <v>20309658</v>
      </c>
      <c r="H1044" s="13" t="s">
        <v>365</v>
      </c>
      <c r="I1044" s="13" t="s">
        <v>221</v>
      </c>
      <c r="J1044" s="14">
        <v>1</v>
      </c>
      <c r="K1044" s="14">
        <v>5</v>
      </c>
      <c r="L1044" s="15">
        <v>52.8</v>
      </c>
      <c r="M1044" s="15">
        <v>52.8</v>
      </c>
    </row>
    <row r="1045" ht="25.5" spans="4:13">
      <c r="D1045" s="12">
        <v>46121</v>
      </c>
      <c r="E1045" s="13">
        <v>1593319</v>
      </c>
      <c r="F1045" s="13" t="s">
        <v>131</v>
      </c>
      <c r="G1045" s="14">
        <v>20312712</v>
      </c>
      <c r="H1045" s="13" t="s">
        <v>409</v>
      </c>
      <c r="I1045" s="13" t="s">
        <v>221</v>
      </c>
      <c r="J1045" s="14">
        <v>1</v>
      </c>
      <c r="K1045" s="14">
        <v>14</v>
      </c>
      <c r="L1045" s="15">
        <v>138.6</v>
      </c>
      <c r="M1045" s="15">
        <v>138.6</v>
      </c>
    </row>
    <row r="1046" spans="4:13">
      <c r="D1046" s="12">
        <v>46121</v>
      </c>
      <c r="E1046" s="13">
        <v>1593319</v>
      </c>
      <c r="F1046" s="13" t="s">
        <v>131</v>
      </c>
      <c r="G1046" s="14">
        <v>20411790</v>
      </c>
      <c r="H1046" s="13" t="s">
        <v>345</v>
      </c>
      <c r="I1046" s="13" t="s">
        <v>221</v>
      </c>
      <c r="J1046" s="14">
        <v>1</v>
      </c>
      <c r="K1046" s="14">
        <v>28</v>
      </c>
      <c r="L1046" s="15">
        <v>180</v>
      </c>
      <c r="M1046" s="15">
        <f>J1046*L1046</f>
        <v>180</v>
      </c>
    </row>
    <row r="1047" ht="24" spans="4:13">
      <c r="D1047" s="12">
        <v>46121</v>
      </c>
      <c r="E1047" s="13">
        <v>1593379</v>
      </c>
      <c r="F1047" s="13" t="s">
        <v>324</v>
      </c>
      <c r="G1047" s="14">
        <v>20338672</v>
      </c>
      <c r="H1047" s="13" t="s">
        <v>412</v>
      </c>
      <c r="I1047" s="13" t="s">
        <v>326</v>
      </c>
      <c r="J1047" s="14">
        <v>1</v>
      </c>
      <c r="K1047" s="14">
        <v>15</v>
      </c>
      <c r="L1047" s="15">
        <v>49.5</v>
      </c>
      <c r="M1047" s="15">
        <v>49.5</v>
      </c>
    </row>
    <row r="1048" spans="4:13">
      <c r="D1048" s="12">
        <v>46121</v>
      </c>
      <c r="E1048" s="13">
        <v>1593379</v>
      </c>
      <c r="F1048" s="13" t="s">
        <v>324</v>
      </c>
      <c r="G1048" s="14">
        <v>20303002</v>
      </c>
      <c r="H1048" s="13" t="s">
        <v>472</v>
      </c>
      <c r="I1048" s="13" t="s">
        <v>326</v>
      </c>
      <c r="J1048" s="14">
        <v>1</v>
      </c>
      <c r="K1048" s="14">
        <v>22</v>
      </c>
      <c r="L1048" s="15">
        <v>72.6</v>
      </c>
      <c r="M1048" s="15">
        <v>72.6</v>
      </c>
    </row>
    <row r="1049" spans="4:13">
      <c r="D1049" s="12">
        <v>46121</v>
      </c>
      <c r="E1049" s="13">
        <v>1593379</v>
      </c>
      <c r="F1049" s="13" t="s">
        <v>324</v>
      </c>
      <c r="G1049" s="14">
        <v>20303010</v>
      </c>
      <c r="H1049" s="13" t="s">
        <v>325</v>
      </c>
      <c r="I1049" s="13" t="s">
        <v>326</v>
      </c>
      <c r="J1049" s="14">
        <v>1</v>
      </c>
      <c r="K1049" s="14">
        <v>25</v>
      </c>
      <c r="L1049" s="15">
        <v>82.5</v>
      </c>
      <c r="M1049" s="15">
        <v>82.5</v>
      </c>
    </row>
    <row r="1050" spans="4:13">
      <c r="D1050" s="12">
        <v>46121</v>
      </c>
      <c r="E1050" s="13">
        <v>1593379</v>
      </c>
      <c r="F1050" s="13" t="s">
        <v>324</v>
      </c>
      <c r="G1050" s="14">
        <v>20303022</v>
      </c>
      <c r="H1050" s="13" t="s">
        <v>352</v>
      </c>
      <c r="I1050" s="13" t="s">
        <v>326</v>
      </c>
      <c r="J1050" s="14">
        <v>2</v>
      </c>
      <c r="K1050" s="14">
        <v>62</v>
      </c>
      <c r="L1050" s="15">
        <v>102.3</v>
      </c>
      <c r="M1050" s="15">
        <v>204.6</v>
      </c>
    </row>
    <row r="1051" spans="4:13">
      <c r="D1051" s="12">
        <v>46121</v>
      </c>
      <c r="E1051" s="13">
        <v>1593379</v>
      </c>
      <c r="F1051" s="13" t="s">
        <v>324</v>
      </c>
      <c r="G1051" s="14">
        <v>20303029</v>
      </c>
      <c r="H1051" s="13" t="s">
        <v>337</v>
      </c>
      <c r="I1051" s="13" t="s">
        <v>326</v>
      </c>
      <c r="J1051" s="14">
        <v>1</v>
      </c>
      <c r="K1051" s="14">
        <v>47</v>
      </c>
      <c r="L1051" s="15">
        <v>155.1</v>
      </c>
      <c r="M1051" s="15">
        <v>155.1</v>
      </c>
    </row>
    <row r="1052" spans="4:13">
      <c r="D1052" s="12">
        <v>46121</v>
      </c>
      <c r="E1052" s="13">
        <v>1593379</v>
      </c>
      <c r="F1052" s="13" t="s">
        <v>324</v>
      </c>
      <c r="G1052" s="14">
        <v>20303052</v>
      </c>
      <c r="H1052" s="13" t="s">
        <v>388</v>
      </c>
      <c r="I1052" s="13" t="s">
        <v>326</v>
      </c>
      <c r="J1052" s="14">
        <v>2</v>
      </c>
      <c r="K1052" s="14">
        <v>60</v>
      </c>
      <c r="L1052" s="15">
        <v>99</v>
      </c>
      <c r="M1052" s="15">
        <v>198</v>
      </c>
    </row>
    <row r="1053" spans="4:13">
      <c r="D1053" s="12">
        <v>46121</v>
      </c>
      <c r="E1053" s="13">
        <v>1593379</v>
      </c>
      <c r="F1053" s="13" t="s">
        <v>163</v>
      </c>
      <c r="G1053" s="14">
        <v>20303912</v>
      </c>
      <c r="H1053" s="13" t="s">
        <v>329</v>
      </c>
      <c r="I1053" s="13" t="s">
        <v>83</v>
      </c>
      <c r="J1053" s="14">
        <v>2</v>
      </c>
      <c r="K1053" s="14">
        <v>10</v>
      </c>
      <c r="L1053" s="15">
        <v>16.5</v>
      </c>
      <c r="M1053" s="15">
        <v>33</v>
      </c>
    </row>
    <row r="1054" spans="4:13">
      <c r="D1054" s="12">
        <v>46121</v>
      </c>
      <c r="E1054" s="13">
        <v>1593379</v>
      </c>
      <c r="F1054" s="13" t="s">
        <v>20</v>
      </c>
      <c r="G1054" s="14">
        <v>20303954</v>
      </c>
      <c r="H1054" s="13" t="s">
        <v>295</v>
      </c>
      <c r="I1054" s="13" t="s">
        <v>29</v>
      </c>
      <c r="J1054" s="14">
        <v>3</v>
      </c>
      <c r="K1054" s="14">
        <v>3</v>
      </c>
      <c r="L1054" s="15">
        <v>4.8</v>
      </c>
      <c r="M1054" s="15">
        <v>14.4</v>
      </c>
    </row>
    <row r="1055" spans="4:13">
      <c r="D1055" s="12">
        <v>46121</v>
      </c>
      <c r="E1055" s="13">
        <v>1593379</v>
      </c>
      <c r="F1055" s="13" t="s">
        <v>20</v>
      </c>
      <c r="G1055" s="14">
        <v>20309432</v>
      </c>
      <c r="H1055" s="13" t="s">
        <v>357</v>
      </c>
      <c r="I1055" s="13" t="s">
        <v>57</v>
      </c>
      <c r="J1055" s="14">
        <v>1</v>
      </c>
      <c r="K1055" s="14">
        <v>2</v>
      </c>
      <c r="L1055" s="15">
        <v>9.9</v>
      </c>
      <c r="M1055" s="15">
        <v>9.9</v>
      </c>
    </row>
    <row r="1056" spans="4:13">
      <c r="D1056" s="12">
        <v>46121</v>
      </c>
      <c r="E1056" s="13">
        <v>1593379</v>
      </c>
      <c r="F1056" s="13" t="s">
        <v>20</v>
      </c>
      <c r="G1056" s="14">
        <v>20303939</v>
      </c>
      <c r="H1056" s="13" t="s">
        <v>433</v>
      </c>
      <c r="I1056" s="13" t="s">
        <v>57</v>
      </c>
      <c r="J1056" s="14">
        <v>1</v>
      </c>
      <c r="K1056" s="14">
        <v>1</v>
      </c>
      <c r="L1056" s="15">
        <v>9.9</v>
      </c>
      <c r="M1056" s="15">
        <v>9.9</v>
      </c>
    </row>
    <row r="1057" spans="4:13">
      <c r="D1057" s="12">
        <v>46121</v>
      </c>
      <c r="E1057" s="13">
        <v>1593379</v>
      </c>
      <c r="F1057" s="13" t="s">
        <v>20</v>
      </c>
      <c r="G1057" s="14">
        <v>20313225</v>
      </c>
      <c r="H1057" s="13" t="s">
        <v>358</v>
      </c>
      <c r="I1057" s="13" t="s">
        <v>31</v>
      </c>
      <c r="J1057" s="14">
        <v>2</v>
      </c>
      <c r="K1057" s="14">
        <v>8</v>
      </c>
      <c r="L1057" s="15">
        <v>13.2</v>
      </c>
      <c r="M1057" s="15">
        <v>26.4</v>
      </c>
    </row>
    <row r="1058" spans="4:13">
      <c r="D1058" s="12">
        <v>46121</v>
      </c>
      <c r="E1058" s="13">
        <v>1593379</v>
      </c>
      <c r="F1058" s="13" t="s">
        <v>131</v>
      </c>
      <c r="G1058" s="14">
        <v>20309677</v>
      </c>
      <c r="H1058" s="13" t="s">
        <v>362</v>
      </c>
      <c r="I1058" s="13" t="s">
        <v>221</v>
      </c>
      <c r="J1058" s="14">
        <v>1</v>
      </c>
      <c r="K1058" s="14">
        <v>12</v>
      </c>
      <c r="L1058" s="15">
        <v>112.2</v>
      </c>
      <c r="M1058" s="15">
        <v>112.2</v>
      </c>
    </row>
    <row r="1059" spans="4:13">
      <c r="D1059" s="12">
        <v>46121</v>
      </c>
      <c r="E1059" s="13">
        <v>1593379</v>
      </c>
      <c r="F1059" s="13" t="s">
        <v>131</v>
      </c>
      <c r="G1059" s="14">
        <v>20309658</v>
      </c>
      <c r="H1059" s="13" t="s">
        <v>365</v>
      </c>
      <c r="I1059" s="13" t="s">
        <v>221</v>
      </c>
      <c r="J1059" s="14">
        <v>1</v>
      </c>
      <c r="K1059" s="14">
        <v>5</v>
      </c>
      <c r="L1059" s="15">
        <v>52.8</v>
      </c>
      <c r="M1059" s="15">
        <v>52.8</v>
      </c>
    </row>
    <row r="1060" spans="4:13">
      <c r="D1060" s="12">
        <v>46121</v>
      </c>
      <c r="E1060" s="13">
        <v>1593379</v>
      </c>
      <c r="F1060" s="13" t="s">
        <v>65</v>
      </c>
      <c r="G1060" s="14">
        <v>20307306</v>
      </c>
      <c r="H1060" s="13" t="s">
        <v>377</v>
      </c>
      <c r="I1060" s="13" t="s">
        <v>44</v>
      </c>
      <c r="J1060" s="14">
        <v>1</v>
      </c>
      <c r="K1060" s="14">
        <v>2</v>
      </c>
      <c r="L1060" s="15">
        <v>9.9</v>
      </c>
      <c r="M1060" s="15">
        <v>9.9</v>
      </c>
    </row>
    <row r="1061" spans="4:13">
      <c r="D1061" s="12">
        <v>46121</v>
      </c>
      <c r="E1061" s="13">
        <v>1593379</v>
      </c>
      <c r="F1061" s="13" t="s">
        <v>65</v>
      </c>
      <c r="G1061" s="14">
        <v>20303836</v>
      </c>
      <c r="H1061" s="13" t="s">
        <v>332</v>
      </c>
      <c r="I1061" s="13" t="s">
        <v>83</v>
      </c>
      <c r="J1061" s="14">
        <v>2</v>
      </c>
      <c r="K1061" s="14">
        <v>8</v>
      </c>
      <c r="L1061" s="15">
        <v>13.2</v>
      </c>
      <c r="M1061" s="15">
        <v>26.4</v>
      </c>
    </row>
    <row r="1062" spans="4:13">
      <c r="D1062" s="12">
        <v>46121</v>
      </c>
      <c r="E1062" s="13">
        <v>1593379</v>
      </c>
      <c r="F1062" s="13" t="s">
        <v>65</v>
      </c>
      <c r="G1062" s="14">
        <v>20310863</v>
      </c>
      <c r="H1062" s="13" t="s">
        <v>333</v>
      </c>
      <c r="I1062" s="13" t="s">
        <v>49</v>
      </c>
      <c r="J1062" s="14">
        <v>1</v>
      </c>
      <c r="K1062" s="14">
        <v>1</v>
      </c>
      <c r="L1062" s="15">
        <v>9.9</v>
      </c>
      <c r="M1062" s="15">
        <v>9.9</v>
      </c>
    </row>
    <row r="1063" spans="4:13">
      <c r="D1063" s="12">
        <v>46121</v>
      </c>
      <c r="E1063" s="13">
        <v>1593379</v>
      </c>
      <c r="F1063" s="13" t="s">
        <v>65</v>
      </c>
      <c r="G1063" s="14">
        <v>20307305</v>
      </c>
      <c r="H1063" s="13" t="s">
        <v>453</v>
      </c>
      <c r="I1063" s="13" t="s">
        <v>49</v>
      </c>
      <c r="J1063" s="14">
        <v>2</v>
      </c>
      <c r="K1063" s="14">
        <v>4</v>
      </c>
      <c r="L1063" s="15">
        <v>9.9</v>
      </c>
      <c r="M1063" s="15">
        <v>19.8</v>
      </c>
    </row>
    <row r="1064" spans="4:13">
      <c r="D1064" s="12">
        <v>46121</v>
      </c>
      <c r="E1064" s="13">
        <v>1593388</v>
      </c>
      <c r="F1064" s="13" t="s">
        <v>324</v>
      </c>
      <c r="G1064" s="14">
        <v>20303010</v>
      </c>
      <c r="H1064" s="13" t="s">
        <v>325</v>
      </c>
      <c r="I1064" s="13" t="s">
        <v>326</v>
      </c>
      <c r="J1064" s="14">
        <v>2</v>
      </c>
      <c r="K1064" s="14">
        <v>50</v>
      </c>
      <c r="L1064" s="15">
        <v>82.5</v>
      </c>
      <c r="M1064" s="15">
        <v>165</v>
      </c>
    </row>
    <row r="1065" spans="4:13">
      <c r="D1065" s="12">
        <v>46121</v>
      </c>
      <c r="E1065" s="13">
        <v>1593388</v>
      </c>
      <c r="F1065" s="13" t="s">
        <v>324</v>
      </c>
      <c r="G1065" s="14">
        <v>20394936</v>
      </c>
      <c r="H1065" s="13" t="s">
        <v>445</v>
      </c>
      <c r="I1065" s="13" t="s">
        <v>328</v>
      </c>
      <c r="J1065" s="14">
        <v>1</v>
      </c>
      <c r="K1065" s="14">
        <v>4</v>
      </c>
      <c r="L1065" s="15">
        <v>13.2</v>
      </c>
      <c r="M1065" s="15">
        <v>13.2</v>
      </c>
    </row>
    <row r="1066" spans="4:13">
      <c r="D1066" s="12">
        <v>46121</v>
      </c>
      <c r="E1066" s="13">
        <v>1593388</v>
      </c>
      <c r="F1066" s="13" t="s">
        <v>324</v>
      </c>
      <c r="G1066" s="14">
        <v>20303025</v>
      </c>
      <c r="H1066" s="13" t="s">
        <v>336</v>
      </c>
      <c r="I1066" s="13" t="s">
        <v>326</v>
      </c>
      <c r="J1066" s="14">
        <v>2</v>
      </c>
      <c r="K1066" s="14">
        <v>94</v>
      </c>
      <c r="L1066" s="15">
        <v>155.1</v>
      </c>
      <c r="M1066" s="15">
        <v>310.2</v>
      </c>
    </row>
    <row r="1067" spans="4:13">
      <c r="D1067" s="12">
        <v>46121</v>
      </c>
      <c r="E1067" s="13">
        <v>1593388</v>
      </c>
      <c r="F1067" s="13" t="s">
        <v>324</v>
      </c>
      <c r="G1067" s="14">
        <v>20303029</v>
      </c>
      <c r="H1067" s="13" t="s">
        <v>337</v>
      </c>
      <c r="I1067" s="13" t="s">
        <v>326</v>
      </c>
      <c r="J1067" s="14">
        <v>1</v>
      </c>
      <c r="K1067" s="14">
        <v>47</v>
      </c>
      <c r="L1067" s="15">
        <v>155.1</v>
      </c>
      <c r="M1067" s="15">
        <v>155.1</v>
      </c>
    </row>
    <row r="1068" spans="4:13">
      <c r="D1068" s="12">
        <v>46121</v>
      </c>
      <c r="E1068" s="13">
        <v>1593388</v>
      </c>
      <c r="F1068" s="13" t="s">
        <v>20</v>
      </c>
      <c r="G1068" s="14">
        <v>20303977</v>
      </c>
      <c r="H1068" s="13" t="s">
        <v>196</v>
      </c>
      <c r="I1068" s="13" t="s">
        <v>33</v>
      </c>
      <c r="J1068" s="14">
        <v>1</v>
      </c>
      <c r="K1068" s="14">
        <v>1</v>
      </c>
      <c r="L1068" s="15">
        <v>4.8</v>
      </c>
      <c r="M1068" s="15">
        <v>4.8</v>
      </c>
    </row>
    <row r="1069" spans="4:13">
      <c r="D1069" s="12">
        <v>46121</v>
      </c>
      <c r="E1069" s="13">
        <v>1593388</v>
      </c>
      <c r="F1069" s="13" t="s">
        <v>20</v>
      </c>
      <c r="G1069" s="14">
        <v>20303717</v>
      </c>
      <c r="H1069" s="13" t="s">
        <v>70</v>
      </c>
      <c r="I1069" s="13" t="s">
        <v>35</v>
      </c>
      <c r="J1069" s="14">
        <v>1</v>
      </c>
      <c r="K1069" s="14">
        <v>1</v>
      </c>
      <c r="L1069" s="15">
        <v>4.8</v>
      </c>
      <c r="M1069" s="15">
        <v>4.8</v>
      </c>
    </row>
    <row r="1070" spans="4:13">
      <c r="D1070" s="12">
        <v>46121</v>
      </c>
      <c r="E1070" s="13">
        <v>1593388</v>
      </c>
      <c r="F1070" s="13" t="s">
        <v>20</v>
      </c>
      <c r="G1070" s="14">
        <v>20305022</v>
      </c>
      <c r="H1070" s="13" t="s">
        <v>434</v>
      </c>
      <c r="I1070" s="13" t="s">
        <v>105</v>
      </c>
      <c r="J1070" s="14">
        <v>1</v>
      </c>
      <c r="K1070" s="14">
        <v>1</v>
      </c>
      <c r="L1070" s="15">
        <v>4.8</v>
      </c>
      <c r="M1070" s="15">
        <v>4.8</v>
      </c>
    </row>
    <row r="1071" spans="4:13">
      <c r="D1071" s="12">
        <v>46121</v>
      </c>
      <c r="E1071" s="13">
        <v>1593388</v>
      </c>
      <c r="F1071" s="13" t="s">
        <v>20</v>
      </c>
      <c r="G1071" s="14">
        <v>20303835</v>
      </c>
      <c r="H1071" s="13" t="s">
        <v>504</v>
      </c>
      <c r="I1071" s="13" t="s">
        <v>308</v>
      </c>
      <c r="J1071" s="14">
        <v>2</v>
      </c>
      <c r="K1071" s="14">
        <v>4</v>
      </c>
      <c r="L1071" s="15">
        <v>9.9</v>
      </c>
      <c r="M1071" s="15">
        <v>19.8</v>
      </c>
    </row>
    <row r="1072" spans="4:13">
      <c r="D1072" s="12">
        <v>46121</v>
      </c>
      <c r="E1072" s="13">
        <v>1593388</v>
      </c>
      <c r="F1072" s="13" t="s">
        <v>47</v>
      </c>
      <c r="G1072" s="14">
        <v>20303011</v>
      </c>
      <c r="H1072" s="13" t="s">
        <v>330</v>
      </c>
      <c r="I1072" s="13" t="s">
        <v>331</v>
      </c>
      <c r="J1072" s="14">
        <v>2</v>
      </c>
      <c r="K1072" s="14">
        <v>52</v>
      </c>
      <c r="L1072" s="15">
        <v>85.8</v>
      </c>
      <c r="M1072" s="15">
        <v>171.6</v>
      </c>
    </row>
    <row r="1073" spans="4:13">
      <c r="D1073" s="12">
        <v>46121</v>
      </c>
      <c r="E1073" s="13">
        <v>1593388</v>
      </c>
      <c r="F1073" s="13" t="s">
        <v>47</v>
      </c>
      <c r="G1073" s="14">
        <v>20306256</v>
      </c>
      <c r="H1073" s="13" t="s">
        <v>349</v>
      </c>
      <c r="I1073" s="13" t="s">
        <v>83</v>
      </c>
      <c r="J1073" s="14">
        <v>2</v>
      </c>
      <c r="K1073" s="14">
        <v>44</v>
      </c>
      <c r="L1073" s="15">
        <v>72.6</v>
      </c>
      <c r="M1073" s="15">
        <v>145.2</v>
      </c>
    </row>
    <row r="1074" spans="4:13">
      <c r="D1074" s="12">
        <v>46121</v>
      </c>
      <c r="E1074" s="13">
        <v>1593388</v>
      </c>
      <c r="F1074" s="13" t="s">
        <v>47</v>
      </c>
      <c r="G1074" s="14">
        <v>20313307</v>
      </c>
      <c r="H1074" s="13" t="s">
        <v>402</v>
      </c>
      <c r="I1074" s="13" t="s">
        <v>62</v>
      </c>
      <c r="J1074" s="14">
        <v>1</v>
      </c>
      <c r="K1074" s="14">
        <v>11</v>
      </c>
      <c r="L1074" s="15">
        <v>36.3</v>
      </c>
      <c r="M1074" s="15">
        <v>36.3</v>
      </c>
    </row>
    <row r="1075" spans="4:13">
      <c r="D1075" s="12">
        <v>46121</v>
      </c>
      <c r="E1075" s="13">
        <v>1593390</v>
      </c>
      <c r="F1075" s="13" t="s">
        <v>15</v>
      </c>
      <c r="G1075" s="14">
        <v>20314042</v>
      </c>
      <c r="H1075" s="13" t="s">
        <v>341</v>
      </c>
      <c r="I1075" s="13" t="s">
        <v>128</v>
      </c>
      <c r="J1075" s="14">
        <v>2</v>
      </c>
      <c r="K1075" s="14">
        <v>2</v>
      </c>
      <c r="L1075" s="15">
        <v>16.8</v>
      </c>
      <c r="M1075" s="15">
        <v>33.6</v>
      </c>
    </row>
    <row r="1076" spans="4:13">
      <c r="D1076" s="12">
        <v>46121</v>
      </c>
      <c r="E1076" s="13">
        <v>1593390</v>
      </c>
      <c r="F1076" s="13" t="s">
        <v>15</v>
      </c>
      <c r="G1076" s="14">
        <v>20361389</v>
      </c>
      <c r="H1076" s="13" t="s">
        <v>513</v>
      </c>
      <c r="I1076" s="13" t="s">
        <v>514</v>
      </c>
      <c r="J1076" s="14">
        <v>1</v>
      </c>
      <c r="K1076" s="14">
        <v>1</v>
      </c>
      <c r="L1076" s="15">
        <v>16.8</v>
      </c>
      <c r="M1076" s="15">
        <v>16.8</v>
      </c>
    </row>
    <row r="1077" spans="4:13">
      <c r="D1077" s="12">
        <v>46121</v>
      </c>
      <c r="E1077" s="13">
        <v>1593390</v>
      </c>
      <c r="F1077" s="13" t="s">
        <v>15</v>
      </c>
      <c r="G1077" s="14">
        <v>20358905</v>
      </c>
      <c r="H1077" s="13" t="s">
        <v>360</v>
      </c>
      <c r="I1077" s="13" t="s">
        <v>244</v>
      </c>
      <c r="J1077" s="14">
        <v>1</v>
      </c>
      <c r="K1077" s="14">
        <v>1</v>
      </c>
      <c r="L1077" s="15">
        <v>15</v>
      </c>
      <c r="M1077" s="15">
        <v>15</v>
      </c>
    </row>
    <row r="1078" spans="4:13">
      <c r="D1078" s="12">
        <v>46121</v>
      </c>
      <c r="E1078" s="13">
        <v>1593390</v>
      </c>
      <c r="F1078" s="13" t="s">
        <v>15</v>
      </c>
      <c r="G1078" s="14">
        <v>20309651</v>
      </c>
      <c r="H1078" s="13" t="s">
        <v>130</v>
      </c>
      <c r="I1078" s="13" t="s">
        <v>62</v>
      </c>
      <c r="J1078" s="14">
        <v>1</v>
      </c>
      <c r="K1078" s="14">
        <v>1</v>
      </c>
      <c r="L1078" s="15">
        <v>21</v>
      </c>
      <c r="M1078" s="15">
        <v>21</v>
      </c>
    </row>
    <row r="1079" spans="4:13">
      <c r="D1079" s="12">
        <v>46121</v>
      </c>
      <c r="E1079" s="13">
        <v>1593390</v>
      </c>
      <c r="F1079" s="13" t="s">
        <v>15</v>
      </c>
      <c r="G1079" s="14">
        <v>20359639</v>
      </c>
      <c r="H1079" s="13" t="s">
        <v>468</v>
      </c>
      <c r="I1079" s="13" t="s">
        <v>317</v>
      </c>
      <c r="J1079" s="14">
        <v>1</v>
      </c>
      <c r="K1079" s="14">
        <v>1</v>
      </c>
      <c r="L1079" s="15">
        <v>15</v>
      </c>
      <c r="M1079" s="15">
        <v>15</v>
      </c>
    </row>
    <row r="1080" spans="4:13">
      <c r="D1080" s="12">
        <v>46121</v>
      </c>
      <c r="E1080" s="13">
        <v>1593390</v>
      </c>
      <c r="F1080" s="13" t="s">
        <v>15</v>
      </c>
      <c r="G1080" s="14">
        <v>20359638</v>
      </c>
      <c r="H1080" s="13" t="s">
        <v>411</v>
      </c>
      <c r="I1080" s="13" t="s">
        <v>128</v>
      </c>
      <c r="J1080" s="14">
        <v>1</v>
      </c>
      <c r="K1080" s="14">
        <v>1</v>
      </c>
      <c r="L1080" s="15">
        <v>16.8</v>
      </c>
      <c r="M1080" s="15">
        <v>16.8</v>
      </c>
    </row>
    <row r="1081" spans="4:13">
      <c r="D1081" s="12">
        <v>46121</v>
      </c>
      <c r="E1081" s="13">
        <v>1593390</v>
      </c>
      <c r="F1081" s="13" t="s">
        <v>15</v>
      </c>
      <c r="G1081" s="14">
        <v>20360954</v>
      </c>
      <c r="H1081" s="13" t="s">
        <v>441</v>
      </c>
      <c r="I1081" s="13" t="s">
        <v>128</v>
      </c>
      <c r="J1081" s="14">
        <v>2</v>
      </c>
      <c r="K1081" s="14">
        <v>2</v>
      </c>
      <c r="L1081" s="15">
        <v>16.8</v>
      </c>
      <c r="M1081" s="15">
        <v>33.6</v>
      </c>
    </row>
    <row r="1082" spans="4:13">
      <c r="D1082" s="12">
        <v>46121</v>
      </c>
      <c r="E1082" s="13">
        <v>1593390</v>
      </c>
      <c r="F1082" s="13" t="s">
        <v>131</v>
      </c>
      <c r="G1082" s="14">
        <v>20309744</v>
      </c>
      <c r="H1082" s="13" t="s">
        <v>361</v>
      </c>
      <c r="I1082" s="13" t="s">
        <v>221</v>
      </c>
      <c r="J1082" s="14">
        <v>1</v>
      </c>
      <c r="K1082" s="14">
        <v>9</v>
      </c>
      <c r="L1082" s="15">
        <v>92.4</v>
      </c>
      <c r="M1082" s="15">
        <v>92.4</v>
      </c>
    </row>
    <row r="1083" spans="4:13">
      <c r="D1083" s="12">
        <v>46121</v>
      </c>
      <c r="E1083" s="13">
        <v>1593390</v>
      </c>
      <c r="F1083" s="13" t="s">
        <v>131</v>
      </c>
      <c r="G1083" s="14">
        <v>20309648</v>
      </c>
      <c r="H1083" s="13" t="s">
        <v>363</v>
      </c>
      <c r="I1083" s="13" t="s">
        <v>221</v>
      </c>
      <c r="J1083" s="14">
        <v>1</v>
      </c>
      <c r="K1083" s="14">
        <v>14</v>
      </c>
      <c r="L1083" s="15">
        <v>138.6</v>
      </c>
      <c r="M1083" s="15">
        <v>138.6</v>
      </c>
    </row>
    <row r="1084" spans="4:13">
      <c r="D1084" s="12">
        <v>46121</v>
      </c>
      <c r="E1084" s="13">
        <v>1593390</v>
      </c>
      <c r="F1084" s="13" t="s">
        <v>131</v>
      </c>
      <c r="G1084" s="14">
        <v>20312465</v>
      </c>
      <c r="H1084" s="13" t="s">
        <v>320</v>
      </c>
      <c r="I1084" s="13" t="s">
        <v>221</v>
      </c>
      <c r="J1084" s="14">
        <v>1</v>
      </c>
      <c r="K1084" s="14">
        <v>27</v>
      </c>
      <c r="L1084" s="15">
        <v>180</v>
      </c>
      <c r="M1084" s="15">
        <f>J1084*L1084</f>
        <v>180</v>
      </c>
    </row>
    <row r="1085" spans="4:13">
      <c r="D1085" s="12">
        <v>46121</v>
      </c>
      <c r="E1085" s="13">
        <v>1593390</v>
      </c>
      <c r="F1085" s="13" t="s">
        <v>131</v>
      </c>
      <c r="G1085" s="14">
        <v>20314362</v>
      </c>
      <c r="H1085" s="13" t="s">
        <v>364</v>
      </c>
      <c r="I1085" s="13" t="s">
        <v>221</v>
      </c>
      <c r="J1085" s="14">
        <v>1</v>
      </c>
      <c r="K1085" s="14">
        <v>27</v>
      </c>
      <c r="L1085" s="15">
        <v>180</v>
      </c>
      <c r="M1085" s="15">
        <f>J1085*L1085</f>
        <v>180</v>
      </c>
    </row>
    <row r="1086" spans="4:13">
      <c r="D1086" s="12">
        <v>46121</v>
      </c>
      <c r="E1086" s="13">
        <v>1593390</v>
      </c>
      <c r="F1086" s="13" t="s">
        <v>131</v>
      </c>
      <c r="G1086" s="14">
        <v>20412202</v>
      </c>
      <c r="H1086" s="13" t="s">
        <v>322</v>
      </c>
      <c r="I1086" s="13" t="s">
        <v>221</v>
      </c>
      <c r="J1086" s="14">
        <v>1</v>
      </c>
      <c r="K1086" s="14">
        <v>23</v>
      </c>
      <c r="L1086" s="15">
        <v>180</v>
      </c>
      <c r="M1086" s="15">
        <f>J1086*L1086</f>
        <v>180</v>
      </c>
    </row>
    <row r="1087" spans="4:13">
      <c r="D1087" s="12">
        <v>46121</v>
      </c>
      <c r="E1087" s="13">
        <v>1593414</v>
      </c>
      <c r="F1087" s="13" t="s">
        <v>378</v>
      </c>
      <c r="G1087" s="14">
        <v>20310012</v>
      </c>
      <c r="H1087" s="13" t="s">
        <v>379</v>
      </c>
      <c r="I1087" s="13" t="s">
        <v>2</v>
      </c>
      <c r="J1087" s="14">
        <v>6</v>
      </c>
      <c r="K1087" s="14">
        <v>0</v>
      </c>
      <c r="L1087" s="15">
        <v>15</v>
      </c>
      <c r="M1087" s="15">
        <v>90</v>
      </c>
    </row>
    <row r="1088" spans="4:13">
      <c r="D1088" s="12">
        <v>46121</v>
      </c>
      <c r="E1088" s="13">
        <v>1593424</v>
      </c>
      <c r="F1088" s="13" t="s">
        <v>324</v>
      </c>
      <c r="G1088" s="14">
        <v>20303001</v>
      </c>
      <c r="H1088" s="13" t="s">
        <v>515</v>
      </c>
      <c r="I1088" s="13" t="s">
        <v>326</v>
      </c>
      <c r="J1088" s="14">
        <v>1</v>
      </c>
      <c r="K1088" s="14">
        <v>19</v>
      </c>
      <c r="L1088" s="15">
        <v>62.7</v>
      </c>
      <c r="M1088" s="15">
        <v>62.7</v>
      </c>
    </row>
    <row r="1089" spans="4:13">
      <c r="D1089" s="12">
        <v>46121</v>
      </c>
      <c r="E1089" s="13">
        <v>1593424</v>
      </c>
      <c r="F1089" s="13" t="s">
        <v>324</v>
      </c>
      <c r="G1089" s="14">
        <v>20303010</v>
      </c>
      <c r="H1089" s="13" t="s">
        <v>325</v>
      </c>
      <c r="I1089" s="13" t="s">
        <v>326</v>
      </c>
      <c r="J1089" s="14">
        <v>1</v>
      </c>
      <c r="K1089" s="14">
        <v>25</v>
      </c>
      <c r="L1089" s="15">
        <v>82.5</v>
      </c>
      <c r="M1089" s="15">
        <v>82.5</v>
      </c>
    </row>
    <row r="1090" spans="4:13">
      <c r="D1090" s="12">
        <v>46121</v>
      </c>
      <c r="E1090" s="13">
        <v>1593424</v>
      </c>
      <c r="F1090" s="13" t="s">
        <v>324</v>
      </c>
      <c r="G1090" s="14">
        <v>20303022</v>
      </c>
      <c r="H1090" s="13" t="s">
        <v>352</v>
      </c>
      <c r="I1090" s="13" t="s">
        <v>326</v>
      </c>
      <c r="J1090" s="14">
        <v>2</v>
      </c>
      <c r="K1090" s="14">
        <v>62</v>
      </c>
      <c r="L1090" s="15">
        <v>102.3</v>
      </c>
      <c r="M1090" s="15">
        <v>204.6</v>
      </c>
    </row>
    <row r="1091" spans="4:13">
      <c r="D1091" s="12">
        <v>46121</v>
      </c>
      <c r="E1091" s="13">
        <v>1593424</v>
      </c>
      <c r="F1091" s="13" t="s">
        <v>324</v>
      </c>
      <c r="G1091" s="14">
        <v>20380422</v>
      </c>
      <c r="H1091" s="13" t="s">
        <v>516</v>
      </c>
      <c r="I1091" s="13" t="s">
        <v>83</v>
      </c>
      <c r="J1091" s="14">
        <v>1</v>
      </c>
      <c r="K1091" s="14">
        <v>5</v>
      </c>
      <c r="L1091" s="15">
        <v>16.5</v>
      </c>
      <c r="M1091" s="15">
        <v>16.5</v>
      </c>
    </row>
    <row r="1092" spans="4:13">
      <c r="D1092" s="12">
        <v>46121</v>
      </c>
      <c r="E1092" s="13">
        <v>1593424</v>
      </c>
      <c r="F1092" s="13" t="s">
        <v>324</v>
      </c>
      <c r="G1092" s="14">
        <v>20303036</v>
      </c>
      <c r="H1092" s="13" t="s">
        <v>431</v>
      </c>
      <c r="I1092" s="13" t="s">
        <v>326</v>
      </c>
      <c r="J1092" s="14">
        <v>1</v>
      </c>
      <c r="K1092" s="14">
        <v>22</v>
      </c>
      <c r="L1092" s="15">
        <v>72.6</v>
      </c>
      <c r="M1092" s="15">
        <v>72.6</v>
      </c>
    </row>
    <row r="1093" spans="4:13">
      <c r="D1093" s="12">
        <v>46121</v>
      </c>
      <c r="E1093" s="13">
        <v>1593424</v>
      </c>
      <c r="F1093" s="13" t="s">
        <v>20</v>
      </c>
      <c r="G1093" s="14">
        <v>20303859</v>
      </c>
      <c r="H1093" s="13" t="s">
        <v>46</v>
      </c>
      <c r="I1093" s="13" t="s">
        <v>35</v>
      </c>
      <c r="J1093" s="14">
        <v>1</v>
      </c>
      <c r="K1093" s="14">
        <v>1</v>
      </c>
      <c r="L1093" s="15">
        <v>4.8</v>
      </c>
      <c r="M1093" s="15">
        <v>4.8</v>
      </c>
    </row>
    <row r="1094" spans="4:13">
      <c r="D1094" s="12">
        <v>46121</v>
      </c>
      <c r="E1094" s="13">
        <v>1593424</v>
      </c>
      <c r="F1094" s="13" t="s">
        <v>47</v>
      </c>
      <c r="G1094" s="14">
        <v>20302998</v>
      </c>
      <c r="H1094" s="13" t="s">
        <v>346</v>
      </c>
      <c r="I1094" s="13" t="s">
        <v>347</v>
      </c>
      <c r="J1094" s="14">
        <v>1</v>
      </c>
      <c r="K1094" s="14">
        <v>19</v>
      </c>
      <c r="L1094" s="15">
        <v>62.7</v>
      </c>
      <c r="M1094" s="15">
        <v>62.7</v>
      </c>
    </row>
    <row r="1095" spans="4:13">
      <c r="D1095" s="12">
        <v>46121</v>
      </c>
      <c r="E1095" s="13">
        <v>1593424</v>
      </c>
      <c r="F1095" s="13" t="s">
        <v>47</v>
      </c>
      <c r="G1095" s="14">
        <v>20303011</v>
      </c>
      <c r="H1095" s="13" t="s">
        <v>330</v>
      </c>
      <c r="I1095" s="13" t="s">
        <v>331</v>
      </c>
      <c r="J1095" s="14">
        <v>1</v>
      </c>
      <c r="K1095" s="14">
        <v>26</v>
      </c>
      <c r="L1095" s="15">
        <v>85.8</v>
      </c>
      <c r="M1095" s="15">
        <v>85.8</v>
      </c>
    </row>
    <row r="1096" spans="4:13">
      <c r="D1096" s="12">
        <v>46121</v>
      </c>
      <c r="E1096" s="13">
        <v>1593424</v>
      </c>
      <c r="F1096" s="13" t="s">
        <v>47</v>
      </c>
      <c r="G1096" s="14">
        <v>20303051</v>
      </c>
      <c r="H1096" s="13" t="s">
        <v>391</v>
      </c>
      <c r="I1096" s="13" t="s">
        <v>347</v>
      </c>
      <c r="J1096" s="14">
        <v>1</v>
      </c>
      <c r="K1096" s="14">
        <v>11</v>
      </c>
      <c r="L1096" s="15">
        <v>36.3</v>
      </c>
      <c r="M1096" s="15">
        <v>36.3</v>
      </c>
    </row>
    <row r="1097" spans="4:13">
      <c r="D1097" s="12">
        <v>46121</v>
      </c>
      <c r="E1097" s="13">
        <v>1593424</v>
      </c>
      <c r="F1097" s="13" t="s">
        <v>65</v>
      </c>
      <c r="G1097" s="14">
        <v>20303836</v>
      </c>
      <c r="H1097" s="13" t="s">
        <v>332</v>
      </c>
      <c r="I1097" s="13" t="s">
        <v>83</v>
      </c>
      <c r="J1097" s="14">
        <v>5</v>
      </c>
      <c r="K1097" s="14">
        <v>20</v>
      </c>
      <c r="L1097" s="15">
        <v>13.2</v>
      </c>
      <c r="M1097" s="15">
        <v>66</v>
      </c>
    </row>
    <row r="1098" spans="4:13">
      <c r="D1098" s="12">
        <v>46121</v>
      </c>
      <c r="E1098" s="13">
        <v>1593443</v>
      </c>
      <c r="F1098" s="13" t="s">
        <v>15</v>
      </c>
      <c r="G1098" s="14">
        <v>20309550</v>
      </c>
      <c r="H1098" s="13" t="s">
        <v>313</v>
      </c>
      <c r="I1098" s="13" t="s">
        <v>314</v>
      </c>
      <c r="J1098" s="14">
        <v>1</v>
      </c>
      <c r="K1098" s="14">
        <v>3</v>
      </c>
      <c r="L1098" s="15">
        <v>39.6</v>
      </c>
      <c r="M1098" s="15">
        <v>39.6</v>
      </c>
    </row>
    <row r="1099" spans="4:13">
      <c r="D1099" s="12">
        <v>46121</v>
      </c>
      <c r="E1099" s="13">
        <v>1593443</v>
      </c>
      <c r="F1099" s="13" t="s">
        <v>15</v>
      </c>
      <c r="G1099" s="14">
        <v>20359780</v>
      </c>
      <c r="H1099" s="13" t="s">
        <v>372</v>
      </c>
      <c r="I1099" s="13" t="s">
        <v>319</v>
      </c>
      <c r="J1099" s="14">
        <v>1</v>
      </c>
      <c r="K1099" s="14">
        <v>1</v>
      </c>
      <c r="L1099" s="15">
        <v>13.2</v>
      </c>
      <c r="M1099" s="15">
        <v>13.2</v>
      </c>
    </row>
    <row r="1100" spans="4:13">
      <c r="D1100" s="12">
        <v>46121</v>
      </c>
      <c r="E1100" s="13">
        <v>1593443</v>
      </c>
      <c r="F1100" s="13" t="s">
        <v>15</v>
      </c>
      <c r="G1100" s="14">
        <v>20314042</v>
      </c>
      <c r="H1100" s="13" t="s">
        <v>341</v>
      </c>
      <c r="I1100" s="13" t="s">
        <v>128</v>
      </c>
      <c r="J1100" s="14">
        <v>1</v>
      </c>
      <c r="K1100" s="14">
        <v>1</v>
      </c>
      <c r="L1100" s="15">
        <v>16.8</v>
      </c>
      <c r="M1100" s="15">
        <v>16.8</v>
      </c>
    </row>
    <row r="1101" spans="4:13">
      <c r="D1101" s="12">
        <v>46121</v>
      </c>
      <c r="E1101" s="13">
        <v>1593443</v>
      </c>
      <c r="F1101" s="13" t="s">
        <v>15</v>
      </c>
      <c r="G1101" s="14">
        <v>20381474</v>
      </c>
      <c r="H1101" s="13" t="s">
        <v>511</v>
      </c>
      <c r="I1101" s="13" t="s">
        <v>408</v>
      </c>
      <c r="J1101" s="14">
        <v>1</v>
      </c>
      <c r="K1101" s="14">
        <v>6</v>
      </c>
      <c r="L1101" s="15">
        <v>66</v>
      </c>
      <c r="M1101" s="15">
        <v>66</v>
      </c>
    </row>
    <row r="1102" spans="4:13">
      <c r="D1102" s="12">
        <v>46121</v>
      </c>
      <c r="E1102" s="13">
        <v>1593443</v>
      </c>
      <c r="F1102" s="13" t="s">
        <v>15</v>
      </c>
      <c r="G1102" s="14">
        <v>20361389</v>
      </c>
      <c r="H1102" s="13" t="s">
        <v>513</v>
      </c>
      <c r="I1102" s="13" t="s">
        <v>514</v>
      </c>
      <c r="J1102" s="14">
        <v>1</v>
      </c>
      <c r="K1102" s="14">
        <v>1</v>
      </c>
      <c r="L1102" s="15">
        <v>16.8</v>
      </c>
      <c r="M1102" s="15">
        <v>16.8</v>
      </c>
    </row>
    <row r="1103" spans="4:13">
      <c r="D1103" s="12">
        <v>46121</v>
      </c>
      <c r="E1103" s="13">
        <v>1593443</v>
      </c>
      <c r="F1103" s="13" t="s">
        <v>15</v>
      </c>
      <c r="G1103" s="14">
        <v>20361239</v>
      </c>
      <c r="H1103" s="13" t="s">
        <v>382</v>
      </c>
      <c r="I1103" s="13" t="s">
        <v>383</v>
      </c>
      <c r="J1103" s="14">
        <v>1</v>
      </c>
      <c r="K1103" s="14">
        <v>10</v>
      </c>
      <c r="L1103" s="15">
        <v>99</v>
      </c>
      <c r="M1103" s="15">
        <v>99</v>
      </c>
    </row>
    <row r="1104" spans="4:13">
      <c r="D1104" s="12">
        <v>46121</v>
      </c>
      <c r="E1104" s="13">
        <v>1593443</v>
      </c>
      <c r="F1104" s="13" t="s">
        <v>15</v>
      </c>
      <c r="G1104" s="14">
        <v>20358905</v>
      </c>
      <c r="H1104" s="13" t="s">
        <v>360</v>
      </c>
      <c r="I1104" s="13" t="s">
        <v>244</v>
      </c>
      <c r="J1104" s="14">
        <v>1</v>
      </c>
      <c r="K1104" s="14">
        <v>1</v>
      </c>
      <c r="L1104" s="15">
        <v>15</v>
      </c>
      <c r="M1104" s="15">
        <v>15</v>
      </c>
    </row>
    <row r="1105" spans="4:13">
      <c r="D1105" s="12">
        <v>46121</v>
      </c>
      <c r="E1105" s="13">
        <v>1593443</v>
      </c>
      <c r="F1105" s="13" t="s">
        <v>15</v>
      </c>
      <c r="G1105" s="14">
        <v>20359639</v>
      </c>
      <c r="H1105" s="13" t="s">
        <v>468</v>
      </c>
      <c r="I1105" s="13" t="s">
        <v>317</v>
      </c>
      <c r="J1105" s="14">
        <v>1</v>
      </c>
      <c r="K1105" s="14">
        <v>1</v>
      </c>
      <c r="L1105" s="15">
        <v>15</v>
      </c>
      <c r="M1105" s="15">
        <v>15</v>
      </c>
    </row>
    <row r="1106" spans="4:13">
      <c r="D1106" s="12">
        <v>46121</v>
      </c>
      <c r="E1106" s="13">
        <v>1593443</v>
      </c>
      <c r="F1106" s="13" t="s">
        <v>15</v>
      </c>
      <c r="G1106" s="14">
        <v>20360954</v>
      </c>
      <c r="H1106" s="13" t="s">
        <v>441</v>
      </c>
      <c r="I1106" s="13" t="s">
        <v>128</v>
      </c>
      <c r="J1106" s="14">
        <v>1</v>
      </c>
      <c r="K1106" s="14">
        <v>1</v>
      </c>
      <c r="L1106" s="15">
        <v>16.8</v>
      </c>
      <c r="M1106" s="15">
        <v>16.8</v>
      </c>
    </row>
    <row r="1107" spans="4:13">
      <c r="D1107" s="12">
        <v>46121</v>
      </c>
      <c r="E1107" s="13">
        <v>1593443</v>
      </c>
      <c r="F1107" s="13" t="s">
        <v>131</v>
      </c>
      <c r="G1107" s="14">
        <v>20412362</v>
      </c>
      <c r="H1107" s="13" t="s">
        <v>398</v>
      </c>
      <c r="I1107" s="13" t="s">
        <v>221</v>
      </c>
      <c r="J1107" s="14">
        <v>1</v>
      </c>
      <c r="K1107" s="14">
        <v>2</v>
      </c>
      <c r="L1107" s="15">
        <v>26.4</v>
      </c>
      <c r="M1107" s="15">
        <v>26.4</v>
      </c>
    </row>
    <row r="1108" spans="4:13">
      <c r="D1108" s="12">
        <v>46121</v>
      </c>
      <c r="E1108" s="13">
        <v>1593443</v>
      </c>
      <c r="F1108" s="13" t="s">
        <v>131</v>
      </c>
      <c r="G1108" s="14">
        <v>20309648</v>
      </c>
      <c r="H1108" s="13" t="s">
        <v>363</v>
      </c>
      <c r="I1108" s="13" t="s">
        <v>221</v>
      </c>
      <c r="J1108" s="14">
        <v>1</v>
      </c>
      <c r="K1108" s="14">
        <v>14</v>
      </c>
      <c r="L1108" s="15">
        <v>138.6</v>
      </c>
      <c r="M1108" s="15">
        <v>138.6</v>
      </c>
    </row>
    <row r="1109" spans="4:13">
      <c r="D1109" s="12">
        <v>46121</v>
      </c>
      <c r="E1109" s="13">
        <v>1593443</v>
      </c>
      <c r="F1109" s="13" t="s">
        <v>131</v>
      </c>
      <c r="G1109" s="14">
        <v>20339097</v>
      </c>
      <c r="H1109" s="13" t="s">
        <v>343</v>
      </c>
      <c r="I1109" s="13" t="s">
        <v>221</v>
      </c>
      <c r="J1109" s="14">
        <v>2</v>
      </c>
      <c r="K1109" s="14">
        <v>64</v>
      </c>
      <c r="L1109" s="15">
        <v>180</v>
      </c>
      <c r="M1109" s="15">
        <f>J1109*L1109</f>
        <v>360</v>
      </c>
    </row>
    <row r="1110" spans="4:13">
      <c r="D1110" s="12">
        <v>46121</v>
      </c>
      <c r="E1110" s="13">
        <v>1593443</v>
      </c>
      <c r="F1110" s="13" t="s">
        <v>131</v>
      </c>
      <c r="G1110" s="14">
        <v>20314461</v>
      </c>
      <c r="H1110" s="13" t="s">
        <v>426</v>
      </c>
      <c r="I1110" s="13" t="s">
        <v>221</v>
      </c>
      <c r="J1110" s="14">
        <v>1</v>
      </c>
      <c r="K1110" s="14">
        <v>26</v>
      </c>
      <c r="L1110" s="15">
        <v>180</v>
      </c>
      <c r="M1110" s="15">
        <f>J1110*L1110</f>
        <v>180</v>
      </c>
    </row>
    <row r="1111" spans="4:13">
      <c r="D1111" s="12">
        <v>46121</v>
      </c>
      <c r="E1111" s="13">
        <v>1593443</v>
      </c>
      <c r="F1111" s="13" t="s">
        <v>131</v>
      </c>
      <c r="G1111" s="14">
        <v>20384037</v>
      </c>
      <c r="H1111" s="13" t="s">
        <v>376</v>
      </c>
      <c r="I1111" s="13" t="s">
        <v>221</v>
      </c>
      <c r="J1111" s="14">
        <v>1</v>
      </c>
      <c r="K1111" s="14">
        <v>25</v>
      </c>
      <c r="L1111" s="15">
        <v>180</v>
      </c>
      <c r="M1111" s="15">
        <f>J1111*L1111</f>
        <v>180</v>
      </c>
    </row>
    <row r="1112" spans="4:13">
      <c r="D1112" s="12">
        <v>46121</v>
      </c>
      <c r="E1112" s="13">
        <v>1593443</v>
      </c>
      <c r="F1112" s="13" t="s">
        <v>131</v>
      </c>
      <c r="G1112" s="14">
        <v>20309658</v>
      </c>
      <c r="H1112" s="13" t="s">
        <v>365</v>
      </c>
      <c r="I1112" s="13" t="s">
        <v>221</v>
      </c>
      <c r="J1112" s="14">
        <v>1</v>
      </c>
      <c r="K1112" s="14">
        <v>5</v>
      </c>
      <c r="L1112" s="15">
        <v>52.8</v>
      </c>
      <c r="M1112" s="15">
        <v>52.8</v>
      </c>
    </row>
    <row r="1113" spans="4:13">
      <c r="D1113" s="12">
        <v>46121</v>
      </c>
      <c r="E1113" s="13">
        <v>1593443</v>
      </c>
      <c r="F1113" s="13" t="s">
        <v>131</v>
      </c>
      <c r="G1113" s="14">
        <v>20412194</v>
      </c>
      <c r="H1113" s="13" t="s">
        <v>315</v>
      </c>
      <c r="I1113" s="13" t="s">
        <v>221</v>
      </c>
      <c r="J1113" s="14">
        <v>1</v>
      </c>
      <c r="K1113" s="14">
        <v>22</v>
      </c>
      <c r="L1113" s="15">
        <v>180</v>
      </c>
      <c r="M1113" s="15">
        <f>J1113*L1113</f>
        <v>180</v>
      </c>
    </row>
    <row r="1114" spans="4:13">
      <c r="D1114" s="12">
        <v>46121</v>
      </c>
      <c r="E1114" s="13">
        <v>1593443</v>
      </c>
      <c r="F1114" s="13" t="s">
        <v>385</v>
      </c>
      <c r="G1114" s="14">
        <v>20399009</v>
      </c>
      <c r="H1114" s="13" t="s">
        <v>404</v>
      </c>
      <c r="I1114" s="13" t="s">
        <v>128</v>
      </c>
      <c r="J1114" s="14">
        <v>1</v>
      </c>
      <c r="K1114" s="14">
        <v>1</v>
      </c>
      <c r="L1114" s="15">
        <v>16.8</v>
      </c>
      <c r="M1114" s="15">
        <v>16.8</v>
      </c>
    </row>
    <row r="1115" spans="4:13">
      <c r="D1115" s="12">
        <v>46121</v>
      </c>
      <c r="E1115" s="13">
        <v>1593443</v>
      </c>
      <c r="F1115" s="13" t="s">
        <v>385</v>
      </c>
      <c r="G1115" s="14">
        <v>20349421</v>
      </c>
      <c r="H1115" s="13" t="s">
        <v>386</v>
      </c>
      <c r="I1115" s="13" t="s">
        <v>221</v>
      </c>
      <c r="J1115" s="14">
        <v>1</v>
      </c>
      <c r="K1115" s="14">
        <v>2</v>
      </c>
      <c r="L1115" s="15">
        <v>26.4</v>
      </c>
      <c r="M1115" s="15">
        <v>26.4</v>
      </c>
    </row>
    <row r="1116" spans="4:13">
      <c r="D1116" s="12">
        <v>46122</v>
      </c>
      <c r="E1116" s="13">
        <v>1593532</v>
      </c>
      <c r="F1116" s="13" t="s">
        <v>324</v>
      </c>
      <c r="G1116" s="14">
        <v>20394936</v>
      </c>
      <c r="H1116" s="13" t="s">
        <v>445</v>
      </c>
      <c r="I1116" s="13" t="s">
        <v>328</v>
      </c>
      <c r="J1116" s="14">
        <v>1</v>
      </c>
      <c r="K1116" s="14">
        <v>4</v>
      </c>
      <c r="L1116" s="15">
        <v>13.2</v>
      </c>
      <c r="M1116" s="15">
        <v>13.2</v>
      </c>
    </row>
    <row r="1117" spans="4:13">
      <c r="D1117" s="12">
        <v>46122</v>
      </c>
      <c r="E1117" s="13">
        <v>1593532</v>
      </c>
      <c r="F1117" s="13" t="s">
        <v>65</v>
      </c>
      <c r="G1117" s="14">
        <v>20354744</v>
      </c>
      <c r="H1117" s="13" t="s">
        <v>447</v>
      </c>
      <c r="I1117" s="13" t="s">
        <v>326</v>
      </c>
      <c r="J1117" s="14">
        <v>2</v>
      </c>
      <c r="K1117" s="14">
        <v>20</v>
      </c>
      <c r="L1117" s="15">
        <v>33</v>
      </c>
      <c r="M1117" s="15">
        <v>66</v>
      </c>
    </row>
    <row r="1118" spans="4:13">
      <c r="D1118" s="12">
        <v>46122</v>
      </c>
      <c r="E1118" s="13">
        <v>1593603</v>
      </c>
      <c r="F1118" s="13" t="s">
        <v>15</v>
      </c>
      <c r="G1118" s="14">
        <v>20358905</v>
      </c>
      <c r="H1118" s="13" t="s">
        <v>360</v>
      </c>
      <c r="I1118" s="13" t="s">
        <v>244</v>
      </c>
      <c r="J1118" s="14">
        <v>1</v>
      </c>
      <c r="K1118" s="14">
        <v>1</v>
      </c>
      <c r="L1118" s="15">
        <v>15</v>
      </c>
      <c r="M1118" s="15">
        <v>15</v>
      </c>
    </row>
    <row r="1119" spans="4:13">
      <c r="D1119" s="12">
        <v>46122</v>
      </c>
      <c r="E1119" s="13">
        <v>1593603</v>
      </c>
      <c r="F1119" s="13" t="s">
        <v>15</v>
      </c>
      <c r="G1119" s="14">
        <v>20309651</v>
      </c>
      <c r="H1119" s="13" t="s">
        <v>130</v>
      </c>
      <c r="I1119" s="13" t="s">
        <v>62</v>
      </c>
      <c r="J1119" s="14">
        <v>1</v>
      </c>
      <c r="K1119" s="14">
        <v>1</v>
      </c>
      <c r="L1119" s="15">
        <v>21</v>
      </c>
      <c r="M1119" s="15">
        <v>21</v>
      </c>
    </row>
    <row r="1120" spans="4:13">
      <c r="D1120" s="12">
        <v>46122</v>
      </c>
      <c r="E1120" s="13">
        <v>1593603</v>
      </c>
      <c r="F1120" s="13" t="s">
        <v>131</v>
      </c>
      <c r="G1120" s="14">
        <v>20309658</v>
      </c>
      <c r="H1120" s="13" t="s">
        <v>365</v>
      </c>
      <c r="I1120" s="13" t="s">
        <v>221</v>
      </c>
      <c r="J1120" s="14">
        <v>1</v>
      </c>
      <c r="K1120" s="14">
        <v>5</v>
      </c>
      <c r="L1120" s="15">
        <v>52.8</v>
      </c>
      <c r="M1120" s="15">
        <v>52.8</v>
      </c>
    </row>
    <row r="1121" spans="4:13">
      <c r="D1121" s="12">
        <v>46122</v>
      </c>
      <c r="E1121" s="13">
        <v>1593606</v>
      </c>
      <c r="F1121" s="13" t="s">
        <v>324</v>
      </c>
      <c r="G1121" s="14">
        <v>20303010</v>
      </c>
      <c r="H1121" s="13" t="s">
        <v>325</v>
      </c>
      <c r="I1121" s="13" t="s">
        <v>326</v>
      </c>
      <c r="J1121" s="14">
        <v>1</v>
      </c>
      <c r="K1121" s="14">
        <v>25</v>
      </c>
      <c r="L1121" s="15">
        <v>82.5</v>
      </c>
      <c r="M1121" s="15">
        <v>82.5</v>
      </c>
    </row>
    <row r="1122" spans="4:13">
      <c r="D1122" s="12">
        <v>46122</v>
      </c>
      <c r="E1122" s="13">
        <v>1593606</v>
      </c>
      <c r="F1122" s="13" t="s">
        <v>324</v>
      </c>
      <c r="G1122" s="14">
        <v>20303022</v>
      </c>
      <c r="H1122" s="13" t="s">
        <v>352</v>
      </c>
      <c r="I1122" s="13" t="s">
        <v>326</v>
      </c>
      <c r="J1122" s="14">
        <v>3</v>
      </c>
      <c r="K1122" s="14">
        <v>93</v>
      </c>
      <c r="L1122" s="15">
        <v>102.3</v>
      </c>
      <c r="M1122" s="15">
        <v>306.9</v>
      </c>
    </row>
    <row r="1123" spans="4:13">
      <c r="D1123" s="12">
        <v>46122</v>
      </c>
      <c r="E1123" s="13">
        <v>1593606</v>
      </c>
      <c r="F1123" s="13" t="s">
        <v>324</v>
      </c>
      <c r="G1123" s="14">
        <v>20303018</v>
      </c>
      <c r="H1123" s="13" t="s">
        <v>454</v>
      </c>
      <c r="I1123" s="13" t="s">
        <v>326</v>
      </c>
      <c r="J1123" s="14">
        <v>1</v>
      </c>
      <c r="K1123" s="14">
        <v>50</v>
      </c>
      <c r="L1123" s="15">
        <v>165</v>
      </c>
      <c r="M1123" s="15">
        <v>165</v>
      </c>
    </row>
    <row r="1124" spans="4:13">
      <c r="D1124" s="12">
        <v>46122</v>
      </c>
      <c r="E1124" s="13">
        <v>1593606</v>
      </c>
      <c r="F1124" s="13" t="s">
        <v>324</v>
      </c>
      <c r="G1124" s="14">
        <v>20303021</v>
      </c>
      <c r="H1124" s="13" t="s">
        <v>517</v>
      </c>
      <c r="I1124" s="13" t="s">
        <v>331</v>
      </c>
      <c r="J1124" s="14">
        <v>1</v>
      </c>
      <c r="K1124" s="14">
        <v>11</v>
      </c>
      <c r="L1124" s="15">
        <v>36.3</v>
      </c>
      <c r="M1124" s="15">
        <v>36.3</v>
      </c>
    </row>
    <row r="1125" spans="4:13">
      <c r="D1125" s="12">
        <v>46122</v>
      </c>
      <c r="E1125" s="13">
        <v>1593606</v>
      </c>
      <c r="F1125" s="13" t="s">
        <v>324</v>
      </c>
      <c r="G1125" s="14">
        <v>20303025</v>
      </c>
      <c r="H1125" s="13" t="s">
        <v>336</v>
      </c>
      <c r="I1125" s="13" t="s">
        <v>326</v>
      </c>
      <c r="J1125" s="14">
        <v>1</v>
      </c>
      <c r="K1125" s="14">
        <v>47</v>
      </c>
      <c r="L1125" s="15">
        <v>155.1</v>
      </c>
      <c r="M1125" s="15">
        <v>155.1</v>
      </c>
    </row>
    <row r="1126" spans="4:13">
      <c r="D1126" s="12">
        <v>46122</v>
      </c>
      <c r="E1126" s="13">
        <v>1593606</v>
      </c>
      <c r="F1126" s="13" t="s">
        <v>324</v>
      </c>
      <c r="G1126" s="14">
        <v>20303029</v>
      </c>
      <c r="H1126" s="13" t="s">
        <v>337</v>
      </c>
      <c r="I1126" s="13" t="s">
        <v>326</v>
      </c>
      <c r="J1126" s="14">
        <v>1</v>
      </c>
      <c r="K1126" s="14">
        <v>47</v>
      </c>
      <c r="L1126" s="15">
        <v>155.1</v>
      </c>
      <c r="M1126" s="15">
        <v>155.1</v>
      </c>
    </row>
    <row r="1127" spans="4:13">
      <c r="D1127" s="12">
        <v>46122</v>
      </c>
      <c r="E1127" s="13">
        <v>1593606</v>
      </c>
      <c r="F1127" s="13" t="s">
        <v>324</v>
      </c>
      <c r="G1127" s="14">
        <v>20303041</v>
      </c>
      <c r="H1127" s="13" t="s">
        <v>406</v>
      </c>
      <c r="I1127" s="13" t="s">
        <v>44</v>
      </c>
      <c r="J1127" s="14">
        <v>1</v>
      </c>
      <c r="K1127" s="14">
        <v>17</v>
      </c>
      <c r="L1127" s="15">
        <v>56.1</v>
      </c>
      <c r="M1127" s="15">
        <v>56.1</v>
      </c>
    </row>
    <row r="1128" spans="4:13">
      <c r="D1128" s="12">
        <v>46122</v>
      </c>
      <c r="E1128" s="13">
        <v>1593606</v>
      </c>
      <c r="F1128" s="13" t="s">
        <v>324</v>
      </c>
      <c r="G1128" s="14">
        <v>20306236</v>
      </c>
      <c r="H1128" s="13" t="s">
        <v>413</v>
      </c>
      <c r="I1128" s="13" t="s">
        <v>347</v>
      </c>
      <c r="J1128" s="14">
        <v>1</v>
      </c>
      <c r="K1128" s="14">
        <v>17</v>
      </c>
      <c r="L1128" s="15">
        <v>56.1</v>
      </c>
      <c r="M1128" s="15">
        <v>56.1</v>
      </c>
    </row>
    <row r="1129" spans="4:13">
      <c r="D1129" s="12">
        <v>46122</v>
      </c>
      <c r="E1129" s="13">
        <v>1593606</v>
      </c>
      <c r="F1129" s="13" t="s">
        <v>324</v>
      </c>
      <c r="G1129" s="14">
        <v>20303052</v>
      </c>
      <c r="H1129" s="13" t="s">
        <v>388</v>
      </c>
      <c r="I1129" s="13" t="s">
        <v>326</v>
      </c>
      <c r="J1129" s="14">
        <v>2</v>
      </c>
      <c r="K1129" s="14">
        <v>60</v>
      </c>
      <c r="L1129" s="15">
        <v>99</v>
      </c>
      <c r="M1129" s="15">
        <v>198</v>
      </c>
    </row>
    <row r="1130" spans="4:13">
      <c r="D1130" s="12">
        <v>46122</v>
      </c>
      <c r="E1130" s="13">
        <v>1593606</v>
      </c>
      <c r="F1130" s="13" t="s">
        <v>324</v>
      </c>
      <c r="G1130" s="14">
        <v>20303053</v>
      </c>
      <c r="H1130" s="13" t="s">
        <v>389</v>
      </c>
      <c r="I1130" s="13" t="s">
        <v>326</v>
      </c>
      <c r="J1130" s="14">
        <v>1</v>
      </c>
      <c r="K1130" s="14">
        <v>26</v>
      </c>
      <c r="L1130" s="15">
        <v>85.8</v>
      </c>
      <c r="M1130" s="15">
        <v>85.8</v>
      </c>
    </row>
    <row r="1131" spans="4:13">
      <c r="D1131" s="12">
        <v>46122</v>
      </c>
      <c r="E1131" s="13">
        <v>1593606</v>
      </c>
      <c r="F1131" s="13" t="s">
        <v>163</v>
      </c>
      <c r="G1131" s="14">
        <v>20306235</v>
      </c>
      <c r="H1131" s="13" t="s">
        <v>480</v>
      </c>
      <c r="I1131" s="13" t="s">
        <v>83</v>
      </c>
      <c r="J1131" s="14">
        <v>1</v>
      </c>
      <c r="K1131" s="14">
        <v>5</v>
      </c>
      <c r="L1131" s="15">
        <v>16.5</v>
      </c>
      <c r="M1131" s="15">
        <v>16.5</v>
      </c>
    </row>
    <row r="1132" spans="4:13">
      <c r="D1132" s="12">
        <v>46122</v>
      </c>
      <c r="E1132" s="13">
        <v>1593606</v>
      </c>
      <c r="F1132" s="13" t="s">
        <v>163</v>
      </c>
      <c r="G1132" s="14">
        <v>20303912</v>
      </c>
      <c r="H1132" s="13" t="s">
        <v>329</v>
      </c>
      <c r="I1132" s="13" t="s">
        <v>83</v>
      </c>
      <c r="J1132" s="14">
        <v>2</v>
      </c>
      <c r="K1132" s="14">
        <v>10</v>
      </c>
      <c r="L1132" s="15">
        <v>16.5</v>
      </c>
      <c r="M1132" s="15">
        <v>33</v>
      </c>
    </row>
    <row r="1133" spans="4:13">
      <c r="D1133" s="12">
        <v>46122</v>
      </c>
      <c r="E1133" s="13">
        <v>1593606</v>
      </c>
      <c r="F1133" s="13" t="s">
        <v>20</v>
      </c>
      <c r="G1133" s="14">
        <v>20303954</v>
      </c>
      <c r="H1133" s="13" t="s">
        <v>295</v>
      </c>
      <c r="I1133" s="13" t="s">
        <v>29</v>
      </c>
      <c r="J1133" s="14">
        <v>6</v>
      </c>
      <c r="K1133" s="14">
        <v>6</v>
      </c>
      <c r="L1133" s="15">
        <v>4.8</v>
      </c>
      <c r="M1133" s="15">
        <v>28.8</v>
      </c>
    </row>
    <row r="1134" spans="4:13">
      <c r="D1134" s="12">
        <v>46122</v>
      </c>
      <c r="E1134" s="13">
        <v>1593606</v>
      </c>
      <c r="F1134" s="13" t="s">
        <v>20</v>
      </c>
      <c r="G1134" s="14">
        <v>20309804</v>
      </c>
      <c r="H1134" s="13" t="s">
        <v>367</v>
      </c>
      <c r="I1134" s="13" t="s">
        <v>53</v>
      </c>
      <c r="J1134" s="14">
        <v>1</v>
      </c>
      <c r="K1134" s="14">
        <v>1</v>
      </c>
      <c r="L1134" s="15">
        <v>6.6</v>
      </c>
      <c r="M1134" s="15">
        <v>6.6</v>
      </c>
    </row>
    <row r="1135" spans="4:13">
      <c r="D1135" s="12">
        <v>46122</v>
      </c>
      <c r="E1135" s="13">
        <v>1593606</v>
      </c>
      <c r="F1135" s="13" t="s">
        <v>20</v>
      </c>
      <c r="G1135" s="14">
        <v>20305028</v>
      </c>
      <c r="H1135" s="13" t="s">
        <v>432</v>
      </c>
      <c r="I1135" s="13" t="s">
        <v>29</v>
      </c>
      <c r="J1135" s="14">
        <v>3</v>
      </c>
      <c r="K1135" s="14">
        <v>3</v>
      </c>
      <c r="L1135" s="15">
        <v>4.8</v>
      </c>
      <c r="M1135" s="15">
        <v>14.4</v>
      </c>
    </row>
    <row r="1136" spans="4:13">
      <c r="D1136" s="12">
        <v>46122</v>
      </c>
      <c r="E1136" s="13">
        <v>1593606</v>
      </c>
      <c r="F1136" s="13" t="s">
        <v>20</v>
      </c>
      <c r="G1136" s="14">
        <v>20304018</v>
      </c>
      <c r="H1136" s="13" t="s">
        <v>450</v>
      </c>
      <c r="I1136" s="13" t="s">
        <v>57</v>
      </c>
      <c r="J1136" s="14">
        <v>1</v>
      </c>
      <c r="K1136" s="14">
        <v>1</v>
      </c>
      <c r="L1136" s="15">
        <v>9.9</v>
      </c>
      <c r="M1136" s="15">
        <v>9.9</v>
      </c>
    </row>
    <row r="1137" spans="4:13">
      <c r="D1137" s="12">
        <v>46122</v>
      </c>
      <c r="E1137" s="13">
        <v>1593606</v>
      </c>
      <c r="F1137" s="13" t="s">
        <v>20</v>
      </c>
      <c r="G1137" s="14">
        <v>20311063</v>
      </c>
      <c r="H1137" s="13" t="s">
        <v>183</v>
      </c>
      <c r="I1137" s="13" t="s">
        <v>29</v>
      </c>
      <c r="J1137" s="14">
        <v>1</v>
      </c>
      <c r="K1137" s="14">
        <v>1</v>
      </c>
      <c r="L1137" s="15">
        <v>4.8</v>
      </c>
      <c r="M1137" s="15">
        <v>4.8</v>
      </c>
    </row>
    <row r="1138" spans="4:13">
      <c r="D1138" s="12">
        <v>46122</v>
      </c>
      <c r="E1138" s="13">
        <v>1593606</v>
      </c>
      <c r="F1138" s="13" t="s">
        <v>20</v>
      </c>
      <c r="G1138" s="14">
        <v>20311828</v>
      </c>
      <c r="H1138" s="13" t="s">
        <v>518</v>
      </c>
      <c r="I1138" s="13" t="s">
        <v>55</v>
      </c>
      <c r="J1138" s="14">
        <v>1</v>
      </c>
      <c r="K1138" s="14">
        <v>1</v>
      </c>
      <c r="L1138" s="15">
        <v>9.9</v>
      </c>
      <c r="M1138" s="15">
        <v>9.9</v>
      </c>
    </row>
    <row r="1139" spans="4:13">
      <c r="D1139" s="12">
        <v>46122</v>
      </c>
      <c r="E1139" s="13">
        <v>1593606</v>
      </c>
      <c r="F1139" s="13" t="s">
        <v>20</v>
      </c>
      <c r="G1139" s="14">
        <v>20313225</v>
      </c>
      <c r="H1139" s="13" t="s">
        <v>358</v>
      </c>
      <c r="I1139" s="13" t="s">
        <v>31</v>
      </c>
      <c r="J1139" s="14">
        <v>1</v>
      </c>
      <c r="K1139" s="14">
        <v>4</v>
      </c>
      <c r="L1139" s="15">
        <v>13.2</v>
      </c>
      <c r="M1139" s="15">
        <v>13.2</v>
      </c>
    </row>
    <row r="1140" spans="4:13">
      <c r="D1140" s="12">
        <v>46122</v>
      </c>
      <c r="E1140" s="13">
        <v>1593606</v>
      </c>
      <c r="F1140" s="13" t="s">
        <v>47</v>
      </c>
      <c r="G1140" s="14">
        <v>20302998</v>
      </c>
      <c r="H1140" s="13" t="s">
        <v>346</v>
      </c>
      <c r="I1140" s="13" t="s">
        <v>347</v>
      </c>
      <c r="J1140" s="14">
        <v>3</v>
      </c>
      <c r="K1140" s="14">
        <v>57</v>
      </c>
      <c r="L1140" s="15">
        <v>62.7</v>
      </c>
      <c r="M1140" s="15">
        <v>188.1</v>
      </c>
    </row>
    <row r="1141" spans="4:13">
      <c r="D1141" s="12">
        <v>46122</v>
      </c>
      <c r="E1141" s="13">
        <v>1593606</v>
      </c>
      <c r="F1141" s="13" t="s">
        <v>47</v>
      </c>
      <c r="G1141" s="14">
        <v>20303011</v>
      </c>
      <c r="H1141" s="13" t="s">
        <v>330</v>
      </c>
      <c r="I1141" s="13" t="s">
        <v>331</v>
      </c>
      <c r="J1141" s="14">
        <v>1</v>
      </c>
      <c r="K1141" s="14">
        <v>26</v>
      </c>
      <c r="L1141" s="15">
        <v>85.8</v>
      </c>
      <c r="M1141" s="15">
        <v>85.8</v>
      </c>
    </row>
    <row r="1142" spans="4:13">
      <c r="D1142" s="12">
        <v>46122</v>
      </c>
      <c r="E1142" s="13">
        <v>1593606</v>
      </c>
      <c r="F1142" s="13" t="s">
        <v>47</v>
      </c>
      <c r="G1142" s="14">
        <v>20303035</v>
      </c>
      <c r="H1142" s="13" t="s">
        <v>400</v>
      </c>
      <c r="I1142" s="13" t="s">
        <v>331</v>
      </c>
      <c r="J1142" s="14">
        <v>1</v>
      </c>
      <c r="K1142" s="14">
        <v>22</v>
      </c>
      <c r="L1142" s="15">
        <v>72.6</v>
      </c>
      <c r="M1142" s="15">
        <v>72.6</v>
      </c>
    </row>
    <row r="1143" spans="4:13">
      <c r="D1143" s="12">
        <v>46122</v>
      </c>
      <c r="E1143" s="13">
        <v>1593606</v>
      </c>
      <c r="F1143" s="13" t="s">
        <v>65</v>
      </c>
      <c r="G1143" s="14">
        <v>20303836</v>
      </c>
      <c r="H1143" s="13" t="s">
        <v>332</v>
      </c>
      <c r="I1143" s="13" t="s">
        <v>83</v>
      </c>
      <c r="J1143" s="14">
        <v>1</v>
      </c>
      <c r="K1143" s="14">
        <v>4</v>
      </c>
      <c r="L1143" s="15">
        <v>13.2</v>
      </c>
      <c r="M1143" s="15">
        <v>13.2</v>
      </c>
    </row>
    <row r="1144" spans="4:13">
      <c r="D1144" s="12">
        <v>46122</v>
      </c>
      <c r="E1144" s="13">
        <v>1593606</v>
      </c>
      <c r="F1144" s="13" t="s">
        <v>65</v>
      </c>
      <c r="G1144" s="14">
        <v>20310863</v>
      </c>
      <c r="H1144" s="13" t="s">
        <v>333</v>
      </c>
      <c r="I1144" s="13" t="s">
        <v>49</v>
      </c>
      <c r="J1144" s="14">
        <v>2</v>
      </c>
      <c r="K1144" s="14">
        <v>2</v>
      </c>
      <c r="L1144" s="15">
        <v>9.9</v>
      </c>
      <c r="M1144" s="15">
        <v>19.8</v>
      </c>
    </row>
    <row r="1145" spans="4:13">
      <c r="D1145" s="12">
        <v>46122</v>
      </c>
      <c r="E1145" s="13">
        <v>1593608</v>
      </c>
      <c r="F1145" s="13" t="s">
        <v>15</v>
      </c>
      <c r="G1145" s="14">
        <v>20358914</v>
      </c>
      <c r="H1145" s="13" t="s">
        <v>371</v>
      </c>
      <c r="I1145" s="13" t="s">
        <v>317</v>
      </c>
      <c r="J1145" s="14">
        <v>1</v>
      </c>
      <c r="K1145" s="14">
        <v>1</v>
      </c>
      <c r="L1145" s="15">
        <v>15</v>
      </c>
      <c r="M1145" s="15">
        <v>15</v>
      </c>
    </row>
    <row r="1146" spans="4:13">
      <c r="D1146" s="12">
        <v>46122</v>
      </c>
      <c r="E1146" s="13">
        <v>1593608</v>
      </c>
      <c r="F1146" s="13" t="s">
        <v>131</v>
      </c>
      <c r="G1146" s="14">
        <v>20411790</v>
      </c>
      <c r="H1146" s="13" t="s">
        <v>345</v>
      </c>
      <c r="I1146" s="13" t="s">
        <v>221</v>
      </c>
      <c r="J1146" s="14">
        <v>1</v>
      </c>
      <c r="K1146" s="14">
        <v>28</v>
      </c>
      <c r="L1146" s="15">
        <v>180</v>
      </c>
      <c r="M1146" s="15">
        <f>J1146*L1146</f>
        <v>180</v>
      </c>
    </row>
    <row r="1147" spans="4:13">
      <c r="D1147" s="12">
        <v>46122</v>
      </c>
      <c r="E1147" s="13">
        <v>1593666</v>
      </c>
      <c r="F1147" s="13" t="s">
        <v>20</v>
      </c>
      <c r="G1147" s="14">
        <v>20303979</v>
      </c>
      <c r="H1147" s="13" t="s">
        <v>368</v>
      </c>
      <c r="I1147" s="13" t="s">
        <v>55</v>
      </c>
      <c r="J1147" s="14">
        <v>2</v>
      </c>
      <c r="K1147" s="14">
        <v>2</v>
      </c>
      <c r="L1147" s="15">
        <v>7.8</v>
      </c>
      <c r="M1147" s="15">
        <v>15.6</v>
      </c>
    </row>
    <row r="1148" spans="4:13">
      <c r="D1148" s="12">
        <v>46122</v>
      </c>
      <c r="E1148" s="13">
        <v>1593666</v>
      </c>
      <c r="F1148" s="13" t="s">
        <v>15</v>
      </c>
      <c r="G1148" s="14">
        <v>20375437</v>
      </c>
      <c r="H1148" s="13" t="s">
        <v>519</v>
      </c>
      <c r="I1148" s="13" t="s">
        <v>520</v>
      </c>
      <c r="J1148" s="14">
        <v>1</v>
      </c>
      <c r="K1148" s="14">
        <v>1</v>
      </c>
      <c r="L1148" s="15">
        <v>13.2</v>
      </c>
      <c r="M1148" s="15">
        <v>13.2</v>
      </c>
    </row>
    <row r="1149" spans="4:13">
      <c r="D1149" s="12">
        <v>46122</v>
      </c>
      <c r="E1149" s="13">
        <v>1593666</v>
      </c>
      <c r="F1149" s="13" t="s">
        <v>131</v>
      </c>
      <c r="G1149" s="14">
        <v>20309744</v>
      </c>
      <c r="H1149" s="13" t="s">
        <v>361</v>
      </c>
      <c r="I1149" s="13" t="s">
        <v>221</v>
      </c>
      <c r="J1149" s="14">
        <v>1</v>
      </c>
      <c r="K1149" s="14">
        <v>9</v>
      </c>
      <c r="L1149" s="15">
        <v>92.4</v>
      </c>
      <c r="M1149" s="15">
        <v>92.4</v>
      </c>
    </row>
    <row r="1150" spans="4:13">
      <c r="D1150" s="12">
        <v>46122</v>
      </c>
      <c r="E1150" s="13">
        <v>1593666</v>
      </c>
      <c r="F1150" s="13" t="s">
        <v>131</v>
      </c>
      <c r="G1150" s="14">
        <v>20309677</v>
      </c>
      <c r="H1150" s="13" t="s">
        <v>362</v>
      </c>
      <c r="I1150" s="13" t="s">
        <v>221</v>
      </c>
      <c r="J1150" s="14">
        <v>1</v>
      </c>
      <c r="K1150" s="14">
        <v>12</v>
      </c>
      <c r="L1150" s="15">
        <v>112.2</v>
      </c>
      <c r="M1150" s="15">
        <v>112.2</v>
      </c>
    </row>
    <row r="1151" spans="4:13">
      <c r="D1151" s="12">
        <v>46122</v>
      </c>
      <c r="E1151" s="13">
        <v>1593666</v>
      </c>
      <c r="F1151" s="13" t="s">
        <v>131</v>
      </c>
      <c r="G1151" s="14">
        <v>20309658</v>
      </c>
      <c r="H1151" s="13" t="s">
        <v>365</v>
      </c>
      <c r="I1151" s="13" t="s">
        <v>221</v>
      </c>
      <c r="J1151" s="14">
        <v>1</v>
      </c>
      <c r="K1151" s="14">
        <v>5</v>
      </c>
      <c r="L1151" s="15">
        <v>52.8</v>
      </c>
      <c r="M1151" s="15">
        <v>52.8</v>
      </c>
    </row>
    <row r="1152" spans="4:13">
      <c r="D1152" s="12">
        <v>46122</v>
      </c>
      <c r="E1152" s="13">
        <v>1593666</v>
      </c>
      <c r="F1152" s="13" t="s">
        <v>65</v>
      </c>
      <c r="G1152" s="14">
        <v>20303836</v>
      </c>
      <c r="H1152" s="13" t="s">
        <v>332</v>
      </c>
      <c r="I1152" s="13" t="s">
        <v>83</v>
      </c>
      <c r="J1152" s="14">
        <v>9</v>
      </c>
      <c r="K1152" s="14">
        <v>36</v>
      </c>
      <c r="L1152" s="15">
        <v>13.2</v>
      </c>
      <c r="M1152" s="15">
        <v>118.8</v>
      </c>
    </row>
    <row r="1153" spans="4:13">
      <c r="D1153" s="12">
        <v>46122</v>
      </c>
      <c r="E1153" s="13">
        <v>1593690</v>
      </c>
      <c r="F1153" s="13" t="s">
        <v>15</v>
      </c>
      <c r="G1153" s="14">
        <v>20314458</v>
      </c>
      <c r="H1153" s="13" t="s">
        <v>521</v>
      </c>
      <c r="I1153" s="13" t="s">
        <v>381</v>
      </c>
      <c r="J1153" s="14">
        <v>1</v>
      </c>
      <c r="K1153" s="14">
        <v>2</v>
      </c>
      <c r="L1153" s="15">
        <v>26.4</v>
      </c>
      <c r="M1153" s="15">
        <v>26.4</v>
      </c>
    </row>
    <row r="1154" spans="4:13">
      <c r="D1154" s="12">
        <v>46122</v>
      </c>
      <c r="E1154" s="13">
        <v>1593690</v>
      </c>
      <c r="F1154" s="13" t="s">
        <v>15</v>
      </c>
      <c r="G1154" s="14">
        <v>20370421</v>
      </c>
      <c r="H1154" s="13" t="s">
        <v>380</v>
      </c>
      <c r="I1154" s="13" t="s">
        <v>381</v>
      </c>
      <c r="J1154" s="14">
        <v>3</v>
      </c>
      <c r="K1154" s="14">
        <v>6</v>
      </c>
      <c r="L1154" s="15">
        <v>26.4</v>
      </c>
      <c r="M1154" s="15">
        <v>79.2</v>
      </c>
    </row>
    <row r="1155" spans="4:13">
      <c r="D1155" s="12">
        <v>46122</v>
      </c>
      <c r="E1155" s="13">
        <v>1593690</v>
      </c>
      <c r="F1155" s="13" t="s">
        <v>15</v>
      </c>
      <c r="G1155" s="14">
        <v>20359947</v>
      </c>
      <c r="H1155" s="13" t="s">
        <v>373</v>
      </c>
      <c r="I1155" s="13" t="s">
        <v>128</v>
      </c>
      <c r="J1155" s="14">
        <v>1</v>
      </c>
      <c r="K1155" s="14">
        <v>1</v>
      </c>
      <c r="L1155" s="15">
        <v>16.8</v>
      </c>
      <c r="M1155" s="15">
        <v>16.8</v>
      </c>
    </row>
    <row r="1156" spans="4:13">
      <c r="D1156" s="12">
        <v>46122</v>
      </c>
      <c r="E1156" s="13">
        <v>1593690</v>
      </c>
      <c r="F1156" s="13" t="s">
        <v>15</v>
      </c>
      <c r="G1156" s="14">
        <v>20359622</v>
      </c>
      <c r="H1156" s="13" t="s">
        <v>500</v>
      </c>
      <c r="I1156" s="13" t="s">
        <v>128</v>
      </c>
      <c r="J1156" s="14">
        <v>1</v>
      </c>
      <c r="K1156" s="14">
        <v>1</v>
      </c>
      <c r="L1156" s="15">
        <v>16.8</v>
      </c>
      <c r="M1156" s="15">
        <v>16.8</v>
      </c>
    </row>
    <row r="1157" spans="4:13">
      <c r="D1157" s="12">
        <v>46122</v>
      </c>
      <c r="E1157" s="13">
        <v>1593690</v>
      </c>
      <c r="F1157" s="13" t="s">
        <v>15</v>
      </c>
      <c r="G1157" s="14">
        <v>20361389</v>
      </c>
      <c r="H1157" s="13" t="s">
        <v>513</v>
      </c>
      <c r="I1157" s="13" t="s">
        <v>514</v>
      </c>
      <c r="J1157" s="14">
        <v>1</v>
      </c>
      <c r="K1157" s="14">
        <v>1</v>
      </c>
      <c r="L1157" s="15">
        <v>16.8</v>
      </c>
      <c r="M1157" s="15">
        <v>16.8</v>
      </c>
    </row>
    <row r="1158" spans="4:13">
      <c r="D1158" s="12">
        <v>46122</v>
      </c>
      <c r="E1158" s="13">
        <v>1593690</v>
      </c>
      <c r="F1158" s="13" t="s">
        <v>131</v>
      </c>
      <c r="G1158" s="14">
        <v>20309648</v>
      </c>
      <c r="H1158" s="13" t="s">
        <v>363</v>
      </c>
      <c r="I1158" s="13" t="s">
        <v>221</v>
      </c>
      <c r="J1158" s="14">
        <v>3</v>
      </c>
      <c r="K1158" s="14">
        <v>42</v>
      </c>
      <c r="L1158" s="15">
        <v>138.6</v>
      </c>
      <c r="M1158" s="15">
        <v>415.8</v>
      </c>
    </row>
    <row r="1159" spans="4:13">
      <c r="D1159" s="12">
        <v>46122</v>
      </c>
      <c r="E1159" s="13">
        <v>1593690</v>
      </c>
      <c r="F1159" s="13" t="s">
        <v>131</v>
      </c>
      <c r="G1159" s="14">
        <v>20309658</v>
      </c>
      <c r="H1159" s="13" t="s">
        <v>365</v>
      </c>
      <c r="I1159" s="13" t="s">
        <v>221</v>
      </c>
      <c r="J1159" s="14">
        <v>1</v>
      </c>
      <c r="K1159" s="14">
        <v>5</v>
      </c>
      <c r="L1159" s="15">
        <v>52.8</v>
      </c>
      <c r="M1159" s="15">
        <v>52.8</v>
      </c>
    </row>
    <row r="1160" spans="4:13">
      <c r="D1160" s="12">
        <v>46122</v>
      </c>
      <c r="E1160" s="13">
        <v>1593690</v>
      </c>
      <c r="F1160" s="13" t="s">
        <v>131</v>
      </c>
      <c r="G1160" s="14">
        <v>20312572</v>
      </c>
      <c r="H1160" s="13" t="s">
        <v>366</v>
      </c>
      <c r="I1160" s="13" t="s">
        <v>221</v>
      </c>
      <c r="J1160" s="14">
        <v>1</v>
      </c>
      <c r="K1160" s="14">
        <v>27</v>
      </c>
      <c r="L1160" s="15">
        <v>180</v>
      </c>
      <c r="M1160" s="15">
        <f>J1160*L1160</f>
        <v>180</v>
      </c>
    </row>
    <row r="1161" spans="4:13">
      <c r="D1161" s="12">
        <v>46122</v>
      </c>
      <c r="E1161" s="13">
        <v>1593690</v>
      </c>
      <c r="F1161" s="13" t="s">
        <v>131</v>
      </c>
      <c r="G1161" s="14">
        <v>20412034</v>
      </c>
      <c r="H1161" s="13" t="s">
        <v>344</v>
      </c>
      <c r="I1161" s="13" t="s">
        <v>221</v>
      </c>
      <c r="J1161" s="14">
        <v>1</v>
      </c>
      <c r="K1161" s="14">
        <v>28</v>
      </c>
      <c r="L1161" s="15">
        <v>180</v>
      </c>
      <c r="M1161" s="15">
        <f>J1161*L1161</f>
        <v>180</v>
      </c>
    </row>
    <row r="1162" spans="4:13">
      <c r="D1162" s="12">
        <v>46122</v>
      </c>
      <c r="E1162" s="13">
        <v>1593690</v>
      </c>
      <c r="F1162" s="13" t="s">
        <v>47</v>
      </c>
      <c r="G1162" s="14">
        <v>20303011</v>
      </c>
      <c r="H1162" s="13" t="s">
        <v>330</v>
      </c>
      <c r="I1162" s="13" t="s">
        <v>331</v>
      </c>
      <c r="J1162" s="14">
        <v>2</v>
      </c>
      <c r="K1162" s="14">
        <v>52</v>
      </c>
      <c r="L1162" s="15">
        <v>85.8</v>
      </c>
      <c r="M1162" s="15">
        <v>171.6</v>
      </c>
    </row>
    <row r="1163" spans="4:13">
      <c r="D1163" s="12">
        <v>46122</v>
      </c>
      <c r="E1163" s="13">
        <v>1593776</v>
      </c>
      <c r="F1163" s="13" t="s">
        <v>324</v>
      </c>
      <c r="G1163" s="14">
        <v>20302999</v>
      </c>
      <c r="H1163" s="13" t="s">
        <v>522</v>
      </c>
      <c r="I1163" s="13" t="s">
        <v>326</v>
      </c>
      <c r="J1163" s="14">
        <v>1</v>
      </c>
      <c r="K1163" s="14">
        <v>42</v>
      </c>
      <c r="L1163" s="15">
        <v>138.6</v>
      </c>
      <c r="M1163" s="15">
        <v>138.6</v>
      </c>
    </row>
    <row r="1164" spans="4:13">
      <c r="D1164" s="12">
        <v>46122</v>
      </c>
      <c r="E1164" s="13">
        <v>1593776</v>
      </c>
      <c r="F1164" s="13" t="s">
        <v>324</v>
      </c>
      <c r="G1164" s="14">
        <v>20300049</v>
      </c>
      <c r="H1164" s="13" t="s">
        <v>387</v>
      </c>
      <c r="I1164" s="13" t="s">
        <v>326</v>
      </c>
      <c r="J1164" s="14">
        <v>1</v>
      </c>
      <c r="K1164" s="14">
        <v>33</v>
      </c>
      <c r="L1164" s="15">
        <v>108.9</v>
      </c>
      <c r="M1164" s="15">
        <v>108.9</v>
      </c>
    </row>
    <row r="1165" spans="4:13">
      <c r="D1165" s="12">
        <v>46122</v>
      </c>
      <c r="E1165" s="13">
        <v>1593776</v>
      </c>
      <c r="F1165" s="13" t="s">
        <v>324</v>
      </c>
      <c r="G1165" s="14">
        <v>20303010</v>
      </c>
      <c r="H1165" s="13" t="s">
        <v>325</v>
      </c>
      <c r="I1165" s="13" t="s">
        <v>326</v>
      </c>
      <c r="J1165" s="14">
        <v>4</v>
      </c>
      <c r="K1165" s="14">
        <v>100</v>
      </c>
      <c r="L1165" s="15">
        <v>82.5</v>
      </c>
      <c r="M1165" s="15">
        <v>330</v>
      </c>
    </row>
    <row r="1166" spans="4:13">
      <c r="D1166" s="12">
        <v>46122</v>
      </c>
      <c r="E1166" s="13">
        <v>1593776</v>
      </c>
      <c r="F1166" s="13" t="s">
        <v>324</v>
      </c>
      <c r="G1166" s="14">
        <v>20303022</v>
      </c>
      <c r="H1166" s="13" t="s">
        <v>352</v>
      </c>
      <c r="I1166" s="13" t="s">
        <v>326</v>
      </c>
      <c r="J1166" s="14">
        <v>1</v>
      </c>
      <c r="K1166" s="14">
        <v>31</v>
      </c>
      <c r="L1166" s="15">
        <v>102.3</v>
      </c>
      <c r="M1166" s="15">
        <v>102.3</v>
      </c>
    </row>
    <row r="1167" spans="4:13">
      <c r="D1167" s="12">
        <v>46122</v>
      </c>
      <c r="E1167" s="13">
        <v>1593776</v>
      </c>
      <c r="F1167" s="13" t="s">
        <v>324</v>
      </c>
      <c r="G1167" s="14">
        <v>20303029</v>
      </c>
      <c r="H1167" s="13" t="s">
        <v>337</v>
      </c>
      <c r="I1167" s="13" t="s">
        <v>326</v>
      </c>
      <c r="J1167" s="14">
        <v>2</v>
      </c>
      <c r="K1167" s="14">
        <v>94</v>
      </c>
      <c r="L1167" s="15">
        <v>155.1</v>
      </c>
      <c r="M1167" s="15">
        <v>310.2</v>
      </c>
    </row>
    <row r="1168" spans="4:13">
      <c r="D1168" s="12">
        <v>46122</v>
      </c>
      <c r="E1168" s="13">
        <v>1593776</v>
      </c>
      <c r="F1168" s="13" t="s">
        <v>324</v>
      </c>
      <c r="G1168" s="14">
        <v>20303031</v>
      </c>
      <c r="H1168" s="13" t="s">
        <v>474</v>
      </c>
      <c r="I1168" s="13" t="s">
        <v>326</v>
      </c>
      <c r="J1168" s="14">
        <v>1</v>
      </c>
      <c r="K1168" s="14">
        <v>36</v>
      </c>
      <c r="L1168" s="15">
        <v>118.8</v>
      </c>
      <c r="M1168" s="15">
        <v>118.8</v>
      </c>
    </row>
    <row r="1169" spans="4:13">
      <c r="D1169" s="12">
        <v>46122</v>
      </c>
      <c r="E1169" s="13">
        <v>1593776</v>
      </c>
      <c r="F1169" s="13" t="s">
        <v>324</v>
      </c>
      <c r="G1169" s="14">
        <v>20303041</v>
      </c>
      <c r="H1169" s="13" t="s">
        <v>406</v>
      </c>
      <c r="I1169" s="13" t="s">
        <v>44</v>
      </c>
      <c r="J1169" s="14">
        <v>1</v>
      </c>
      <c r="K1169" s="14">
        <v>17</v>
      </c>
      <c r="L1169" s="15">
        <v>56.1</v>
      </c>
      <c r="M1169" s="15">
        <v>56.1</v>
      </c>
    </row>
    <row r="1170" spans="4:13">
      <c r="D1170" s="12">
        <v>46122</v>
      </c>
      <c r="E1170" s="13">
        <v>1593776</v>
      </c>
      <c r="F1170" s="13" t="s">
        <v>324</v>
      </c>
      <c r="G1170" s="14">
        <v>20303052</v>
      </c>
      <c r="H1170" s="13" t="s">
        <v>388</v>
      </c>
      <c r="I1170" s="13" t="s">
        <v>326</v>
      </c>
      <c r="J1170" s="14">
        <v>1</v>
      </c>
      <c r="K1170" s="14">
        <v>30</v>
      </c>
      <c r="L1170" s="15">
        <v>99</v>
      </c>
      <c r="M1170" s="15">
        <v>99</v>
      </c>
    </row>
    <row r="1171" spans="4:13">
      <c r="D1171" s="12">
        <v>46122</v>
      </c>
      <c r="E1171" s="13">
        <v>1593776</v>
      </c>
      <c r="F1171" s="13" t="s">
        <v>163</v>
      </c>
      <c r="G1171" s="14">
        <v>20303912</v>
      </c>
      <c r="H1171" s="13" t="s">
        <v>329</v>
      </c>
      <c r="I1171" s="13" t="s">
        <v>83</v>
      </c>
      <c r="J1171" s="14">
        <v>1</v>
      </c>
      <c r="K1171" s="14">
        <v>5</v>
      </c>
      <c r="L1171" s="15">
        <v>16.5</v>
      </c>
      <c r="M1171" s="15">
        <v>16.5</v>
      </c>
    </row>
    <row r="1172" spans="4:13">
      <c r="D1172" s="12">
        <v>46122</v>
      </c>
      <c r="E1172" s="13">
        <v>1593776</v>
      </c>
      <c r="F1172" s="13" t="s">
        <v>20</v>
      </c>
      <c r="G1172" s="14">
        <v>20305028</v>
      </c>
      <c r="H1172" s="13" t="s">
        <v>432</v>
      </c>
      <c r="I1172" s="13" t="s">
        <v>29</v>
      </c>
      <c r="J1172" s="14">
        <v>1</v>
      </c>
      <c r="K1172" s="14">
        <v>1</v>
      </c>
      <c r="L1172" s="15">
        <v>4.8</v>
      </c>
      <c r="M1172" s="15">
        <v>4.8</v>
      </c>
    </row>
    <row r="1173" spans="4:13">
      <c r="D1173" s="12">
        <v>46122</v>
      </c>
      <c r="E1173" s="13">
        <v>1593776</v>
      </c>
      <c r="F1173" s="13" t="s">
        <v>20</v>
      </c>
      <c r="G1173" s="14">
        <v>20311063</v>
      </c>
      <c r="H1173" s="13" t="s">
        <v>183</v>
      </c>
      <c r="I1173" s="13" t="s">
        <v>29</v>
      </c>
      <c r="J1173" s="14">
        <v>2</v>
      </c>
      <c r="K1173" s="14">
        <v>2</v>
      </c>
      <c r="L1173" s="15">
        <v>4.8</v>
      </c>
      <c r="M1173" s="15">
        <v>9.6</v>
      </c>
    </row>
    <row r="1174" spans="4:13">
      <c r="D1174" s="12">
        <v>46122</v>
      </c>
      <c r="E1174" s="13">
        <v>1593776</v>
      </c>
      <c r="F1174" s="13" t="s">
        <v>20</v>
      </c>
      <c r="G1174" s="14">
        <v>20309447</v>
      </c>
      <c r="H1174" s="13" t="s">
        <v>395</v>
      </c>
      <c r="I1174" s="13" t="s">
        <v>29</v>
      </c>
      <c r="J1174" s="14">
        <v>4</v>
      </c>
      <c r="K1174" s="14">
        <v>4</v>
      </c>
      <c r="L1174" s="15">
        <v>4.8</v>
      </c>
      <c r="M1174" s="15">
        <v>19.2</v>
      </c>
    </row>
    <row r="1175" spans="4:13">
      <c r="D1175" s="12">
        <v>46122</v>
      </c>
      <c r="E1175" s="13">
        <v>1593776</v>
      </c>
      <c r="F1175" s="13" t="s">
        <v>20</v>
      </c>
      <c r="G1175" s="14">
        <v>20309927</v>
      </c>
      <c r="H1175" s="13" t="s">
        <v>495</v>
      </c>
      <c r="I1175" s="13" t="s">
        <v>29</v>
      </c>
      <c r="J1175" s="14">
        <v>2</v>
      </c>
      <c r="K1175" s="14">
        <v>4</v>
      </c>
      <c r="L1175" s="15">
        <v>8.1</v>
      </c>
      <c r="M1175" s="15">
        <v>16.2</v>
      </c>
    </row>
    <row r="1176" spans="4:13">
      <c r="D1176" s="12">
        <v>46122</v>
      </c>
      <c r="E1176" s="13">
        <v>1593776</v>
      </c>
      <c r="F1176" s="13" t="s">
        <v>20</v>
      </c>
      <c r="G1176" s="14">
        <v>20305193</v>
      </c>
      <c r="H1176" s="13" t="s">
        <v>396</v>
      </c>
      <c r="I1176" s="13" t="s">
        <v>22</v>
      </c>
      <c r="J1176" s="14">
        <v>2</v>
      </c>
      <c r="K1176" s="14">
        <v>2</v>
      </c>
      <c r="L1176" s="15">
        <v>4.8</v>
      </c>
      <c r="M1176" s="15">
        <v>9.6</v>
      </c>
    </row>
    <row r="1177" spans="4:13">
      <c r="D1177" s="12">
        <v>46122</v>
      </c>
      <c r="E1177" s="13">
        <v>1593776</v>
      </c>
      <c r="F1177" s="13" t="s">
        <v>20</v>
      </c>
      <c r="G1177" s="14">
        <v>20304006</v>
      </c>
      <c r="H1177" s="13" t="s">
        <v>435</v>
      </c>
      <c r="I1177" s="13" t="s">
        <v>55</v>
      </c>
      <c r="J1177" s="14">
        <v>1</v>
      </c>
      <c r="K1177" s="14">
        <v>1</v>
      </c>
      <c r="L1177" s="15">
        <v>9.9</v>
      </c>
      <c r="M1177" s="15">
        <v>9.9</v>
      </c>
    </row>
    <row r="1178" spans="4:13">
      <c r="D1178" s="12">
        <v>46122</v>
      </c>
      <c r="E1178" s="13">
        <v>1593776</v>
      </c>
      <c r="F1178" s="13" t="s">
        <v>131</v>
      </c>
      <c r="G1178" s="14">
        <v>20339097</v>
      </c>
      <c r="H1178" s="13" t="s">
        <v>343</v>
      </c>
      <c r="I1178" s="13" t="s">
        <v>221</v>
      </c>
      <c r="J1178" s="14">
        <v>1</v>
      </c>
      <c r="K1178" s="14">
        <v>32</v>
      </c>
      <c r="L1178" s="15">
        <v>180</v>
      </c>
      <c r="M1178" s="15">
        <f>J1178*L1178</f>
        <v>180</v>
      </c>
    </row>
    <row r="1179" spans="4:13">
      <c r="D1179" s="12">
        <v>46122</v>
      </c>
      <c r="E1179" s="13">
        <v>1593776</v>
      </c>
      <c r="F1179" s="13" t="s">
        <v>131</v>
      </c>
      <c r="G1179" s="14">
        <v>20384037</v>
      </c>
      <c r="H1179" s="13" t="s">
        <v>376</v>
      </c>
      <c r="I1179" s="13" t="s">
        <v>221</v>
      </c>
      <c r="J1179" s="14">
        <v>1</v>
      </c>
      <c r="K1179" s="14">
        <v>25</v>
      </c>
      <c r="L1179" s="15">
        <v>180</v>
      </c>
      <c r="M1179" s="15">
        <f>J1179*L1179</f>
        <v>180</v>
      </c>
    </row>
    <row r="1180" spans="4:13">
      <c r="D1180" s="12">
        <v>46122</v>
      </c>
      <c r="E1180" s="13">
        <v>1593776</v>
      </c>
      <c r="F1180" s="13" t="s">
        <v>131</v>
      </c>
      <c r="G1180" s="14">
        <v>20309658</v>
      </c>
      <c r="H1180" s="13" t="s">
        <v>365</v>
      </c>
      <c r="I1180" s="13" t="s">
        <v>221</v>
      </c>
      <c r="J1180" s="14">
        <v>1</v>
      </c>
      <c r="K1180" s="14">
        <v>5</v>
      </c>
      <c r="L1180" s="15">
        <v>52.8</v>
      </c>
      <c r="M1180" s="15">
        <v>52.8</v>
      </c>
    </row>
    <row r="1181" spans="4:13">
      <c r="D1181" s="12">
        <v>46122</v>
      </c>
      <c r="E1181" s="13">
        <v>1593776</v>
      </c>
      <c r="F1181" s="13" t="s">
        <v>131</v>
      </c>
      <c r="G1181" s="14">
        <v>20303777</v>
      </c>
      <c r="H1181" s="13" t="s">
        <v>351</v>
      </c>
      <c r="I1181" s="13" t="s">
        <v>221</v>
      </c>
      <c r="J1181" s="14">
        <v>1</v>
      </c>
      <c r="K1181" s="14">
        <v>27</v>
      </c>
      <c r="L1181" s="15">
        <v>180</v>
      </c>
      <c r="M1181" s="15">
        <f>J1181*L1181</f>
        <v>180</v>
      </c>
    </row>
    <row r="1182" spans="4:13">
      <c r="D1182" s="12">
        <v>46122</v>
      </c>
      <c r="E1182" s="13">
        <v>1593776</v>
      </c>
      <c r="F1182" s="13" t="s">
        <v>47</v>
      </c>
      <c r="G1182" s="14">
        <v>20303011</v>
      </c>
      <c r="H1182" s="13" t="s">
        <v>330</v>
      </c>
      <c r="I1182" s="13" t="s">
        <v>331</v>
      </c>
      <c r="J1182" s="14">
        <v>1</v>
      </c>
      <c r="K1182" s="14">
        <v>26</v>
      </c>
      <c r="L1182" s="15">
        <v>85.8</v>
      </c>
      <c r="M1182" s="15">
        <v>85.8</v>
      </c>
    </row>
    <row r="1183" spans="4:13">
      <c r="D1183" s="12">
        <v>46122</v>
      </c>
      <c r="E1183" s="13">
        <v>1593776</v>
      </c>
      <c r="F1183" s="13" t="s">
        <v>47</v>
      </c>
      <c r="G1183" s="14">
        <v>20303051</v>
      </c>
      <c r="H1183" s="13" t="s">
        <v>391</v>
      </c>
      <c r="I1183" s="13" t="s">
        <v>347</v>
      </c>
      <c r="J1183" s="14">
        <v>1</v>
      </c>
      <c r="K1183" s="14">
        <v>11</v>
      </c>
      <c r="L1183" s="15">
        <v>36.3</v>
      </c>
      <c r="M1183" s="15">
        <v>36.3</v>
      </c>
    </row>
    <row r="1184" spans="4:13">
      <c r="D1184" s="12">
        <v>46122</v>
      </c>
      <c r="E1184" s="13">
        <v>1593776</v>
      </c>
      <c r="F1184" s="13" t="s">
        <v>385</v>
      </c>
      <c r="G1184" s="14">
        <v>20349421</v>
      </c>
      <c r="H1184" s="13" t="s">
        <v>386</v>
      </c>
      <c r="I1184" s="13" t="s">
        <v>221</v>
      </c>
      <c r="J1184" s="14">
        <v>1</v>
      </c>
      <c r="K1184" s="14">
        <v>2</v>
      </c>
      <c r="L1184" s="15">
        <v>26.4</v>
      </c>
      <c r="M1184" s="15">
        <v>26.4</v>
      </c>
    </row>
    <row r="1185" spans="4:13">
      <c r="D1185" s="12">
        <v>46122</v>
      </c>
      <c r="E1185" s="13">
        <v>1593776</v>
      </c>
      <c r="F1185" s="13" t="s">
        <v>65</v>
      </c>
      <c r="G1185" s="14">
        <v>20303836</v>
      </c>
      <c r="H1185" s="13" t="s">
        <v>332</v>
      </c>
      <c r="I1185" s="13" t="s">
        <v>83</v>
      </c>
      <c r="J1185" s="14">
        <v>2</v>
      </c>
      <c r="K1185" s="14">
        <v>8</v>
      </c>
      <c r="L1185" s="15">
        <v>13.2</v>
      </c>
      <c r="M1185" s="15">
        <v>26.4</v>
      </c>
    </row>
    <row r="1186" spans="4:13">
      <c r="D1186" s="12">
        <v>46122</v>
      </c>
      <c r="E1186" s="13">
        <v>1593776</v>
      </c>
      <c r="F1186" s="13" t="s">
        <v>65</v>
      </c>
      <c r="G1186" s="14">
        <v>20310863</v>
      </c>
      <c r="H1186" s="13" t="s">
        <v>333</v>
      </c>
      <c r="I1186" s="13" t="s">
        <v>49</v>
      </c>
      <c r="J1186" s="14">
        <v>1</v>
      </c>
      <c r="K1186" s="14">
        <v>1</v>
      </c>
      <c r="L1186" s="15">
        <v>9.9</v>
      </c>
      <c r="M1186" s="15">
        <v>9.9</v>
      </c>
    </row>
    <row r="1187" spans="4:13">
      <c r="D1187" s="12">
        <v>46122</v>
      </c>
      <c r="E1187" s="13">
        <v>1593829</v>
      </c>
      <c r="F1187" s="13" t="s">
        <v>378</v>
      </c>
      <c r="G1187" s="14">
        <v>20310012</v>
      </c>
      <c r="H1187" s="13" t="s">
        <v>379</v>
      </c>
      <c r="I1187" s="13" t="s">
        <v>2</v>
      </c>
      <c r="J1187" s="14">
        <v>6</v>
      </c>
      <c r="K1187" s="14">
        <v>0</v>
      </c>
      <c r="L1187" s="15">
        <v>15</v>
      </c>
      <c r="M1187" s="15">
        <v>90</v>
      </c>
    </row>
    <row r="1188" spans="4:13">
      <c r="D1188" s="12">
        <v>46122</v>
      </c>
      <c r="E1188" s="13">
        <v>1593843</v>
      </c>
      <c r="F1188" s="13" t="s">
        <v>324</v>
      </c>
      <c r="G1188" s="14">
        <v>20331665</v>
      </c>
      <c r="H1188" s="13" t="s">
        <v>421</v>
      </c>
      <c r="I1188" s="13" t="s">
        <v>326</v>
      </c>
      <c r="J1188" s="14">
        <v>1</v>
      </c>
      <c r="K1188" s="14">
        <v>10</v>
      </c>
      <c r="L1188" s="15">
        <v>33</v>
      </c>
      <c r="M1188" s="15">
        <v>33</v>
      </c>
    </row>
    <row r="1189" spans="4:13">
      <c r="D1189" s="12">
        <v>46122</v>
      </c>
      <c r="E1189" s="13">
        <v>1593843</v>
      </c>
      <c r="F1189" s="13" t="s">
        <v>324</v>
      </c>
      <c r="G1189" s="14">
        <v>20303022</v>
      </c>
      <c r="H1189" s="13" t="s">
        <v>352</v>
      </c>
      <c r="I1189" s="13" t="s">
        <v>326</v>
      </c>
      <c r="J1189" s="14">
        <v>6</v>
      </c>
      <c r="K1189" s="14">
        <v>186</v>
      </c>
      <c r="L1189" s="15">
        <v>102.3</v>
      </c>
      <c r="M1189" s="15">
        <v>613.8</v>
      </c>
    </row>
    <row r="1190" spans="4:13">
      <c r="D1190" s="12">
        <v>46122</v>
      </c>
      <c r="E1190" s="13">
        <v>1593843</v>
      </c>
      <c r="F1190" s="13" t="s">
        <v>324</v>
      </c>
      <c r="G1190" s="14">
        <v>20309891</v>
      </c>
      <c r="H1190" s="13" t="s">
        <v>473</v>
      </c>
      <c r="I1190" s="13" t="s">
        <v>326</v>
      </c>
      <c r="J1190" s="14">
        <v>1</v>
      </c>
      <c r="K1190" s="14">
        <v>28</v>
      </c>
      <c r="L1190" s="15">
        <v>92.4</v>
      </c>
      <c r="M1190" s="15">
        <v>92.4</v>
      </c>
    </row>
    <row r="1191" spans="4:13">
      <c r="D1191" s="12">
        <v>46122</v>
      </c>
      <c r="E1191" s="13">
        <v>1593843</v>
      </c>
      <c r="F1191" s="13" t="s">
        <v>324</v>
      </c>
      <c r="G1191" s="14">
        <v>20303023</v>
      </c>
      <c r="H1191" s="13" t="s">
        <v>335</v>
      </c>
      <c r="I1191" s="13" t="s">
        <v>326</v>
      </c>
      <c r="J1191" s="14">
        <v>2</v>
      </c>
      <c r="K1191" s="14">
        <v>126</v>
      </c>
      <c r="L1191" s="15">
        <v>207.9</v>
      </c>
      <c r="M1191" s="15">
        <v>415.8</v>
      </c>
    </row>
    <row r="1192" spans="4:13">
      <c r="D1192" s="12">
        <v>46122</v>
      </c>
      <c r="E1192" s="13">
        <v>1593843</v>
      </c>
      <c r="F1192" s="13" t="s">
        <v>324</v>
      </c>
      <c r="G1192" s="14">
        <v>20380422</v>
      </c>
      <c r="H1192" s="13" t="s">
        <v>516</v>
      </c>
      <c r="I1192" s="13" t="s">
        <v>83</v>
      </c>
      <c r="J1192" s="14">
        <v>1</v>
      </c>
      <c r="K1192" s="14">
        <v>5</v>
      </c>
      <c r="L1192" s="15">
        <v>16.5</v>
      </c>
      <c r="M1192" s="15">
        <v>16.5</v>
      </c>
    </row>
    <row r="1193" spans="4:13">
      <c r="D1193" s="12">
        <v>46122</v>
      </c>
      <c r="E1193" s="13">
        <v>1593843</v>
      </c>
      <c r="F1193" s="13" t="s">
        <v>324</v>
      </c>
      <c r="G1193" s="14">
        <v>20303025</v>
      </c>
      <c r="H1193" s="13" t="s">
        <v>336</v>
      </c>
      <c r="I1193" s="13" t="s">
        <v>326</v>
      </c>
      <c r="J1193" s="14">
        <v>1</v>
      </c>
      <c r="K1193" s="14">
        <v>47</v>
      </c>
      <c r="L1193" s="15">
        <v>155.1</v>
      </c>
      <c r="M1193" s="15">
        <v>155.1</v>
      </c>
    </row>
    <row r="1194" spans="4:13">
      <c r="D1194" s="12">
        <v>46122</v>
      </c>
      <c r="E1194" s="13">
        <v>1593843</v>
      </c>
      <c r="F1194" s="13" t="s">
        <v>324</v>
      </c>
      <c r="G1194" s="14">
        <v>20303041</v>
      </c>
      <c r="H1194" s="13" t="s">
        <v>406</v>
      </c>
      <c r="I1194" s="13" t="s">
        <v>44</v>
      </c>
      <c r="J1194" s="14">
        <v>1</v>
      </c>
      <c r="K1194" s="14">
        <v>17</v>
      </c>
      <c r="L1194" s="15">
        <v>56.1</v>
      </c>
      <c r="M1194" s="15">
        <v>56.1</v>
      </c>
    </row>
    <row r="1195" spans="4:13">
      <c r="D1195" s="12">
        <v>46122</v>
      </c>
      <c r="E1195" s="13">
        <v>1593843</v>
      </c>
      <c r="F1195" s="13" t="s">
        <v>324</v>
      </c>
      <c r="G1195" s="14">
        <v>20303057</v>
      </c>
      <c r="H1195" s="13" t="s">
        <v>457</v>
      </c>
      <c r="I1195" s="13" t="s">
        <v>326</v>
      </c>
      <c r="J1195" s="14">
        <v>1</v>
      </c>
      <c r="K1195" s="14">
        <v>32</v>
      </c>
      <c r="L1195" s="15">
        <v>105.6</v>
      </c>
      <c r="M1195" s="15">
        <v>105.6</v>
      </c>
    </row>
    <row r="1196" spans="4:13">
      <c r="D1196" s="12">
        <v>46122</v>
      </c>
      <c r="E1196" s="13">
        <v>1593843</v>
      </c>
      <c r="F1196" s="13" t="s">
        <v>163</v>
      </c>
      <c r="G1196" s="14">
        <v>20303912</v>
      </c>
      <c r="H1196" s="13" t="s">
        <v>329</v>
      </c>
      <c r="I1196" s="13" t="s">
        <v>83</v>
      </c>
      <c r="J1196" s="14">
        <v>1</v>
      </c>
      <c r="K1196" s="14">
        <v>5</v>
      </c>
      <c r="L1196" s="15">
        <v>16.5</v>
      </c>
      <c r="M1196" s="15">
        <v>16.5</v>
      </c>
    </row>
    <row r="1197" spans="4:13">
      <c r="D1197" s="12">
        <v>46122</v>
      </c>
      <c r="E1197" s="13">
        <v>1593843</v>
      </c>
      <c r="F1197" s="13" t="s">
        <v>20</v>
      </c>
      <c r="G1197" s="14">
        <v>20303954</v>
      </c>
      <c r="H1197" s="13" t="s">
        <v>295</v>
      </c>
      <c r="I1197" s="13" t="s">
        <v>29</v>
      </c>
      <c r="J1197" s="14">
        <v>2</v>
      </c>
      <c r="K1197" s="14">
        <v>2</v>
      </c>
      <c r="L1197" s="15">
        <v>4.8</v>
      </c>
      <c r="M1197" s="15">
        <v>9.6</v>
      </c>
    </row>
    <row r="1198" spans="4:13">
      <c r="D1198" s="12">
        <v>46122</v>
      </c>
      <c r="E1198" s="13">
        <v>1593843</v>
      </c>
      <c r="F1198" s="13" t="s">
        <v>20</v>
      </c>
      <c r="G1198" s="14">
        <v>20307293</v>
      </c>
      <c r="H1198" s="13" t="s">
        <v>211</v>
      </c>
      <c r="I1198" s="13" t="s">
        <v>22</v>
      </c>
      <c r="J1198" s="14">
        <v>1</v>
      </c>
      <c r="K1198" s="14">
        <v>2</v>
      </c>
      <c r="L1198" s="15">
        <v>8.1</v>
      </c>
      <c r="M1198" s="15">
        <v>8.1</v>
      </c>
    </row>
    <row r="1199" spans="4:13">
      <c r="D1199" s="12">
        <v>46122</v>
      </c>
      <c r="E1199" s="13">
        <v>1593843</v>
      </c>
      <c r="F1199" s="13" t="s">
        <v>15</v>
      </c>
      <c r="G1199" s="14">
        <v>20315046</v>
      </c>
      <c r="H1199" s="13" t="s">
        <v>340</v>
      </c>
      <c r="I1199" s="13" t="s">
        <v>314</v>
      </c>
      <c r="J1199" s="14">
        <v>1</v>
      </c>
      <c r="K1199" s="14">
        <v>1</v>
      </c>
      <c r="L1199" s="15">
        <v>21</v>
      </c>
      <c r="M1199" s="15">
        <v>21</v>
      </c>
    </row>
    <row r="1200" spans="4:13">
      <c r="D1200" s="12">
        <v>46122</v>
      </c>
      <c r="E1200" s="13">
        <v>1593843</v>
      </c>
      <c r="F1200" s="13" t="s">
        <v>15</v>
      </c>
      <c r="G1200" s="14">
        <v>20323229</v>
      </c>
      <c r="H1200" s="13" t="s">
        <v>316</v>
      </c>
      <c r="I1200" s="13" t="s">
        <v>317</v>
      </c>
      <c r="J1200" s="14">
        <v>1</v>
      </c>
      <c r="K1200" s="14">
        <v>1</v>
      </c>
      <c r="L1200" s="15">
        <v>15</v>
      </c>
      <c r="M1200" s="15">
        <v>15</v>
      </c>
    </row>
    <row r="1201" spans="4:13">
      <c r="D1201" s="12">
        <v>46122</v>
      </c>
      <c r="E1201" s="13">
        <v>1593843</v>
      </c>
      <c r="F1201" s="13" t="s">
        <v>15</v>
      </c>
      <c r="G1201" s="14">
        <v>20359780</v>
      </c>
      <c r="H1201" s="13" t="s">
        <v>372</v>
      </c>
      <c r="I1201" s="13" t="s">
        <v>319</v>
      </c>
      <c r="J1201" s="14">
        <v>1</v>
      </c>
      <c r="K1201" s="14">
        <v>1</v>
      </c>
      <c r="L1201" s="15">
        <v>13.2</v>
      </c>
      <c r="M1201" s="15">
        <v>13.2</v>
      </c>
    </row>
    <row r="1202" spans="4:13">
      <c r="D1202" s="12">
        <v>46122</v>
      </c>
      <c r="E1202" s="13">
        <v>1593843</v>
      </c>
      <c r="F1202" s="13" t="s">
        <v>15</v>
      </c>
      <c r="G1202" s="14">
        <v>20314042</v>
      </c>
      <c r="H1202" s="13" t="s">
        <v>341</v>
      </c>
      <c r="I1202" s="13" t="s">
        <v>128</v>
      </c>
      <c r="J1202" s="14">
        <v>2</v>
      </c>
      <c r="K1202" s="14">
        <v>2</v>
      </c>
      <c r="L1202" s="15">
        <v>16.8</v>
      </c>
      <c r="M1202" s="15">
        <v>33.6</v>
      </c>
    </row>
    <row r="1203" spans="4:13">
      <c r="D1203" s="12">
        <v>46122</v>
      </c>
      <c r="E1203" s="13">
        <v>1593843</v>
      </c>
      <c r="F1203" s="13" t="s">
        <v>15</v>
      </c>
      <c r="G1203" s="14">
        <v>20358905</v>
      </c>
      <c r="H1203" s="13" t="s">
        <v>360</v>
      </c>
      <c r="I1203" s="13" t="s">
        <v>244</v>
      </c>
      <c r="J1203" s="14">
        <v>2</v>
      </c>
      <c r="K1203" s="14">
        <v>2</v>
      </c>
      <c r="L1203" s="15">
        <v>15</v>
      </c>
      <c r="M1203" s="15">
        <v>30</v>
      </c>
    </row>
    <row r="1204" spans="4:13">
      <c r="D1204" s="12">
        <v>46122</v>
      </c>
      <c r="E1204" s="13">
        <v>1593843</v>
      </c>
      <c r="F1204" s="13" t="s">
        <v>15</v>
      </c>
      <c r="G1204" s="14">
        <v>20309651</v>
      </c>
      <c r="H1204" s="13" t="s">
        <v>130</v>
      </c>
      <c r="I1204" s="13" t="s">
        <v>62</v>
      </c>
      <c r="J1204" s="14">
        <v>1</v>
      </c>
      <c r="K1204" s="14">
        <v>1</v>
      </c>
      <c r="L1204" s="15">
        <v>21</v>
      </c>
      <c r="M1204" s="15">
        <v>21</v>
      </c>
    </row>
    <row r="1205" spans="4:13">
      <c r="D1205" s="12">
        <v>46122</v>
      </c>
      <c r="E1205" s="13">
        <v>1593843</v>
      </c>
      <c r="F1205" s="13" t="s">
        <v>15</v>
      </c>
      <c r="G1205" s="14">
        <v>20309636</v>
      </c>
      <c r="H1205" s="13" t="s">
        <v>397</v>
      </c>
      <c r="I1205" s="13" t="s">
        <v>62</v>
      </c>
      <c r="J1205" s="14">
        <v>1</v>
      </c>
      <c r="K1205" s="14">
        <v>2</v>
      </c>
      <c r="L1205" s="15">
        <v>26.4</v>
      </c>
      <c r="M1205" s="15">
        <v>26.4</v>
      </c>
    </row>
    <row r="1206" spans="4:13">
      <c r="D1206" s="12">
        <v>46122</v>
      </c>
      <c r="E1206" s="13">
        <v>1593843</v>
      </c>
      <c r="F1206" s="13" t="s">
        <v>15</v>
      </c>
      <c r="G1206" s="14">
        <v>20360685</v>
      </c>
      <c r="H1206" s="13" t="s">
        <v>440</v>
      </c>
      <c r="I1206" s="13" t="s">
        <v>128</v>
      </c>
      <c r="J1206" s="14">
        <v>2</v>
      </c>
      <c r="K1206" s="14">
        <v>2</v>
      </c>
      <c r="L1206" s="15">
        <v>16.8</v>
      </c>
      <c r="M1206" s="15">
        <v>33.6</v>
      </c>
    </row>
    <row r="1207" spans="4:13">
      <c r="D1207" s="12">
        <v>46122</v>
      </c>
      <c r="E1207" s="13">
        <v>1593843</v>
      </c>
      <c r="F1207" s="13" t="s">
        <v>131</v>
      </c>
      <c r="G1207" s="14">
        <v>20315667</v>
      </c>
      <c r="H1207" s="13" t="s">
        <v>425</v>
      </c>
      <c r="I1207" s="13" t="s">
        <v>83</v>
      </c>
      <c r="J1207" s="14">
        <v>1</v>
      </c>
      <c r="K1207" s="14">
        <v>3</v>
      </c>
      <c r="L1207" s="15">
        <v>39.6</v>
      </c>
      <c r="M1207" s="15">
        <v>39.6</v>
      </c>
    </row>
    <row r="1208" spans="4:13">
      <c r="D1208" s="12">
        <v>46122</v>
      </c>
      <c r="E1208" s="13">
        <v>1593843</v>
      </c>
      <c r="F1208" s="13" t="s">
        <v>131</v>
      </c>
      <c r="G1208" s="14">
        <v>20312465</v>
      </c>
      <c r="H1208" s="13" t="s">
        <v>320</v>
      </c>
      <c r="I1208" s="13" t="s">
        <v>221</v>
      </c>
      <c r="J1208" s="14">
        <v>1</v>
      </c>
      <c r="K1208" s="14">
        <v>27</v>
      </c>
      <c r="L1208" s="15">
        <v>180</v>
      </c>
      <c r="M1208" s="15">
        <f>J1208*L1208</f>
        <v>180</v>
      </c>
    </row>
    <row r="1209" spans="4:13">
      <c r="D1209" s="12">
        <v>46122</v>
      </c>
      <c r="E1209" s="13">
        <v>1593843</v>
      </c>
      <c r="F1209" s="13" t="s">
        <v>131</v>
      </c>
      <c r="G1209" s="14">
        <v>20407365</v>
      </c>
      <c r="H1209" s="13" t="s">
        <v>464</v>
      </c>
      <c r="I1209" s="13" t="s">
        <v>83</v>
      </c>
      <c r="J1209" s="14">
        <v>1</v>
      </c>
      <c r="K1209" s="14">
        <v>5</v>
      </c>
      <c r="L1209" s="15">
        <v>52.8</v>
      </c>
      <c r="M1209" s="15">
        <v>52.8</v>
      </c>
    </row>
    <row r="1210" spans="4:13">
      <c r="D1210" s="12">
        <v>46122</v>
      </c>
      <c r="E1210" s="13">
        <v>1593843</v>
      </c>
      <c r="F1210" s="13" t="s">
        <v>131</v>
      </c>
      <c r="G1210" s="14">
        <v>20314362</v>
      </c>
      <c r="H1210" s="13" t="s">
        <v>364</v>
      </c>
      <c r="I1210" s="13" t="s">
        <v>221</v>
      </c>
      <c r="J1210" s="14">
        <v>1</v>
      </c>
      <c r="K1210" s="14">
        <v>27</v>
      </c>
      <c r="L1210" s="15">
        <v>180</v>
      </c>
      <c r="M1210" s="15">
        <f>J1210*L1210</f>
        <v>180</v>
      </c>
    </row>
    <row r="1211" spans="4:13">
      <c r="D1211" s="12">
        <v>46122</v>
      </c>
      <c r="E1211" s="13">
        <v>1593843</v>
      </c>
      <c r="F1211" s="13" t="s">
        <v>131</v>
      </c>
      <c r="G1211" s="14">
        <v>20309658</v>
      </c>
      <c r="H1211" s="13" t="s">
        <v>365</v>
      </c>
      <c r="I1211" s="13" t="s">
        <v>221</v>
      </c>
      <c r="J1211" s="14">
        <v>2</v>
      </c>
      <c r="K1211" s="14">
        <v>10</v>
      </c>
      <c r="L1211" s="15">
        <v>52.8</v>
      </c>
      <c r="M1211" s="15">
        <v>105.6</v>
      </c>
    </row>
    <row r="1212" spans="4:13">
      <c r="D1212" s="12">
        <v>46122</v>
      </c>
      <c r="E1212" s="13">
        <v>1593843</v>
      </c>
      <c r="F1212" s="13" t="s">
        <v>131</v>
      </c>
      <c r="G1212" s="14">
        <v>20412034</v>
      </c>
      <c r="H1212" s="13" t="s">
        <v>344</v>
      </c>
      <c r="I1212" s="13" t="s">
        <v>221</v>
      </c>
      <c r="J1212" s="14">
        <v>1</v>
      </c>
      <c r="K1212" s="14">
        <v>28</v>
      </c>
      <c r="L1212" s="15">
        <v>180</v>
      </c>
      <c r="M1212" s="15">
        <f>J1212*L1212</f>
        <v>180</v>
      </c>
    </row>
    <row r="1213" spans="4:13">
      <c r="D1213" s="12">
        <v>46122</v>
      </c>
      <c r="E1213" s="13">
        <v>1593843</v>
      </c>
      <c r="F1213" s="13" t="s">
        <v>131</v>
      </c>
      <c r="G1213" s="14">
        <v>20411790</v>
      </c>
      <c r="H1213" s="13" t="s">
        <v>345</v>
      </c>
      <c r="I1213" s="13" t="s">
        <v>221</v>
      </c>
      <c r="J1213" s="14">
        <v>1</v>
      </c>
      <c r="K1213" s="14">
        <v>28</v>
      </c>
      <c r="L1213" s="15">
        <v>180</v>
      </c>
      <c r="M1213" s="15">
        <f>J1213*L1213</f>
        <v>180</v>
      </c>
    </row>
    <row r="1214" spans="4:13">
      <c r="D1214" s="12">
        <v>46122</v>
      </c>
      <c r="E1214" s="13">
        <v>1593843</v>
      </c>
      <c r="F1214" s="13" t="s">
        <v>131</v>
      </c>
      <c r="G1214" s="14">
        <v>20412202</v>
      </c>
      <c r="H1214" s="13" t="s">
        <v>322</v>
      </c>
      <c r="I1214" s="13" t="s">
        <v>221</v>
      </c>
      <c r="J1214" s="14">
        <v>1</v>
      </c>
      <c r="K1214" s="14">
        <v>23</v>
      </c>
      <c r="L1214" s="15">
        <v>180</v>
      </c>
      <c r="M1214" s="15">
        <f>J1214*L1214</f>
        <v>180</v>
      </c>
    </row>
    <row r="1215" spans="4:13">
      <c r="D1215" s="12">
        <v>46122</v>
      </c>
      <c r="E1215" s="13">
        <v>1593843</v>
      </c>
      <c r="F1215" s="13" t="s">
        <v>47</v>
      </c>
      <c r="G1215" s="14">
        <v>20302998</v>
      </c>
      <c r="H1215" s="13" t="s">
        <v>346</v>
      </c>
      <c r="I1215" s="13" t="s">
        <v>347</v>
      </c>
      <c r="J1215" s="14">
        <v>1</v>
      </c>
      <c r="K1215" s="14">
        <v>19</v>
      </c>
      <c r="L1215" s="15">
        <v>62.7</v>
      </c>
      <c r="M1215" s="15">
        <v>62.7</v>
      </c>
    </row>
    <row r="1216" spans="4:13">
      <c r="D1216" s="12">
        <v>46122</v>
      </c>
      <c r="E1216" s="13">
        <v>1593843</v>
      </c>
      <c r="F1216" s="13" t="s">
        <v>47</v>
      </c>
      <c r="G1216" s="14">
        <v>20303011</v>
      </c>
      <c r="H1216" s="13" t="s">
        <v>330</v>
      </c>
      <c r="I1216" s="13" t="s">
        <v>331</v>
      </c>
      <c r="J1216" s="14">
        <v>2</v>
      </c>
      <c r="K1216" s="14">
        <v>52</v>
      </c>
      <c r="L1216" s="15">
        <v>85.8</v>
      </c>
      <c r="M1216" s="15">
        <v>171.6</v>
      </c>
    </row>
    <row r="1217" spans="4:13">
      <c r="D1217" s="12">
        <v>46122</v>
      </c>
      <c r="E1217" s="13">
        <v>1593843</v>
      </c>
      <c r="F1217" s="13" t="s">
        <v>47</v>
      </c>
      <c r="G1217" s="14">
        <v>20303941</v>
      </c>
      <c r="H1217" s="13" t="s">
        <v>348</v>
      </c>
      <c r="I1217" s="13" t="s">
        <v>331</v>
      </c>
      <c r="J1217" s="14">
        <v>1</v>
      </c>
      <c r="K1217" s="14">
        <v>8</v>
      </c>
      <c r="L1217" s="15">
        <v>26.4</v>
      </c>
      <c r="M1217" s="15">
        <v>26.4</v>
      </c>
    </row>
    <row r="1218" spans="4:13">
      <c r="D1218" s="12">
        <v>46122</v>
      </c>
      <c r="E1218" s="13">
        <v>1593843</v>
      </c>
      <c r="F1218" s="13" t="s">
        <v>47</v>
      </c>
      <c r="G1218" s="14">
        <v>20303051</v>
      </c>
      <c r="H1218" s="13" t="s">
        <v>391</v>
      </c>
      <c r="I1218" s="13" t="s">
        <v>347</v>
      </c>
      <c r="J1218" s="14">
        <v>1</v>
      </c>
      <c r="K1218" s="14">
        <v>11</v>
      </c>
      <c r="L1218" s="15">
        <v>36.3</v>
      </c>
      <c r="M1218" s="15">
        <v>36.3</v>
      </c>
    </row>
    <row r="1219" spans="4:13">
      <c r="D1219" s="12">
        <v>46122</v>
      </c>
      <c r="E1219" s="13">
        <v>1593843</v>
      </c>
      <c r="F1219" s="13" t="s">
        <v>47</v>
      </c>
      <c r="G1219" s="14">
        <v>20306256</v>
      </c>
      <c r="H1219" s="13" t="s">
        <v>349</v>
      </c>
      <c r="I1219" s="13" t="s">
        <v>83</v>
      </c>
      <c r="J1219" s="14">
        <v>1</v>
      </c>
      <c r="K1219" s="14">
        <v>22</v>
      </c>
      <c r="L1219" s="15">
        <v>72.6</v>
      </c>
      <c r="M1219" s="15">
        <v>72.6</v>
      </c>
    </row>
    <row r="1220" spans="4:13">
      <c r="D1220" s="12">
        <v>46122</v>
      </c>
      <c r="E1220" s="13">
        <v>1593843</v>
      </c>
      <c r="F1220" s="13" t="s">
        <v>385</v>
      </c>
      <c r="G1220" s="14">
        <v>20399009</v>
      </c>
      <c r="H1220" s="13" t="s">
        <v>404</v>
      </c>
      <c r="I1220" s="13" t="s">
        <v>128</v>
      </c>
      <c r="J1220" s="14">
        <v>1</v>
      </c>
      <c r="K1220" s="14">
        <v>1</v>
      </c>
      <c r="L1220" s="15">
        <v>16.8</v>
      </c>
      <c r="M1220" s="15">
        <v>16.8</v>
      </c>
    </row>
    <row r="1221" spans="4:13">
      <c r="D1221" s="12">
        <v>46122</v>
      </c>
      <c r="E1221" s="13">
        <v>1593843</v>
      </c>
      <c r="F1221" s="13" t="s">
        <v>65</v>
      </c>
      <c r="G1221" s="14">
        <v>20303836</v>
      </c>
      <c r="H1221" s="13" t="s">
        <v>332</v>
      </c>
      <c r="I1221" s="13" t="s">
        <v>83</v>
      </c>
      <c r="J1221" s="14">
        <v>11</v>
      </c>
      <c r="K1221" s="14">
        <v>44</v>
      </c>
      <c r="L1221" s="15">
        <v>13.2</v>
      </c>
      <c r="M1221" s="15">
        <v>145.2</v>
      </c>
    </row>
    <row r="1222" spans="4:13">
      <c r="D1222" s="12">
        <v>46122</v>
      </c>
      <c r="E1222" s="13">
        <v>1593843</v>
      </c>
      <c r="F1222" s="13" t="s">
        <v>65</v>
      </c>
      <c r="G1222" s="14">
        <v>20383457</v>
      </c>
      <c r="H1222" s="13" t="s">
        <v>420</v>
      </c>
      <c r="I1222" s="13" t="s">
        <v>44</v>
      </c>
      <c r="J1222" s="14">
        <v>1</v>
      </c>
      <c r="K1222" s="14">
        <v>8</v>
      </c>
      <c r="L1222" s="15">
        <v>26.4</v>
      </c>
      <c r="M1222" s="15">
        <v>26.4</v>
      </c>
    </row>
    <row r="1223" spans="4:13">
      <c r="D1223" s="12">
        <v>46124</v>
      </c>
      <c r="E1223" s="13">
        <v>1594058</v>
      </c>
      <c r="F1223" s="13" t="s">
        <v>324</v>
      </c>
      <c r="G1223" s="14">
        <v>20303010</v>
      </c>
      <c r="H1223" s="13" t="s">
        <v>325</v>
      </c>
      <c r="I1223" s="13" t="s">
        <v>326</v>
      </c>
      <c r="J1223" s="14">
        <v>1</v>
      </c>
      <c r="K1223" s="14">
        <v>25</v>
      </c>
      <c r="L1223" s="15">
        <v>82.5</v>
      </c>
      <c r="M1223" s="15">
        <v>82.5</v>
      </c>
    </row>
    <row r="1224" spans="4:13">
      <c r="D1224" s="12">
        <v>46124</v>
      </c>
      <c r="E1224" s="13">
        <v>1594058</v>
      </c>
      <c r="F1224" s="13" t="s">
        <v>324</v>
      </c>
      <c r="G1224" s="14">
        <v>20303022</v>
      </c>
      <c r="H1224" s="13" t="s">
        <v>352</v>
      </c>
      <c r="I1224" s="13" t="s">
        <v>326</v>
      </c>
      <c r="J1224" s="14">
        <v>1</v>
      </c>
      <c r="K1224" s="14">
        <v>31</v>
      </c>
      <c r="L1224" s="15">
        <v>102.3</v>
      </c>
      <c r="M1224" s="15">
        <v>102.3</v>
      </c>
    </row>
    <row r="1225" spans="4:13">
      <c r="D1225" s="12">
        <v>46124</v>
      </c>
      <c r="E1225" s="13">
        <v>1594058</v>
      </c>
      <c r="F1225" s="13" t="s">
        <v>324</v>
      </c>
      <c r="G1225" s="14">
        <v>20332470</v>
      </c>
      <c r="H1225" s="13" t="s">
        <v>455</v>
      </c>
      <c r="I1225" s="13" t="s">
        <v>62</v>
      </c>
      <c r="J1225" s="14">
        <v>1</v>
      </c>
      <c r="K1225" s="14">
        <v>11</v>
      </c>
      <c r="L1225" s="15">
        <v>36.3</v>
      </c>
      <c r="M1225" s="15">
        <v>36.3</v>
      </c>
    </row>
    <row r="1226" spans="4:13">
      <c r="D1226" s="12">
        <v>46124</v>
      </c>
      <c r="E1226" s="13">
        <v>1594058</v>
      </c>
      <c r="F1226" s="13" t="s">
        <v>47</v>
      </c>
      <c r="G1226" s="14">
        <v>20303011</v>
      </c>
      <c r="H1226" s="13" t="s">
        <v>330</v>
      </c>
      <c r="I1226" s="13" t="s">
        <v>331</v>
      </c>
      <c r="J1226" s="14">
        <v>2</v>
      </c>
      <c r="K1226" s="14">
        <v>52</v>
      </c>
      <c r="L1226" s="15">
        <v>85.8</v>
      </c>
      <c r="M1226" s="15">
        <v>171.6</v>
      </c>
    </row>
    <row r="1227" spans="4:13">
      <c r="D1227" s="12">
        <v>46124</v>
      </c>
      <c r="E1227" s="13">
        <v>1594058</v>
      </c>
      <c r="F1227" s="13" t="s">
        <v>65</v>
      </c>
      <c r="G1227" s="14">
        <v>20309865</v>
      </c>
      <c r="H1227" s="13" t="s">
        <v>499</v>
      </c>
      <c r="I1227" s="13" t="s">
        <v>49</v>
      </c>
      <c r="J1227" s="14">
        <v>1</v>
      </c>
      <c r="K1227" s="14">
        <v>2</v>
      </c>
      <c r="L1227" s="15">
        <v>9.9</v>
      </c>
      <c r="M1227" s="15">
        <v>9.9</v>
      </c>
    </row>
    <row r="1228" spans="4:13">
      <c r="D1228" s="12">
        <v>46124</v>
      </c>
      <c r="E1228" s="13">
        <v>1594058</v>
      </c>
      <c r="F1228" s="13" t="s">
        <v>65</v>
      </c>
      <c r="G1228" s="14">
        <v>20303836</v>
      </c>
      <c r="H1228" s="13" t="s">
        <v>332</v>
      </c>
      <c r="I1228" s="13" t="s">
        <v>83</v>
      </c>
      <c r="J1228" s="14">
        <v>4</v>
      </c>
      <c r="K1228" s="14">
        <v>16</v>
      </c>
      <c r="L1228" s="15">
        <v>13.2</v>
      </c>
      <c r="M1228" s="15">
        <v>52.8</v>
      </c>
    </row>
    <row r="1229" spans="4:13">
      <c r="D1229" s="12">
        <v>46124</v>
      </c>
      <c r="E1229" s="13">
        <v>1594059</v>
      </c>
      <c r="F1229" s="13" t="s">
        <v>20</v>
      </c>
      <c r="G1229" s="14">
        <v>20303954</v>
      </c>
      <c r="H1229" s="13" t="s">
        <v>295</v>
      </c>
      <c r="I1229" s="13" t="s">
        <v>29</v>
      </c>
      <c r="J1229" s="14">
        <v>1</v>
      </c>
      <c r="K1229" s="14">
        <v>1</v>
      </c>
      <c r="L1229" s="15">
        <v>4.8</v>
      </c>
      <c r="M1229" s="15">
        <v>4.8</v>
      </c>
    </row>
    <row r="1230" spans="4:13">
      <c r="D1230" s="12">
        <v>46124</v>
      </c>
      <c r="E1230" s="13">
        <v>1594059</v>
      </c>
      <c r="F1230" s="13" t="s">
        <v>20</v>
      </c>
      <c r="G1230" s="14">
        <v>20307293</v>
      </c>
      <c r="H1230" s="13" t="s">
        <v>211</v>
      </c>
      <c r="I1230" s="13" t="s">
        <v>22</v>
      </c>
      <c r="J1230" s="14">
        <v>1</v>
      </c>
      <c r="K1230" s="14">
        <v>2</v>
      </c>
      <c r="L1230" s="15">
        <v>8.1</v>
      </c>
      <c r="M1230" s="15">
        <v>8.1</v>
      </c>
    </row>
    <row r="1231" spans="4:13">
      <c r="D1231" s="12">
        <v>46124</v>
      </c>
      <c r="E1231" s="13">
        <v>1594059</v>
      </c>
      <c r="F1231" s="13" t="s">
        <v>20</v>
      </c>
      <c r="G1231" s="14">
        <v>20303863</v>
      </c>
      <c r="H1231" s="13" t="s">
        <v>28</v>
      </c>
      <c r="I1231" s="13" t="s">
        <v>29</v>
      </c>
      <c r="J1231" s="14">
        <v>1</v>
      </c>
      <c r="K1231" s="14">
        <v>1</v>
      </c>
      <c r="L1231" s="15">
        <v>4.8</v>
      </c>
      <c r="M1231" s="15">
        <v>4.8</v>
      </c>
    </row>
    <row r="1232" spans="4:13">
      <c r="D1232" s="12">
        <v>46124</v>
      </c>
      <c r="E1232" s="13">
        <v>1594059</v>
      </c>
      <c r="F1232" s="13" t="s">
        <v>20</v>
      </c>
      <c r="G1232" s="14">
        <v>20309927</v>
      </c>
      <c r="H1232" s="13" t="s">
        <v>495</v>
      </c>
      <c r="I1232" s="13" t="s">
        <v>29</v>
      </c>
      <c r="J1232" s="14">
        <v>1</v>
      </c>
      <c r="K1232" s="14">
        <v>2</v>
      </c>
      <c r="L1232" s="15">
        <v>8.1</v>
      </c>
      <c r="M1232" s="15">
        <v>8.1</v>
      </c>
    </row>
    <row r="1233" spans="4:13">
      <c r="D1233" s="12">
        <v>46124</v>
      </c>
      <c r="E1233" s="13">
        <v>1594060</v>
      </c>
      <c r="F1233" s="13" t="s">
        <v>131</v>
      </c>
      <c r="G1233" s="14">
        <v>20384037</v>
      </c>
      <c r="H1233" s="13" t="s">
        <v>376</v>
      </c>
      <c r="I1233" s="13" t="s">
        <v>221</v>
      </c>
      <c r="J1233" s="14">
        <v>1</v>
      </c>
      <c r="K1233" s="14">
        <v>25</v>
      </c>
      <c r="L1233" s="15">
        <v>180</v>
      </c>
      <c r="M1233" s="15">
        <f>J1233*L1233</f>
        <v>180</v>
      </c>
    </row>
    <row r="1234" spans="4:13">
      <c r="D1234" s="12">
        <v>46124</v>
      </c>
      <c r="E1234" s="13">
        <v>1594060</v>
      </c>
      <c r="F1234" s="13" t="s">
        <v>131</v>
      </c>
      <c r="G1234" s="14">
        <v>20312572</v>
      </c>
      <c r="H1234" s="13" t="s">
        <v>366</v>
      </c>
      <c r="I1234" s="13" t="s">
        <v>221</v>
      </c>
      <c r="J1234" s="14">
        <v>1</v>
      </c>
      <c r="K1234" s="14">
        <v>27</v>
      </c>
      <c r="L1234" s="15">
        <v>180</v>
      </c>
      <c r="M1234" s="15">
        <f>J1234*L1234</f>
        <v>180</v>
      </c>
    </row>
    <row r="1235" spans="4:13">
      <c r="D1235" s="12">
        <v>46124</v>
      </c>
      <c r="E1235" s="13">
        <v>1594060</v>
      </c>
      <c r="F1235" s="13" t="s">
        <v>131</v>
      </c>
      <c r="G1235" s="14">
        <v>20303777</v>
      </c>
      <c r="H1235" s="13" t="s">
        <v>351</v>
      </c>
      <c r="I1235" s="13" t="s">
        <v>221</v>
      </c>
      <c r="J1235" s="14">
        <v>1</v>
      </c>
      <c r="K1235" s="14">
        <v>27</v>
      </c>
      <c r="L1235" s="15">
        <v>180</v>
      </c>
      <c r="M1235" s="15">
        <f>J1235*L1235</f>
        <v>180</v>
      </c>
    </row>
    <row r="1236" spans="4:13">
      <c r="D1236" s="12">
        <v>46124</v>
      </c>
      <c r="E1236" s="13">
        <v>1594096</v>
      </c>
      <c r="F1236" s="13" t="s">
        <v>378</v>
      </c>
      <c r="G1236" s="14">
        <v>20310012</v>
      </c>
      <c r="H1236" s="13" t="s">
        <v>379</v>
      </c>
      <c r="I1236" s="13" t="s">
        <v>2</v>
      </c>
      <c r="J1236" s="14">
        <v>8</v>
      </c>
      <c r="K1236" s="14">
        <v>0</v>
      </c>
      <c r="L1236" s="15">
        <v>15</v>
      </c>
      <c r="M1236" s="15">
        <v>120</v>
      </c>
    </row>
    <row r="1237" spans="4:13">
      <c r="D1237" s="12">
        <v>46125</v>
      </c>
      <c r="E1237" s="13">
        <v>1594174</v>
      </c>
      <c r="F1237" s="13" t="s">
        <v>131</v>
      </c>
      <c r="G1237" s="14">
        <v>20309677</v>
      </c>
      <c r="H1237" s="13" t="s">
        <v>362</v>
      </c>
      <c r="I1237" s="13" t="s">
        <v>221</v>
      </c>
      <c r="J1237" s="14">
        <v>1</v>
      </c>
      <c r="K1237" s="14">
        <v>12</v>
      </c>
      <c r="L1237" s="15">
        <v>112.2</v>
      </c>
      <c r="M1237" s="15">
        <v>112.2</v>
      </c>
    </row>
    <row r="1238" spans="4:13">
      <c r="D1238" s="12">
        <v>46125</v>
      </c>
      <c r="E1238" s="13">
        <v>1594174</v>
      </c>
      <c r="F1238" s="13" t="s">
        <v>131</v>
      </c>
      <c r="G1238" s="14">
        <v>20312465</v>
      </c>
      <c r="H1238" s="13" t="s">
        <v>320</v>
      </c>
      <c r="I1238" s="13" t="s">
        <v>221</v>
      </c>
      <c r="J1238" s="14">
        <v>1</v>
      </c>
      <c r="K1238" s="14">
        <v>27</v>
      </c>
      <c r="L1238" s="15">
        <v>180</v>
      </c>
      <c r="M1238" s="15">
        <f>J1238*L1238</f>
        <v>180</v>
      </c>
    </row>
    <row r="1239" spans="4:13">
      <c r="D1239" s="12">
        <v>46125</v>
      </c>
      <c r="E1239" s="13">
        <v>1594174</v>
      </c>
      <c r="F1239" s="13" t="s">
        <v>131</v>
      </c>
      <c r="G1239" s="14">
        <v>20412034</v>
      </c>
      <c r="H1239" s="13" t="s">
        <v>344</v>
      </c>
      <c r="I1239" s="13" t="s">
        <v>221</v>
      </c>
      <c r="J1239" s="14">
        <v>1</v>
      </c>
      <c r="K1239" s="14">
        <v>28</v>
      </c>
      <c r="L1239" s="15">
        <v>180</v>
      </c>
      <c r="M1239" s="15">
        <f>J1239*L1239</f>
        <v>180</v>
      </c>
    </row>
    <row r="1240" spans="4:13">
      <c r="D1240" s="12">
        <v>46125</v>
      </c>
      <c r="E1240" s="13">
        <v>1594175</v>
      </c>
      <c r="F1240" s="13" t="s">
        <v>20</v>
      </c>
      <c r="G1240" s="14">
        <v>20312918</v>
      </c>
      <c r="H1240" s="13" t="s">
        <v>390</v>
      </c>
      <c r="I1240" s="13" t="s">
        <v>139</v>
      </c>
      <c r="J1240" s="14">
        <v>1</v>
      </c>
      <c r="K1240" s="14">
        <v>1</v>
      </c>
      <c r="L1240" s="15">
        <v>4.8</v>
      </c>
      <c r="M1240" s="15">
        <v>4.8</v>
      </c>
    </row>
    <row r="1241" spans="4:13">
      <c r="D1241" s="12">
        <v>46125</v>
      </c>
      <c r="E1241" s="13">
        <v>1594175</v>
      </c>
      <c r="F1241" s="13" t="s">
        <v>47</v>
      </c>
      <c r="G1241" s="14">
        <v>20303011</v>
      </c>
      <c r="H1241" s="13" t="s">
        <v>330</v>
      </c>
      <c r="I1241" s="13" t="s">
        <v>331</v>
      </c>
      <c r="J1241" s="14">
        <v>1</v>
      </c>
      <c r="K1241" s="14">
        <v>26</v>
      </c>
      <c r="L1241" s="15">
        <v>85.8</v>
      </c>
      <c r="M1241" s="15">
        <v>85.8</v>
      </c>
    </row>
    <row r="1242" spans="4:13">
      <c r="D1242" s="12">
        <v>46125</v>
      </c>
      <c r="E1242" s="13">
        <v>1594175</v>
      </c>
      <c r="F1242" s="13" t="s">
        <v>47</v>
      </c>
      <c r="G1242" s="14">
        <v>20306256</v>
      </c>
      <c r="H1242" s="13" t="s">
        <v>349</v>
      </c>
      <c r="I1242" s="13" t="s">
        <v>83</v>
      </c>
      <c r="J1242" s="14">
        <v>1</v>
      </c>
      <c r="K1242" s="14">
        <v>22</v>
      </c>
      <c r="L1242" s="15">
        <v>72.6</v>
      </c>
      <c r="M1242" s="15">
        <v>72.6</v>
      </c>
    </row>
    <row r="1243" spans="4:13">
      <c r="D1243" s="12">
        <v>46125</v>
      </c>
      <c r="E1243" s="13">
        <v>1594175</v>
      </c>
      <c r="F1243" s="13" t="s">
        <v>65</v>
      </c>
      <c r="G1243" s="14">
        <v>20303836</v>
      </c>
      <c r="H1243" s="13" t="s">
        <v>332</v>
      </c>
      <c r="I1243" s="13" t="s">
        <v>83</v>
      </c>
      <c r="J1243" s="14">
        <v>1</v>
      </c>
      <c r="K1243" s="14">
        <v>4</v>
      </c>
      <c r="L1243" s="15">
        <v>13.2</v>
      </c>
      <c r="M1243" s="15">
        <v>13.2</v>
      </c>
    </row>
    <row r="1244" spans="4:13">
      <c r="D1244" s="12">
        <v>46125</v>
      </c>
      <c r="E1244" s="13">
        <v>1594192</v>
      </c>
      <c r="F1244" s="13" t="s">
        <v>131</v>
      </c>
      <c r="G1244" s="14">
        <v>20309648</v>
      </c>
      <c r="H1244" s="13" t="s">
        <v>363</v>
      </c>
      <c r="I1244" s="13" t="s">
        <v>221</v>
      </c>
      <c r="J1244" s="14">
        <v>1</v>
      </c>
      <c r="K1244" s="14">
        <v>14</v>
      </c>
      <c r="L1244" s="15">
        <v>138.6</v>
      </c>
      <c r="M1244" s="15">
        <v>138.6</v>
      </c>
    </row>
    <row r="1245" spans="4:13">
      <c r="D1245" s="12">
        <v>46125</v>
      </c>
      <c r="E1245" s="13">
        <v>1594257</v>
      </c>
      <c r="F1245" s="13" t="s">
        <v>15</v>
      </c>
      <c r="G1245" s="14">
        <v>20315046</v>
      </c>
      <c r="H1245" s="13" t="s">
        <v>340</v>
      </c>
      <c r="I1245" s="13" t="s">
        <v>314</v>
      </c>
      <c r="J1245" s="14">
        <v>1</v>
      </c>
      <c r="K1245" s="14">
        <v>1</v>
      </c>
      <c r="L1245" s="15">
        <v>21</v>
      </c>
      <c r="M1245" s="15">
        <v>21</v>
      </c>
    </row>
    <row r="1246" spans="4:13">
      <c r="D1246" s="12">
        <v>46125</v>
      </c>
      <c r="E1246" s="13">
        <v>1594257</v>
      </c>
      <c r="F1246" s="13" t="s">
        <v>131</v>
      </c>
      <c r="G1246" s="14">
        <v>20309658</v>
      </c>
      <c r="H1246" s="13" t="s">
        <v>365</v>
      </c>
      <c r="I1246" s="13" t="s">
        <v>221</v>
      </c>
      <c r="J1246" s="14">
        <v>2</v>
      </c>
      <c r="K1246" s="14">
        <v>10</v>
      </c>
      <c r="L1246" s="15">
        <v>52.8</v>
      </c>
      <c r="M1246" s="15">
        <v>105.6</v>
      </c>
    </row>
    <row r="1247" spans="4:13">
      <c r="D1247" s="12">
        <v>46125</v>
      </c>
      <c r="E1247" s="13">
        <v>1594257</v>
      </c>
      <c r="F1247" s="13" t="s">
        <v>131</v>
      </c>
      <c r="G1247" s="14">
        <v>20412202</v>
      </c>
      <c r="H1247" s="13" t="s">
        <v>322</v>
      </c>
      <c r="I1247" s="13" t="s">
        <v>221</v>
      </c>
      <c r="J1247" s="14">
        <v>1</v>
      </c>
      <c r="K1247" s="14">
        <v>23</v>
      </c>
      <c r="L1247" s="15">
        <v>180</v>
      </c>
      <c r="M1247" s="15">
        <f>J1247*L1247</f>
        <v>180</v>
      </c>
    </row>
    <row r="1248" spans="4:13">
      <c r="D1248" s="12">
        <v>46125</v>
      </c>
      <c r="E1248" s="13">
        <v>1594269</v>
      </c>
      <c r="F1248" s="13" t="s">
        <v>15</v>
      </c>
      <c r="G1248" s="14">
        <v>20359947</v>
      </c>
      <c r="H1248" s="13" t="s">
        <v>373</v>
      </c>
      <c r="I1248" s="13" t="s">
        <v>128</v>
      </c>
      <c r="J1248" s="14">
        <v>1</v>
      </c>
      <c r="K1248" s="14">
        <v>1</v>
      </c>
      <c r="L1248" s="15">
        <v>16.8</v>
      </c>
      <c r="M1248" s="15">
        <v>16.8</v>
      </c>
    </row>
    <row r="1249" spans="4:13">
      <c r="D1249" s="12">
        <v>46125</v>
      </c>
      <c r="E1249" s="13">
        <v>1594269</v>
      </c>
      <c r="F1249" s="13" t="s">
        <v>131</v>
      </c>
      <c r="G1249" s="14">
        <v>20332661</v>
      </c>
      <c r="H1249" s="13" t="s">
        <v>512</v>
      </c>
      <c r="I1249" s="13" t="s">
        <v>221</v>
      </c>
      <c r="J1249" s="14">
        <v>1</v>
      </c>
      <c r="K1249" s="14">
        <v>7</v>
      </c>
      <c r="L1249" s="15">
        <v>79.2</v>
      </c>
      <c r="M1249" s="15">
        <v>79.2</v>
      </c>
    </row>
    <row r="1250" spans="4:13">
      <c r="D1250" s="12">
        <v>46125</v>
      </c>
      <c r="E1250" s="13">
        <v>1594269</v>
      </c>
      <c r="F1250" s="13" t="s">
        <v>131</v>
      </c>
      <c r="G1250" s="14">
        <v>20309648</v>
      </c>
      <c r="H1250" s="13" t="s">
        <v>363</v>
      </c>
      <c r="I1250" s="13" t="s">
        <v>221</v>
      </c>
      <c r="J1250" s="14">
        <v>1</v>
      </c>
      <c r="K1250" s="14">
        <v>14</v>
      </c>
      <c r="L1250" s="15">
        <v>138.6</v>
      </c>
      <c r="M1250" s="15">
        <v>138.6</v>
      </c>
    </row>
    <row r="1251" spans="4:13">
      <c r="D1251" s="12">
        <v>46125</v>
      </c>
      <c r="E1251" s="13">
        <v>1594269</v>
      </c>
      <c r="F1251" s="13" t="s">
        <v>385</v>
      </c>
      <c r="G1251" s="14">
        <v>20399009</v>
      </c>
      <c r="H1251" s="13" t="s">
        <v>404</v>
      </c>
      <c r="I1251" s="13" t="s">
        <v>128</v>
      </c>
      <c r="J1251" s="14">
        <v>1</v>
      </c>
      <c r="K1251" s="14">
        <v>1</v>
      </c>
      <c r="L1251" s="15">
        <v>16.8</v>
      </c>
      <c r="M1251" s="15">
        <v>16.8</v>
      </c>
    </row>
    <row r="1252" spans="4:13">
      <c r="D1252" s="12">
        <v>46125</v>
      </c>
      <c r="E1252" s="13">
        <v>1594272</v>
      </c>
      <c r="F1252" s="13" t="s">
        <v>324</v>
      </c>
      <c r="G1252" s="14">
        <v>20303010</v>
      </c>
      <c r="H1252" s="13" t="s">
        <v>325</v>
      </c>
      <c r="I1252" s="13" t="s">
        <v>326</v>
      </c>
      <c r="J1252" s="14">
        <v>1</v>
      </c>
      <c r="K1252" s="14">
        <v>25</v>
      </c>
      <c r="L1252" s="15">
        <v>82.5</v>
      </c>
      <c r="M1252" s="15">
        <v>82.5</v>
      </c>
    </row>
    <row r="1253" spans="4:13">
      <c r="D1253" s="12">
        <v>46125</v>
      </c>
      <c r="E1253" s="13">
        <v>1594272</v>
      </c>
      <c r="F1253" s="13" t="s">
        <v>324</v>
      </c>
      <c r="G1253" s="14">
        <v>20303022</v>
      </c>
      <c r="H1253" s="13" t="s">
        <v>352</v>
      </c>
      <c r="I1253" s="13" t="s">
        <v>326</v>
      </c>
      <c r="J1253" s="14">
        <v>2</v>
      </c>
      <c r="K1253" s="14">
        <v>62</v>
      </c>
      <c r="L1253" s="15">
        <v>102.3</v>
      </c>
      <c r="M1253" s="15">
        <v>204.6</v>
      </c>
    </row>
    <row r="1254" spans="4:13">
      <c r="D1254" s="12">
        <v>46125</v>
      </c>
      <c r="E1254" s="13">
        <v>1594272</v>
      </c>
      <c r="F1254" s="13" t="s">
        <v>324</v>
      </c>
      <c r="G1254" s="14">
        <v>20303018</v>
      </c>
      <c r="H1254" s="13" t="s">
        <v>454</v>
      </c>
      <c r="I1254" s="13" t="s">
        <v>326</v>
      </c>
      <c r="J1254" s="14">
        <v>1</v>
      </c>
      <c r="K1254" s="14">
        <v>50</v>
      </c>
      <c r="L1254" s="15">
        <v>165</v>
      </c>
      <c r="M1254" s="15">
        <v>165</v>
      </c>
    </row>
    <row r="1255" spans="4:13">
      <c r="D1255" s="12">
        <v>46125</v>
      </c>
      <c r="E1255" s="13">
        <v>1594272</v>
      </c>
      <c r="F1255" s="13" t="s">
        <v>324</v>
      </c>
      <c r="G1255" s="14">
        <v>20380422</v>
      </c>
      <c r="H1255" s="13" t="s">
        <v>516</v>
      </c>
      <c r="I1255" s="13" t="s">
        <v>83</v>
      </c>
      <c r="J1255" s="14">
        <v>1</v>
      </c>
      <c r="K1255" s="14">
        <v>5</v>
      </c>
      <c r="L1255" s="15">
        <v>16.5</v>
      </c>
      <c r="M1255" s="15">
        <v>16.5</v>
      </c>
    </row>
    <row r="1256" spans="4:13">
      <c r="D1256" s="12">
        <v>46125</v>
      </c>
      <c r="E1256" s="13">
        <v>1594272</v>
      </c>
      <c r="F1256" s="13" t="s">
        <v>324</v>
      </c>
      <c r="G1256" s="14">
        <v>20303025</v>
      </c>
      <c r="H1256" s="13" t="s">
        <v>336</v>
      </c>
      <c r="I1256" s="13" t="s">
        <v>326</v>
      </c>
      <c r="J1256" s="14">
        <v>1</v>
      </c>
      <c r="K1256" s="14">
        <v>47</v>
      </c>
      <c r="L1256" s="15">
        <v>155.1</v>
      </c>
      <c r="M1256" s="15">
        <v>155.1</v>
      </c>
    </row>
    <row r="1257" spans="4:13">
      <c r="D1257" s="12">
        <v>46125</v>
      </c>
      <c r="E1257" s="13">
        <v>1594272</v>
      </c>
      <c r="F1257" s="13" t="s">
        <v>324</v>
      </c>
      <c r="G1257" s="14">
        <v>20303029</v>
      </c>
      <c r="H1257" s="13" t="s">
        <v>337</v>
      </c>
      <c r="I1257" s="13" t="s">
        <v>326</v>
      </c>
      <c r="J1257" s="14">
        <v>2</v>
      </c>
      <c r="K1257" s="14">
        <v>94</v>
      </c>
      <c r="L1257" s="15">
        <v>155.1</v>
      </c>
      <c r="M1257" s="15">
        <v>310.2</v>
      </c>
    </row>
    <row r="1258" spans="4:13">
      <c r="D1258" s="12">
        <v>46125</v>
      </c>
      <c r="E1258" s="13">
        <v>1594272</v>
      </c>
      <c r="F1258" s="13" t="s">
        <v>324</v>
      </c>
      <c r="G1258" s="14">
        <v>20303036</v>
      </c>
      <c r="H1258" s="13" t="s">
        <v>431</v>
      </c>
      <c r="I1258" s="13" t="s">
        <v>326</v>
      </c>
      <c r="J1258" s="14">
        <v>1</v>
      </c>
      <c r="K1258" s="14">
        <v>22</v>
      </c>
      <c r="L1258" s="15">
        <v>72.6</v>
      </c>
      <c r="M1258" s="15">
        <v>72.6</v>
      </c>
    </row>
    <row r="1259" spans="4:13">
      <c r="D1259" s="12">
        <v>46125</v>
      </c>
      <c r="E1259" s="13">
        <v>1594272</v>
      </c>
      <c r="F1259" s="13" t="s">
        <v>324</v>
      </c>
      <c r="G1259" s="14">
        <v>20332470</v>
      </c>
      <c r="H1259" s="13" t="s">
        <v>455</v>
      </c>
      <c r="I1259" s="13" t="s">
        <v>62</v>
      </c>
      <c r="J1259" s="14">
        <v>1</v>
      </c>
      <c r="K1259" s="14">
        <v>11</v>
      </c>
      <c r="L1259" s="15">
        <v>36.3</v>
      </c>
      <c r="M1259" s="15">
        <v>36.3</v>
      </c>
    </row>
    <row r="1260" spans="4:13">
      <c r="D1260" s="12">
        <v>46125</v>
      </c>
      <c r="E1260" s="13">
        <v>1594272</v>
      </c>
      <c r="F1260" s="13" t="s">
        <v>324</v>
      </c>
      <c r="G1260" s="14">
        <v>20303052</v>
      </c>
      <c r="H1260" s="13" t="s">
        <v>388</v>
      </c>
      <c r="I1260" s="13" t="s">
        <v>326</v>
      </c>
      <c r="J1260" s="14">
        <v>1</v>
      </c>
      <c r="K1260" s="14">
        <v>30</v>
      </c>
      <c r="L1260" s="15">
        <v>99</v>
      </c>
      <c r="M1260" s="15">
        <v>99</v>
      </c>
    </row>
    <row r="1261" spans="4:13">
      <c r="D1261" s="12">
        <v>46125</v>
      </c>
      <c r="E1261" s="13">
        <v>1594272</v>
      </c>
      <c r="F1261" s="13" t="s">
        <v>324</v>
      </c>
      <c r="G1261" s="14">
        <v>20303058</v>
      </c>
      <c r="H1261" s="13" t="s">
        <v>338</v>
      </c>
      <c r="I1261" s="13" t="s">
        <v>326</v>
      </c>
      <c r="J1261" s="14">
        <v>1</v>
      </c>
      <c r="K1261" s="14">
        <v>57</v>
      </c>
      <c r="L1261" s="15">
        <v>188.1</v>
      </c>
      <c r="M1261" s="15">
        <v>188.1</v>
      </c>
    </row>
    <row r="1262" spans="4:13">
      <c r="D1262" s="12">
        <v>46125</v>
      </c>
      <c r="E1262" s="13">
        <v>1594272</v>
      </c>
      <c r="F1262" s="13" t="s">
        <v>20</v>
      </c>
      <c r="G1262" s="14">
        <v>20303954</v>
      </c>
      <c r="H1262" s="13" t="s">
        <v>295</v>
      </c>
      <c r="I1262" s="13" t="s">
        <v>29</v>
      </c>
      <c r="J1262" s="14">
        <v>1</v>
      </c>
      <c r="K1262" s="14">
        <v>1</v>
      </c>
      <c r="L1262" s="15">
        <v>4.8</v>
      </c>
      <c r="M1262" s="15">
        <v>4.8</v>
      </c>
    </row>
    <row r="1263" spans="4:13">
      <c r="D1263" s="12">
        <v>46125</v>
      </c>
      <c r="E1263" s="13">
        <v>1594272</v>
      </c>
      <c r="F1263" s="13" t="s">
        <v>20</v>
      </c>
      <c r="G1263" s="14">
        <v>20307293</v>
      </c>
      <c r="H1263" s="13" t="s">
        <v>211</v>
      </c>
      <c r="I1263" s="13" t="s">
        <v>22</v>
      </c>
      <c r="J1263" s="14">
        <v>1</v>
      </c>
      <c r="K1263" s="14">
        <v>2</v>
      </c>
      <c r="L1263" s="15">
        <v>8.1</v>
      </c>
      <c r="M1263" s="15">
        <v>8.1</v>
      </c>
    </row>
    <row r="1264" spans="4:13">
      <c r="D1264" s="12">
        <v>46125</v>
      </c>
      <c r="E1264" s="13">
        <v>1594272</v>
      </c>
      <c r="F1264" s="13" t="s">
        <v>47</v>
      </c>
      <c r="G1264" s="14">
        <v>20302998</v>
      </c>
      <c r="H1264" s="13" t="s">
        <v>346</v>
      </c>
      <c r="I1264" s="13" t="s">
        <v>347</v>
      </c>
      <c r="J1264" s="14">
        <v>1</v>
      </c>
      <c r="K1264" s="14">
        <v>19</v>
      </c>
      <c r="L1264" s="15">
        <v>62.7</v>
      </c>
      <c r="M1264" s="15">
        <v>62.7</v>
      </c>
    </row>
    <row r="1265" spans="4:13">
      <c r="D1265" s="12">
        <v>46125</v>
      </c>
      <c r="E1265" s="13">
        <v>1594272</v>
      </c>
      <c r="F1265" s="13" t="s">
        <v>47</v>
      </c>
      <c r="G1265" s="14">
        <v>20303011</v>
      </c>
      <c r="H1265" s="13" t="s">
        <v>330</v>
      </c>
      <c r="I1265" s="13" t="s">
        <v>331</v>
      </c>
      <c r="J1265" s="14">
        <v>1</v>
      </c>
      <c r="K1265" s="14">
        <v>26</v>
      </c>
      <c r="L1265" s="15">
        <v>85.8</v>
      </c>
      <c r="M1265" s="15">
        <v>85.8</v>
      </c>
    </row>
    <row r="1266" spans="4:13">
      <c r="D1266" s="12">
        <v>46125</v>
      </c>
      <c r="E1266" s="13">
        <v>1594272</v>
      </c>
      <c r="F1266" s="13" t="s">
        <v>65</v>
      </c>
      <c r="G1266" s="14">
        <v>20303836</v>
      </c>
      <c r="H1266" s="13" t="s">
        <v>332</v>
      </c>
      <c r="I1266" s="13" t="s">
        <v>83</v>
      </c>
      <c r="J1266" s="14">
        <v>2</v>
      </c>
      <c r="K1266" s="14">
        <v>8</v>
      </c>
      <c r="L1266" s="15">
        <v>13.2</v>
      </c>
      <c r="M1266" s="15">
        <v>26.4</v>
      </c>
    </row>
    <row r="1267" spans="4:13">
      <c r="D1267" s="12">
        <v>46125</v>
      </c>
      <c r="E1267" s="13">
        <v>1594371</v>
      </c>
      <c r="F1267" s="13" t="s">
        <v>378</v>
      </c>
      <c r="G1267" s="14">
        <v>20310012</v>
      </c>
      <c r="H1267" s="13" t="s">
        <v>379</v>
      </c>
      <c r="I1267" s="13" t="s">
        <v>2</v>
      </c>
      <c r="J1267" s="14">
        <v>6</v>
      </c>
      <c r="K1267" s="14">
        <v>0</v>
      </c>
      <c r="L1267" s="15">
        <v>15</v>
      </c>
      <c r="M1267" s="15">
        <v>90</v>
      </c>
    </row>
    <row r="1268" spans="4:13">
      <c r="D1268" s="12">
        <v>46125</v>
      </c>
      <c r="E1268" s="13">
        <v>1594376</v>
      </c>
      <c r="F1268" s="13" t="s">
        <v>324</v>
      </c>
      <c r="G1268" s="14">
        <v>20303010</v>
      </c>
      <c r="H1268" s="13" t="s">
        <v>325</v>
      </c>
      <c r="I1268" s="13" t="s">
        <v>326</v>
      </c>
      <c r="J1268" s="14">
        <v>2</v>
      </c>
      <c r="K1268" s="14">
        <v>50</v>
      </c>
      <c r="L1268" s="15">
        <v>82.5</v>
      </c>
      <c r="M1268" s="15">
        <v>165</v>
      </c>
    </row>
    <row r="1269" spans="4:13">
      <c r="D1269" s="12">
        <v>46125</v>
      </c>
      <c r="E1269" s="13">
        <v>1594376</v>
      </c>
      <c r="F1269" s="13" t="s">
        <v>324</v>
      </c>
      <c r="G1269" s="14">
        <v>20303023</v>
      </c>
      <c r="H1269" s="13" t="s">
        <v>335</v>
      </c>
      <c r="I1269" s="13" t="s">
        <v>326</v>
      </c>
      <c r="J1269" s="14">
        <v>1</v>
      </c>
      <c r="K1269" s="14">
        <v>63</v>
      </c>
      <c r="L1269" s="15">
        <v>207.9</v>
      </c>
      <c r="M1269" s="15">
        <v>207.9</v>
      </c>
    </row>
    <row r="1270" spans="4:13">
      <c r="D1270" s="12">
        <v>46125</v>
      </c>
      <c r="E1270" s="13">
        <v>1594376</v>
      </c>
      <c r="F1270" s="13" t="s">
        <v>324</v>
      </c>
      <c r="G1270" s="14">
        <v>20303029</v>
      </c>
      <c r="H1270" s="13" t="s">
        <v>337</v>
      </c>
      <c r="I1270" s="13" t="s">
        <v>326</v>
      </c>
      <c r="J1270" s="14">
        <v>1</v>
      </c>
      <c r="K1270" s="14">
        <v>47</v>
      </c>
      <c r="L1270" s="15">
        <v>155.1</v>
      </c>
      <c r="M1270" s="15">
        <v>155.1</v>
      </c>
    </row>
    <row r="1271" spans="4:13">
      <c r="D1271" s="12">
        <v>46125</v>
      </c>
      <c r="E1271" s="13">
        <v>1594376</v>
      </c>
      <c r="F1271" s="13" t="s">
        <v>20</v>
      </c>
      <c r="G1271" s="14">
        <v>20313337</v>
      </c>
      <c r="H1271" s="13" t="s">
        <v>353</v>
      </c>
      <c r="I1271" s="13" t="s">
        <v>53</v>
      </c>
      <c r="J1271" s="14">
        <v>1</v>
      </c>
      <c r="K1271" s="14">
        <v>2</v>
      </c>
      <c r="L1271" s="15">
        <v>9.9</v>
      </c>
      <c r="M1271" s="15">
        <v>9.9</v>
      </c>
    </row>
    <row r="1272" spans="4:13">
      <c r="D1272" s="12">
        <v>46125</v>
      </c>
      <c r="E1272" s="13">
        <v>1594376</v>
      </c>
      <c r="F1272" s="13" t="s">
        <v>20</v>
      </c>
      <c r="G1272" s="14">
        <v>20309447</v>
      </c>
      <c r="H1272" s="13" t="s">
        <v>395</v>
      </c>
      <c r="I1272" s="13" t="s">
        <v>29</v>
      </c>
      <c r="J1272" s="14">
        <v>1</v>
      </c>
      <c r="K1272" s="14">
        <v>1</v>
      </c>
      <c r="L1272" s="15">
        <v>4.8</v>
      </c>
      <c r="M1272" s="15">
        <v>4.8</v>
      </c>
    </row>
    <row r="1273" spans="4:13">
      <c r="D1273" s="12">
        <v>46125</v>
      </c>
      <c r="E1273" s="13">
        <v>1594376</v>
      </c>
      <c r="F1273" s="13" t="s">
        <v>20</v>
      </c>
      <c r="G1273" s="14">
        <v>20313225</v>
      </c>
      <c r="H1273" s="13" t="s">
        <v>358</v>
      </c>
      <c r="I1273" s="13" t="s">
        <v>31</v>
      </c>
      <c r="J1273" s="14">
        <v>3</v>
      </c>
      <c r="K1273" s="14">
        <v>12</v>
      </c>
      <c r="L1273" s="15">
        <v>13.2</v>
      </c>
      <c r="M1273" s="15">
        <v>39.6</v>
      </c>
    </row>
    <row r="1274" spans="4:13">
      <c r="D1274" s="12">
        <v>46125</v>
      </c>
      <c r="E1274" s="13">
        <v>1594376</v>
      </c>
      <c r="F1274" s="13" t="s">
        <v>15</v>
      </c>
      <c r="G1274" s="14">
        <v>20315046</v>
      </c>
      <c r="H1274" s="13" t="s">
        <v>340</v>
      </c>
      <c r="I1274" s="13" t="s">
        <v>314</v>
      </c>
      <c r="J1274" s="14">
        <v>1</v>
      </c>
      <c r="K1274" s="14">
        <v>1</v>
      </c>
      <c r="L1274" s="15">
        <v>21</v>
      </c>
      <c r="M1274" s="15">
        <v>21</v>
      </c>
    </row>
    <row r="1275" spans="4:13">
      <c r="D1275" s="12">
        <v>46125</v>
      </c>
      <c r="E1275" s="13">
        <v>1594376</v>
      </c>
      <c r="F1275" s="13" t="s">
        <v>15</v>
      </c>
      <c r="G1275" s="14">
        <v>20359622</v>
      </c>
      <c r="H1275" s="13" t="s">
        <v>500</v>
      </c>
      <c r="I1275" s="13" t="s">
        <v>128</v>
      </c>
      <c r="J1275" s="14">
        <v>1</v>
      </c>
      <c r="K1275" s="14">
        <v>1</v>
      </c>
      <c r="L1275" s="15">
        <v>16.8</v>
      </c>
      <c r="M1275" s="15">
        <v>16.8</v>
      </c>
    </row>
    <row r="1276" spans="4:13">
      <c r="D1276" s="12">
        <v>46125</v>
      </c>
      <c r="E1276" s="13">
        <v>1594376</v>
      </c>
      <c r="F1276" s="13" t="s">
        <v>15</v>
      </c>
      <c r="G1276" s="14">
        <v>20309651</v>
      </c>
      <c r="H1276" s="13" t="s">
        <v>130</v>
      </c>
      <c r="I1276" s="13" t="s">
        <v>62</v>
      </c>
      <c r="J1276" s="14">
        <v>1</v>
      </c>
      <c r="K1276" s="14">
        <v>1</v>
      </c>
      <c r="L1276" s="15">
        <v>21</v>
      </c>
      <c r="M1276" s="15">
        <v>21</v>
      </c>
    </row>
    <row r="1277" spans="4:13">
      <c r="D1277" s="12">
        <v>46125</v>
      </c>
      <c r="E1277" s="13">
        <v>1594376</v>
      </c>
      <c r="F1277" s="13" t="s">
        <v>15</v>
      </c>
      <c r="G1277" s="14">
        <v>20360685</v>
      </c>
      <c r="H1277" s="13" t="s">
        <v>440</v>
      </c>
      <c r="I1277" s="13" t="s">
        <v>128</v>
      </c>
      <c r="J1277" s="14">
        <v>2</v>
      </c>
      <c r="K1277" s="14">
        <v>2</v>
      </c>
      <c r="L1277" s="15">
        <v>16.8</v>
      </c>
      <c r="M1277" s="15">
        <v>33.6</v>
      </c>
    </row>
    <row r="1278" spans="4:13">
      <c r="D1278" s="12">
        <v>46125</v>
      </c>
      <c r="E1278" s="13">
        <v>1594376</v>
      </c>
      <c r="F1278" s="13" t="s">
        <v>15</v>
      </c>
      <c r="G1278" s="14">
        <v>20359638</v>
      </c>
      <c r="H1278" s="13" t="s">
        <v>411</v>
      </c>
      <c r="I1278" s="13" t="s">
        <v>128</v>
      </c>
      <c r="J1278" s="14">
        <v>1</v>
      </c>
      <c r="K1278" s="14">
        <v>1</v>
      </c>
      <c r="L1278" s="15">
        <v>16.8</v>
      </c>
      <c r="M1278" s="15">
        <v>16.8</v>
      </c>
    </row>
    <row r="1279" spans="4:13">
      <c r="D1279" s="12">
        <v>46125</v>
      </c>
      <c r="E1279" s="13">
        <v>1594376</v>
      </c>
      <c r="F1279" s="13" t="s">
        <v>131</v>
      </c>
      <c r="G1279" s="14">
        <v>20309677</v>
      </c>
      <c r="H1279" s="13" t="s">
        <v>362</v>
      </c>
      <c r="I1279" s="13" t="s">
        <v>221</v>
      </c>
      <c r="J1279" s="14">
        <v>1</v>
      </c>
      <c r="K1279" s="14">
        <v>12</v>
      </c>
      <c r="L1279" s="15">
        <v>112.2</v>
      </c>
      <c r="M1279" s="15">
        <v>112.2</v>
      </c>
    </row>
    <row r="1280" spans="4:13">
      <c r="D1280" s="12">
        <v>46125</v>
      </c>
      <c r="E1280" s="13">
        <v>1594376</v>
      </c>
      <c r="F1280" s="13" t="s">
        <v>131</v>
      </c>
      <c r="G1280" s="14">
        <v>20309648</v>
      </c>
      <c r="H1280" s="13" t="s">
        <v>363</v>
      </c>
      <c r="I1280" s="13" t="s">
        <v>221</v>
      </c>
      <c r="J1280" s="14">
        <v>1</v>
      </c>
      <c r="K1280" s="14">
        <v>14</v>
      </c>
      <c r="L1280" s="15">
        <v>138.6</v>
      </c>
      <c r="M1280" s="15">
        <v>138.6</v>
      </c>
    </row>
    <row r="1281" spans="4:13">
      <c r="D1281" s="12">
        <v>46125</v>
      </c>
      <c r="E1281" s="13">
        <v>1594376</v>
      </c>
      <c r="F1281" s="13" t="s">
        <v>131</v>
      </c>
      <c r="G1281" s="14">
        <v>20312465</v>
      </c>
      <c r="H1281" s="13" t="s">
        <v>320</v>
      </c>
      <c r="I1281" s="13" t="s">
        <v>221</v>
      </c>
      <c r="J1281" s="14">
        <v>1</v>
      </c>
      <c r="K1281" s="14">
        <v>27</v>
      </c>
      <c r="L1281" s="15">
        <v>180</v>
      </c>
      <c r="M1281" s="15">
        <f>J1281*L1281</f>
        <v>180</v>
      </c>
    </row>
    <row r="1282" spans="4:13">
      <c r="D1282" s="12">
        <v>46125</v>
      </c>
      <c r="E1282" s="13">
        <v>1594376</v>
      </c>
      <c r="F1282" s="13" t="s">
        <v>131</v>
      </c>
      <c r="G1282" s="14">
        <v>20309658</v>
      </c>
      <c r="H1282" s="13" t="s">
        <v>365</v>
      </c>
      <c r="I1282" s="13" t="s">
        <v>221</v>
      </c>
      <c r="J1282" s="14">
        <v>1</v>
      </c>
      <c r="K1282" s="14">
        <v>5</v>
      </c>
      <c r="L1282" s="15">
        <v>52.8</v>
      </c>
      <c r="M1282" s="15">
        <v>52.8</v>
      </c>
    </row>
    <row r="1283" ht="25.5" spans="4:13">
      <c r="D1283" s="12">
        <v>46125</v>
      </c>
      <c r="E1283" s="13">
        <v>1594376</v>
      </c>
      <c r="F1283" s="13" t="s">
        <v>131</v>
      </c>
      <c r="G1283" s="14">
        <v>20312712</v>
      </c>
      <c r="H1283" s="13" t="s">
        <v>409</v>
      </c>
      <c r="I1283" s="13" t="s">
        <v>221</v>
      </c>
      <c r="J1283" s="14">
        <v>1</v>
      </c>
      <c r="K1283" s="14">
        <v>14</v>
      </c>
      <c r="L1283" s="15">
        <v>138.6</v>
      </c>
      <c r="M1283" s="15">
        <v>138.6</v>
      </c>
    </row>
    <row r="1284" spans="4:13">
      <c r="D1284" s="12">
        <v>46125</v>
      </c>
      <c r="E1284" s="13">
        <v>1594376</v>
      </c>
      <c r="F1284" s="13" t="s">
        <v>131</v>
      </c>
      <c r="G1284" s="14">
        <v>20312572</v>
      </c>
      <c r="H1284" s="13" t="s">
        <v>366</v>
      </c>
      <c r="I1284" s="13" t="s">
        <v>221</v>
      </c>
      <c r="J1284" s="14">
        <v>1</v>
      </c>
      <c r="K1284" s="14">
        <v>27</v>
      </c>
      <c r="L1284" s="15">
        <v>180</v>
      </c>
      <c r="M1284" s="15">
        <f>J1284*L1284</f>
        <v>180</v>
      </c>
    </row>
    <row r="1285" spans="4:13">
      <c r="D1285" s="12">
        <v>46125</v>
      </c>
      <c r="E1285" s="13">
        <v>1594376</v>
      </c>
      <c r="F1285" s="13" t="s">
        <v>131</v>
      </c>
      <c r="G1285" s="14">
        <v>20303777</v>
      </c>
      <c r="H1285" s="13" t="s">
        <v>351</v>
      </c>
      <c r="I1285" s="13" t="s">
        <v>221</v>
      </c>
      <c r="J1285" s="14">
        <v>1</v>
      </c>
      <c r="K1285" s="14">
        <v>27</v>
      </c>
      <c r="L1285" s="15">
        <v>180</v>
      </c>
      <c r="M1285" s="15">
        <f>J1285*L1285</f>
        <v>180</v>
      </c>
    </row>
    <row r="1286" spans="4:13">
      <c r="D1286" s="12">
        <v>46125</v>
      </c>
      <c r="E1286" s="13">
        <v>1594376</v>
      </c>
      <c r="F1286" s="13" t="s">
        <v>131</v>
      </c>
      <c r="G1286" s="14">
        <v>20412034</v>
      </c>
      <c r="H1286" s="13" t="s">
        <v>344</v>
      </c>
      <c r="I1286" s="13" t="s">
        <v>221</v>
      </c>
      <c r="J1286" s="14">
        <v>1</v>
      </c>
      <c r="K1286" s="14">
        <v>28</v>
      </c>
      <c r="L1286" s="15">
        <v>180</v>
      </c>
      <c r="M1286" s="15">
        <f>J1286*L1286</f>
        <v>180</v>
      </c>
    </row>
    <row r="1287" spans="4:13">
      <c r="D1287" s="12">
        <v>46125</v>
      </c>
      <c r="E1287" s="13">
        <v>1594376</v>
      </c>
      <c r="F1287" s="13" t="s">
        <v>131</v>
      </c>
      <c r="G1287" s="14">
        <v>20412194</v>
      </c>
      <c r="H1287" s="13" t="s">
        <v>315</v>
      </c>
      <c r="I1287" s="13" t="s">
        <v>221</v>
      </c>
      <c r="J1287" s="14">
        <v>1</v>
      </c>
      <c r="K1287" s="14">
        <v>22</v>
      </c>
      <c r="L1287" s="15">
        <v>180</v>
      </c>
      <c r="M1287" s="15">
        <f>J1287*L1287</f>
        <v>180</v>
      </c>
    </row>
    <row r="1288" spans="4:13">
      <c r="D1288" s="12">
        <v>46125</v>
      </c>
      <c r="E1288" s="13">
        <v>1594376</v>
      </c>
      <c r="F1288" s="13" t="s">
        <v>47</v>
      </c>
      <c r="G1288" s="14">
        <v>20303941</v>
      </c>
      <c r="H1288" s="13" t="s">
        <v>348</v>
      </c>
      <c r="I1288" s="13" t="s">
        <v>331</v>
      </c>
      <c r="J1288" s="14">
        <v>1</v>
      </c>
      <c r="K1288" s="14">
        <v>8</v>
      </c>
      <c r="L1288" s="15">
        <v>26.4</v>
      </c>
      <c r="M1288" s="15">
        <v>26.4</v>
      </c>
    </row>
    <row r="1289" spans="4:13">
      <c r="D1289" s="12">
        <v>46125</v>
      </c>
      <c r="E1289" s="13">
        <v>1594376</v>
      </c>
      <c r="F1289" s="13" t="s">
        <v>47</v>
      </c>
      <c r="G1289" s="14">
        <v>20306256</v>
      </c>
      <c r="H1289" s="13" t="s">
        <v>349</v>
      </c>
      <c r="I1289" s="13" t="s">
        <v>83</v>
      </c>
      <c r="J1289" s="14">
        <v>1</v>
      </c>
      <c r="K1289" s="14">
        <v>22</v>
      </c>
      <c r="L1289" s="15">
        <v>72.6</v>
      </c>
      <c r="M1289" s="15">
        <v>72.6</v>
      </c>
    </row>
    <row r="1290" spans="4:13">
      <c r="D1290" s="12">
        <v>46125</v>
      </c>
      <c r="E1290" s="13">
        <v>1594376</v>
      </c>
      <c r="F1290" s="13" t="s">
        <v>385</v>
      </c>
      <c r="G1290" s="14">
        <v>20349421</v>
      </c>
      <c r="H1290" s="13" t="s">
        <v>386</v>
      </c>
      <c r="I1290" s="13" t="s">
        <v>221</v>
      </c>
      <c r="J1290" s="14">
        <v>1</v>
      </c>
      <c r="K1290" s="14">
        <v>2</v>
      </c>
      <c r="L1290" s="15">
        <v>26.4</v>
      </c>
      <c r="M1290" s="15">
        <v>26.4</v>
      </c>
    </row>
    <row r="1291" spans="4:13">
      <c r="D1291" s="12">
        <v>46125</v>
      </c>
      <c r="E1291" s="13">
        <v>1594376</v>
      </c>
      <c r="F1291" s="13" t="s">
        <v>65</v>
      </c>
      <c r="G1291" s="14">
        <v>20303836</v>
      </c>
      <c r="H1291" s="13" t="s">
        <v>332</v>
      </c>
      <c r="I1291" s="13" t="s">
        <v>83</v>
      </c>
      <c r="J1291" s="14">
        <v>6</v>
      </c>
      <c r="K1291" s="14">
        <v>24</v>
      </c>
      <c r="L1291" s="15">
        <v>13.2</v>
      </c>
      <c r="M1291" s="15">
        <v>79.2</v>
      </c>
    </row>
    <row r="1292" spans="4:13">
      <c r="D1292" s="12">
        <v>46126</v>
      </c>
      <c r="E1292" s="13">
        <v>1594626</v>
      </c>
      <c r="F1292" s="13" t="s">
        <v>15</v>
      </c>
      <c r="G1292" s="14">
        <v>20370421</v>
      </c>
      <c r="H1292" s="13" t="s">
        <v>380</v>
      </c>
      <c r="I1292" s="13" t="s">
        <v>381</v>
      </c>
      <c r="J1292" s="14">
        <v>3</v>
      </c>
      <c r="K1292" s="14">
        <v>6</v>
      </c>
      <c r="L1292" s="15">
        <v>26.4</v>
      </c>
      <c r="M1292" s="15">
        <v>79.2</v>
      </c>
    </row>
    <row r="1293" spans="4:13">
      <c r="D1293" s="12">
        <v>46126</v>
      </c>
      <c r="E1293" s="13">
        <v>1594626</v>
      </c>
      <c r="F1293" s="13" t="s">
        <v>15</v>
      </c>
      <c r="G1293" s="14">
        <v>20370422</v>
      </c>
      <c r="H1293" s="13" t="s">
        <v>523</v>
      </c>
      <c r="I1293" s="13" t="s">
        <v>381</v>
      </c>
      <c r="J1293" s="14">
        <v>1</v>
      </c>
      <c r="K1293" s="14">
        <v>3</v>
      </c>
      <c r="L1293" s="15">
        <v>39.6</v>
      </c>
      <c r="M1293" s="15">
        <v>39.6</v>
      </c>
    </row>
    <row r="1294" spans="4:13">
      <c r="D1294" s="12">
        <v>46126</v>
      </c>
      <c r="E1294" s="13">
        <v>1594626</v>
      </c>
      <c r="F1294" s="13" t="s">
        <v>15</v>
      </c>
      <c r="G1294" s="14">
        <v>20359780</v>
      </c>
      <c r="H1294" s="13" t="s">
        <v>372</v>
      </c>
      <c r="I1294" s="13" t="s">
        <v>319</v>
      </c>
      <c r="J1294" s="14">
        <v>1</v>
      </c>
      <c r="K1294" s="14">
        <v>1</v>
      </c>
      <c r="L1294" s="15">
        <v>13.2</v>
      </c>
      <c r="M1294" s="15">
        <v>13.2</v>
      </c>
    </row>
    <row r="1295" spans="4:13">
      <c r="D1295" s="12">
        <v>46126</v>
      </c>
      <c r="E1295" s="13">
        <v>1594626</v>
      </c>
      <c r="F1295" s="13" t="s">
        <v>15</v>
      </c>
      <c r="G1295" s="14">
        <v>20358905</v>
      </c>
      <c r="H1295" s="13" t="s">
        <v>360</v>
      </c>
      <c r="I1295" s="13" t="s">
        <v>244</v>
      </c>
      <c r="J1295" s="14">
        <v>1</v>
      </c>
      <c r="K1295" s="14">
        <v>1</v>
      </c>
      <c r="L1295" s="15">
        <v>15</v>
      </c>
      <c r="M1295" s="15">
        <v>15</v>
      </c>
    </row>
    <row r="1296" spans="4:13">
      <c r="D1296" s="12">
        <v>46126</v>
      </c>
      <c r="E1296" s="13">
        <v>1594626</v>
      </c>
      <c r="F1296" s="13" t="s">
        <v>15</v>
      </c>
      <c r="G1296" s="14">
        <v>20310030</v>
      </c>
      <c r="H1296" s="13" t="s">
        <v>424</v>
      </c>
      <c r="I1296" s="13" t="s">
        <v>128</v>
      </c>
      <c r="J1296" s="14">
        <v>1</v>
      </c>
      <c r="K1296" s="14">
        <v>2</v>
      </c>
      <c r="L1296" s="15">
        <v>26.4</v>
      </c>
      <c r="M1296" s="15">
        <v>26.4</v>
      </c>
    </row>
    <row r="1297" spans="4:13">
      <c r="D1297" s="12">
        <v>46126</v>
      </c>
      <c r="E1297" s="13">
        <v>1594626</v>
      </c>
      <c r="F1297" s="13" t="s">
        <v>15</v>
      </c>
      <c r="G1297" s="14">
        <v>20392508</v>
      </c>
      <c r="H1297" s="13" t="s">
        <v>524</v>
      </c>
      <c r="I1297" s="13" t="s">
        <v>128</v>
      </c>
      <c r="J1297" s="14">
        <v>1</v>
      </c>
      <c r="K1297" s="14">
        <v>1</v>
      </c>
      <c r="L1297" s="15">
        <v>16.8</v>
      </c>
      <c r="M1297" s="15">
        <v>16.8</v>
      </c>
    </row>
    <row r="1298" spans="4:13">
      <c r="D1298" s="12">
        <v>46126</v>
      </c>
      <c r="E1298" s="13">
        <v>1594626</v>
      </c>
      <c r="F1298" s="13" t="s">
        <v>15</v>
      </c>
      <c r="G1298" s="14">
        <v>20395278</v>
      </c>
      <c r="H1298" s="13" t="s">
        <v>525</v>
      </c>
      <c r="I1298" s="13" t="s">
        <v>214</v>
      </c>
      <c r="J1298" s="14">
        <v>1</v>
      </c>
      <c r="K1298" s="14">
        <v>1</v>
      </c>
      <c r="L1298" s="15">
        <v>13.2</v>
      </c>
      <c r="M1298" s="15">
        <v>13.2</v>
      </c>
    </row>
    <row r="1299" spans="4:13">
      <c r="D1299" s="12">
        <v>46126</v>
      </c>
      <c r="E1299" s="13">
        <v>1594626</v>
      </c>
      <c r="F1299" s="13" t="s">
        <v>131</v>
      </c>
      <c r="G1299" s="14">
        <v>20309744</v>
      </c>
      <c r="H1299" s="13" t="s">
        <v>361</v>
      </c>
      <c r="I1299" s="13" t="s">
        <v>221</v>
      </c>
      <c r="J1299" s="14">
        <v>1</v>
      </c>
      <c r="K1299" s="14">
        <v>9</v>
      </c>
      <c r="L1299" s="15">
        <v>92.4</v>
      </c>
      <c r="M1299" s="15">
        <v>92.4</v>
      </c>
    </row>
    <row r="1300" spans="4:13">
      <c r="D1300" s="12">
        <v>46126</v>
      </c>
      <c r="E1300" s="13">
        <v>1594626</v>
      </c>
      <c r="F1300" s="13" t="s">
        <v>131</v>
      </c>
      <c r="G1300" s="14">
        <v>20309677</v>
      </c>
      <c r="H1300" s="13" t="s">
        <v>362</v>
      </c>
      <c r="I1300" s="13" t="s">
        <v>221</v>
      </c>
      <c r="J1300" s="14">
        <v>1</v>
      </c>
      <c r="K1300" s="14">
        <v>12</v>
      </c>
      <c r="L1300" s="15">
        <v>112.2</v>
      </c>
      <c r="M1300" s="15">
        <v>112.2</v>
      </c>
    </row>
    <row r="1301" spans="4:13">
      <c r="D1301" s="12">
        <v>46126</v>
      </c>
      <c r="E1301" s="13">
        <v>1594626</v>
      </c>
      <c r="F1301" s="13" t="s">
        <v>131</v>
      </c>
      <c r="G1301" s="14">
        <v>20309648</v>
      </c>
      <c r="H1301" s="13" t="s">
        <v>363</v>
      </c>
      <c r="I1301" s="13" t="s">
        <v>221</v>
      </c>
      <c r="J1301" s="14">
        <v>1</v>
      </c>
      <c r="K1301" s="14">
        <v>14</v>
      </c>
      <c r="L1301" s="15">
        <v>138.6</v>
      </c>
      <c r="M1301" s="15">
        <v>138.6</v>
      </c>
    </row>
    <row r="1302" spans="4:13">
      <c r="D1302" s="12">
        <v>46126</v>
      </c>
      <c r="E1302" s="13">
        <v>1594626</v>
      </c>
      <c r="F1302" s="13" t="s">
        <v>131</v>
      </c>
      <c r="G1302" s="14">
        <v>20309658</v>
      </c>
      <c r="H1302" s="13" t="s">
        <v>365</v>
      </c>
      <c r="I1302" s="13" t="s">
        <v>221</v>
      </c>
      <c r="J1302" s="14">
        <v>2</v>
      </c>
      <c r="K1302" s="14">
        <v>10</v>
      </c>
      <c r="L1302" s="15">
        <v>52.8</v>
      </c>
      <c r="M1302" s="15">
        <v>105.6</v>
      </c>
    </row>
    <row r="1303" spans="4:13">
      <c r="D1303" s="12">
        <v>46126</v>
      </c>
      <c r="E1303" s="13">
        <v>1594626</v>
      </c>
      <c r="F1303" s="13" t="s">
        <v>131</v>
      </c>
      <c r="G1303" s="14">
        <v>20312572</v>
      </c>
      <c r="H1303" s="13" t="s">
        <v>366</v>
      </c>
      <c r="I1303" s="13" t="s">
        <v>221</v>
      </c>
      <c r="J1303" s="14">
        <v>1</v>
      </c>
      <c r="K1303" s="14">
        <v>27</v>
      </c>
      <c r="L1303" s="15">
        <v>180</v>
      </c>
      <c r="M1303" s="15">
        <f>J1303*L1303</f>
        <v>180</v>
      </c>
    </row>
    <row r="1304" spans="4:13">
      <c r="D1304" s="12">
        <v>46126</v>
      </c>
      <c r="E1304" s="13">
        <v>1594626</v>
      </c>
      <c r="F1304" s="13" t="s">
        <v>131</v>
      </c>
      <c r="G1304" s="14">
        <v>20411790</v>
      </c>
      <c r="H1304" s="13" t="s">
        <v>345</v>
      </c>
      <c r="I1304" s="13" t="s">
        <v>221</v>
      </c>
      <c r="J1304" s="14">
        <v>1</v>
      </c>
      <c r="K1304" s="14">
        <v>28</v>
      </c>
      <c r="L1304" s="15">
        <v>180</v>
      </c>
      <c r="M1304" s="15">
        <f>J1304*L1304</f>
        <v>180</v>
      </c>
    </row>
    <row r="1305" spans="4:13">
      <c r="D1305" s="12">
        <v>46126</v>
      </c>
      <c r="E1305" s="13">
        <v>1594627</v>
      </c>
      <c r="F1305" s="13" t="s">
        <v>324</v>
      </c>
      <c r="G1305" s="14">
        <v>20303023</v>
      </c>
      <c r="H1305" s="13" t="s">
        <v>335</v>
      </c>
      <c r="I1305" s="13" t="s">
        <v>326</v>
      </c>
      <c r="J1305" s="14">
        <v>1</v>
      </c>
      <c r="K1305" s="14">
        <v>63</v>
      </c>
      <c r="L1305" s="15">
        <v>207.9</v>
      </c>
      <c r="M1305" s="15">
        <v>207.9</v>
      </c>
    </row>
    <row r="1306" spans="4:13">
      <c r="D1306" s="12">
        <v>46126</v>
      </c>
      <c r="E1306" s="13">
        <v>1594627</v>
      </c>
      <c r="F1306" s="13" t="s">
        <v>324</v>
      </c>
      <c r="G1306" s="14">
        <v>20303029</v>
      </c>
      <c r="H1306" s="13" t="s">
        <v>337</v>
      </c>
      <c r="I1306" s="13" t="s">
        <v>326</v>
      </c>
      <c r="J1306" s="14">
        <v>2</v>
      </c>
      <c r="K1306" s="14">
        <v>94</v>
      </c>
      <c r="L1306" s="15">
        <v>155.1</v>
      </c>
      <c r="M1306" s="15">
        <v>310.2</v>
      </c>
    </row>
    <row r="1307" spans="4:13">
      <c r="D1307" s="12">
        <v>46126</v>
      </c>
      <c r="E1307" s="13">
        <v>1594627</v>
      </c>
      <c r="F1307" s="13" t="s">
        <v>324</v>
      </c>
      <c r="G1307" s="14">
        <v>20303031</v>
      </c>
      <c r="H1307" s="13" t="s">
        <v>474</v>
      </c>
      <c r="I1307" s="13" t="s">
        <v>326</v>
      </c>
      <c r="J1307" s="14">
        <v>1</v>
      </c>
      <c r="K1307" s="14">
        <v>36</v>
      </c>
      <c r="L1307" s="15">
        <v>118.8</v>
      </c>
      <c r="M1307" s="15">
        <v>118.8</v>
      </c>
    </row>
    <row r="1308" spans="4:13">
      <c r="D1308" s="12">
        <v>46126</v>
      </c>
      <c r="E1308" s="13">
        <v>1594627</v>
      </c>
      <c r="F1308" s="13" t="s">
        <v>324</v>
      </c>
      <c r="G1308" s="14">
        <v>20303058</v>
      </c>
      <c r="H1308" s="13" t="s">
        <v>338</v>
      </c>
      <c r="I1308" s="13" t="s">
        <v>326</v>
      </c>
      <c r="J1308" s="14">
        <v>1</v>
      </c>
      <c r="K1308" s="14">
        <v>57</v>
      </c>
      <c r="L1308" s="15">
        <v>188.1</v>
      </c>
      <c r="M1308" s="15">
        <v>188.1</v>
      </c>
    </row>
    <row r="1309" spans="4:13">
      <c r="D1309" s="12">
        <v>46126</v>
      </c>
      <c r="E1309" s="13">
        <v>1594627</v>
      </c>
      <c r="F1309" s="13" t="s">
        <v>163</v>
      </c>
      <c r="G1309" s="14">
        <v>20303912</v>
      </c>
      <c r="H1309" s="13" t="s">
        <v>329</v>
      </c>
      <c r="I1309" s="13" t="s">
        <v>83</v>
      </c>
      <c r="J1309" s="14">
        <v>1</v>
      </c>
      <c r="K1309" s="14">
        <v>5</v>
      </c>
      <c r="L1309" s="15">
        <v>16.5</v>
      </c>
      <c r="M1309" s="15">
        <v>16.5</v>
      </c>
    </row>
    <row r="1310" spans="4:13">
      <c r="D1310" s="12">
        <v>46126</v>
      </c>
      <c r="E1310" s="13">
        <v>1594627</v>
      </c>
      <c r="F1310" s="13" t="s">
        <v>163</v>
      </c>
      <c r="G1310" s="14">
        <v>20310304</v>
      </c>
      <c r="H1310" s="13" t="s">
        <v>339</v>
      </c>
      <c r="I1310" s="13" t="s">
        <v>83</v>
      </c>
      <c r="J1310" s="14">
        <v>1</v>
      </c>
      <c r="K1310" s="14">
        <v>11</v>
      </c>
      <c r="L1310" s="15">
        <v>36.3</v>
      </c>
      <c r="M1310" s="15">
        <v>36.3</v>
      </c>
    </row>
    <row r="1311" spans="4:13">
      <c r="D1311" s="12">
        <v>46126</v>
      </c>
      <c r="E1311" s="13">
        <v>1594627</v>
      </c>
      <c r="F1311" s="13" t="s">
        <v>47</v>
      </c>
      <c r="G1311" s="14">
        <v>20303011</v>
      </c>
      <c r="H1311" s="13" t="s">
        <v>330</v>
      </c>
      <c r="I1311" s="13" t="s">
        <v>331</v>
      </c>
      <c r="J1311" s="14">
        <v>1</v>
      </c>
      <c r="K1311" s="14">
        <v>26</v>
      </c>
      <c r="L1311" s="15">
        <v>85.8</v>
      </c>
      <c r="M1311" s="15">
        <v>85.8</v>
      </c>
    </row>
    <row r="1312" spans="4:13">
      <c r="D1312" s="12">
        <v>46126</v>
      </c>
      <c r="E1312" s="13">
        <v>1594688</v>
      </c>
      <c r="F1312" s="13" t="s">
        <v>15</v>
      </c>
      <c r="G1312" s="14">
        <v>20323229</v>
      </c>
      <c r="H1312" s="13" t="s">
        <v>316</v>
      </c>
      <c r="I1312" s="13" t="s">
        <v>317</v>
      </c>
      <c r="J1312" s="14">
        <v>1</v>
      </c>
      <c r="K1312" s="14">
        <v>1</v>
      </c>
      <c r="L1312" s="15">
        <v>15</v>
      </c>
      <c r="M1312" s="15">
        <v>15</v>
      </c>
    </row>
    <row r="1313" spans="4:13">
      <c r="D1313" s="12">
        <v>46126</v>
      </c>
      <c r="E1313" s="13">
        <v>1594688</v>
      </c>
      <c r="F1313" s="13" t="s">
        <v>131</v>
      </c>
      <c r="G1313" s="14">
        <v>20384037</v>
      </c>
      <c r="H1313" s="13" t="s">
        <v>376</v>
      </c>
      <c r="I1313" s="13" t="s">
        <v>221</v>
      </c>
      <c r="J1313" s="14">
        <v>1</v>
      </c>
      <c r="K1313" s="14">
        <v>25</v>
      </c>
      <c r="L1313" s="15">
        <v>180</v>
      </c>
      <c r="M1313" s="15">
        <f>J1313*L1313</f>
        <v>180</v>
      </c>
    </row>
    <row r="1314" ht="25.5" spans="4:13">
      <c r="D1314" s="12">
        <v>46126</v>
      </c>
      <c r="E1314" s="13">
        <v>1594688</v>
      </c>
      <c r="F1314" s="13" t="s">
        <v>131</v>
      </c>
      <c r="G1314" s="14">
        <v>20312712</v>
      </c>
      <c r="H1314" s="13" t="s">
        <v>409</v>
      </c>
      <c r="I1314" s="13" t="s">
        <v>221</v>
      </c>
      <c r="J1314" s="14">
        <v>1</v>
      </c>
      <c r="K1314" s="14">
        <v>14</v>
      </c>
      <c r="L1314" s="15">
        <v>138.6</v>
      </c>
      <c r="M1314" s="15">
        <v>138.6</v>
      </c>
    </row>
    <row r="1315" spans="4:13">
      <c r="D1315" s="12">
        <v>46126</v>
      </c>
      <c r="E1315" s="13">
        <v>1594688</v>
      </c>
      <c r="F1315" s="13" t="s">
        <v>131</v>
      </c>
      <c r="G1315" s="14">
        <v>20412034</v>
      </c>
      <c r="H1315" s="13" t="s">
        <v>344</v>
      </c>
      <c r="I1315" s="13" t="s">
        <v>221</v>
      </c>
      <c r="J1315" s="14">
        <v>1</v>
      </c>
      <c r="K1315" s="14">
        <v>28</v>
      </c>
      <c r="L1315" s="15">
        <v>180</v>
      </c>
      <c r="M1315" s="15">
        <f>J1315*L1315</f>
        <v>180</v>
      </c>
    </row>
    <row r="1316" spans="4:13">
      <c r="D1316" s="12">
        <v>46126</v>
      </c>
      <c r="E1316" s="13">
        <v>1594689</v>
      </c>
      <c r="F1316" s="13" t="s">
        <v>324</v>
      </c>
      <c r="G1316" s="14">
        <v>20331665</v>
      </c>
      <c r="H1316" s="13" t="s">
        <v>421</v>
      </c>
      <c r="I1316" s="13" t="s">
        <v>326</v>
      </c>
      <c r="J1316" s="14">
        <v>1</v>
      </c>
      <c r="K1316" s="14">
        <v>10</v>
      </c>
      <c r="L1316" s="15">
        <v>33</v>
      </c>
      <c r="M1316" s="15">
        <v>33</v>
      </c>
    </row>
    <row r="1317" spans="4:13">
      <c r="D1317" s="12">
        <v>46126</v>
      </c>
      <c r="E1317" s="13">
        <v>1594689</v>
      </c>
      <c r="F1317" s="13" t="s">
        <v>324</v>
      </c>
      <c r="G1317" s="14">
        <v>20303010</v>
      </c>
      <c r="H1317" s="13" t="s">
        <v>325</v>
      </c>
      <c r="I1317" s="13" t="s">
        <v>326</v>
      </c>
      <c r="J1317" s="14">
        <v>4</v>
      </c>
      <c r="K1317" s="14">
        <v>100</v>
      </c>
      <c r="L1317" s="15">
        <v>82.5</v>
      </c>
      <c r="M1317" s="15">
        <v>330</v>
      </c>
    </row>
    <row r="1318" spans="4:13">
      <c r="D1318" s="12">
        <v>46126</v>
      </c>
      <c r="E1318" s="13">
        <v>1594689</v>
      </c>
      <c r="F1318" s="13" t="s">
        <v>324</v>
      </c>
      <c r="G1318" s="14">
        <v>20303022</v>
      </c>
      <c r="H1318" s="13" t="s">
        <v>352</v>
      </c>
      <c r="I1318" s="13" t="s">
        <v>326</v>
      </c>
      <c r="J1318" s="14">
        <v>3</v>
      </c>
      <c r="K1318" s="14">
        <v>93</v>
      </c>
      <c r="L1318" s="15">
        <v>102.3</v>
      </c>
      <c r="M1318" s="15">
        <v>306.9</v>
      </c>
    </row>
    <row r="1319" spans="4:13">
      <c r="D1319" s="12">
        <v>46126</v>
      </c>
      <c r="E1319" s="13">
        <v>1594689</v>
      </c>
      <c r="F1319" s="13" t="s">
        <v>324</v>
      </c>
      <c r="G1319" s="14">
        <v>20303025</v>
      </c>
      <c r="H1319" s="13" t="s">
        <v>336</v>
      </c>
      <c r="I1319" s="13" t="s">
        <v>326</v>
      </c>
      <c r="J1319" s="14">
        <v>1</v>
      </c>
      <c r="K1319" s="14">
        <v>47</v>
      </c>
      <c r="L1319" s="15">
        <v>155.1</v>
      </c>
      <c r="M1319" s="15">
        <v>155.1</v>
      </c>
    </row>
    <row r="1320" spans="4:13">
      <c r="D1320" s="12">
        <v>46126</v>
      </c>
      <c r="E1320" s="13">
        <v>1594689</v>
      </c>
      <c r="F1320" s="13" t="s">
        <v>324</v>
      </c>
      <c r="G1320" s="14">
        <v>20303041</v>
      </c>
      <c r="H1320" s="13" t="s">
        <v>406</v>
      </c>
      <c r="I1320" s="13" t="s">
        <v>44</v>
      </c>
      <c r="J1320" s="14">
        <v>1</v>
      </c>
      <c r="K1320" s="14">
        <v>17</v>
      </c>
      <c r="L1320" s="15">
        <v>56.1</v>
      </c>
      <c r="M1320" s="15">
        <v>56.1</v>
      </c>
    </row>
    <row r="1321" spans="4:13">
      <c r="D1321" s="12">
        <v>46126</v>
      </c>
      <c r="E1321" s="13">
        <v>1594689</v>
      </c>
      <c r="F1321" s="13" t="s">
        <v>163</v>
      </c>
      <c r="G1321" s="14">
        <v>20303912</v>
      </c>
      <c r="H1321" s="13" t="s">
        <v>329</v>
      </c>
      <c r="I1321" s="13" t="s">
        <v>83</v>
      </c>
      <c r="J1321" s="14">
        <v>2</v>
      </c>
      <c r="K1321" s="14">
        <v>10</v>
      </c>
      <c r="L1321" s="15">
        <v>16.5</v>
      </c>
      <c r="M1321" s="15">
        <v>33</v>
      </c>
    </row>
    <row r="1322" spans="4:13">
      <c r="D1322" s="12">
        <v>46126</v>
      </c>
      <c r="E1322" s="13">
        <v>1594689</v>
      </c>
      <c r="F1322" s="13" t="s">
        <v>20</v>
      </c>
      <c r="G1322" s="14">
        <v>20313337</v>
      </c>
      <c r="H1322" s="13" t="s">
        <v>353</v>
      </c>
      <c r="I1322" s="13" t="s">
        <v>53</v>
      </c>
      <c r="J1322" s="14">
        <v>1</v>
      </c>
      <c r="K1322" s="14">
        <v>2</v>
      </c>
      <c r="L1322" s="15">
        <v>9.9</v>
      </c>
      <c r="M1322" s="15">
        <v>9.9</v>
      </c>
    </row>
    <row r="1323" spans="4:13">
      <c r="D1323" s="12">
        <v>46126</v>
      </c>
      <c r="E1323" s="13">
        <v>1594689</v>
      </c>
      <c r="F1323" s="13" t="s">
        <v>47</v>
      </c>
      <c r="G1323" s="14">
        <v>20302998</v>
      </c>
      <c r="H1323" s="13" t="s">
        <v>346</v>
      </c>
      <c r="I1323" s="13" t="s">
        <v>347</v>
      </c>
      <c r="J1323" s="14">
        <v>4</v>
      </c>
      <c r="K1323" s="14">
        <v>76</v>
      </c>
      <c r="L1323" s="15">
        <v>62.7</v>
      </c>
      <c r="M1323" s="15">
        <v>250.8</v>
      </c>
    </row>
    <row r="1324" spans="4:13">
      <c r="D1324" s="12">
        <v>46126</v>
      </c>
      <c r="E1324" s="13">
        <v>1594689</v>
      </c>
      <c r="F1324" s="13" t="s">
        <v>47</v>
      </c>
      <c r="G1324" s="14">
        <v>20306256</v>
      </c>
      <c r="H1324" s="13" t="s">
        <v>349</v>
      </c>
      <c r="I1324" s="13" t="s">
        <v>83</v>
      </c>
      <c r="J1324" s="14">
        <v>2</v>
      </c>
      <c r="K1324" s="14">
        <v>44</v>
      </c>
      <c r="L1324" s="15">
        <v>72.6</v>
      </c>
      <c r="M1324" s="15">
        <v>145.2</v>
      </c>
    </row>
    <row r="1325" spans="4:13">
      <c r="D1325" s="12">
        <v>46126</v>
      </c>
      <c r="E1325" s="13">
        <v>1594689</v>
      </c>
      <c r="F1325" s="13" t="s">
        <v>65</v>
      </c>
      <c r="G1325" s="14">
        <v>20416377</v>
      </c>
      <c r="H1325" s="13" t="s">
        <v>526</v>
      </c>
      <c r="I1325" s="13" t="s">
        <v>44</v>
      </c>
      <c r="J1325" s="14">
        <v>3</v>
      </c>
      <c r="K1325" s="14">
        <v>12</v>
      </c>
      <c r="L1325" s="15">
        <v>13.2</v>
      </c>
      <c r="M1325" s="15">
        <v>39.6</v>
      </c>
    </row>
    <row r="1326" spans="4:13">
      <c r="D1326" s="12">
        <v>46126</v>
      </c>
      <c r="E1326" s="13">
        <v>1594689</v>
      </c>
      <c r="F1326" s="13" t="s">
        <v>65</v>
      </c>
      <c r="G1326" s="14">
        <v>20303836</v>
      </c>
      <c r="H1326" s="13" t="s">
        <v>332</v>
      </c>
      <c r="I1326" s="13" t="s">
        <v>83</v>
      </c>
      <c r="J1326" s="14">
        <v>5</v>
      </c>
      <c r="K1326" s="14">
        <v>20</v>
      </c>
      <c r="L1326" s="15">
        <v>13.2</v>
      </c>
      <c r="M1326" s="15">
        <v>66</v>
      </c>
    </row>
    <row r="1327" spans="4:13">
      <c r="D1327" s="12">
        <v>46126</v>
      </c>
      <c r="E1327" s="13">
        <v>1594795</v>
      </c>
      <c r="F1327" s="13" t="s">
        <v>378</v>
      </c>
      <c r="G1327" s="14">
        <v>20310012</v>
      </c>
      <c r="H1327" s="13" t="s">
        <v>379</v>
      </c>
      <c r="I1327" s="13" t="s">
        <v>2</v>
      </c>
      <c r="J1327" s="14">
        <v>1</v>
      </c>
      <c r="K1327" s="14">
        <v>0</v>
      </c>
      <c r="L1327" s="15">
        <v>15</v>
      </c>
      <c r="M1327" s="15">
        <v>15</v>
      </c>
    </row>
    <row r="1328" spans="4:13">
      <c r="D1328" s="12">
        <v>46126</v>
      </c>
      <c r="E1328" s="13">
        <v>1594806</v>
      </c>
      <c r="F1328" s="13" t="s">
        <v>324</v>
      </c>
      <c r="G1328" s="14">
        <v>20302999</v>
      </c>
      <c r="H1328" s="13" t="s">
        <v>522</v>
      </c>
      <c r="I1328" s="13" t="s">
        <v>326</v>
      </c>
      <c r="J1328" s="14">
        <v>1</v>
      </c>
      <c r="K1328" s="14">
        <v>42</v>
      </c>
      <c r="L1328" s="15">
        <v>138.6</v>
      </c>
      <c r="M1328" s="15">
        <v>138.6</v>
      </c>
    </row>
    <row r="1329" spans="4:13">
      <c r="D1329" s="12">
        <v>46126</v>
      </c>
      <c r="E1329" s="13">
        <v>1594806</v>
      </c>
      <c r="F1329" s="13" t="s">
        <v>324</v>
      </c>
      <c r="G1329" s="14">
        <v>20303009</v>
      </c>
      <c r="H1329" s="13" t="s">
        <v>355</v>
      </c>
      <c r="I1329" s="13" t="s">
        <v>326</v>
      </c>
      <c r="J1329" s="14">
        <v>1</v>
      </c>
      <c r="K1329" s="14">
        <v>55</v>
      </c>
      <c r="L1329" s="15">
        <v>181.5</v>
      </c>
      <c r="M1329" s="15">
        <v>181.5</v>
      </c>
    </row>
    <row r="1330" spans="4:13">
      <c r="D1330" s="12">
        <v>46126</v>
      </c>
      <c r="E1330" s="13">
        <v>1594806</v>
      </c>
      <c r="F1330" s="13" t="s">
        <v>324</v>
      </c>
      <c r="G1330" s="14">
        <v>20303010</v>
      </c>
      <c r="H1330" s="13" t="s">
        <v>325</v>
      </c>
      <c r="I1330" s="13" t="s">
        <v>326</v>
      </c>
      <c r="J1330" s="14">
        <v>2</v>
      </c>
      <c r="K1330" s="14">
        <v>50</v>
      </c>
      <c r="L1330" s="15">
        <v>82.5</v>
      </c>
      <c r="M1330" s="15">
        <v>165</v>
      </c>
    </row>
    <row r="1331" spans="4:13">
      <c r="D1331" s="12">
        <v>46126</v>
      </c>
      <c r="E1331" s="13">
        <v>1594806</v>
      </c>
      <c r="F1331" s="13" t="s">
        <v>324</v>
      </c>
      <c r="G1331" s="14">
        <v>20303022</v>
      </c>
      <c r="H1331" s="13" t="s">
        <v>352</v>
      </c>
      <c r="I1331" s="13" t="s">
        <v>326</v>
      </c>
      <c r="J1331" s="14">
        <v>3</v>
      </c>
      <c r="K1331" s="14">
        <v>93</v>
      </c>
      <c r="L1331" s="15">
        <v>102.3</v>
      </c>
      <c r="M1331" s="15">
        <v>306.9</v>
      </c>
    </row>
    <row r="1332" spans="4:13">
      <c r="D1332" s="12">
        <v>46126</v>
      </c>
      <c r="E1332" s="13">
        <v>1594806</v>
      </c>
      <c r="F1332" s="13" t="s">
        <v>324</v>
      </c>
      <c r="G1332" s="14">
        <v>20303024</v>
      </c>
      <c r="H1332" s="13" t="s">
        <v>527</v>
      </c>
      <c r="I1332" s="13" t="s">
        <v>326</v>
      </c>
      <c r="J1332" s="14">
        <v>1</v>
      </c>
      <c r="K1332" s="14">
        <v>33</v>
      </c>
      <c r="L1332" s="15">
        <v>108.9</v>
      </c>
      <c r="M1332" s="15">
        <v>108.9</v>
      </c>
    </row>
    <row r="1333" spans="4:13">
      <c r="D1333" s="12">
        <v>46126</v>
      </c>
      <c r="E1333" s="13">
        <v>1594806</v>
      </c>
      <c r="F1333" s="13" t="s">
        <v>324</v>
      </c>
      <c r="G1333" s="14">
        <v>20303052</v>
      </c>
      <c r="H1333" s="13" t="s">
        <v>388</v>
      </c>
      <c r="I1333" s="13" t="s">
        <v>326</v>
      </c>
      <c r="J1333" s="14">
        <v>1</v>
      </c>
      <c r="K1333" s="14">
        <v>30</v>
      </c>
      <c r="L1333" s="15">
        <v>99</v>
      </c>
      <c r="M1333" s="15">
        <v>99</v>
      </c>
    </row>
    <row r="1334" spans="4:13">
      <c r="D1334" s="12">
        <v>46126</v>
      </c>
      <c r="E1334" s="13">
        <v>1594806</v>
      </c>
      <c r="F1334" s="13" t="s">
        <v>163</v>
      </c>
      <c r="G1334" s="14">
        <v>20303912</v>
      </c>
      <c r="H1334" s="13" t="s">
        <v>329</v>
      </c>
      <c r="I1334" s="13" t="s">
        <v>83</v>
      </c>
      <c r="J1334" s="14">
        <v>1</v>
      </c>
      <c r="K1334" s="14">
        <v>5</v>
      </c>
      <c r="L1334" s="15">
        <v>16.5</v>
      </c>
      <c r="M1334" s="15">
        <v>16.5</v>
      </c>
    </row>
    <row r="1335" spans="4:13">
      <c r="D1335" s="12">
        <v>46126</v>
      </c>
      <c r="E1335" s="13">
        <v>1594806</v>
      </c>
      <c r="F1335" s="13" t="s">
        <v>20</v>
      </c>
      <c r="G1335" s="14">
        <v>20303954</v>
      </c>
      <c r="H1335" s="13" t="s">
        <v>295</v>
      </c>
      <c r="I1335" s="13" t="s">
        <v>29</v>
      </c>
      <c r="J1335" s="14">
        <v>2</v>
      </c>
      <c r="K1335" s="14">
        <v>2</v>
      </c>
      <c r="L1335" s="15">
        <v>4.8</v>
      </c>
      <c r="M1335" s="15">
        <v>9.6</v>
      </c>
    </row>
    <row r="1336" spans="4:13">
      <c r="D1336" s="12">
        <v>46126</v>
      </c>
      <c r="E1336" s="13">
        <v>1594806</v>
      </c>
      <c r="F1336" s="13" t="s">
        <v>20</v>
      </c>
      <c r="G1336" s="14">
        <v>20303717</v>
      </c>
      <c r="H1336" s="13" t="s">
        <v>70</v>
      </c>
      <c r="I1336" s="13" t="s">
        <v>35</v>
      </c>
      <c r="J1336" s="14">
        <v>1</v>
      </c>
      <c r="K1336" s="14">
        <v>1</v>
      </c>
      <c r="L1336" s="15">
        <v>4.8</v>
      </c>
      <c r="M1336" s="15">
        <v>4.8</v>
      </c>
    </row>
    <row r="1337" spans="4:13">
      <c r="D1337" s="12">
        <v>46126</v>
      </c>
      <c r="E1337" s="13">
        <v>1594806</v>
      </c>
      <c r="F1337" s="13" t="s">
        <v>20</v>
      </c>
      <c r="G1337" s="14">
        <v>20315560</v>
      </c>
      <c r="H1337" s="13" t="s">
        <v>32</v>
      </c>
      <c r="I1337" s="13" t="s">
        <v>33</v>
      </c>
      <c r="J1337" s="14">
        <v>1</v>
      </c>
      <c r="K1337" s="14">
        <v>1</v>
      </c>
      <c r="L1337" s="15">
        <v>4.8</v>
      </c>
      <c r="M1337" s="15">
        <v>4.8</v>
      </c>
    </row>
    <row r="1338" spans="4:13">
      <c r="D1338" s="12">
        <v>46126</v>
      </c>
      <c r="E1338" s="13">
        <v>1594806</v>
      </c>
      <c r="F1338" s="13" t="s">
        <v>15</v>
      </c>
      <c r="G1338" s="14">
        <v>20370421</v>
      </c>
      <c r="H1338" s="13" t="s">
        <v>380</v>
      </c>
      <c r="I1338" s="13" t="s">
        <v>381</v>
      </c>
      <c r="J1338" s="14">
        <v>1</v>
      </c>
      <c r="K1338" s="14">
        <v>2</v>
      </c>
      <c r="L1338" s="15">
        <v>26.4</v>
      </c>
      <c r="M1338" s="15">
        <v>26.4</v>
      </c>
    </row>
    <row r="1339" spans="4:13">
      <c r="D1339" s="12">
        <v>46126</v>
      </c>
      <c r="E1339" s="13">
        <v>1594806</v>
      </c>
      <c r="F1339" s="13" t="s">
        <v>15</v>
      </c>
      <c r="G1339" s="14">
        <v>20305202</v>
      </c>
      <c r="H1339" s="13" t="s">
        <v>481</v>
      </c>
      <c r="I1339" s="13" t="s">
        <v>482</v>
      </c>
      <c r="J1339" s="14">
        <v>1</v>
      </c>
      <c r="K1339" s="14">
        <v>1</v>
      </c>
      <c r="L1339" s="15">
        <v>15</v>
      </c>
      <c r="M1339" s="15">
        <v>15</v>
      </c>
    </row>
    <row r="1340" spans="4:13">
      <c r="D1340" s="12">
        <v>46126</v>
      </c>
      <c r="E1340" s="13">
        <v>1594806</v>
      </c>
      <c r="F1340" s="13" t="s">
        <v>15</v>
      </c>
      <c r="G1340" s="14">
        <v>20359780</v>
      </c>
      <c r="H1340" s="13" t="s">
        <v>372</v>
      </c>
      <c r="I1340" s="13" t="s">
        <v>319</v>
      </c>
      <c r="J1340" s="14">
        <v>1</v>
      </c>
      <c r="K1340" s="14">
        <v>1</v>
      </c>
      <c r="L1340" s="15">
        <v>13.2</v>
      </c>
      <c r="M1340" s="15">
        <v>13.2</v>
      </c>
    </row>
    <row r="1341" spans="4:13">
      <c r="D1341" s="12">
        <v>46126</v>
      </c>
      <c r="E1341" s="13">
        <v>1594806</v>
      </c>
      <c r="F1341" s="13" t="s">
        <v>15</v>
      </c>
      <c r="G1341" s="14">
        <v>20314042</v>
      </c>
      <c r="H1341" s="13" t="s">
        <v>341</v>
      </c>
      <c r="I1341" s="13" t="s">
        <v>128</v>
      </c>
      <c r="J1341" s="14">
        <v>1</v>
      </c>
      <c r="K1341" s="14">
        <v>1</v>
      </c>
      <c r="L1341" s="15">
        <v>16.8</v>
      </c>
      <c r="M1341" s="15">
        <v>16.8</v>
      </c>
    </row>
    <row r="1342" spans="4:13">
      <c r="D1342" s="12">
        <v>46126</v>
      </c>
      <c r="E1342" s="13">
        <v>1594806</v>
      </c>
      <c r="F1342" s="13" t="s">
        <v>15</v>
      </c>
      <c r="G1342" s="14">
        <v>20358905</v>
      </c>
      <c r="H1342" s="13" t="s">
        <v>360</v>
      </c>
      <c r="I1342" s="13" t="s">
        <v>244</v>
      </c>
      <c r="J1342" s="14">
        <v>1</v>
      </c>
      <c r="K1342" s="14">
        <v>1</v>
      </c>
      <c r="L1342" s="15">
        <v>15</v>
      </c>
      <c r="M1342" s="15">
        <v>15</v>
      </c>
    </row>
    <row r="1343" spans="4:13">
      <c r="D1343" s="12">
        <v>46126</v>
      </c>
      <c r="E1343" s="13">
        <v>1594806</v>
      </c>
      <c r="F1343" s="13" t="s">
        <v>15</v>
      </c>
      <c r="G1343" s="14">
        <v>20309651</v>
      </c>
      <c r="H1343" s="13" t="s">
        <v>130</v>
      </c>
      <c r="I1343" s="13" t="s">
        <v>62</v>
      </c>
      <c r="J1343" s="14">
        <v>1</v>
      </c>
      <c r="K1343" s="14">
        <v>1</v>
      </c>
      <c r="L1343" s="15">
        <v>21</v>
      </c>
      <c r="M1343" s="15">
        <v>21</v>
      </c>
    </row>
    <row r="1344" spans="4:13">
      <c r="D1344" s="12">
        <v>46126</v>
      </c>
      <c r="E1344" s="13">
        <v>1594806</v>
      </c>
      <c r="F1344" s="13" t="s">
        <v>15</v>
      </c>
      <c r="G1344" s="14">
        <v>20362679</v>
      </c>
      <c r="H1344" s="13" t="s">
        <v>318</v>
      </c>
      <c r="I1344" s="13" t="s">
        <v>319</v>
      </c>
      <c r="J1344" s="14">
        <v>1</v>
      </c>
      <c r="K1344" s="14">
        <v>1</v>
      </c>
      <c r="L1344" s="15">
        <v>13.2</v>
      </c>
      <c r="M1344" s="15">
        <v>13.2</v>
      </c>
    </row>
    <row r="1345" spans="4:13">
      <c r="D1345" s="12">
        <v>46126</v>
      </c>
      <c r="E1345" s="13">
        <v>1594806</v>
      </c>
      <c r="F1345" s="13" t="s">
        <v>15</v>
      </c>
      <c r="G1345" s="14">
        <v>20360685</v>
      </c>
      <c r="H1345" s="13" t="s">
        <v>440</v>
      </c>
      <c r="I1345" s="13" t="s">
        <v>128</v>
      </c>
      <c r="J1345" s="14">
        <v>1</v>
      </c>
      <c r="K1345" s="14">
        <v>1</v>
      </c>
      <c r="L1345" s="15">
        <v>16.8</v>
      </c>
      <c r="M1345" s="15">
        <v>16.8</v>
      </c>
    </row>
    <row r="1346" spans="4:13">
      <c r="D1346" s="12">
        <v>46126</v>
      </c>
      <c r="E1346" s="13">
        <v>1594806</v>
      </c>
      <c r="F1346" s="13" t="s">
        <v>15</v>
      </c>
      <c r="G1346" s="14">
        <v>20359638</v>
      </c>
      <c r="H1346" s="13" t="s">
        <v>411</v>
      </c>
      <c r="I1346" s="13" t="s">
        <v>128</v>
      </c>
      <c r="J1346" s="14">
        <v>1</v>
      </c>
      <c r="K1346" s="14">
        <v>1</v>
      </c>
      <c r="L1346" s="15">
        <v>16.8</v>
      </c>
      <c r="M1346" s="15">
        <v>16.8</v>
      </c>
    </row>
    <row r="1347" spans="4:13">
      <c r="D1347" s="12">
        <v>46126</v>
      </c>
      <c r="E1347" s="13">
        <v>1594806</v>
      </c>
      <c r="F1347" s="13" t="s">
        <v>131</v>
      </c>
      <c r="G1347" s="14">
        <v>20309648</v>
      </c>
      <c r="H1347" s="13" t="s">
        <v>363</v>
      </c>
      <c r="I1347" s="13" t="s">
        <v>221</v>
      </c>
      <c r="J1347" s="14">
        <v>1</v>
      </c>
      <c r="K1347" s="14">
        <v>14</v>
      </c>
      <c r="L1347" s="15">
        <v>138.6</v>
      </c>
      <c r="M1347" s="15">
        <v>138.6</v>
      </c>
    </row>
    <row r="1348" spans="4:13">
      <c r="D1348" s="12">
        <v>46126</v>
      </c>
      <c r="E1348" s="13">
        <v>1594806</v>
      </c>
      <c r="F1348" s="13" t="s">
        <v>131</v>
      </c>
      <c r="G1348" s="14">
        <v>20339097</v>
      </c>
      <c r="H1348" s="13" t="s">
        <v>343</v>
      </c>
      <c r="I1348" s="13" t="s">
        <v>221</v>
      </c>
      <c r="J1348" s="14">
        <v>1</v>
      </c>
      <c r="K1348" s="14">
        <v>32</v>
      </c>
      <c r="L1348" s="15">
        <v>180</v>
      </c>
      <c r="M1348" s="15">
        <f>J1348*L1348</f>
        <v>180</v>
      </c>
    </row>
    <row r="1349" spans="4:13">
      <c r="D1349" s="12">
        <v>46126</v>
      </c>
      <c r="E1349" s="13">
        <v>1594806</v>
      </c>
      <c r="F1349" s="13" t="s">
        <v>131</v>
      </c>
      <c r="G1349" s="14">
        <v>20412203</v>
      </c>
      <c r="H1349" s="13" t="s">
        <v>375</v>
      </c>
      <c r="I1349" s="13" t="s">
        <v>221</v>
      </c>
      <c r="J1349" s="14">
        <v>1</v>
      </c>
      <c r="K1349" s="14">
        <v>8</v>
      </c>
      <c r="L1349" s="15">
        <v>92.4</v>
      </c>
      <c r="M1349" s="15">
        <v>92.4</v>
      </c>
    </row>
    <row r="1350" spans="4:13">
      <c r="D1350" s="12">
        <v>46126</v>
      </c>
      <c r="E1350" s="13">
        <v>1594806</v>
      </c>
      <c r="F1350" s="13" t="s">
        <v>131</v>
      </c>
      <c r="G1350" s="14">
        <v>20312465</v>
      </c>
      <c r="H1350" s="13" t="s">
        <v>320</v>
      </c>
      <c r="I1350" s="13" t="s">
        <v>221</v>
      </c>
      <c r="J1350" s="14">
        <v>1</v>
      </c>
      <c r="K1350" s="14">
        <v>27</v>
      </c>
      <c r="L1350" s="15">
        <v>180</v>
      </c>
      <c r="M1350" s="15">
        <f>J1350*L1350</f>
        <v>180</v>
      </c>
    </row>
    <row r="1351" spans="4:13">
      <c r="D1351" s="12">
        <v>46126</v>
      </c>
      <c r="E1351" s="13">
        <v>1594806</v>
      </c>
      <c r="F1351" s="13" t="s">
        <v>131</v>
      </c>
      <c r="G1351" s="14">
        <v>20314461</v>
      </c>
      <c r="H1351" s="13" t="s">
        <v>426</v>
      </c>
      <c r="I1351" s="13" t="s">
        <v>221</v>
      </c>
      <c r="J1351" s="14">
        <v>1</v>
      </c>
      <c r="K1351" s="14">
        <v>26</v>
      </c>
      <c r="L1351" s="15">
        <v>180</v>
      </c>
      <c r="M1351" s="15">
        <f>J1351*L1351</f>
        <v>180</v>
      </c>
    </row>
    <row r="1352" spans="4:13">
      <c r="D1352" s="12">
        <v>46126</v>
      </c>
      <c r="E1352" s="13">
        <v>1594806</v>
      </c>
      <c r="F1352" s="13" t="s">
        <v>131</v>
      </c>
      <c r="G1352" s="14">
        <v>20407365</v>
      </c>
      <c r="H1352" s="13" t="s">
        <v>464</v>
      </c>
      <c r="I1352" s="13" t="s">
        <v>83</v>
      </c>
      <c r="J1352" s="14">
        <v>1</v>
      </c>
      <c r="K1352" s="14">
        <v>5</v>
      </c>
      <c r="L1352" s="15">
        <v>52.8</v>
      </c>
      <c r="M1352" s="15">
        <v>52.8</v>
      </c>
    </row>
    <row r="1353" spans="4:13">
      <c r="D1353" s="12">
        <v>46126</v>
      </c>
      <c r="E1353" s="13">
        <v>1594806</v>
      </c>
      <c r="F1353" s="13" t="s">
        <v>131</v>
      </c>
      <c r="G1353" s="14">
        <v>20314362</v>
      </c>
      <c r="H1353" s="13" t="s">
        <v>364</v>
      </c>
      <c r="I1353" s="13" t="s">
        <v>221</v>
      </c>
      <c r="J1353" s="14">
        <v>1</v>
      </c>
      <c r="K1353" s="14">
        <v>27</v>
      </c>
      <c r="L1353" s="15">
        <v>180</v>
      </c>
      <c r="M1353" s="15">
        <f>J1353*L1353</f>
        <v>180</v>
      </c>
    </row>
    <row r="1354" spans="4:13">
      <c r="D1354" s="12">
        <v>46126</v>
      </c>
      <c r="E1354" s="13">
        <v>1594806</v>
      </c>
      <c r="F1354" s="13" t="s">
        <v>131</v>
      </c>
      <c r="G1354" s="14">
        <v>20309658</v>
      </c>
      <c r="H1354" s="13" t="s">
        <v>365</v>
      </c>
      <c r="I1354" s="13" t="s">
        <v>221</v>
      </c>
      <c r="J1354" s="14">
        <v>1</v>
      </c>
      <c r="K1354" s="14">
        <v>5</v>
      </c>
      <c r="L1354" s="15">
        <v>52.8</v>
      </c>
      <c r="M1354" s="15">
        <v>52.8</v>
      </c>
    </row>
    <row r="1355" spans="4:13">
      <c r="D1355" s="12">
        <v>46126</v>
      </c>
      <c r="E1355" s="13">
        <v>1594806</v>
      </c>
      <c r="F1355" s="13" t="s">
        <v>131</v>
      </c>
      <c r="G1355" s="14">
        <v>20303777</v>
      </c>
      <c r="H1355" s="13" t="s">
        <v>351</v>
      </c>
      <c r="I1355" s="13" t="s">
        <v>221</v>
      </c>
      <c r="J1355" s="14">
        <v>1</v>
      </c>
      <c r="K1355" s="14">
        <v>27</v>
      </c>
      <c r="L1355" s="15">
        <v>180</v>
      </c>
      <c r="M1355" s="15">
        <f>J1355*L1355</f>
        <v>180</v>
      </c>
    </row>
    <row r="1356" spans="4:13">
      <c r="D1356" s="12">
        <v>46126</v>
      </c>
      <c r="E1356" s="13">
        <v>1594806</v>
      </c>
      <c r="F1356" s="13" t="s">
        <v>47</v>
      </c>
      <c r="G1356" s="14">
        <v>20303011</v>
      </c>
      <c r="H1356" s="13" t="s">
        <v>330</v>
      </c>
      <c r="I1356" s="13" t="s">
        <v>331</v>
      </c>
      <c r="J1356" s="14">
        <v>3</v>
      </c>
      <c r="K1356" s="14">
        <v>78</v>
      </c>
      <c r="L1356" s="15">
        <v>85.8</v>
      </c>
      <c r="M1356" s="15">
        <v>257.4</v>
      </c>
    </row>
    <row r="1357" spans="4:13">
      <c r="D1357" s="12">
        <v>46126</v>
      </c>
      <c r="E1357" s="13">
        <v>1594806</v>
      </c>
      <c r="F1357" s="13" t="s">
        <v>385</v>
      </c>
      <c r="G1357" s="14">
        <v>20349421</v>
      </c>
      <c r="H1357" s="13" t="s">
        <v>386</v>
      </c>
      <c r="I1357" s="13" t="s">
        <v>221</v>
      </c>
      <c r="J1357" s="14">
        <v>1</v>
      </c>
      <c r="K1357" s="14">
        <v>2</v>
      </c>
      <c r="L1357" s="15">
        <v>26.4</v>
      </c>
      <c r="M1357" s="15">
        <v>26.4</v>
      </c>
    </row>
    <row r="1358" spans="4:13">
      <c r="D1358" s="12">
        <v>46126</v>
      </c>
      <c r="E1358" s="13">
        <v>1594806</v>
      </c>
      <c r="F1358" s="13" t="s">
        <v>385</v>
      </c>
      <c r="G1358" s="14">
        <v>20316004</v>
      </c>
      <c r="H1358" s="13" t="s">
        <v>528</v>
      </c>
      <c r="I1358" s="13" t="s">
        <v>221</v>
      </c>
      <c r="J1358" s="14">
        <v>1</v>
      </c>
      <c r="K1358" s="14">
        <v>24</v>
      </c>
      <c r="L1358" s="15">
        <v>180</v>
      </c>
      <c r="M1358" s="15">
        <f>J1358*L1358</f>
        <v>180</v>
      </c>
    </row>
    <row r="1359" spans="4:13">
      <c r="D1359" s="12">
        <v>46126</v>
      </c>
      <c r="E1359" s="13">
        <v>1594806</v>
      </c>
      <c r="F1359" s="13" t="s">
        <v>65</v>
      </c>
      <c r="G1359" s="14">
        <v>20303836</v>
      </c>
      <c r="H1359" s="13" t="s">
        <v>332</v>
      </c>
      <c r="I1359" s="13" t="s">
        <v>83</v>
      </c>
      <c r="J1359" s="14">
        <v>6</v>
      </c>
      <c r="K1359" s="14">
        <v>24</v>
      </c>
      <c r="L1359" s="15">
        <v>13.2</v>
      </c>
      <c r="M1359" s="15">
        <v>79.2</v>
      </c>
    </row>
    <row r="1360" spans="4:13">
      <c r="D1360" s="12">
        <v>46126</v>
      </c>
      <c r="E1360" s="13">
        <v>1594806</v>
      </c>
      <c r="F1360" s="13" t="s">
        <v>65</v>
      </c>
      <c r="G1360" s="14">
        <v>20310863</v>
      </c>
      <c r="H1360" s="13" t="s">
        <v>333</v>
      </c>
      <c r="I1360" s="13" t="s">
        <v>49</v>
      </c>
      <c r="J1360" s="14">
        <v>1</v>
      </c>
      <c r="K1360" s="14">
        <v>1</v>
      </c>
      <c r="L1360" s="15">
        <v>9.9</v>
      </c>
      <c r="M1360" s="15">
        <v>9.9</v>
      </c>
    </row>
    <row r="1361" spans="4:13">
      <c r="D1361" s="12">
        <v>46127</v>
      </c>
      <c r="E1361" s="13">
        <v>1594958</v>
      </c>
      <c r="F1361" s="13" t="s">
        <v>324</v>
      </c>
      <c r="G1361" s="14">
        <v>20303022</v>
      </c>
      <c r="H1361" s="13" t="s">
        <v>352</v>
      </c>
      <c r="I1361" s="13" t="s">
        <v>326</v>
      </c>
      <c r="J1361" s="14">
        <v>1</v>
      </c>
      <c r="K1361" s="14">
        <v>31</v>
      </c>
      <c r="L1361" s="15">
        <v>102.3</v>
      </c>
      <c r="M1361" s="15">
        <v>102.3</v>
      </c>
    </row>
    <row r="1362" spans="4:13">
      <c r="D1362" s="12">
        <v>46127</v>
      </c>
      <c r="E1362" s="13">
        <v>1594958</v>
      </c>
      <c r="F1362" s="13" t="s">
        <v>324</v>
      </c>
      <c r="G1362" s="14">
        <v>20380422</v>
      </c>
      <c r="H1362" s="13" t="s">
        <v>516</v>
      </c>
      <c r="I1362" s="13" t="s">
        <v>83</v>
      </c>
      <c r="J1362" s="14">
        <v>1</v>
      </c>
      <c r="K1362" s="14">
        <v>5</v>
      </c>
      <c r="L1362" s="15">
        <v>16.5</v>
      </c>
      <c r="M1362" s="15">
        <v>16.5</v>
      </c>
    </row>
    <row r="1363" spans="4:13">
      <c r="D1363" s="12">
        <v>46127</v>
      </c>
      <c r="E1363" s="13">
        <v>1594958</v>
      </c>
      <c r="F1363" s="13" t="s">
        <v>324</v>
      </c>
      <c r="G1363" s="14">
        <v>20388057</v>
      </c>
      <c r="H1363" s="13" t="s">
        <v>470</v>
      </c>
      <c r="I1363" s="13" t="s">
        <v>326</v>
      </c>
      <c r="J1363" s="14">
        <v>1</v>
      </c>
      <c r="K1363" s="14">
        <v>15</v>
      </c>
      <c r="L1363" s="15">
        <v>49.5</v>
      </c>
      <c r="M1363" s="15">
        <v>49.5</v>
      </c>
    </row>
    <row r="1364" spans="4:13">
      <c r="D1364" s="12">
        <v>46127</v>
      </c>
      <c r="E1364" s="13">
        <v>1594958</v>
      </c>
      <c r="F1364" s="13" t="s">
        <v>324</v>
      </c>
      <c r="G1364" s="14">
        <v>20303058</v>
      </c>
      <c r="H1364" s="13" t="s">
        <v>338</v>
      </c>
      <c r="I1364" s="13" t="s">
        <v>326</v>
      </c>
      <c r="J1364" s="14">
        <v>1</v>
      </c>
      <c r="K1364" s="14">
        <v>57</v>
      </c>
      <c r="L1364" s="15">
        <v>188.1</v>
      </c>
      <c r="M1364" s="15">
        <v>188.1</v>
      </c>
    </row>
    <row r="1365" spans="4:13">
      <c r="D1365" s="12">
        <v>46127</v>
      </c>
      <c r="E1365" s="13">
        <v>1594958</v>
      </c>
      <c r="F1365" s="13" t="s">
        <v>163</v>
      </c>
      <c r="G1365" s="14">
        <v>20306235</v>
      </c>
      <c r="H1365" s="13" t="s">
        <v>480</v>
      </c>
      <c r="I1365" s="13" t="s">
        <v>83</v>
      </c>
      <c r="J1365" s="14">
        <v>1</v>
      </c>
      <c r="K1365" s="14">
        <v>5</v>
      </c>
      <c r="L1365" s="15">
        <v>16.5</v>
      </c>
      <c r="M1365" s="15">
        <v>16.5</v>
      </c>
    </row>
    <row r="1366" spans="4:13">
      <c r="D1366" s="12">
        <v>46127</v>
      </c>
      <c r="E1366" s="13">
        <v>1594958</v>
      </c>
      <c r="F1366" s="13" t="s">
        <v>163</v>
      </c>
      <c r="G1366" s="14">
        <v>20303912</v>
      </c>
      <c r="H1366" s="13" t="s">
        <v>329</v>
      </c>
      <c r="I1366" s="13" t="s">
        <v>83</v>
      </c>
      <c r="J1366" s="14">
        <v>2</v>
      </c>
      <c r="K1366" s="14">
        <v>10</v>
      </c>
      <c r="L1366" s="15">
        <v>16.5</v>
      </c>
      <c r="M1366" s="15">
        <v>33</v>
      </c>
    </row>
    <row r="1367" spans="4:13">
      <c r="D1367" s="12">
        <v>46127</v>
      </c>
      <c r="E1367" s="13">
        <v>1594958</v>
      </c>
      <c r="F1367" s="13" t="s">
        <v>47</v>
      </c>
      <c r="G1367" s="14">
        <v>20303014</v>
      </c>
      <c r="H1367" s="13" t="s">
        <v>529</v>
      </c>
      <c r="I1367" s="13" t="s">
        <v>331</v>
      </c>
      <c r="J1367" s="14">
        <v>1</v>
      </c>
      <c r="K1367" s="14">
        <v>17</v>
      </c>
      <c r="L1367" s="15">
        <v>56.1</v>
      </c>
      <c r="M1367" s="15">
        <v>56.1</v>
      </c>
    </row>
    <row r="1368" spans="4:13">
      <c r="D1368" s="12">
        <v>46127</v>
      </c>
      <c r="E1368" s="13">
        <v>1594964</v>
      </c>
      <c r="F1368" s="13" t="s">
        <v>131</v>
      </c>
      <c r="G1368" s="14">
        <v>20384037</v>
      </c>
      <c r="H1368" s="13" t="s">
        <v>376</v>
      </c>
      <c r="I1368" s="13" t="s">
        <v>221</v>
      </c>
      <c r="J1368" s="14">
        <v>1</v>
      </c>
      <c r="K1368" s="14">
        <v>25</v>
      </c>
      <c r="L1368" s="15">
        <v>180</v>
      </c>
      <c r="M1368" s="15">
        <f>J1368*L1368</f>
        <v>180</v>
      </c>
    </row>
    <row r="1369" spans="4:13">
      <c r="D1369" s="12">
        <v>46127</v>
      </c>
      <c r="E1369" s="13">
        <v>1594964</v>
      </c>
      <c r="F1369" s="13" t="s">
        <v>131</v>
      </c>
      <c r="G1369" s="14">
        <v>20412034</v>
      </c>
      <c r="H1369" s="13" t="s">
        <v>344</v>
      </c>
      <c r="I1369" s="13" t="s">
        <v>221</v>
      </c>
      <c r="J1369" s="14">
        <v>1</v>
      </c>
      <c r="K1369" s="14">
        <v>28</v>
      </c>
      <c r="L1369" s="15">
        <v>180</v>
      </c>
      <c r="M1369" s="15">
        <f>J1369*L1369</f>
        <v>180</v>
      </c>
    </row>
    <row r="1370" spans="4:13">
      <c r="D1370" s="12">
        <v>46127</v>
      </c>
      <c r="E1370" s="13">
        <v>1595028</v>
      </c>
      <c r="F1370" s="13" t="s">
        <v>324</v>
      </c>
      <c r="G1370" s="14">
        <v>20300049</v>
      </c>
      <c r="H1370" s="13" t="s">
        <v>387</v>
      </c>
      <c r="I1370" s="13" t="s">
        <v>326</v>
      </c>
      <c r="J1370" s="14">
        <v>1</v>
      </c>
      <c r="K1370" s="14">
        <v>33</v>
      </c>
      <c r="L1370" s="15">
        <v>108.9</v>
      </c>
      <c r="M1370" s="15">
        <v>108.9</v>
      </c>
    </row>
    <row r="1371" spans="4:13">
      <c r="D1371" s="12">
        <v>46127</v>
      </c>
      <c r="E1371" s="13">
        <v>1595028</v>
      </c>
      <c r="F1371" s="13" t="s">
        <v>324</v>
      </c>
      <c r="G1371" s="14">
        <v>20303015</v>
      </c>
      <c r="H1371" s="13" t="s">
        <v>334</v>
      </c>
      <c r="I1371" s="13" t="s">
        <v>326</v>
      </c>
      <c r="J1371" s="14">
        <v>1</v>
      </c>
      <c r="K1371" s="14">
        <v>34</v>
      </c>
      <c r="L1371" s="15">
        <v>112.2</v>
      </c>
      <c r="M1371" s="15">
        <v>112.2</v>
      </c>
    </row>
    <row r="1372" spans="4:13">
      <c r="D1372" s="12">
        <v>46127</v>
      </c>
      <c r="E1372" s="13">
        <v>1595028</v>
      </c>
      <c r="F1372" s="13" t="s">
        <v>324</v>
      </c>
      <c r="G1372" s="14">
        <v>20303022</v>
      </c>
      <c r="H1372" s="13" t="s">
        <v>352</v>
      </c>
      <c r="I1372" s="13" t="s">
        <v>326</v>
      </c>
      <c r="J1372" s="14">
        <v>3</v>
      </c>
      <c r="K1372" s="14">
        <v>93</v>
      </c>
      <c r="L1372" s="15">
        <v>102.3</v>
      </c>
      <c r="M1372" s="15">
        <v>306.9</v>
      </c>
    </row>
    <row r="1373" spans="4:13">
      <c r="D1373" s="12">
        <v>46127</v>
      </c>
      <c r="E1373" s="13">
        <v>1595028</v>
      </c>
      <c r="F1373" s="13" t="s">
        <v>324</v>
      </c>
      <c r="G1373" s="14">
        <v>20309891</v>
      </c>
      <c r="H1373" s="13" t="s">
        <v>473</v>
      </c>
      <c r="I1373" s="13" t="s">
        <v>326</v>
      </c>
      <c r="J1373" s="14">
        <v>1</v>
      </c>
      <c r="K1373" s="14">
        <v>28</v>
      </c>
      <c r="L1373" s="15">
        <v>92.4</v>
      </c>
      <c r="M1373" s="15">
        <v>92.4</v>
      </c>
    </row>
    <row r="1374" spans="4:13">
      <c r="D1374" s="12">
        <v>46127</v>
      </c>
      <c r="E1374" s="13">
        <v>1595028</v>
      </c>
      <c r="F1374" s="13" t="s">
        <v>324</v>
      </c>
      <c r="G1374" s="14">
        <v>20303023</v>
      </c>
      <c r="H1374" s="13" t="s">
        <v>335</v>
      </c>
      <c r="I1374" s="13" t="s">
        <v>326</v>
      </c>
      <c r="J1374" s="14">
        <v>1</v>
      </c>
      <c r="K1374" s="14">
        <v>63</v>
      </c>
      <c r="L1374" s="15">
        <v>207.9</v>
      </c>
      <c r="M1374" s="15">
        <v>207.9</v>
      </c>
    </row>
    <row r="1375" spans="4:13">
      <c r="D1375" s="12">
        <v>46127</v>
      </c>
      <c r="E1375" s="13">
        <v>1595028</v>
      </c>
      <c r="F1375" s="13" t="s">
        <v>324</v>
      </c>
      <c r="G1375" s="14">
        <v>20303025</v>
      </c>
      <c r="H1375" s="13" t="s">
        <v>336</v>
      </c>
      <c r="I1375" s="13" t="s">
        <v>326</v>
      </c>
      <c r="J1375" s="14">
        <v>1</v>
      </c>
      <c r="K1375" s="14">
        <v>47</v>
      </c>
      <c r="L1375" s="15">
        <v>155.1</v>
      </c>
      <c r="M1375" s="15">
        <v>155.1</v>
      </c>
    </row>
    <row r="1376" spans="4:13">
      <c r="D1376" s="12">
        <v>46127</v>
      </c>
      <c r="E1376" s="13">
        <v>1595028</v>
      </c>
      <c r="F1376" s="13" t="s">
        <v>20</v>
      </c>
      <c r="G1376" s="14">
        <v>20303954</v>
      </c>
      <c r="H1376" s="13" t="s">
        <v>295</v>
      </c>
      <c r="I1376" s="13" t="s">
        <v>29</v>
      </c>
      <c r="J1376" s="14">
        <v>1</v>
      </c>
      <c r="K1376" s="14">
        <v>1</v>
      </c>
      <c r="L1376" s="15">
        <v>4.8</v>
      </c>
      <c r="M1376" s="15">
        <v>4.8</v>
      </c>
    </row>
    <row r="1377" spans="4:13">
      <c r="D1377" s="12">
        <v>46127</v>
      </c>
      <c r="E1377" s="13">
        <v>1595028</v>
      </c>
      <c r="F1377" s="13" t="s">
        <v>20</v>
      </c>
      <c r="G1377" s="14">
        <v>20309432</v>
      </c>
      <c r="H1377" s="13" t="s">
        <v>357</v>
      </c>
      <c r="I1377" s="13" t="s">
        <v>57</v>
      </c>
      <c r="J1377" s="14">
        <v>1</v>
      </c>
      <c r="K1377" s="14">
        <v>2</v>
      </c>
      <c r="L1377" s="15">
        <v>9.9</v>
      </c>
      <c r="M1377" s="15">
        <v>9.9</v>
      </c>
    </row>
    <row r="1378" spans="4:13">
      <c r="D1378" s="12">
        <v>46127</v>
      </c>
      <c r="E1378" s="13">
        <v>1595028</v>
      </c>
      <c r="F1378" s="13" t="s">
        <v>20</v>
      </c>
      <c r="G1378" s="14">
        <v>20303977</v>
      </c>
      <c r="H1378" s="13" t="s">
        <v>196</v>
      </c>
      <c r="I1378" s="13" t="s">
        <v>33</v>
      </c>
      <c r="J1378" s="14">
        <v>1</v>
      </c>
      <c r="K1378" s="14">
        <v>1</v>
      </c>
      <c r="L1378" s="15">
        <v>4.8</v>
      </c>
      <c r="M1378" s="15">
        <v>4.8</v>
      </c>
    </row>
    <row r="1379" spans="4:13">
      <c r="D1379" s="12">
        <v>46127</v>
      </c>
      <c r="E1379" s="13">
        <v>1595028</v>
      </c>
      <c r="F1379" s="13" t="s">
        <v>20</v>
      </c>
      <c r="G1379" s="14">
        <v>20336548</v>
      </c>
      <c r="H1379" s="13" t="s">
        <v>458</v>
      </c>
      <c r="I1379" s="13" t="s">
        <v>53</v>
      </c>
      <c r="J1379" s="14">
        <v>2</v>
      </c>
      <c r="K1379" s="14">
        <v>2</v>
      </c>
      <c r="L1379" s="15">
        <v>6.6</v>
      </c>
      <c r="M1379" s="15">
        <v>13.2</v>
      </c>
    </row>
    <row r="1380" spans="4:13">
      <c r="D1380" s="12">
        <v>46127</v>
      </c>
      <c r="E1380" s="13">
        <v>1595028</v>
      </c>
      <c r="F1380" s="13" t="s">
        <v>20</v>
      </c>
      <c r="G1380" s="14">
        <v>20307293</v>
      </c>
      <c r="H1380" s="13" t="s">
        <v>211</v>
      </c>
      <c r="I1380" s="13" t="s">
        <v>22</v>
      </c>
      <c r="J1380" s="14">
        <v>1</v>
      </c>
      <c r="K1380" s="14">
        <v>2</v>
      </c>
      <c r="L1380" s="15">
        <v>8.1</v>
      </c>
      <c r="M1380" s="15">
        <v>8.1</v>
      </c>
    </row>
    <row r="1381" spans="4:13">
      <c r="D1381" s="12">
        <v>46127</v>
      </c>
      <c r="E1381" s="13">
        <v>1595028</v>
      </c>
      <c r="F1381" s="13" t="s">
        <v>20</v>
      </c>
      <c r="G1381" s="14">
        <v>20309927</v>
      </c>
      <c r="H1381" s="13" t="s">
        <v>495</v>
      </c>
      <c r="I1381" s="13" t="s">
        <v>29</v>
      </c>
      <c r="J1381" s="14">
        <v>1</v>
      </c>
      <c r="K1381" s="14">
        <v>2</v>
      </c>
      <c r="L1381" s="15">
        <v>8.1</v>
      </c>
      <c r="M1381" s="15">
        <v>8.1</v>
      </c>
    </row>
    <row r="1382" spans="4:13">
      <c r="D1382" s="12">
        <v>46127</v>
      </c>
      <c r="E1382" s="13">
        <v>1595028</v>
      </c>
      <c r="F1382" s="13" t="s">
        <v>20</v>
      </c>
      <c r="G1382" s="14">
        <v>20305193</v>
      </c>
      <c r="H1382" s="13" t="s">
        <v>396</v>
      </c>
      <c r="I1382" s="13" t="s">
        <v>22</v>
      </c>
      <c r="J1382" s="14">
        <v>1</v>
      </c>
      <c r="K1382" s="14">
        <v>1</v>
      </c>
      <c r="L1382" s="15">
        <v>4.8</v>
      </c>
      <c r="M1382" s="15">
        <v>4.8</v>
      </c>
    </row>
    <row r="1383" spans="4:13">
      <c r="D1383" s="12">
        <v>46127</v>
      </c>
      <c r="E1383" s="13">
        <v>1595028</v>
      </c>
      <c r="F1383" s="13" t="s">
        <v>20</v>
      </c>
      <c r="G1383" s="14">
        <v>20304006</v>
      </c>
      <c r="H1383" s="13" t="s">
        <v>435</v>
      </c>
      <c r="I1383" s="13" t="s">
        <v>55</v>
      </c>
      <c r="J1383" s="14">
        <v>1</v>
      </c>
      <c r="K1383" s="14">
        <v>1</v>
      </c>
      <c r="L1383" s="15">
        <v>9.9</v>
      </c>
      <c r="M1383" s="15">
        <v>9.9</v>
      </c>
    </row>
    <row r="1384" spans="4:13">
      <c r="D1384" s="12">
        <v>46127</v>
      </c>
      <c r="E1384" s="13">
        <v>1595028</v>
      </c>
      <c r="F1384" s="13" t="s">
        <v>20</v>
      </c>
      <c r="G1384" s="14">
        <v>20309681</v>
      </c>
      <c r="H1384" s="13" t="s">
        <v>451</v>
      </c>
      <c r="I1384" s="13" t="s">
        <v>29</v>
      </c>
      <c r="J1384" s="14">
        <v>1</v>
      </c>
      <c r="K1384" s="14">
        <v>1</v>
      </c>
      <c r="L1384" s="15">
        <v>4.8</v>
      </c>
      <c r="M1384" s="15">
        <v>4.8</v>
      </c>
    </row>
    <row r="1385" spans="4:13">
      <c r="D1385" s="12">
        <v>46127</v>
      </c>
      <c r="E1385" s="13">
        <v>1595028</v>
      </c>
      <c r="F1385" s="13" t="s">
        <v>65</v>
      </c>
      <c r="G1385" s="14">
        <v>20303836</v>
      </c>
      <c r="H1385" s="13" t="s">
        <v>332</v>
      </c>
      <c r="I1385" s="13" t="s">
        <v>83</v>
      </c>
      <c r="J1385" s="14">
        <v>6</v>
      </c>
      <c r="K1385" s="14">
        <v>24</v>
      </c>
      <c r="L1385" s="15">
        <v>13.2</v>
      </c>
      <c r="M1385" s="15">
        <v>79.2</v>
      </c>
    </row>
    <row r="1386" spans="4:13">
      <c r="D1386" s="12">
        <v>46127</v>
      </c>
      <c r="E1386" s="13">
        <v>1595032</v>
      </c>
      <c r="F1386" s="13" t="s">
        <v>131</v>
      </c>
      <c r="G1386" s="14">
        <v>20309648</v>
      </c>
      <c r="H1386" s="13" t="s">
        <v>363</v>
      </c>
      <c r="I1386" s="13" t="s">
        <v>221</v>
      </c>
      <c r="J1386" s="14">
        <v>1</v>
      </c>
      <c r="K1386" s="14">
        <v>14</v>
      </c>
      <c r="L1386" s="15">
        <v>138.6</v>
      </c>
      <c r="M1386" s="15">
        <v>138.6</v>
      </c>
    </row>
    <row r="1387" spans="4:13">
      <c r="D1387" s="12">
        <v>46127</v>
      </c>
      <c r="E1387" s="13">
        <v>1595032</v>
      </c>
      <c r="F1387" s="13" t="s">
        <v>131</v>
      </c>
      <c r="G1387" s="14">
        <v>20314362</v>
      </c>
      <c r="H1387" s="13" t="s">
        <v>364</v>
      </c>
      <c r="I1387" s="13" t="s">
        <v>221</v>
      </c>
      <c r="J1387" s="14">
        <v>1</v>
      </c>
      <c r="K1387" s="14">
        <v>27</v>
      </c>
      <c r="L1387" s="15">
        <v>180</v>
      </c>
      <c r="M1387" s="15">
        <f>J1387*L1387</f>
        <v>180</v>
      </c>
    </row>
    <row r="1388" spans="4:13">
      <c r="D1388" s="12">
        <v>46127</v>
      </c>
      <c r="E1388" s="13">
        <v>1595032</v>
      </c>
      <c r="F1388" s="13" t="s">
        <v>131</v>
      </c>
      <c r="G1388" s="14">
        <v>20309658</v>
      </c>
      <c r="H1388" s="13" t="s">
        <v>365</v>
      </c>
      <c r="I1388" s="13" t="s">
        <v>221</v>
      </c>
      <c r="J1388" s="14">
        <v>1</v>
      </c>
      <c r="K1388" s="14">
        <v>5</v>
      </c>
      <c r="L1388" s="15">
        <v>52.8</v>
      </c>
      <c r="M1388" s="15">
        <v>52.8</v>
      </c>
    </row>
    <row r="1389" ht="25.5" spans="4:13">
      <c r="D1389" s="12">
        <v>46127</v>
      </c>
      <c r="E1389" s="13">
        <v>1595032</v>
      </c>
      <c r="F1389" s="13" t="s">
        <v>131</v>
      </c>
      <c r="G1389" s="14">
        <v>20312712</v>
      </c>
      <c r="H1389" s="13" t="s">
        <v>409</v>
      </c>
      <c r="I1389" s="13" t="s">
        <v>221</v>
      </c>
      <c r="J1389" s="14">
        <v>1</v>
      </c>
      <c r="K1389" s="14">
        <v>14</v>
      </c>
      <c r="L1389" s="15">
        <v>138.6</v>
      </c>
      <c r="M1389" s="15">
        <v>138.6</v>
      </c>
    </row>
    <row r="1390" spans="4:13">
      <c r="D1390" s="12">
        <v>46127</v>
      </c>
      <c r="E1390" s="13">
        <v>1595032</v>
      </c>
      <c r="F1390" s="13" t="s">
        <v>131</v>
      </c>
      <c r="G1390" s="14">
        <v>20312572</v>
      </c>
      <c r="H1390" s="13" t="s">
        <v>366</v>
      </c>
      <c r="I1390" s="13" t="s">
        <v>221</v>
      </c>
      <c r="J1390" s="14">
        <v>1</v>
      </c>
      <c r="K1390" s="14">
        <v>27</v>
      </c>
      <c r="L1390" s="15">
        <v>180</v>
      </c>
      <c r="M1390" s="15">
        <f>J1390*L1390</f>
        <v>180</v>
      </c>
    </row>
    <row r="1391" spans="4:13">
      <c r="D1391" s="12">
        <v>46127</v>
      </c>
      <c r="E1391" s="13">
        <v>1595032</v>
      </c>
      <c r="F1391" s="13" t="s">
        <v>131</v>
      </c>
      <c r="G1391" s="14">
        <v>20303777</v>
      </c>
      <c r="H1391" s="13" t="s">
        <v>351</v>
      </c>
      <c r="I1391" s="13" t="s">
        <v>221</v>
      </c>
      <c r="J1391" s="14">
        <v>1</v>
      </c>
      <c r="K1391" s="14">
        <v>27</v>
      </c>
      <c r="L1391" s="15">
        <v>180</v>
      </c>
      <c r="M1391" s="15">
        <f>J1391*L1391</f>
        <v>180</v>
      </c>
    </row>
    <row r="1392" spans="4:13">
      <c r="D1392" s="12">
        <v>46127</v>
      </c>
      <c r="E1392" s="13">
        <v>1595032</v>
      </c>
      <c r="F1392" s="13" t="s">
        <v>385</v>
      </c>
      <c r="G1392" s="14">
        <v>20399009</v>
      </c>
      <c r="H1392" s="13" t="s">
        <v>404</v>
      </c>
      <c r="I1392" s="13" t="s">
        <v>128</v>
      </c>
      <c r="J1392" s="14">
        <v>1</v>
      </c>
      <c r="K1392" s="14">
        <v>1</v>
      </c>
      <c r="L1392" s="15">
        <v>16.8</v>
      </c>
      <c r="M1392" s="15">
        <v>16.8</v>
      </c>
    </row>
    <row r="1393" spans="4:13">
      <c r="D1393" s="12">
        <v>46127</v>
      </c>
      <c r="E1393" s="13">
        <v>1595066</v>
      </c>
      <c r="F1393" s="13" t="s">
        <v>15</v>
      </c>
      <c r="G1393" s="14">
        <v>20314042</v>
      </c>
      <c r="H1393" s="13" t="s">
        <v>341</v>
      </c>
      <c r="I1393" s="13" t="s">
        <v>128</v>
      </c>
      <c r="J1393" s="14">
        <v>2</v>
      </c>
      <c r="K1393" s="14">
        <v>2</v>
      </c>
      <c r="L1393" s="15">
        <v>16.8</v>
      </c>
      <c r="M1393" s="15">
        <v>33.6</v>
      </c>
    </row>
    <row r="1394" spans="4:13">
      <c r="D1394" s="12">
        <v>46127</v>
      </c>
      <c r="E1394" s="13">
        <v>1595066</v>
      </c>
      <c r="F1394" s="13" t="s">
        <v>15</v>
      </c>
      <c r="G1394" s="14">
        <v>20361389</v>
      </c>
      <c r="H1394" s="13" t="s">
        <v>513</v>
      </c>
      <c r="I1394" s="13" t="s">
        <v>514</v>
      </c>
      <c r="J1394" s="14">
        <v>1</v>
      </c>
      <c r="K1394" s="14">
        <v>1</v>
      </c>
      <c r="L1394" s="15">
        <v>16.8</v>
      </c>
      <c r="M1394" s="15">
        <v>16.8</v>
      </c>
    </row>
    <row r="1395" spans="4:13">
      <c r="D1395" s="12">
        <v>46127</v>
      </c>
      <c r="E1395" s="13">
        <v>1595066</v>
      </c>
      <c r="F1395" s="13" t="s">
        <v>15</v>
      </c>
      <c r="G1395" s="14">
        <v>20358905</v>
      </c>
      <c r="H1395" s="13" t="s">
        <v>360</v>
      </c>
      <c r="I1395" s="13" t="s">
        <v>244</v>
      </c>
      <c r="J1395" s="14">
        <v>1</v>
      </c>
      <c r="K1395" s="14">
        <v>1</v>
      </c>
      <c r="L1395" s="15">
        <v>15</v>
      </c>
      <c r="M1395" s="15">
        <v>15</v>
      </c>
    </row>
    <row r="1396" spans="4:13">
      <c r="D1396" s="12">
        <v>46127</v>
      </c>
      <c r="E1396" s="13">
        <v>1595066</v>
      </c>
      <c r="F1396" s="13" t="s">
        <v>15</v>
      </c>
      <c r="G1396" s="14">
        <v>20309651</v>
      </c>
      <c r="H1396" s="13" t="s">
        <v>130</v>
      </c>
      <c r="I1396" s="13" t="s">
        <v>62</v>
      </c>
      <c r="J1396" s="14">
        <v>1</v>
      </c>
      <c r="K1396" s="14">
        <v>1</v>
      </c>
      <c r="L1396" s="15">
        <v>21</v>
      </c>
      <c r="M1396" s="15">
        <v>21</v>
      </c>
    </row>
    <row r="1397" spans="4:13">
      <c r="D1397" s="12">
        <v>46127</v>
      </c>
      <c r="E1397" s="13">
        <v>1595066</v>
      </c>
      <c r="F1397" s="13" t="s">
        <v>15</v>
      </c>
      <c r="G1397" s="14">
        <v>20359638</v>
      </c>
      <c r="H1397" s="13" t="s">
        <v>411</v>
      </c>
      <c r="I1397" s="13" t="s">
        <v>128</v>
      </c>
      <c r="J1397" s="14">
        <v>1</v>
      </c>
      <c r="K1397" s="14">
        <v>1</v>
      </c>
      <c r="L1397" s="15">
        <v>16.8</v>
      </c>
      <c r="M1397" s="15">
        <v>16.8</v>
      </c>
    </row>
    <row r="1398" spans="4:13">
      <c r="D1398" s="12">
        <v>46127</v>
      </c>
      <c r="E1398" s="13">
        <v>1595066</v>
      </c>
      <c r="F1398" s="13" t="s">
        <v>131</v>
      </c>
      <c r="G1398" s="14">
        <v>20309677</v>
      </c>
      <c r="H1398" s="13" t="s">
        <v>362</v>
      </c>
      <c r="I1398" s="13" t="s">
        <v>221</v>
      </c>
      <c r="J1398" s="14">
        <v>1</v>
      </c>
      <c r="K1398" s="14">
        <v>12</v>
      </c>
      <c r="L1398" s="15">
        <v>112.2</v>
      </c>
      <c r="M1398" s="15">
        <v>112.2</v>
      </c>
    </row>
    <row r="1399" spans="4:13">
      <c r="D1399" s="12">
        <v>46127</v>
      </c>
      <c r="E1399" s="13">
        <v>1595066</v>
      </c>
      <c r="F1399" s="13" t="s">
        <v>131</v>
      </c>
      <c r="G1399" s="14">
        <v>20309648</v>
      </c>
      <c r="H1399" s="13" t="s">
        <v>363</v>
      </c>
      <c r="I1399" s="13" t="s">
        <v>221</v>
      </c>
      <c r="J1399" s="14">
        <v>1</v>
      </c>
      <c r="K1399" s="14">
        <v>14</v>
      </c>
      <c r="L1399" s="15">
        <v>138.6</v>
      </c>
      <c r="M1399" s="15">
        <v>138.6</v>
      </c>
    </row>
    <row r="1400" spans="4:13">
      <c r="D1400" s="12">
        <v>46127</v>
      </c>
      <c r="E1400" s="13">
        <v>1595066</v>
      </c>
      <c r="F1400" s="13" t="s">
        <v>131</v>
      </c>
      <c r="G1400" s="14">
        <v>20339097</v>
      </c>
      <c r="H1400" s="13" t="s">
        <v>343</v>
      </c>
      <c r="I1400" s="13" t="s">
        <v>221</v>
      </c>
      <c r="J1400" s="14">
        <v>1</v>
      </c>
      <c r="K1400" s="14">
        <v>32</v>
      </c>
      <c r="L1400" s="15">
        <v>180</v>
      </c>
      <c r="M1400" s="15">
        <f>J1400*L1400</f>
        <v>180</v>
      </c>
    </row>
    <row r="1401" spans="4:13">
      <c r="D1401" s="12">
        <v>46127</v>
      </c>
      <c r="E1401" s="13">
        <v>1595066</v>
      </c>
      <c r="F1401" s="13" t="s">
        <v>131</v>
      </c>
      <c r="G1401" s="14">
        <v>20309658</v>
      </c>
      <c r="H1401" s="13" t="s">
        <v>365</v>
      </c>
      <c r="I1401" s="13" t="s">
        <v>221</v>
      </c>
      <c r="J1401" s="14">
        <v>2</v>
      </c>
      <c r="K1401" s="14">
        <v>10</v>
      </c>
      <c r="L1401" s="15">
        <v>52.8</v>
      </c>
      <c r="M1401" s="15">
        <v>105.6</v>
      </c>
    </row>
    <row r="1402" spans="4:13">
      <c r="D1402" s="12">
        <v>46127</v>
      </c>
      <c r="E1402" s="13">
        <v>1595094</v>
      </c>
      <c r="F1402" s="13" t="s">
        <v>324</v>
      </c>
      <c r="G1402" s="14">
        <v>20303010</v>
      </c>
      <c r="H1402" s="13" t="s">
        <v>325</v>
      </c>
      <c r="I1402" s="13" t="s">
        <v>326</v>
      </c>
      <c r="J1402" s="14">
        <v>2</v>
      </c>
      <c r="K1402" s="14">
        <v>50</v>
      </c>
      <c r="L1402" s="15">
        <v>82.5</v>
      </c>
      <c r="M1402" s="15">
        <v>165</v>
      </c>
    </row>
    <row r="1403" spans="4:13">
      <c r="D1403" s="12">
        <v>46127</v>
      </c>
      <c r="E1403" s="13">
        <v>1595094</v>
      </c>
      <c r="F1403" s="13" t="s">
        <v>324</v>
      </c>
      <c r="G1403" s="14">
        <v>20303013</v>
      </c>
      <c r="H1403" s="13" t="s">
        <v>484</v>
      </c>
      <c r="I1403" s="13" t="s">
        <v>326</v>
      </c>
      <c r="J1403" s="14">
        <v>1</v>
      </c>
      <c r="K1403" s="14">
        <v>27</v>
      </c>
      <c r="L1403" s="15">
        <v>89.1</v>
      </c>
      <c r="M1403" s="15">
        <v>89.1</v>
      </c>
    </row>
    <row r="1404" spans="4:13">
      <c r="D1404" s="12">
        <v>46127</v>
      </c>
      <c r="E1404" s="13">
        <v>1595094</v>
      </c>
      <c r="F1404" s="13" t="s">
        <v>324</v>
      </c>
      <c r="G1404" s="14">
        <v>20303022</v>
      </c>
      <c r="H1404" s="13" t="s">
        <v>352</v>
      </c>
      <c r="I1404" s="13" t="s">
        <v>326</v>
      </c>
      <c r="J1404" s="14">
        <v>4</v>
      </c>
      <c r="K1404" s="14">
        <v>124</v>
      </c>
      <c r="L1404" s="15">
        <v>102.3</v>
      </c>
      <c r="M1404" s="15">
        <v>409.2</v>
      </c>
    </row>
    <row r="1405" spans="4:13">
      <c r="D1405" s="12">
        <v>46127</v>
      </c>
      <c r="E1405" s="13">
        <v>1595094</v>
      </c>
      <c r="F1405" s="13" t="s">
        <v>324</v>
      </c>
      <c r="G1405" s="14">
        <v>20303018</v>
      </c>
      <c r="H1405" s="13" t="s">
        <v>454</v>
      </c>
      <c r="I1405" s="13" t="s">
        <v>326</v>
      </c>
      <c r="J1405" s="14">
        <v>1</v>
      </c>
      <c r="K1405" s="14">
        <v>50</v>
      </c>
      <c r="L1405" s="15">
        <v>165</v>
      </c>
      <c r="M1405" s="15">
        <v>165</v>
      </c>
    </row>
    <row r="1406" spans="4:13">
      <c r="D1406" s="12">
        <v>46127</v>
      </c>
      <c r="E1406" s="13">
        <v>1595094</v>
      </c>
      <c r="F1406" s="13" t="s">
        <v>324</v>
      </c>
      <c r="G1406" s="14">
        <v>20303025</v>
      </c>
      <c r="H1406" s="13" t="s">
        <v>336</v>
      </c>
      <c r="I1406" s="13" t="s">
        <v>326</v>
      </c>
      <c r="J1406" s="14">
        <v>2</v>
      </c>
      <c r="K1406" s="14">
        <v>94</v>
      </c>
      <c r="L1406" s="15">
        <v>155.1</v>
      </c>
      <c r="M1406" s="15">
        <v>310.2</v>
      </c>
    </row>
    <row r="1407" spans="4:13">
      <c r="D1407" s="12">
        <v>46127</v>
      </c>
      <c r="E1407" s="13">
        <v>1595094</v>
      </c>
      <c r="F1407" s="13" t="s">
        <v>324</v>
      </c>
      <c r="G1407" s="14">
        <v>20303029</v>
      </c>
      <c r="H1407" s="13" t="s">
        <v>337</v>
      </c>
      <c r="I1407" s="13" t="s">
        <v>326</v>
      </c>
      <c r="J1407" s="14">
        <v>1</v>
      </c>
      <c r="K1407" s="14">
        <v>47</v>
      </c>
      <c r="L1407" s="15">
        <v>155.1</v>
      </c>
      <c r="M1407" s="15">
        <v>155.1</v>
      </c>
    </row>
    <row r="1408" spans="4:13">
      <c r="D1408" s="12">
        <v>46127</v>
      </c>
      <c r="E1408" s="13">
        <v>1595094</v>
      </c>
      <c r="F1408" s="13" t="s">
        <v>324</v>
      </c>
      <c r="G1408" s="14">
        <v>20303052</v>
      </c>
      <c r="H1408" s="13" t="s">
        <v>388</v>
      </c>
      <c r="I1408" s="13" t="s">
        <v>326</v>
      </c>
      <c r="J1408" s="14">
        <v>1</v>
      </c>
      <c r="K1408" s="14">
        <v>30</v>
      </c>
      <c r="L1408" s="15">
        <v>99</v>
      </c>
      <c r="M1408" s="15">
        <v>99</v>
      </c>
    </row>
    <row r="1409" spans="4:13">
      <c r="D1409" s="12">
        <v>46127</v>
      </c>
      <c r="E1409" s="13">
        <v>1595094</v>
      </c>
      <c r="F1409" s="13" t="s">
        <v>163</v>
      </c>
      <c r="G1409" s="14">
        <v>20303912</v>
      </c>
      <c r="H1409" s="13" t="s">
        <v>329</v>
      </c>
      <c r="I1409" s="13" t="s">
        <v>83</v>
      </c>
      <c r="J1409" s="14">
        <v>1</v>
      </c>
      <c r="K1409" s="14">
        <v>5</v>
      </c>
      <c r="L1409" s="15">
        <v>16.5</v>
      </c>
      <c r="M1409" s="15">
        <v>16.5</v>
      </c>
    </row>
    <row r="1410" spans="4:13">
      <c r="D1410" s="12">
        <v>46127</v>
      </c>
      <c r="E1410" s="13">
        <v>1595094</v>
      </c>
      <c r="F1410" s="13" t="s">
        <v>20</v>
      </c>
      <c r="G1410" s="14">
        <v>20303954</v>
      </c>
      <c r="H1410" s="13" t="s">
        <v>295</v>
      </c>
      <c r="I1410" s="13" t="s">
        <v>29</v>
      </c>
      <c r="J1410" s="14">
        <v>1</v>
      </c>
      <c r="K1410" s="14">
        <v>1</v>
      </c>
      <c r="L1410" s="15">
        <v>4.8</v>
      </c>
      <c r="M1410" s="15">
        <v>4.8</v>
      </c>
    </row>
    <row r="1411" spans="4:13">
      <c r="D1411" s="12">
        <v>46127</v>
      </c>
      <c r="E1411" s="13">
        <v>1595094</v>
      </c>
      <c r="F1411" s="13" t="s">
        <v>20</v>
      </c>
      <c r="G1411" s="14">
        <v>20305028</v>
      </c>
      <c r="H1411" s="13" t="s">
        <v>432</v>
      </c>
      <c r="I1411" s="13" t="s">
        <v>29</v>
      </c>
      <c r="J1411" s="14">
        <v>1</v>
      </c>
      <c r="K1411" s="14">
        <v>1</v>
      </c>
      <c r="L1411" s="15">
        <v>4.8</v>
      </c>
      <c r="M1411" s="15">
        <v>4.8</v>
      </c>
    </row>
    <row r="1412" spans="4:13">
      <c r="D1412" s="12">
        <v>46127</v>
      </c>
      <c r="E1412" s="13">
        <v>1595094</v>
      </c>
      <c r="F1412" s="13" t="s">
        <v>20</v>
      </c>
      <c r="G1412" s="14">
        <v>20305112</v>
      </c>
      <c r="H1412" s="13" t="s">
        <v>488</v>
      </c>
      <c r="I1412" s="13" t="s">
        <v>53</v>
      </c>
      <c r="J1412" s="14">
        <v>1</v>
      </c>
      <c r="K1412" s="14">
        <v>1</v>
      </c>
      <c r="L1412" s="15">
        <v>9.9</v>
      </c>
      <c r="M1412" s="15">
        <v>9.9</v>
      </c>
    </row>
    <row r="1413" spans="4:13">
      <c r="D1413" s="12">
        <v>46127</v>
      </c>
      <c r="E1413" s="13">
        <v>1595094</v>
      </c>
      <c r="F1413" s="13" t="s">
        <v>20</v>
      </c>
      <c r="G1413" s="14">
        <v>20307293</v>
      </c>
      <c r="H1413" s="13" t="s">
        <v>211</v>
      </c>
      <c r="I1413" s="13" t="s">
        <v>22</v>
      </c>
      <c r="J1413" s="14">
        <v>1</v>
      </c>
      <c r="K1413" s="14">
        <v>2</v>
      </c>
      <c r="L1413" s="15">
        <v>8.1</v>
      </c>
      <c r="M1413" s="15">
        <v>8.1</v>
      </c>
    </row>
    <row r="1414" spans="4:13">
      <c r="D1414" s="12">
        <v>46127</v>
      </c>
      <c r="E1414" s="13">
        <v>1595094</v>
      </c>
      <c r="F1414" s="13" t="s">
        <v>20</v>
      </c>
      <c r="G1414" s="14">
        <v>20303979</v>
      </c>
      <c r="H1414" s="13" t="s">
        <v>368</v>
      </c>
      <c r="I1414" s="13" t="s">
        <v>55</v>
      </c>
      <c r="J1414" s="14">
        <v>1</v>
      </c>
      <c r="K1414" s="14">
        <v>1</v>
      </c>
      <c r="L1414" s="15">
        <v>7.8</v>
      </c>
      <c r="M1414" s="15">
        <v>7.8</v>
      </c>
    </row>
    <row r="1415" spans="4:13">
      <c r="D1415" s="12">
        <v>46127</v>
      </c>
      <c r="E1415" s="13">
        <v>1595094</v>
      </c>
      <c r="F1415" s="13" t="s">
        <v>20</v>
      </c>
      <c r="G1415" s="14">
        <v>20313225</v>
      </c>
      <c r="H1415" s="13" t="s">
        <v>358</v>
      </c>
      <c r="I1415" s="13" t="s">
        <v>31</v>
      </c>
      <c r="J1415" s="14">
        <v>1</v>
      </c>
      <c r="K1415" s="14">
        <v>4</v>
      </c>
      <c r="L1415" s="15">
        <v>13.2</v>
      </c>
      <c r="M1415" s="15">
        <v>13.2</v>
      </c>
    </row>
    <row r="1416" spans="4:13">
      <c r="D1416" s="12">
        <v>46127</v>
      </c>
      <c r="E1416" s="13">
        <v>1595094</v>
      </c>
      <c r="F1416" s="13" t="s">
        <v>47</v>
      </c>
      <c r="G1416" s="14">
        <v>20302998</v>
      </c>
      <c r="H1416" s="13" t="s">
        <v>346</v>
      </c>
      <c r="I1416" s="13" t="s">
        <v>347</v>
      </c>
      <c r="J1416" s="14">
        <v>3</v>
      </c>
      <c r="K1416" s="14">
        <v>57</v>
      </c>
      <c r="L1416" s="15">
        <v>62.7</v>
      </c>
      <c r="M1416" s="15">
        <v>188.1</v>
      </c>
    </row>
    <row r="1417" spans="4:13">
      <c r="D1417" s="12">
        <v>46127</v>
      </c>
      <c r="E1417" s="13">
        <v>1595094</v>
      </c>
      <c r="F1417" s="13" t="s">
        <v>47</v>
      </c>
      <c r="G1417" s="14">
        <v>20303011</v>
      </c>
      <c r="H1417" s="13" t="s">
        <v>330</v>
      </c>
      <c r="I1417" s="13" t="s">
        <v>331</v>
      </c>
      <c r="J1417" s="14">
        <v>4</v>
      </c>
      <c r="K1417" s="14">
        <v>104</v>
      </c>
      <c r="L1417" s="15">
        <v>85.8</v>
      </c>
      <c r="M1417" s="15">
        <v>343.2</v>
      </c>
    </row>
    <row r="1418" spans="4:13">
      <c r="D1418" s="12">
        <v>46127</v>
      </c>
      <c r="E1418" s="13">
        <v>1595094</v>
      </c>
      <c r="F1418" s="13" t="s">
        <v>47</v>
      </c>
      <c r="G1418" s="14">
        <v>20303941</v>
      </c>
      <c r="H1418" s="13" t="s">
        <v>348</v>
      </c>
      <c r="I1418" s="13" t="s">
        <v>331</v>
      </c>
      <c r="J1418" s="14">
        <v>1</v>
      </c>
      <c r="K1418" s="14">
        <v>8</v>
      </c>
      <c r="L1418" s="15">
        <v>26.4</v>
      </c>
      <c r="M1418" s="15">
        <v>26.4</v>
      </c>
    </row>
    <row r="1419" spans="4:13">
      <c r="D1419" s="12">
        <v>46127</v>
      </c>
      <c r="E1419" s="13">
        <v>1595094</v>
      </c>
      <c r="F1419" s="13" t="s">
        <v>47</v>
      </c>
      <c r="G1419" s="14">
        <v>20303035</v>
      </c>
      <c r="H1419" s="13" t="s">
        <v>400</v>
      </c>
      <c r="I1419" s="13" t="s">
        <v>331</v>
      </c>
      <c r="J1419" s="14">
        <v>1</v>
      </c>
      <c r="K1419" s="14">
        <v>22</v>
      </c>
      <c r="L1419" s="15">
        <v>72.6</v>
      </c>
      <c r="M1419" s="15">
        <v>72.6</v>
      </c>
    </row>
    <row r="1420" spans="4:13">
      <c r="D1420" s="12">
        <v>46127</v>
      </c>
      <c r="E1420" s="13">
        <v>1595094</v>
      </c>
      <c r="F1420" s="13" t="s">
        <v>47</v>
      </c>
      <c r="G1420" s="14">
        <v>20300112</v>
      </c>
      <c r="H1420" s="13" t="s">
        <v>437</v>
      </c>
      <c r="I1420" s="13" t="s">
        <v>49</v>
      </c>
      <c r="J1420" s="14">
        <v>1</v>
      </c>
      <c r="K1420" s="14">
        <v>11</v>
      </c>
      <c r="L1420" s="15">
        <v>36.3</v>
      </c>
      <c r="M1420" s="15">
        <v>36.3</v>
      </c>
    </row>
    <row r="1421" spans="4:13">
      <c r="D1421" s="12">
        <v>46127</v>
      </c>
      <c r="E1421" s="13">
        <v>1595094</v>
      </c>
      <c r="F1421" s="13" t="s">
        <v>65</v>
      </c>
      <c r="G1421" s="14">
        <v>20404975</v>
      </c>
      <c r="H1421" s="13" t="s">
        <v>530</v>
      </c>
      <c r="I1421" s="13" t="s">
        <v>44</v>
      </c>
      <c r="J1421" s="14">
        <v>1</v>
      </c>
      <c r="K1421" s="14">
        <v>6</v>
      </c>
      <c r="L1421" s="15">
        <v>19.8</v>
      </c>
      <c r="M1421" s="15">
        <v>19.8</v>
      </c>
    </row>
    <row r="1422" spans="4:13">
      <c r="D1422" s="12">
        <v>46127</v>
      </c>
      <c r="E1422" s="13">
        <v>1595139</v>
      </c>
      <c r="F1422" s="13" t="s">
        <v>219</v>
      </c>
      <c r="G1422" s="14">
        <v>20309547</v>
      </c>
      <c r="H1422" s="13" t="s">
        <v>220</v>
      </c>
      <c r="I1422" s="13" t="s">
        <v>221</v>
      </c>
      <c r="J1422" s="14">
        <v>7</v>
      </c>
      <c r="K1422" s="14">
        <v>0</v>
      </c>
      <c r="L1422" s="15">
        <v>21</v>
      </c>
      <c r="M1422" s="15">
        <v>147</v>
      </c>
    </row>
    <row r="1423" spans="4:13">
      <c r="D1423" s="12">
        <v>46127</v>
      </c>
      <c r="E1423" s="13">
        <v>1595155</v>
      </c>
      <c r="F1423" s="13" t="s">
        <v>324</v>
      </c>
      <c r="G1423" s="14">
        <v>20303002</v>
      </c>
      <c r="H1423" s="13" t="s">
        <v>472</v>
      </c>
      <c r="I1423" s="13" t="s">
        <v>326</v>
      </c>
      <c r="J1423" s="14">
        <v>1</v>
      </c>
      <c r="K1423" s="14">
        <v>22</v>
      </c>
      <c r="L1423" s="15">
        <v>72.6</v>
      </c>
      <c r="M1423" s="15">
        <v>72.6</v>
      </c>
    </row>
    <row r="1424" spans="4:13">
      <c r="D1424" s="12">
        <v>46127</v>
      </c>
      <c r="E1424" s="13">
        <v>1595155</v>
      </c>
      <c r="F1424" s="13" t="s">
        <v>324</v>
      </c>
      <c r="G1424" s="14">
        <v>20303010</v>
      </c>
      <c r="H1424" s="13" t="s">
        <v>325</v>
      </c>
      <c r="I1424" s="13" t="s">
        <v>326</v>
      </c>
      <c r="J1424" s="14">
        <v>3</v>
      </c>
      <c r="K1424" s="14">
        <v>75</v>
      </c>
      <c r="L1424" s="15">
        <v>82.5</v>
      </c>
      <c r="M1424" s="15">
        <v>247.5</v>
      </c>
    </row>
    <row r="1425" spans="4:13">
      <c r="D1425" s="12">
        <v>46127</v>
      </c>
      <c r="E1425" s="13">
        <v>1595155</v>
      </c>
      <c r="F1425" s="13" t="s">
        <v>324</v>
      </c>
      <c r="G1425" s="14">
        <v>20303022</v>
      </c>
      <c r="H1425" s="13" t="s">
        <v>352</v>
      </c>
      <c r="I1425" s="13" t="s">
        <v>326</v>
      </c>
      <c r="J1425" s="14">
        <v>3</v>
      </c>
      <c r="K1425" s="14">
        <v>93</v>
      </c>
      <c r="L1425" s="15">
        <v>102.3</v>
      </c>
      <c r="M1425" s="15">
        <v>306.9</v>
      </c>
    </row>
    <row r="1426" spans="4:13">
      <c r="D1426" s="12">
        <v>46127</v>
      </c>
      <c r="E1426" s="13">
        <v>1595155</v>
      </c>
      <c r="F1426" s="13" t="s">
        <v>324</v>
      </c>
      <c r="G1426" s="14">
        <v>20303023</v>
      </c>
      <c r="H1426" s="13" t="s">
        <v>335</v>
      </c>
      <c r="I1426" s="13" t="s">
        <v>326</v>
      </c>
      <c r="J1426" s="14">
        <v>1</v>
      </c>
      <c r="K1426" s="14">
        <v>63</v>
      </c>
      <c r="L1426" s="15">
        <v>207.9</v>
      </c>
      <c r="M1426" s="15">
        <v>207.9</v>
      </c>
    </row>
    <row r="1427" spans="4:13">
      <c r="D1427" s="12">
        <v>46127</v>
      </c>
      <c r="E1427" s="13">
        <v>1595155</v>
      </c>
      <c r="F1427" s="13" t="s">
        <v>324</v>
      </c>
      <c r="G1427" s="14">
        <v>20303036</v>
      </c>
      <c r="H1427" s="13" t="s">
        <v>431</v>
      </c>
      <c r="I1427" s="13" t="s">
        <v>326</v>
      </c>
      <c r="J1427" s="14">
        <v>1</v>
      </c>
      <c r="K1427" s="14">
        <v>22</v>
      </c>
      <c r="L1427" s="15">
        <v>72.6</v>
      </c>
      <c r="M1427" s="15">
        <v>72.6</v>
      </c>
    </row>
    <row r="1428" spans="4:13">
      <c r="D1428" s="12">
        <v>46127</v>
      </c>
      <c r="E1428" s="13">
        <v>1595155</v>
      </c>
      <c r="F1428" s="13" t="s">
        <v>324</v>
      </c>
      <c r="G1428" s="14">
        <v>20303044</v>
      </c>
      <c r="H1428" s="13" t="s">
        <v>461</v>
      </c>
      <c r="I1428" s="13" t="s">
        <v>326</v>
      </c>
      <c r="J1428" s="14">
        <v>1</v>
      </c>
      <c r="K1428" s="14">
        <v>11</v>
      </c>
      <c r="L1428" s="15">
        <v>36.3</v>
      </c>
      <c r="M1428" s="15">
        <v>36.3</v>
      </c>
    </row>
    <row r="1429" spans="4:13">
      <c r="D1429" s="12">
        <v>46127</v>
      </c>
      <c r="E1429" s="13">
        <v>1595155</v>
      </c>
      <c r="F1429" s="13" t="s">
        <v>324</v>
      </c>
      <c r="G1429" s="14">
        <v>20309680</v>
      </c>
      <c r="H1429" s="13" t="s">
        <v>462</v>
      </c>
      <c r="I1429" s="13" t="s">
        <v>326</v>
      </c>
      <c r="J1429" s="14">
        <v>1</v>
      </c>
      <c r="K1429" s="14">
        <v>7</v>
      </c>
      <c r="L1429" s="15">
        <v>23.1</v>
      </c>
      <c r="M1429" s="15">
        <v>23.1</v>
      </c>
    </row>
    <row r="1430" spans="4:13">
      <c r="D1430" s="12">
        <v>46127</v>
      </c>
      <c r="E1430" s="13">
        <v>1595155</v>
      </c>
      <c r="F1430" s="13" t="s">
        <v>324</v>
      </c>
      <c r="G1430" s="14">
        <v>20303052</v>
      </c>
      <c r="H1430" s="13" t="s">
        <v>388</v>
      </c>
      <c r="I1430" s="13" t="s">
        <v>326</v>
      </c>
      <c r="J1430" s="14">
        <v>2</v>
      </c>
      <c r="K1430" s="14">
        <v>60</v>
      </c>
      <c r="L1430" s="15">
        <v>99</v>
      </c>
      <c r="M1430" s="15">
        <v>198</v>
      </c>
    </row>
    <row r="1431" spans="4:13">
      <c r="D1431" s="12">
        <v>46127</v>
      </c>
      <c r="E1431" s="13">
        <v>1595155</v>
      </c>
      <c r="F1431" s="13" t="s">
        <v>324</v>
      </c>
      <c r="G1431" s="14">
        <v>20303057</v>
      </c>
      <c r="H1431" s="13" t="s">
        <v>457</v>
      </c>
      <c r="I1431" s="13" t="s">
        <v>326</v>
      </c>
      <c r="J1431" s="14">
        <v>1</v>
      </c>
      <c r="K1431" s="14">
        <v>32</v>
      </c>
      <c r="L1431" s="15">
        <v>105.6</v>
      </c>
      <c r="M1431" s="15">
        <v>105.6</v>
      </c>
    </row>
    <row r="1432" spans="4:13">
      <c r="D1432" s="12">
        <v>46127</v>
      </c>
      <c r="E1432" s="13">
        <v>1595155</v>
      </c>
      <c r="F1432" s="13" t="s">
        <v>324</v>
      </c>
      <c r="G1432" s="14">
        <v>20303058</v>
      </c>
      <c r="H1432" s="13" t="s">
        <v>338</v>
      </c>
      <c r="I1432" s="13" t="s">
        <v>326</v>
      </c>
      <c r="J1432" s="14">
        <v>1</v>
      </c>
      <c r="K1432" s="14">
        <v>57</v>
      </c>
      <c r="L1432" s="15">
        <v>188.1</v>
      </c>
      <c r="M1432" s="15">
        <v>188.1</v>
      </c>
    </row>
    <row r="1433" spans="4:13">
      <c r="D1433" s="12">
        <v>46127</v>
      </c>
      <c r="E1433" s="13">
        <v>1595155</v>
      </c>
      <c r="F1433" s="13" t="s">
        <v>163</v>
      </c>
      <c r="G1433" s="14">
        <v>20421665</v>
      </c>
      <c r="H1433" s="13" t="s">
        <v>531</v>
      </c>
      <c r="I1433" s="13" t="s">
        <v>83</v>
      </c>
      <c r="J1433" s="14">
        <v>1</v>
      </c>
      <c r="K1433" s="14">
        <v>3</v>
      </c>
      <c r="L1433" s="15">
        <v>9.9</v>
      </c>
      <c r="M1433" s="15">
        <v>9.9</v>
      </c>
    </row>
    <row r="1434" spans="4:13">
      <c r="D1434" s="12">
        <v>46127</v>
      </c>
      <c r="E1434" s="13">
        <v>1595155</v>
      </c>
      <c r="F1434" s="13" t="s">
        <v>163</v>
      </c>
      <c r="G1434" s="14">
        <v>20303912</v>
      </c>
      <c r="H1434" s="13" t="s">
        <v>329</v>
      </c>
      <c r="I1434" s="13" t="s">
        <v>83</v>
      </c>
      <c r="J1434" s="14">
        <v>1</v>
      </c>
      <c r="K1434" s="14">
        <v>5</v>
      </c>
      <c r="L1434" s="15">
        <v>16.5</v>
      </c>
      <c r="M1434" s="15">
        <v>16.5</v>
      </c>
    </row>
    <row r="1435" spans="4:13">
      <c r="D1435" s="12">
        <v>46127</v>
      </c>
      <c r="E1435" s="13">
        <v>1595155</v>
      </c>
      <c r="F1435" s="13" t="s">
        <v>20</v>
      </c>
      <c r="G1435" s="14">
        <v>20303954</v>
      </c>
      <c r="H1435" s="13" t="s">
        <v>295</v>
      </c>
      <c r="I1435" s="13" t="s">
        <v>29</v>
      </c>
      <c r="J1435" s="14">
        <v>2</v>
      </c>
      <c r="K1435" s="14">
        <v>2</v>
      </c>
      <c r="L1435" s="15">
        <v>4.8</v>
      </c>
      <c r="M1435" s="15">
        <v>9.6</v>
      </c>
    </row>
    <row r="1436" spans="4:13">
      <c r="D1436" s="12">
        <v>46127</v>
      </c>
      <c r="E1436" s="13">
        <v>1595155</v>
      </c>
      <c r="F1436" s="13" t="s">
        <v>20</v>
      </c>
      <c r="G1436" s="14">
        <v>20309804</v>
      </c>
      <c r="H1436" s="13" t="s">
        <v>367</v>
      </c>
      <c r="I1436" s="13" t="s">
        <v>53</v>
      </c>
      <c r="J1436" s="14">
        <v>1</v>
      </c>
      <c r="K1436" s="14">
        <v>1</v>
      </c>
      <c r="L1436" s="15">
        <v>6.6</v>
      </c>
      <c r="M1436" s="15">
        <v>6.6</v>
      </c>
    </row>
    <row r="1437" spans="4:13">
      <c r="D1437" s="12">
        <v>46127</v>
      </c>
      <c r="E1437" s="13">
        <v>1595155</v>
      </c>
      <c r="F1437" s="13" t="s">
        <v>20</v>
      </c>
      <c r="G1437" s="14">
        <v>20313337</v>
      </c>
      <c r="H1437" s="13" t="s">
        <v>353</v>
      </c>
      <c r="I1437" s="13" t="s">
        <v>53</v>
      </c>
      <c r="J1437" s="14">
        <v>2</v>
      </c>
      <c r="K1437" s="14">
        <v>4</v>
      </c>
      <c r="L1437" s="15">
        <v>9.9</v>
      </c>
      <c r="M1437" s="15">
        <v>19.8</v>
      </c>
    </row>
    <row r="1438" spans="4:13">
      <c r="D1438" s="12">
        <v>46127</v>
      </c>
      <c r="E1438" s="13">
        <v>1595155</v>
      </c>
      <c r="F1438" s="13" t="s">
        <v>20</v>
      </c>
      <c r="G1438" s="14">
        <v>20307293</v>
      </c>
      <c r="H1438" s="13" t="s">
        <v>211</v>
      </c>
      <c r="I1438" s="13" t="s">
        <v>22</v>
      </c>
      <c r="J1438" s="14">
        <v>2</v>
      </c>
      <c r="K1438" s="14">
        <v>4</v>
      </c>
      <c r="L1438" s="15">
        <v>8.1</v>
      </c>
      <c r="M1438" s="15">
        <v>16.2</v>
      </c>
    </row>
    <row r="1439" spans="4:13">
      <c r="D1439" s="12">
        <v>46127</v>
      </c>
      <c r="E1439" s="13">
        <v>1595155</v>
      </c>
      <c r="F1439" s="13" t="s">
        <v>20</v>
      </c>
      <c r="G1439" s="14">
        <v>20305086</v>
      </c>
      <c r="H1439" s="13" t="s">
        <v>436</v>
      </c>
      <c r="I1439" s="13" t="s">
        <v>35</v>
      </c>
      <c r="J1439" s="14">
        <v>1</v>
      </c>
      <c r="K1439" s="14">
        <v>2</v>
      </c>
      <c r="L1439" s="15">
        <v>8.1</v>
      </c>
      <c r="M1439" s="15">
        <v>8.1</v>
      </c>
    </row>
    <row r="1440" spans="4:13">
      <c r="D1440" s="12">
        <v>46127</v>
      </c>
      <c r="E1440" s="13">
        <v>1595155</v>
      </c>
      <c r="F1440" s="13" t="s">
        <v>15</v>
      </c>
      <c r="G1440" s="14">
        <v>20361066</v>
      </c>
      <c r="H1440" s="13" t="s">
        <v>369</v>
      </c>
      <c r="I1440" s="13" t="s">
        <v>370</v>
      </c>
      <c r="J1440" s="14">
        <v>1</v>
      </c>
      <c r="K1440" s="14">
        <v>1</v>
      </c>
      <c r="L1440" s="15">
        <v>13.2</v>
      </c>
      <c r="M1440" s="15">
        <v>13.2</v>
      </c>
    </row>
    <row r="1441" spans="4:13">
      <c r="D1441" s="12">
        <v>46127</v>
      </c>
      <c r="E1441" s="13">
        <v>1595155</v>
      </c>
      <c r="F1441" s="13" t="s">
        <v>15</v>
      </c>
      <c r="G1441" s="14">
        <v>20315046</v>
      </c>
      <c r="H1441" s="13" t="s">
        <v>340</v>
      </c>
      <c r="I1441" s="13" t="s">
        <v>314</v>
      </c>
      <c r="J1441" s="14">
        <v>1</v>
      </c>
      <c r="K1441" s="14">
        <v>1</v>
      </c>
      <c r="L1441" s="15">
        <v>21</v>
      </c>
      <c r="M1441" s="15">
        <v>21</v>
      </c>
    </row>
    <row r="1442" spans="4:13">
      <c r="D1442" s="12">
        <v>46127</v>
      </c>
      <c r="E1442" s="13">
        <v>1595155</v>
      </c>
      <c r="F1442" s="13" t="s">
        <v>15</v>
      </c>
      <c r="G1442" s="14">
        <v>20358905</v>
      </c>
      <c r="H1442" s="13" t="s">
        <v>360</v>
      </c>
      <c r="I1442" s="13" t="s">
        <v>244</v>
      </c>
      <c r="J1442" s="14">
        <v>1</v>
      </c>
      <c r="K1442" s="14">
        <v>1</v>
      </c>
      <c r="L1442" s="15">
        <v>15</v>
      </c>
      <c r="M1442" s="15">
        <v>15</v>
      </c>
    </row>
    <row r="1443" spans="4:13">
      <c r="D1443" s="12">
        <v>46127</v>
      </c>
      <c r="E1443" s="13">
        <v>1595155</v>
      </c>
      <c r="F1443" s="13" t="s">
        <v>15</v>
      </c>
      <c r="G1443" s="14">
        <v>20309651</v>
      </c>
      <c r="H1443" s="13" t="s">
        <v>130</v>
      </c>
      <c r="I1443" s="13" t="s">
        <v>62</v>
      </c>
      <c r="J1443" s="14">
        <v>2</v>
      </c>
      <c r="K1443" s="14">
        <v>2</v>
      </c>
      <c r="L1443" s="15">
        <v>21</v>
      </c>
      <c r="M1443" s="15">
        <v>42</v>
      </c>
    </row>
    <row r="1444" spans="4:13">
      <c r="D1444" s="12">
        <v>46127</v>
      </c>
      <c r="E1444" s="13">
        <v>1595155</v>
      </c>
      <c r="F1444" s="13" t="s">
        <v>15</v>
      </c>
      <c r="G1444" s="14">
        <v>20309636</v>
      </c>
      <c r="H1444" s="13" t="s">
        <v>397</v>
      </c>
      <c r="I1444" s="13" t="s">
        <v>62</v>
      </c>
      <c r="J1444" s="14">
        <v>1</v>
      </c>
      <c r="K1444" s="14">
        <v>2</v>
      </c>
      <c r="L1444" s="15">
        <v>26.4</v>
      </c>
      <c r="M1444" s="15">
        <v>26.4</v>
      </c>
    </row>
    <row r="1445" spans="4:13">
      <c r="D1445" s="12">
        <v>46127</v>
      </c>
      <c r="E1445" s="13">
        <v>1595155</v>
      </c>
      <c r="F1445" s="13" t="s">
        <v>131</v>
      </c>
      <c r="G1445" s="14">
        <v>20315667</v>
      </c>
      <c r="H1445" s="13" t="s">
        <v>425</v>
      </c>
      <c r="I1445" s="13" t="s">
        <v>83</v>
      </c>
      <c r="J1445" s="14">
        <v>1</v>
      </c>
      <c r="K1445" s="14">
        <v>3</v>
      </c>
      <c r="L1445" s="15">
        <v>39.6</v>
      </c>
      <c r="M1445" s="15">
        <v>39.6</v>
      </c>
    </row>
    <row r="1446" spans="4:13">
      <c r="D1446" s="12">
        <v>46127</v>
      </c>
      <c r="E1446" s="13">
        <v>1595155</v>
      </c>
      <c r="F1446" s="13" t="s">
        <v>131</v>
      </c>
      <c r="G1446" s="14">
        <v>20312465</v>
      </c>
      <c r="H1446" s="13" t="s">
        <v>320</v>
      </c>
      <c r="I1446" s="13" t="s">
        <v>221</v>
      </c>
      <c r="J1446" s="14">
        <v>1</v>
      </c>
      <c r="K1446" s="14">
        <v>27</v>
      </c>
      <c r="L1446" s="15">
        <v>180</v>
      </c>
      <c r="M1446" s="15">
        <f>J1446*L1446</f>
        <v>180</v>
      </c>
    </row>
    <row r="1447" spans="4:13">
      <c r="D1447" s="12">
        <v>46127</v>
      </c>
      <c r="E1447" s="13">
        <v>1595155</v>
      </c>
      <c r="F1447" s="13" t="s">
        <v>131</v>
      </c>
      <c r="G1447" s="14">
        <v>20314461</v>
      </c>
      <c r="H1447" s="13" t="s">
        <v>426</v>
      </c>
      <c r="I1447" s="13" t="s">
        <v>221</v>
      </c>
      <c r="J1447" s="14">
        <v>1</v>
      </c>
      <c r="K1447" s="14">
        <v>26</v>
      </c>
      <c r="L1447" s="15">
        <v>180</v>
      </c>
      <c r="M1447" s="15">
        <f>J1447*L1447</f>
        <v>180</v>
      </c>
    </row>
    <row r="1448" spans="4:13">
      <c r="D1448" s="12">
        <v>46127</v>
      </c>
      <c r="E1448" s="13">
        <v>1595155</v>
      </c>
      <c r="F1448" s="13" t="s">
        <v>131</v>
      </c>
      <c r="G1448" s="14">
        <v>20384037</v>
      </c>
      <c r="H1448" s="13" t="s">
        <v>376</v>
      </c>
      <c r="I1448" s="13" t="s">
        <v>221</v>
      </c>
      <c r="J1448" s="14">
        <v>1</v>
      </c>
      <c r="K1448" s="14">
        <v>25</v>
      </c>
      <c r="L1448" s="15">
        <v>180</v>
      </c>
      <c r="M1448" s="15">
        <f>J1448*L1448</f>
        <v>180</v>
      </c>
    </row>
    <row r="1449" spans="4:13">
      <c r="D1449" s="12">
        <v>46127</v>
      </c>
      <c r="E1449" s="13">
        <v>1595155</v>
      </c>
      <c r="F1449" s="13" t="s">
        <v>131</v>
      </c>
      <c r="G1449" s="14">
        <v>20309658</v>
      </c>
      <c r="H1449" s="13" t="s">
        <v>365</v>
      </c>
      <c r="I1449" s="13" t="s">
        <v>221</v>
      </c>
      <c r="J1449" s="14">
        <v>3</v>
      </c>
      <c r="K1449" s="14">
        <v>15</v>
      </c>
      <c r="L1449" s="15">
        <v>52.8</v>
      </c>
      <c r="M1449" s="15">
        <v>158.4</v>
      </c>
    </row>
    <row r="1450" spans="4:13">
      <c r="D1450" s="12">
        <v>46127</v>
      </c>
      <c r="E1450" s="13">
        <v>1595155</v>
      </c>
      <c r="F1450" s="13" t="s">
        <v>131</v>
      </c>
      <c r="G1450" s="14">
        <v>20303777</v>
      </c>
      <c r="H1450" s="13" t="s">
        <v>351</v>
      </c>
      <c r="I1450" s="13" t="s">
        <v>221</v>
      </c>
      <c r="J1450" s="14">
        <v>1</v>
      </c>
      <c r="K1450" s="14">
        <v>27</v>
      </c>
      <c r="L1450" s="15">
        <v>180</v>
      </c>
      <c r="M1450" s="15">
        <f>J1450*L1450</f>
        <v>180</v>
      </c>
    </row>
    <row r="1451" spans="4:13">
      <c r="D1451" s="12">
        <v>46127</v>
      </c>
      <c r="E1451" s="13">
        <v>1595155</v>
      </c>
      <c r="F1451" s="13" t="s">
        <v>131</v>
      </c>
      <c r="G1451" s="14">
        <v>20412034</v>
      </c>
      <c r="H1451" s="13" t="s">
        <v>344</v>
      </c>
      <c r="I1451" s="13" t="s">
        <v>221</v>
      </c>
      <c r="J1451" s="14">
        <v>1</v>
      </c>
      <c r="K1451" s="14">
        <v>28</v>
      </c>
      <c r="L1451" s="15">
        <v>180</v>
      </c>
      <c r="M1451" s="15">
        <f>J1451*L1451</f>
        <v>180</v>
      </c>
    </row>
    <row r="1452" spans="4:13">
      <c r="D1452" s="12">
        <v>46127</v>
      </c>
      <c r="E1452" s="13">
        <v>1595155</v>
      </c>
      <c r="F1452" s="13" t="s">
        <v>47</v>
      </c>
      <c r="G1452" s="14">
        <v>20302998</v>
      </c>
      <c r="H1452" s="13" t="s">
        <v>346</v>
      </c>
      <c r="I1452" s="13" t="s">
        <v>347</v>
      </c>
      <c r="J1452" s="14">
        <v>1</v>
      </c>
      <c r="K1452" s="14">
        <v>19</v>
      </c>
      <c r="L1452" s="15">
        <v>62.7</v>
      </c>
      <c r="M1452" s="15">
        <v>62.7</v>
      </c>
    </row>
    <row r="1453" spans="4:13">
      <c r="D1453" s="12">
        <v>46127</v>
      </c>
      <c r="E1453" s="13">
        <v>1595155</v>
      </c>
      <c r="F1453" s="13" t="s">
        <v>47</v>
      </c>
      <c r="G1453" s="14">
        <v>20303011</v>
      </c>
      <c r="H1453" s="13" t="s">
        <v>330</v>
      </c>
      <c r="I1453" s="13" t="s">
        <v>331</v>
      </c>
      <c r="J1453" s="14">
        <v>2</v>
      </c>
      <c r="K1453" s="14">
        <v>52</v>
      </c>
      <c r="L1453" s="15">
        <v>85.8</v>
      </c>
      <c r="M1453" s="15">
        <v>171.6</v>
      </c>
    </row>
    <row r="1454" spans="4:13">
      <c r="D1454" s="12">
        <v>46127</v>
      </c>
      <c r="E1454" s="13">
        <v>1595155</v>
      </c>
      <c r="F1454" s="13" t="s">
        <v>47</v>
      </c>
      <c r="G1454" s="14">
        <v>20362876</v>
      </c>
      <c r="H1454" s="13" t="s">
        <v>502</v>
      </c>
      <c r="I1454" s="13" t="s">
        <v>44</v>
      </c>
      <c r="J1454" s="14">
        <v>1</v>
      </c>
      <c r="K1454" s="14">
        <v>11</v>
      </c>
      <c r="L1454" s="15">
        <v>36.3</v>
      </c>
      <c r="M1454" s="15">
        <v>36.3</v>
      </c>
    </row>
    <row r="1455" spans="4:13">
      <c r="D1455" s="12">
        <v>46127</v>
      </c>
      <c r="E1455" s="13">
        <v>1595155</v>
      </c>
      <c r="F1455" s="13" t="s">
        <v>47</v>
      </c>
      <c r="G1455" s="14">
        <v>20303051</v>
      </c>
      <c r="H1455" s="13" t="s">
        <v>391</v>
      </c>
      <c r="I1455" s="13" t="s">
        <v>347</v>
      </c>
      <c r="J1455" s="14">
        <v>1</v>
      </c>
      <c r="K1455" s="14">
        <v>11</v>
      </c>
      <c r="L1455" s="15">
        <v>36.3</v>
      </c>
      <c r="M1455" s="15">
        <v>36.3</v>
      </c>
    </row>
    <row r="1456" spans="4:13">
      <c r="D1456" s="12">
        <v>46127</v>
      </c>
      <c r="E1456" s="13">
        <v>1595155</v>
      </c>
      <c r="F1456" s="13" t="s">
        <v>47</v>
      </c>
      <c r="G1456" s="14">
        <v>20306256</v>
      </c>
      <c r="H1456" s="13" t="s">
        <v>349</v>
      </c>
      <c r="I1456" s="13" t="s">
        <v>83</v>
      </c>
      <c r="J1456" s="14">
        <v>2</v>
      </c>
      <c r="K1456" s="14">
        <v>44</v>
      </c>
      <c r="L1456" s="15">
        <v>72.6</v>
      </c>
      <c r="M1456" s="15">
        <v>145.2</v>
      </c>
    </row>
    <row r="1457" spans="4:13">
      <c r="D1457" s="12">
        <v>46127</v>
      </c>
      <c r="E1457" s="13">
        <v>1595155</v>
      </c>
      <c r="F1457" s="13" t="s">
        <v>65</v>
      </c>
      <c r="G1457" s="14">
        <v>20303836</v>
      </c>
      <c r="H1457" s="13" t="s">
        <v>332</v>
      </c>
      <c r="I1457" s="13" t="s">
        <v>83</v>
      </c>
      <c r="J1457" s="14">
        <v>11</v>
      </c>
      <c r="K1457" s="14">
        <v>44</v>
      </c>
      <c r="L1457" s="15">
        <v>13.2</v>
      </c>
      <c r="M1457" s="15">
        <v>145.2</v>
      </c>
    </row>
    <row r="1458" spans="4:13">
      <c r="D1458" s="12">
        <v>46127</v>
      </c>
      <c r="E1458" s="13">
        <v>1595155</v>
      </c>
      <c r="F1458" s="13" t="s">
        <v>65</v>
      </c>
      <c r="G1458" s="14">
        <v>20310863</v>
      </c>
      <c r="H1458" s="13" t="s">
        <v>333</v>
      </c>
      <c r="I1458" s="13" t="s">
        <v>49</v>
      </c>
      <c r="J1458" s="14">
        <v>1</v>
      </c>
      <c r="K1458" s="14">
        <v>1</v>
      </c>
      <c r="L1458" s="15">
        <v>9.9</v>
      </c>
      <c r="M1458" s="15">
        <v>9.9</v>
      </c>
    </row>
    <row r="1459" ht="24" spans="4:13">
      <c r="D1459" s="12">
        <v>46128</v>
      </c>
      <c r="E1459" s="13">
        <v>1595306</v>
      </c>
      <c r="F1459" s="13" t="s">
        <v>324</v>
      </c>
      <c r="G1459" s="14">
        <v>20338672</v>
      </c>
      <c r="H1459" s="13" t="s">
        <v>412</v>
      </c>
      <c r="I1459" s="13" t="s">
        <v>326</v>
      </c>
      <c r="J1459" s="14">
        <v>1</v>
      </c>
      <c r="K1459" s="14">
        <v>15</v>
      </c>
      <c r="L1459" s="15">
        <v>49.5</v>
      </c>
      <c r="M1459" s="15">
        <v>49.5</v>
      </c>
    </row>
    <row r="1460" spans="4:13">
      <c r="D1460" s="12">
        <v>46128</v>
      </c>
      <c r="E1460" s="13">
        <v>1595306</v>
      </c>
      <c r="F1460" s="13" t="s">
        <v>324</v>
      </c>
      <c r="G1460" s="14">
        <v>20303003</v>
      </c>
      <c r="H1460" s="13" t="s">
        <v>483</v>
      </c>
      <c r="I1460" s="13" t="s">
        <v>326</v>
      </c>
      <c r="J1460" s="14">
        <v>1</v>
      </c>
      <c r="K1460" s="14">
        <v>23</v>
      </c>
      <c r="L1460" s="15">
        <v>75.9</v>
      </c>
      <c r="M1460" s="15">
        <v>75.9</v>
      </c>
    </row>
    <row r="1461" spans="4:13">
      <c r="D1461" s="12">
        <v>46128</v>
      </c>
      <c r="E1461" s="13">
        <v>1595306</v>
      </c>
      <c r="F1461" s="13" t="s">
        <v>324</v>
      </c>
      <c r="G1461" s="14">
        <v>20303022</v>
      </c>
      <c r="H1461" s="13" t="s">
        <v>352</v>
      </c>
      <c r="I1461" s="13" t="s">
        <v>326</v>
      </c>
      <c r="J1461" s="14">
        <v>1</v>
      </c>
      <c r="K1461" s="14">
        <v>31</v>
      </c>
      <c r="L1461" s="15">
        <v>102.3</v>
      </c>
      <c r="M1461" s="15">
        <v>102.3</v>
      </c>
    </row>
    <row r="1462" spans="4:13">
      <c r="D1462" s="12">
        <v>46128</v>
      </c>
      <c r="E1462" s="13">
        <v>1595306</v>
      </c>
      <c r="F1462" s="13" t="s">
        <v>324</v>
      </c>
      <c r="G1462" s="14">
        <v>20303052</v>
      </c>
      <c r="H1462" s="13" t="s">
        <v>388</v>
      </c>
      <c r="I1462" s="13" t="s">
        <v>326</v>
      </c>
      <c r="J1462" s="14">
        <v>1</v>
      </c>
      <c r="K1462" s="14">
        <v>30</v>
      </c>
      <c r="L1462" s="15">
        <v>99</v>
      </c>
      <c r="M1462" s="15">
        <v>99</v>
      </c>
    </row>
    <row r="1463" spans="4:13">
      <c r="D1463" s="12">
        <v>46128</v>
      </c>
      <c r="E1463" s="13">
        <v>1595306</v>
      </c>
      <c r="F1463" s="13" t="s">
        <v>324</v>
      </c>
      <c r="G1463" s="14">
        <v>20303056</v>
      </c>
      <c r="H1463" s="13" t="s">
        <v>415</v>
      </c>
      <c r="I1463" s="13" t="s">
        <v>326</v>
      </c>
      <c r="J1463" s="14">
        <v>1</v>
      </c>
      <c r="K1463" s="14">
        <v>25</v>
      </c>
      <c r="L1463" s="15">
        <v>82.5</v>
      </c>
      <c r="M1463" s="15">
        <v>82.5</v>
      </c>
    </row>
    <row r="1464" spans="4:13">
      <c r="D1464" s="12">
        <v>46128</v>
      </c>
      <c r="E1464" s="13">
        <v>1595306</v>
      </c>
      <c r="F1464" s="13" t="s">
        <v>20</v>
      </c>
      <c r="G1464" s="14">
        <v>20303954</v>
      </c>
      <c r="H1464" s="13" t="s">
        <v>295</v>
      </c>
      <c r="I1464" s="13" t="s">
        <v>29</v>
      </c>
      <c r="J1464" s="14">
        <v>1</v>
      </c>
      <c r="K1464" s="14">
        <v>1</v>
      </c>
      <c r="L1464" s="15">
        <v>4.8</v>
      </c>
      <c r="M1464" s="15">
        <v>4.8</v>
      </c>
    </row>
    <row r="1465" spans="4:13">
      <c r="D1465" s="12">
        <v>46128</v>
      </c>
      <c r="E1465" s="13">
        <v>1595306</v>
      </c>
      <c r="F1465" s="13" t="s">
        <v>20</v>
      </c>
      <c r="G1465" s="14">
        <v>20304006</v>
      </c>
      <c r="H1465" s="13" t="s">
        <v>435</v>
      </c>
      <c r="I1465" s="13" t="s">
        <v>55</v>
      </c>
      <c r="J1465" s="14">
        <v>1</v>
      </c>
      <c r="K1465" s="14">
        <v>1</v>
      </c>
      <c r="L1465" s="15">
        <v>9.9</v>
      </c>
      <c r="M1465" s="15">
        <v>9.9</v>
      </c>
    </row>
    <row r="1466" spans="4:13">
      <c r="D1466" s="12">
        <v>46128</v>
      </c>
      <c r="E1466" s="13">
        <v>1595306</v>
      </c>
      <c r="F1466" s="13" t="s">
        <v>47</v>
      </c>
      <c r="G1466" s="14">
        <v>20303035</v>
      </c>
      <c r="H1466" s="13" t="s">
        <v>400</v>
      </c>
      <c r="I1466" s="13" t="s">
        <v>331</v>
      </c>
      <c r="J1466" s="14">
        <v>1</v>
      </c>
      <c r="K1466" s="14">
        <v>22</v>
      </c>
      <c r="L1466" s="15">
        <v>72.6</v>
      </c>
      <c r="M1466" s="15">
        <v>72.6</v>
      </c>
    </row>
    <row r="1467" spans="4:13">
      <c r="D1467" s="12">
        <v>46128</v>
      </c>
      <c r="E1467" s="13">
        <v>1595306</v>
      </c>
      <c r="F1467" s="13" t="s">
        <v>47</v>
      </c>
      <c r="G1467" s="14">
        <v>20306256</v>
      </c>
      <c r="H1467" s="13" t="s">
        <v>349</v>
      </c>
      <c r="I1467" s="13" t="s">
        <v>83</v>
      </c>
      <c r="J1467" s="14">
        <v>2</v>
      </c>
      <c r="K1467" s="14">
        <v>44</v>
      </c>
      <c r="L1467" s="15">
        <v>72.6</v>
      </c>
      <c r="M1467" s="15">
        <v>145.2</v>
      </c>
    </row>
    <row r="1468" spans="4:13">
      <c r="D1468" s="12">
        <v>46128</v>
      </c>
      <c r="E1468" s="13">
        <v>1595306</v>
      </c>
      <c r="F1468" s="13" t="s">
        <v>65</v>
      </c>
      <c r="G1468" s="14">
        <v>20303836</v>
      </c>
      <c r="H1468" s="13" t="s">
        <v>332</v>
      </c>
      <c r="I1468" s="13" t="s">
        <v>83</v>
      </c>
      <c r="J1468" s="14">
        <v>4</v>
      </c>
      <c r="K1468" s="14">
        <v>16</v>
      </c>
      <c r="L1468" s="15">
        <v>13.2</v>
      </c>
      <c r="M1468" s="15">
        <v>52.8</v>
      </c>
    </row>
    <row r="1469" spans="4:13">
      <c r="D1469" s="12">
        <v>46128</v>
      </c>
      <c r="E1469" s="13">
        <v>1595405</v>
      </c>
      <c r="F1469" s="13" t="s">
        <v>15</v>
      </c>
      <c r="G1469" s="14">
        <v>20315046</v>
      </c>
      <c r="H1469" s="13" t="s">
        <v>340</v>
      </c>
      <c r="I1469" s="13" t="s">
        <v>314</v>
      </c>
      <c r="J1469" s="14">
        <v>1</v>
      </c>
      <c r="K1469" s="14">
        <v>1</v>
      </c>
      <c r="L1469" s="15">
        <v>21</v>
      </c>
      <c r="M1469" s="15">
        <v>21</v>
      </c>
    </row>
    <row r="1470" spans="4:13">
      <c r="D1470" s="12">
        <v>46128</v>
      </c>
      <c r="E1470" s="13">
        <v>1595405</v>
      </c>
      <c r="F1470" s="13" t="s">
        <v>15</v>
      </c>
      <c r="G1470" s="14">
        <v>20323229</v>
      </c>
      <c r="H1470" s="13" t="s">
        <v>316</v>
      </c>
      <c r="I1470" s="13" t="s">
        <v>317</v>
      </c>
      <c r="J1470" s="14">
        <v>1</v>
      </c>
      <c r="K1470" s="14">
        <v>1</v>
      </c>
      <c r="L1470" s="15">
        <v>15</v>
      </c>
      <c r="M1470" s="15">
        <v>15</v>
      </c>
    </row>
    <row r="1471" spans="4:13">
      <c r="D1471" s="12">
        <v>46128</v>
      </c>
      <c r="E1471" s="13">
        <v>1595405</v>
      </c>
      <c r="F1471" s="13" t="s">
        <v>15</v>
      </c>
      <c r="G1471" s="14">
        <v>20358909</v>
      </c>
      <c r="H1471" s="13" t="s">
        <v>407</v>
      </c>
      <c r="I1471" s="13" t="s">
        <v>408</v>
      </c>
      <c r="J1471" s="14">
        <v>1</v>
      </c>
      <c r="K1471" s="14">
        <v>1</v>
      </c>
      <c r="L1471" s="15">
        <v>16.8</v>
      </c>
      <c r="M1471" s="15">
        <v>16.8</v>
      </c>
    </row>
    <row r="1472" spans="4:13">
      <c r="D1472" s="12">
        <v>46128</v>
      </c>
      <c r="E1472" s="13">
        <v>1595405</v>
      </c>
      <c r="F1472" s="13" t="s">
        <v>15</v>
      </c>
      <c r="G1472" s="14">
        <v>20359622</v>
      </c>
      <c r="H1472" s="13" t="s">
        <v>500</v>
      </c>
      <c r="I1472" s="13" t="s">
        <v>128</v>
      </c>
      <c r="J1472" s="14">
        <v>1</v>
      </c>
      <c r="K1472" s="14">
        <v>1</v>
      </c>
      <c r="L1472" s="15">
        <v>16.8</v>
      </c>
      <c r="M1472" s="15">
        <v>16.8</v>
      </c>
    </row>
    <row r="1473" spans="4:13">
      <c r="D1473" s="12">
        <v>46128</v>
      </c>
      <c r="E1473" s="13">
        <v>1595405</v>
      </c>
      <c r="F1473" s="13" t="s">
        <v>15</v>
      </c>
      <c r="G1473" s="14">
        <v>20359638</v>
      </c>
      <c r="H1473" s="13" t="s">
        <v>411</v>
      </c>
      <c r="I1473" s="13" t="s">
        <v>128</v>
      </c>
      <c r="J1473" s="14">
        <v>1</v>
      </c>
      <c r="K1473" s="14">
        <v>1</v>
      </c>
      <c r="L1473" s="15">
        <v>16.8</v>
      </c>
      <c r="M1473" s="15">
        <v>16.8</v>
      </c>
    </row>
    <row r="1474" spans="4:13">
      <c r="D1474" s="12">
        <v>46128</v>
      </c>
      <c r="E1474" s="13">
        <v>1595405</v>
      </c>
      <c r="F1474" s="13" t="s">
        <v>131</v>
      </c>
      <c r="G1474" s="14">
        <v>20314362</v>
      </c>
      <c r="H1474" s="13" t="s">
        <v>364</v>
      </c>
      <c r="I1474" s="13" t="s">
        <v>221</v>
      </c>
      <c r="J1474" s="14">
        <v>1</v>
      </c>
      <c r="K1474" s="14">
        <v>27</v>
      </c>
      <c r="L1474" s="15">
        <v>180</v>
      </c>
      <c r="M1474" s="15">
        <f>J1474*L1474</f>
        <v>180</v>
      </c>
    </row>
    <row r="1475" spans="4:13">
      <c r="D1475" s="12">
        <v>46128</v>
      </c>
      <c r="E1475" s="13">
        <v>1595405</v>
      </c>
      <c r="F1475" s="13" t="s">
        <v>131</v>
      </c>
      <c r="G1475" s="14">
        <v>20309658</v>
      </c>
      <c r="H1475" s="13" t="s">
        <v>365</v>
      </c>
      <c r="I1475" s="13" t="s">
        <v>221</v>
      </c>
      <c r="J1475" s="14">
        <v>1</v>
      </c>
      <c r="K1475" s="14">
        <v>5</v>
      </c>
      <c r="L1475" s="15">
        <v>52.8</v>
      </c>
      <c r="M1475" s="15">
        <v>52.8</v>
      </c>
    </row>
    <row r="1476" spans="4:13">
      <c r="D1476" s="12">
        <v>46128</v>
      </c>
      <c r="E1476" s="13">
        <v>1595405</v>
      </c>
      <c r="F1476" s="13" t="s">
        <v>385</v>
      </c>
      <c r="G1476" s="14">
        <v>20349421</v>
      </c>
      <c r="H1476" s="13" t="s">
        <v>386</v>
      </c>
      <c r="I1476" s="13" t="s">
        <v>221</v>
      </c>
      <c r="J1476" s="14">
        <v>1</v>
      </c>
      <c r="K1476" s="14">
        <v>2</v>
      </c>
      <c r="L1476" s="15">
        <v>26.4</v>
      </c>
      <c r="M1476" s="15">
        <v>26.4</v>
      </c>
    </row>
    <row r="1477" spans="4:13">
      <c r="D1477" s="12">
        <v>46128</v>
      </c>
      <c r="E1477" s="13">
        <v>1595450</v>
      </c>
      <c r="F1477" s="13" t="s">
        <v>324</v>
      </c>
      <c r="G1477" s="14">
        <v>20303010</v>
      </c>
      <c r="H1477" s="13" t="s">
        <v>325</v>
      </c>
      <c r="I1477" s="13" t="s">
        <v>326</v>
      </c>
      <c r="J1477" s="14">
        <v>2</v>
      </c>
      <c r="K1477" s="14">
        <v>50</v>
      </c>
      <c r="L1477" s="15">
        <v>82.5</v>
      </c>
      <c r="M1477" s="15">
        <v>165</v>
      </c>
    </row>
    <row r="1478" spans="4:13">
      <c r="D1478" s="12">
        <v>46128</v>
      </c>
      <c r="E1478" s="13">
        <v>1595450</v>
      </c>
      <c r="F1478" s="13" t="s">
        <v>324</v>
      </c>
      <c r="G1478" s="14">
        <v>20303022</v>
      </c>
      <c r="H1478" s="13" t="s">
        <v>352</v>
      </c>
      <c r="I1478" s="13" t="s">
        <v>326</v>
      </c>
      <c r="J1478" s="14">
        <v>4</v>
      </c>
      <c r="K1478" s="14">
        <v>124</v>
      </c>
      <c r="L1478" s="15">
        <v>102.3</v>
      </c>
      <c r="M1478" s="15">
        <v>409.2</v>
      </c>
    </row>
    <row r="1479" spans="4:13">
      <c r="D1479" s="12">
        <v>46128</v>
      </c>
      <c r="E1479" s="13">
        <v>1595450</v>
      </c>
      <c r="F1479" s="13" t="s">
        <v>324</v>
      </c>
      <c r="G1479" s="14">
        <v>20303020</v>
      </c>
      <c r="H1479" s="13" t="s">
        <v>469</v>
      </c>
      <c r="I1479" s="13" t="s">
        <v>326</v>
      </c>
      <c r="J1479" s="14">
        <v>1</v>
      </c>
      <c r="K1479" s="14">
        <v>13</v>
      </c>
      <c r="L1479" s="15">
        <v>42.9</v>
      </c>
      <c r="M1479" s="15">
        <v>42.9</v>
      </c>
    </row>
    <row r="1480" spans="4:13">
      <c r="D1480" s="12">
        <v>46128</v>
      </c>
      <c r="E1480" s="13">
        <v>1595450</v>
      </c>
      <c r="F1480" s="13" t="s">
        <v>324</v>
      </c>
      <c r="G1480" s="14">
        <v>20303023</v>
      </c>
      <c r="H1480" s="13" t="s">
        <v>335</v>
      </c>
      <c r="I1480" s="13" t="s">
        <v>326</v>
      </c>
      <c r="J1480" s="14">
        <v>1</v>
      </c>
      <c r="K1480" s="14">
        <v>63</v>
      </c>
      <c r="L1480" s="15">
        <v>207.9</v>
      </c>
      <c r="M1480" s="15">
        <v>207.9</v>
      </c>
    </row>
    <row r="1481" spans="4:13">
      <c r="D1481" s="12">
        <v>46128</v>
      </c>
      <c r="E1481" s="13">
        <v>1595450</v>
      </c>
      <c r="F1481" s="13" t="s">
        <v>324</v>
      </c>
      <c r="G1481" s="14">
        <v>20303025</v>
      </c>
      <c r="H1481" s="13" t="s">
        <v>336</v>
      </c>
      <c r="I1481" s="13" t="s">
        <v>326</v>
      </c>
      <c r="J1481" s="14">
        <v>1</v>
      </c>
      <c r="K1481" s="14">
        <v>47</v>
      </c>
      <c r="L1481" s="15">
        <v>155.1</v>
      </c>
      <c r="M1481" s="15">
        <v>155.1</v>
      </c>
    </row>
    <row r="1482" spans="4:13">
      <c r="D1482" s="12">
        <v>46128</v>
      </c>
      <c r="E1482" s="13">
        <v>1595450</v>
      </c>
      <c r="F1482" s="13" t="s">
        <v>324</v>
      </c>
      <c r="G1482" s="14">
        <v>20303029</v>
      </c>
      <c r="H1482" s="13" t="s">
        <v>337</v>
      </c>
      <c r="I1482" s="13" t="s">
        <v>326</v>
      </c>
      <c r="J1482" s="14">
        <v>1</v>
      </c>
      <c r="K1482" s="14">
        <v>47</v>
      </c>
      <c r="L1482" s="15">
        <v>155.1</v>
      </c>
      <c r="M1482" s="15">
        <v>155.1</v>
      </c>
    </row>
    <row r="1483" spans="4:13">
      <c r="D1483" s="12">
        <v>46128</v>
      </c>
      <c r="E1483" s="13">
        <v>1595450</v>
      </c>
      <c r="F1483" s="13" t="s">
        <v>324</v>
      </c>
      <c r="G1483" s="14">
        <v>20303052</v>
      </c>
      <c r="H1483" s="13" t="s">
        <v>388</v>
      </c>
      <c r="I1483" s="13" t="s">
        <v>326</v>
      </c>
      <c r="J1483" s="14">
        <v>1</v>
      </c>
      <c r="K1483" s="14">
        <v>30</v>
      </c>
      <c r="L1483" s="15">
        <v>99</v>
      </c>
      <c r="M1483" s="15">
        <v>99</v>
      </c>
    </row>
    <row r="1484" spans="4:13">
      <c r="D1484" s="12">
        <v>46128</v>
      </c>
      <c r="E1484" s="13">
        <v>1595450</v>
      </c>
      <c r="F1484" s="13" t="s">
        <v>324</v>
      </c>
      <c r="G1484" s="14">
        <v>20303057</v>
      </c>
      <c r="H1484" s="13" t="s">
        <v>457</v>
      </c>
      <c r="I1484" s="13" t="s">
        <v>326</v>
      </c>
      <c r="J1484" s="14">
        <v>1</v>
      </c>
      <c r="K1484" s="14">
        <v>32</v>
      </c>
      <c r="L1484" s="15">
        <v>105.6</v>
      </c>
      <c r="M1484" s="15">
        <v>105.6</v>
      </c>
    </row>
    <row r="1485" spans="4:13">
      <c r="D1485" s="12">
        <v>46128</v>
      </c>
      <c r="E1485" s="13">
        <v>1595450</v>
      </c>
      <c r="F1485" s="13" t="s">
        <v>163</v>
      </c>
      <c r="G1485" s="14">
        <v>20303912</v>
      </c>
      <c r="H1485" s="13" t="s">
        <v>329</v>
      </c>
      <c r="I1485" s="13" t="s">
        <v>83</v>
      </c>
      <c r="J1485" s="14">
        <v>1</v>
      </c>
      <c r="K1485" s="14">
        <v>5</v>
      </c>
      <c r="L1485" s="15">
        <v>16.5</v>
      </c>
      <c r="M1485" s="15">
        <v>16.5</v>
      </c>
    </row>
    <row r="1486" spans="4:13">
      <c r="D1486" s="12">
        <v>46128</v>
      </c>
      <c r="E1486" s="13">
        <v>1595450</v>
      </c>
      <c r="F1486" s="13" t="s">
        <v>20</v>
      </c>
      <c r="G1486" s="14">
        <v>20337607</v>
      </c>
      <c r="H1486" s="13" t="s">
        <v>532</v>
      </c>
      <c r="I1486" s="13" t="s">
        <v>533</v>
      </c>
      <c r="J1486" s="14">
        <v>1</v>
      </c>
      <c r="K1486" s="14">
        <v>1</v>
      </c>
      <c r="L1486" s="15">
        <v>4.8</v>
      </c>
      <c r="M1486" s="15">
        <v>4.8</v>
      </c>
    </row>
    <row r="1487" spans="4:13">
      <c r="D1487" s="12">
        <v>46128</v>
      </c>
      <c r="E1487" s="13">
        <v>1595450</v>
      </c>
      <c r="F1487" s="13" t="s">
        <v>20</v>
      </c>
      <c r="G1487" s="14">
        <v>20312918</v>
      </c>
      <c r="H1487" s="13" t="s">
        <v>390</v>
      </c>
      <c r="I1487" s="13" t="s">
        <v>139</v>
      </c>
      <c r="J1487" s="14">
        <v>1</v>
      </c>
      <c r="K1487" s="14">
        <v>1</v>
      </c>
      <c r="L1487" s="15">
        <v>4.8</v>
      </c>
      <c r="M1487" s="15">
        <v>4.8</v>
      </c>
    </row>
    <row r="1488" spans="4:13">
      <c r="D1488" s="12">
        <v>46128</v>
      </c>
      <c r="E1488" s="13">
        <v>1595450</v>
      </c>
      <c r="F1488" s="13" t="s">
        <v>47</v>
      </c>
      <c r="G1488" s="14">
        <v>20302998</v>
      </c>
      <c r="H1488" s="13" t="s">
        <v>346</v>
      </c>
      <c r="I1488" s="13" t="s">
        <v>347</v>
      </c>
      <c r="J1488" s="14">
        <v>2</v>
      </c>
      <c r="K1488" s="14">
        <v>38</v>
      </c>
      <c r="L1488" s="15">
        <v>62.7</v>
      </c>
      <c r="M1488" s="15">
        <v>125.4</v>
      </c>
    </row>
    <row r="1489" spans="4:13">
      <c r="D1489" s="12">
        <v>46128</v>
      </c>
      <c r="E1489" s="13">
        <v>1595450</v>
      </c>
      <c r="F1489" s="13" t="s">
        <v>47</v>
      </c>
      <c r="G1489" s="14">
        <v>20303011</v>
      </c>
      <c r="H1489" s="13" t="s">
        <v>330</v>
      </c>
      <c r="I1489" s="13" t="s">
        <v>331</v>
      </c>
      <c r="J1489" s="14">
        <v>2</v>
      </c>
      <c r="K1489" s="14">
        <v>52</v>
      </c>
      <c r="L1489" s="15">
        <v>85.8</v>
      </c>
      <c r="M1489" s="15">
        <v>171.6</v>
      </c>
    </row>
    <row r="1490" spans="4:13">
      <c r="D1490" s="12">
        <v>46128</v>
      </c>
      <c r="E1490" s="13">
        <v>1595450</v>
      </c>
      <c r="F1490" s="13" t="s">
        <v>47</v>
      </c>
      <c r="G1490" s="14">
        <v>20306256</v>
      </c>
      <c r="H1490" s="13" t="s">
        <v>349</v>
      </c>
      <c r="I1490" s="13" t="s">
        <v>83</v>
      </c>
      <c r="J1490" s="14">
        <v>2</v>
      </c>
      <c r="K1490" s="14">
        <v>44</v>
      </c>
      <c r="L1490" s="15">
        <v>72.6</v>
      </c>
      <c r="M1490" s="15">
        <v>145.2</v>
      </c>
    </row>
    <row r="1491" spans="4:13">
      <c r="D1491" s="12">
        <v>46128</v>
      </c>
      <c r="E1491" s="13">
        <v>1595452</v>
      </c>
      <c r="F1491" s="13" t="s">
        <v>15</v>
      </c>
      <c r="G1491" s="14">
        <v>20361239</v>
      </c>
      <c r="H1491" s="13" t="s">
        <v>382</v>
      </c>
      <c r="I1491" s="13" t="s">
        <v>383</v>
      </c>
      <c r="J1491" s="14">
        <v>1</v>
      </c>
      <c r="K1491" s="14">
        <v>10</v>
      </c>
      <c r="L1491" s="15">
        <v>99</v>
      </c>
      <c r="M1491" s="15">
        <v>99</v>
      </c>
    </row>
    <row r="1492" spans="4:13">
      <c r="D1492" s="12">
        <v>46128</v>
      </c>
      <c r="E1492" s="13">
        <v>1595452</v>
      </c>
      <c r="F1492" s="13" t="s">
        <v>15</v>
      </c>
      <c r="G1492" s="14">
        <v>20358905</v>
      </c>
      <c r="H1492" s="13" t="s">
        <v>360</v>
      </c>
      <c r="I1492" s="13" t="s">
        <v>244</v>
      </c>
      <c r="J1492" s="14">
        <v>1</v>
      </c>
      <c r="K1492" s="14">
        <v>1</v>
      </c>
      <c r="L1492" s="15">
        <v>15</v>
      </c>
      <c r="M1492" s="15">
        <v>15</v>
      </c>
    </row>
    <row r="1493" spans="4:13">
      <c r="D1493" s="12">
        <v>46128</v>
      </c>
      <c r="E1493" s="13">
        <v>1595452</v>
      </c>
      <c r="F1493" s="13" t="s">
        <v>15</v>
      </c>
      <c r="G1493" s="14">
        <v>20309651</v>
      </c>
      <c r="H1493" s="13" t="s">
        <v>130</v>
      </c>
      <c r="I1493" s="13" t="s">
        <v>62</v>
      </c>
      <c r="J1493" s="14">
        <v>2</v>
      </c>
      <c r="K1493" s="14">
        <v>2</v>
      </c>
      <c r="L1493" s="15">
        <v>21</v>
      </c>
      <c r="M1493" s="15">
        <v>42</v>
      </c>
    </row>
    <row r="1494" spans="4:13">
      <c r="D1494" s="12">
        <v>46128</v>
      </c>
      <c r="E1494" s="13">
        <v>1595452</v>
      </c>
      <c r="F1494" s="13" t="s">
        <v>15</v>
      </c>
      <c r="G1494" s="14">
        <v>20309636</v>
      </c>
      <c r="H1494" s="13" t="s">
        <v>397</v>
      </c>
      <c r="I1494" s="13" t="s">
        <v>62</v>
      </c>
      <c r="J1494" s="14">
        <v>1</v>
      </c>
      <c r="K1494" s="14">
        <v>2</v>
      </c>
      <c r="L1494" s="15">
        <v>26.4</v>
      </c>
      <c r="M1494" s="15">
        <v>26.4</v>
      </c>
    </row>
    <row r="1495" spans="4:13">
      <c r="D1495" s="12">
        <v>46128</v>
      </c>
      <c r="E1495" s="13">
        <v>1595452</v>
      </c>
      <c r="F1495" s="13" t="s">
        <v>131</v>
      </c>
      <c r="G1495" s="14">
        <v>20309744</v>
      </c>
      <c r="H1495" s="13" t="s">
        <v>361</v>
      </c>
      <c r="I1495" s="13" t="s">
        <v>221</v>
      </c>
      <c r="J1495" s="14">
        <v>1</v>
      </c>
      <c r="K1495" s="14">
        <v>9</v>
      </c>
      <c r="L1495" s="15">
        <v>92.4</v>
      </c>
      <c r="M1495" s="15">
        <v>92.4</v>
      </c>
    </row>
    <row r="1496" spans="4:13">
      <c r="D1496" s="12">
        <v>46128</v>
      </c>
      <c r="E1496" s="13">
        <v>1595452</v>
      </c>
      <c r="F1496" s="13" t="s">
        <v>131</v>
      </c>
      <c r="G1496" s="14">
        <v>20312465</v>
      </c>
      <c r="H1496" s="13" t="s">
        <v>320</v>
      </c>
      <c r="I1496" s="13" t="s">
        <v>221</v>
      </c>
      <c r="J1496" s="14">
        <v>1</v>
      </c>
      <c r="K1496" s="14">
        <v>27</v>
      </c>
      <c r="L1496" s="15">
        <v>180</v>
      </c>
      <c r="M1496" s="15">
        <f>J1496*L1496</f>
        <v>180</v>
      </c>
    </row>
    <row r="1497" spans="4:13">
      <c r="D1497" s="12">
        <v>46128</v>
      </c>
      <c r="E1497" s="13">
        <v>1595452</v>
      </c>
      <c r="F1497" s="13" t="s">
        <v>131</v>
      </c>
      <c r="G1497" s="14">
        <v>20384037</v>
      </c>
      <c r="H1497" s="13" t="s">
        <v>376</v>
      </c>
      <c r="I1497" s="13" t="s">
        <v>221</v>
      </c>
      <c r="J1497" s="14">
        <v>1</v>
      </c>
      <c r="K1497" s="14">
        <v>25</v>
      </c>
      <c r="L1497" s="15">
        <v>180</v>
      </c>
      <c r="M1497" s="15">
        <f>J1497*L1497</f>
        <v>180</v>
      </c>
    </row>
    <row r="1498" spans="4:13">
      <c r="D1498" s="12">
        <v>46128</v>
      </c>
      <c r="E1498" s="13">
        <v>1595452</v>
      </c>
      <c r="F1498" s="13" t="s">
        <v>131</v>
      </c>
      <c r="G1498" s="14">
        <v>20309658</v>
      </c>
      <c r="H1498" s="13" t="s">
        <v>365</v>
      </c>
      <c r="I1498" s="13" t="s">
        <v>221</v>
      </c>
      <c r="J1498" s="14">
        <v>2</v>
      </c>
      <c r="K1498" s="14">
        <v>10</v>
      </c>
      <c r="L1498" s="15">
        <v>52.8</v>
      </c>
      <c r="M1498" s="15">
        <v>105.6</v>
      </c>
    </row>
    <row r="1499" spans="4:13">
      <c r="D1499" s="12">
        <v>46128</v>
      </c>
      <c r="E1499" s="13">
        <v>1595452</v>
      </c>
      <c r="F1499" s="13" t="s">
        <v>131</v>
      </c>
      <c r="G1499" s="14">
        <v>20303777</v>
      </c>
      <c r="H1499" s="13" t="s">
        <v>351</v>
      </c>
      <c r="I1499" s="13" t="s">
        <v>221</v>
      </c>
      <c r="J1499" s="14">
        <v>1</v>
      </c>
      <c r="K1499" s="14">
        <v>27</v>
      </c>
      <c r="L1499" s="15">
        <v>180</v>
      </c>
      <c r="M1499" s="15">
        <f>J1499*L1499</f>
        <v>180</v>
      </c>
    </row>
    <row r="1500" spans="4:13">
      <c r="D1500" s="12">
        <v>46128</v>
      </c>
      <c r="E1500" s="13">
        <v>1595452</v>
      </c>
      <c r="F1500" s="13" t="s">
        <v>131</v>
      </c>
      <c r="G1500" s="14">
        <v>20411790</v>
      </c>
      <c r="H1500" s="13" t="s">
        <v>345</v>
      </c>
      <c r="I1500" s="13" t="s">
        <v>221</v>
      </c>
      <c r="J1500" s="14">
        <v>1</v>
      </c>
      <c r="K1500" s="14">
        <v>28</v>
      </c>
      <c r="L1500" s="15">
        <v>180</v>
      </c>
      <c r="M1500" s="15">
        <f>J1500*L1500</f>
        <v>180</v>
      </c>
    </row>
    <row r="1501" spans="4:13">
      <c r="D1501" s="12">
        <v>46128</v>
      </c>
      <c r="E1501" s="13">
        <v>1595525</v>
      </c>
      <c r="F1501" s="13" t="s">
        <v>219</v>
      </c>
      <c r="G1501" s="14">
        <v>20309547</v>
      </c>
      <c r="H1501" s="13" t="s">
        <v>220</v>
      </c>
      <c r="I1501" s="13" t="s">
        <v>221</v>
      </c>
      <c r="J1501" s="14">
        <v>4</v>
      </c>
      <c r="K1501" s="14">
        <v>0</v>
      </c>
      <c r="L1501" s="15">
        <v>21</v>
      </c>
      <c r="M1501" s="15">
        <v>84</v>
      </c>
    </row>
    <row r="1502" spans="4:13">
      <c r="D1502" s="12">
        <v>46128</v>
      </c>
      <c r="E1502" s="13">
        <v>1595570</v>
      </c>
      <c r="F1502" s="13" t="s">
        <v>219</v>
      </c>
      <c r="G1502" s="14">
        <v>20309547</v>
      </c>
      <c r="H1502" s="13" t="s">
        <v>220</v>
      </c>
      <c r="I1502" s="13" t="s">
        <v>221</v>
      </c>
      <c r="J1502" s="14">
        <v>3</v>
      </c>
      <c r="K1502" s="14">
        <v>0</v>
      </c>
      <c r="L1502" s="15">
        <v>21</v>
      </c>
      <c r="M1502" s="15">
        <v>63</v>
      </c>
    </row>
    <row r="1503" spans="4:13">
      <c r="D1503" s="12">
        <v>46128</v>
      </c>
      <c r="E1503" s="13">
        <v>1595613</v>
      </c>
      <c r="F1503" s="13" t="s">
        <v>324</v>
      </c>
      <c r="G1503" s="14">
        <v>20303007</v>
      </c>
      <c r="H1503" s="13" t="s">
        <v>449</v>
      </c>
      <c r="I1503" s="13" t="s">
        <v>326</v>
      </c>
      <c r="J1503" s="14">
        <v>1</v>
      </c>
      <c r="K1503" s="14">
        <v>32</v>
      </c>
      <c r="L1503" s="15">
        <v>105.6</v>
      </c>
      <c r="M1503" s="15">
        <v>105.6</v>
      </c>
    </row>
    <row r="1504" spans="4:13">
      <c r="D1504" s="12">
        <v>46128</v>
      </c>
      <c r="E1504" s="13">
        <v>1595613</v>
      </c>
      <c r="F1504" s="13" t="s">
        <v>324</v>
      </c>
      <c r="G1504" s="14">
        <v>20303008</v>
      </c>
      <c r="H1504" s="13" t="s">
        <v>465</v>
      </c>
      <c r="I1504" s="13" t="s">
        <v>326</v>
      </c>
      <c r="J1504" s="14">
        <v>1</v>
      </c>
      <c r="K1504" s="14">
        <v>11</v>
      </c>
      <c r="L1504" s="15">
        <v>36.3</v>
      </c>
      <c r="M1504" s="15">
        <v>36.3</v>
      </c>
    </row>
    <row r="1505" spans="4:13">
      <c r="D1505" s="12">
        <v>46128</v>
      </c>
      <c r="E1505" s="13">
        <v>1595613</v>
      </c>
      <c r="F1505" s="13" t="s">
        <v>324</v>
      </c>
      <c r="G1505" s="14">
        <v>20303010</v>
      </c>
      <c r="H1505" s="13" t="s">
        <v>325</v>
      </c>
      <c r="I1505" s="13" t="s">
        <v>326</v>
      </c>
      <c r="J1505" s="14">
        <v>3</v>
      </c>
      <c r="K1505" s="14">
        <v>75</v>
      </c>
      <c r="L1505" s="15">
        <v>82.5</v>
      </c>
      <c r="M1505" s="15">
        <v>247.5</v>
      </c>
    </row>
    <row r="1506" spans="4:13">
      <c r="D1506" s="12">
        <v>46128</v>
      </c>
      <c r="E1506" s="13">
        <v>1595613</v>
      </c>
      <c r="F1506" s="13" t="s">
        <v>324</v>
      </c>
      <c r="G1506" s="14">
        <v>20303022</v>
      </c>
      <c r="H1506" s="13" t="s">
        <v>352</v>
      </c>
      <c r="I1506" s="13" t="s">
        <v>326</v>
      </c>
      <c r="J1506" s="14">
        <v>1</v>
      </c>
      <c r="K1506" s="14">
        <v>31</v>
      </c>
      <c r="L1506" s="15">
        <v>102.3</v>
      </c>
      <c r="M1506" s="15">
        <v>102.3</v>
      </c>
    </row>
    <row r="1507" spans="4:13">
      <c r="D1507" s="12">
        <v>46128</v>
      </c>
      <c r="E1507" s="13">
        <v>1595613</v>
      </c>
      <c r="F1507" s="13" t="s">
        <v>324</v>
      </c>
      <c r="G1507" s="14">
        <v>20303018</v>
      </c>
      <c r="H1507" s="13" t="s">
        <v>454</v>
      </c>
      <c r="I1507" s="13" t="s">
        <v>326</v>
      </c>
      <c r="J1507" s="14">
        <v>1</v>
      </c>
      <c r="K1507" s="14">
        <v>50</v>
      </c>
      <c r="L1507" s="15">
        <v>165</v>
      </c>
      <c r="M1507" s="15">
        <v>165</v>
      </c>
    </row>
    <row r="1508" spans="4:13">
      <c r="D1508" s="12">
        <v>46128</v>
      </c>
      <c r="E1508" s="13">
        <v>1595613</v>
      </c>
      <c r="F1508" s="13" t="s">
        <v>324</v>
      </c>
      <c r="G1508" s="14">
        <v>20303023</v>
      </c>
      <c r="H1508" s="13" t="s">
        <v>335</v>
      </c>
      <c r="I1508" s="13" t="s">
        <v>326</v>
      </c>
      <c r="J1508" s="14">
        <v>1</v>
      </c>
      <c r="K1508" s="14">
        <v>63</v>
      </c>
      <c r="L1508" s="15">
        <v>207.9</v>
      </c>
      <c r="M1508" s="15">
        <v>207.9</v>
      </c>
    </row>
    <row r="1509" spans="4:13">
      <c r="D1509" s="12">
        <v>46128</v>
      </c>
      <c r="E1509" s="13">
        <v>1595613</v>
      </c>
      <c r="F1509" s="13" t="s">
        <v>324</v>
      </c>
      <c r="G1509" s="14">
        <v>20303025</v>
      </c>
      <c r="H1509" s="13" t="s">
        <v>336</v>
      </c>
      <c r="I1509" s="13" t="s">
        <v>326</v>
      </c>
      <c r="J1509" s="14">
        <v>1</v>
      </c>
      <c r="K1509" s="14">
        <v>47</v>
      </c>
      <c r="L1509" s="15">
        <v>155.1</v>
      </c>
      <c r="M1509" s="15">
        <v>155.1</v>
      </c>
    </row>
    <row r="1510" spans="4:13">
      <c r="D1510" s="12">
        <v>46128</v>
      </c>
      <c r="E1510" s="13">
        <v>1595613</v>
      </c>
      <c r="F1510" s="13" t="s">
        <v>324</v>
      </c>
      <c r="G1510" s="14">
        <v>20309825</v>
      </c>
      <c r="H1510" s="13" t="s">
        <v>466</v>
      </c>
      <c r="I1510" s="13" t="s">
        <v>326</v>
      </c>
      <c r="J1510" s="14">
        <v>1</v>
      </c>
      <c r="K1510" s="14">
        <v>32</v>
      </c>
      <c r="L1510" s="15">
        <v>105.6</v>
      </c>
      <c r="M1510" s="15">
        <v>105.6</v>
      </c>
    </row>
    <row r="1511" spans="4:13">
      <c r="D1511" s="12">
        <v>46128</v>
      </c>
      <c r="E1511" s="13">
        <v>1595613</v>
      </c>
      <c r="F1511" s="13" t="s">
        <v>324</v>
      </c>
      <c r="G1511" s="14">
        <v>20303052</v>
      </c>
      <c r="H1511" s="13" t="s">
        <v>388</v>
      </c>
      <c r="I1511" s="13" t="s">
        <v>326</v>
      </c>
      <c r="J1511" s="14">
        <v>1</v>
      </c>
      <c r="K1511" s="14">
        <v>30</v>
      </c>
      <c r="L1511" s="15">
        <v>99</v>
      </c>
      <c r="M1511" s="15">
        <v>99</v>
      </c>
    </row>
    <row r="1512" spans="4:13">
      <c r="D1512" s="12">
        <v>46128</v>
      </c>
      <c r="E1512" s="13">
        <v>1595613</v>
      </c>
      <c r="F1512" s="13" t="s">
        <v>324</v>
      </c>
      <c r="G1512" s="14">
        <v>20303053</v>
      </c>
      <c r="H1512" s="13" t="s">
        <v>389</v>
      </c>
      <c r="I1512" s="13" t="s">
        <v>326</v>
      </c>
      <c r="J1512" s="14">
        <v>1</v>
      </c>
      <c r="K1512" s="14">
        <v>26</v>
      </c>
      <c r="L1512" s="15">
        <v>85.8</v>
      </c>
      <c r="M1512" s="15">
        <v>85.8</v>
      </c>
    </row>
    <row r="1513" spans="4:13">
      <c r="D1513" s="12">
        <v>46128</v>
      </c>
      <c r="E1513" s="13">
        <v>1595613</v>
      </c>
      <c r="F1513" s="13" t="s">
        <v>324</v>
      </c>
      <c r="G1513" s="14">
        <v>20303054</v>
      </c>
      <c r="H1513" s="13" t="s">
        <v>414</v>
      </c>
      <c r="I1513" s="13" t="s">
        <v>326</v>
      </c>
      <c r="J1513" s="14">
        <v>1</v>
      </c>
      <c r="K1513" s="14">
        <v>18</v>
      </c>
      <c r="L1513" s="15">
        <v>59.4</v>
      </c>
      <c r="M1513" s="15">
        <v>59.4</v>
      </c>
    </row>
    <row r="1514" spans="4:13">
      <c r="D1514" s="12">
        <v>46128</v>
      </c>
      <c r="E1514" s="13">
        <v>1595613</v>
      </c>
      <c r="F1514" s="13" t="s">
        <v>324</v>
      </c>
      <c r="G1514" s="14">
        <v>20303058</v>
      </c>
      <c r="H1514" s="13" t="s">
        <v>338</v>
      </c>
      <c r="I1514" s="13" t="s">
        <v>326</v>
      </c>
      <c r="J1514" s="14">
        <v>1</v>
      </c>
      <c r="K1514" s="14">
        <v>57</v>
      </c>
      <c r="L1514" s="15">
        <v>188.1</v>
      </c>
      <c r="M1514" s="15">
        <v>188.1</v>
      </c>
    </row>
    <row r="1515" spans="4:13">
      <c r="D1515" s="12">
        <v>46128</v>
      </c>
      <c r="E1515" s="13">
        <v>1595613</v>
      </c>
      <c r="F1515" s="13" t="s">
        <v>163</v>
      </c>
      <c r="G1515" s="14">
        <v>20303912</v>
      </c>
      <c r="H1515" s="13" t="s">
        <v>329</v>
      </c>
      <c r="I1515" s="13" t="s">
        <v>83</v>
      </c>
      <c r="J1515" s="14">
        <v>2</v>
      </c>
      <c r="K1515" s="14">
        <v>10</v>
      </c>
      <c r="L1515" s="15">
        <v>16.5</v>
      </c>
      <c r="M1515" s="15">
        <v>33</v>
      </c>
    </row>
    <row r="1516" spans="4:13">
      <c r="D1516" s="12">
        <v>46128</v>
      </c>
      <c r="E1516" s="13">
        <v>1595613</v>
      </c>
      <c r="F1516" s="13" t="s">
        <v>20</v>
      </c>
      <c r="G1516" s="14">
        <v>20303954</v>
      </c>
      <c r="H1516" s="13" t="s">
        <v>295</v>
      </c>
      <c r="I1516" s="13" t="s">
        <v>29</v>
      </c>
      <c r="J1516" s="14">
        <v>2</v>
      </c>
      <c r="K1516" s="14">
        <v>2</v>
      </c>
      <c r="L1516" s="15">
        <v>4.8</v>
      </c>
      <c r="M1516" s="15">
        <v>9.6</v>
      </c>
    </row>
    <row r="1517" spans="4:13">
      <c r="D1517" s="12">
        <v>46128</v>
      </c>
      <c r="E1517" s="13">
        <v>1595613</v>
      </c>
      <c r="F1517" s="13" t="s">
        <v>20</v>
      </c>
      <c r="G1517" s="14">
        <v>20315425</v>
      </c>
      <c r="H1517" s="13" t="s">
        <v>21</v>
      </c>
      <c r="I1517" s="13" t="s">
        <v>22</v>
      </c>
      <c r="J1517" s="14">
        <v>1</v>
      </c>
      <c r="K1517" s="14">
        <v>1</v>
      </c>
      <c r="L1517" s="15">
        <v>4.8</v>
      </c>
      <c r="M1517" s="15">
        <v>4.8</v>
      </c>
    </row>
    <row r="1518" spans="4:13">
      <c r="D1518" s="12">
        <v>46128</v>
      </c>
      <c r="E1518" s="13">
        <v>1595613</v>
      </c>
      <c r="F1518" s="13" t="s">
        <v>20</v>
      </c>
      <c r="G1518" s="14">
        <v>20303939</v>
      </c>
      <c r="H1518" s="13" t="s">
        <v>433</v>
      </c>
      <c r="I1518" s="13" t="s">
        <v>57</v>
      </c>
      <c r="J1518" s="14">
        <v>1</v>
      </c>
      <c r="K1518" s="14">
        <v>1</v>
      </c>
      <c r="L1518" s="15">
        <v>9.9</v>
      </c>
      <c r="M1518" s="15">
        <v>9.9</v>
      </c>
    </row>
    <row r="1519" spans="4:13">
      <c r="D1519" s="12">
        <v>46128</v>
      </c>
      <c r="E1519" s="13">
        <v>1595613</v>
      </c>
      <c r="F1519" s="13" t="s">
        <v>20</v>
      </c>
      <c r="G1519" s="14">
        <v>20307293</v>
      </c>
      <c r="H1519" s="13" t="s">
        <v>211</v>
      </c>
      <c r="I1519" s="13" t="s">
        <v>22</v>
      </c>
      <c r="J1519" s="14">
        <v>2</v>
      </c>
      <c r="K1519" s="14">
        <v>4</v>
      </c>
      <c r="L1519" s="15">
        <v>8.1</v>
      </c>
      <c r="M1519" s="15">
        <v>16.2</v>
      </c>
    </row>
    <row r="1520" spans="4:13">
      <c r="D1520" s="12">
        <v>46128</v>
      </c>
      <c r="E1520" s="13">
        <v>1595613</v>
      </c>
      <c r="F1520" s="13" t="s">
        <v>15</v>
      </c>
      <c r="G1520" s="14">
        <v>20315046</v>
      </c>
      <c r="H1520" s="13" t="s">
        <v>340</v>
      </c>
      <c r="I1520" s="13" t="s">
        <v>314</v>
      </c>
      <c r="J1520" s="14">
        <v>1</v>
      </c>
      <c r="K1520" s="14">
        <v>1</v>
      </c>
      <c r="L1520" s="15">
        <v>21</v>
      </c>
      <c r="M1520" s="15">
        <v>21</v>
      </c>
    </row>
    <row r="1521" spans="4:13">
      <c r="D1521" s="12">
        <v>46128</v>
      </c>
      <c r="E1521" s="13">
        <v>1595613</v>
      </c>
      <c r="F1521" s="13" t="s">
        <v>15</v>
      </c>
      <c r="G1521" s="14">
        <v>20370421</v>
      </c>
      <c r="H1521" s="13" t="s">
        <v>380</v>
      </c>
      <c r="I1521" s="13" t="s">
        <v>381</v>
      </c>
      <c r="J1521" s="14">
        <v>1</v>
      </c>
      <c r="K1521" s="14">
        <v>2</v>
      </c>
      <c r="L1521" s="15">
        <v>26.4</v>
      </c>
      <c r="M1521" s="15">
        <v>26.4</v>
      </c>
    </row>
    <row r="1522" spans="4:13">
      <c r="D1522" s="12">
        <v>46128</v>
      </c>
      <c r="E1522" s="13">
        <v>1595613</v>
      </c>
      <c r="F1522" s="13" t="s">
        <v>15</v>
      </c>
      <c r="G1522" s="14">
        <v>20314042</v>
      </c>
      <c r="H1522" s="13" t="s">
        <v>341</v>
      </c>
      <c r="I1522" s="13" t="s">
        <v>128</v>
      </c>
      <c r="J1522" s="14">
        <v>3</v>
      </c>
      <c r="K1522" s="14">
        <v>3</v>
      </c>
      <c r="L1522" s="15">
        <v>16.8</v>
      </c>
      <c r="M1522" s="15">
        <v>50.4</v>
      </c>
    </row>
    <row r="1523" spans="4:13">
      <c r="D1523" s="12">
        <v>46128</v>
      </c>
      <c r="E1523" s="13">
        <v>1595613</v>
      </c>
      <c r="F1523" s="13" t="s">
        <v>15</v>
      </c>
      <c r="G1523" s="14">
        <v>20360685</v>
      </c>
      <c r="H1523" s="13" t="s">
        <v>440</v>
      </c>
      <c r="I1523" s="13" t="s">
        <v>128</v>
      </c>
      <c r="J1523" s="14">
        <v>1</v>
      </c>
      <c r="K1523" s="14">
        <v>1</v>
      </c>
      <c r="L1523" s="15">
        <v>16.8</v>
      </c>
      <c r="M1523" s="15">
        <v>16.8</v>
      </c>
    </row>
    <row r="1524" spans="4:13">
      <c r="D1524" s="12">
        <v>46128</v>
      </c>
      <c r="E1524" s="13">
        <v>1595613</v>
      </c>
      <c r="F1524" s="13" t="s">
        <v>15</v>
      </c>
      <c r="G1524" s="14">
        <v>20395278</v>
      </c>
      <c r="H1524" s="13" t="s">
        <v>525</v>
      </c>
      <c r="I1524" s="13" t="s">
        <v>214</v>
      </c>
      <c r="J1524" s="14">
        <v>1</v>
      </c>
      <c r="K1524" s="14">
        <v>1</v>
      </c>
      <c r="L1524" s="15">
        <v>13.2</v>
      </c>
      <c r="M1524" s="15">
        <v>13.2</v>
      </c>
    </row>
    <row r="1525" spans="4:13">
      <c r="D1525" s="12">
        <v>46128</v>
      </c>
      <c r="E1525" s="13">
        <v>1595613</v>
      </c>
      <c r="F1525" s="13" t="s">
        <v>131</v>
      </c>
      <c r="G1525" s="14">
        <v>20339097</v>
      </c>
      <c r="H1525" s="13" t="s">
        <v>343</v>
      </c>
      <c r="I1525" s="13" t="s">
        <v>221</v>
      </c>
      <c r="J1525" s="14">
        <v>1</v>
      </c>
      <c r="K1525" s="14">
        <v>32</v>
      </c>
      <c r="L1525" s="15">
        <v>180</v>
      </c>
      <c r="M1525" s="15">
        <f>J1525*L1525</f>
        <v>180</v>
      </c>
    </row>
    <row r="1526" spans="4:13">
      <c r="D1526" s="12">
        <v>46128</v>
      </c>
      <c r="E1526" s="13">
        <v>1595613</v>
      </c>
      <c r="F1526" s="13" t="s">
        <v>131</v>
      </c>
      <c r="G1526" s="14">
        <v>20412203</v>
      </c>
      <c r="H1526" s="13" t="s">
        <v>375</v>
      </c>
      <c r="I1526" s="13" t="s">
        <v>221</v>
      </c>
      <c r="J1526" s="14">
        <v>1</v>
      </c>
      <c r="K1526" s="14">
        <v>8</v>
      </c>
      <c r="L1526" s="15">
        <v>92.4</v>
      </c>
      <c r="M1526" s="15">
        <v>92.4</v>
      </c>
    </row>
    <row r="1527" spans="4:13">
      <c r="D1527" s="12">
        <v>46128</v>
      </c>
      <c r="E1527" s="13">
        <v>1595613</v>
      </c>
      <c r="F1527" s="13" t="s">
        <v>131</v>
      </c>
      <c r="G1527" s="14">
        <v>20314461</v>
      </c>
      <c r="H1527" s="13" t="s">
        <v>426</v>
      </c>
      <c r="I1527" s="13" t="s">
        <v>221</v>
      </c>
      <c r="J1527" s="14">
        <v>1</v>
      </c>
      <c r="K1527" s="14">
        <v>26</v>
      </c>
      <c r="L1527" s="15">
        <v>180</v>
      </c>
      <c r="M1527" s="15">
        <f>J1527*L1527</f>
        <v>180</v>
      </c>
    </row>
    <row r="1528" spans="4:13">
      <c r="D1528" s="12">
        <v>46128</v>
      </c>
      <c r="E1528" s="13">
        <v>1595613</v>
      </c>
      <c r="F1528" s="13" t="s">
        <v>131</v>
      </c>
      <c r="G1528" s="14">
        <v>20407365</v>
      </c>
      <c r="H1528" s="13" t="s">
        <v>464</v>
      </c>
      <c r="I1528" s="13" t="s">
        <v>83</v>
      </c>
      <c r="J1528" s="14">
        <v>1</v>
      </c>
      <c r="K1528" s="14">
        <v>5</v>
      </c>
      <c r="L1528" s="15">
        <v>52.8</v>
      </c>
      <c r="M1528" s="15">
        <v>52.8</v>
      </c>
    </row>
    <row r="1529" spans="4:13">
      <c r="D1529" s="12">
        <v>46128</v>
      </c>
      <c r="E1529" s="13">
        <v>1595613</v>
      </c>
      <c r="F1529" s="13" t="s">
        <v>131</v>
      </c>
      <c r="G1529" s="14">
        <v>20314362</v>
      </c>
      <c r="H1529" s="13" t="s">
        <v>364</v>
      </c>
      <c r="I1529" s="13" t="s">
        <v>221</v>
      </c>
      <c r="J1529" s="14">
        <v>1</v>
      </c>
      <c r="K1529" s="14">
        <v>27</v>
      </c>
      <c r="L1529" s="15">
        <v>180</v>
      </c>
      <c r="M1529" s="15">
        <f>J1529*L1529</f>
        <v>180</v>
      </c>
    </row>
    <row r="1530" spans="4:13">
      <c r="D1530" s="12">
        <v>46128</v>
      </c>
      <c r="E1530" s="13">
        <v>1595613</v>
      </c>
      <c r="F1530" s="13" t="s">
        <v>131</v>
      </c>
      <c r="G1530" s="14">
        <v>20312572</v>
      </c>
      <c r="H1530" s="13" t="s">
        <v>366</v>
      </c>
      <c r="I1530" s="13" t="s">
        <v>221</v>
      </c>
      <c r="J1530" s="14">
        <v>1</v>
      </c>
      <c r="K1530" s="14">
        <v>27</v>
      </c>
      <c r="L1530" s="15">
        <v>180</v>
      </c>
      <c r="M1530" s="15">
        <f>J1530*L1530</f>
        <v>180</v>
      </c>
    </row>
    <row r="1531" spans="4:13">
      <c r="D1531" s="12">
        <v>46128</v>
      </c>
      <c r="E1531" s="13">
        <v>1595613</v>
      </c>
      <c r="F1531" s="13" t="s">
        <v>131</v>
      </c>
      <c r="G1531" s="14">
        <v>20412034</v>
      </c>
      <c r="H1531" s="13" t="s">
        <v>344</v>
      </c>
      <c r="I1531" s="13" t="s">
        <v>221</v>
      </c>
      <c r="J1531" s="14">
        <v>1</v>
      </c>
      <c r="K1531" s="14">
        <v>28</v>
      </c>
      <c r="L1531" s="15">
        <v>180</v>
      </c>
      <c r="M1531" s="15">
        <f>J1531*L1531</f>
        <v>180</v>
      </c>
    </row>
    <row r="1532" spans="4:13">
      <c r="D1532" s="12">
        <v>46128</v>
      </c>
      <c r="E1532" s="13">
        <v>1595613</v>
      </c>
      <c r="F1532" s="13" t="s">
        <v>47</v>
      </c>
      <c r="G1532" s="14">
        <v>20302998</v>
      </c>
      <c r="H1532" s="13" t="s">
        <v>346</v>
      </c>
      <c r="I1532" s="13" t="s">
        <v>347</v>
      </c>
      <c r="J1532" s="14">
        <v>1</v>
      </c>
      <c r="K1532" s="14">
        <v>19</v>
      </c>
      <c r="L1532" s="15">
        <v>62.7</v>
      </c>
      <c r="M1532" s="15">
        <v>62.7</v>
      </c>
    </row>
    <row r="1533" spans="4:13">
      <c r="D1533" s="12">
        <v>46128</v>
      </c>
      <c r="E1533" s="13">
        <v>1595613</v>
      </c>
      <c r="F1533" s="13" t="s">
        <v>47</v>
      </c>
      <c r="G1533" s="14">
        <v>20303051</v>
      </c>
      <c r="H1533" s="13" t="s">
        <v>391</v>
      </c>
      <c r="I1533" s="13" t="s">
        <v>347</v>
      </c>
      <c r="J1533" s="14">
        <v>1</v>
      </c>
      <c r="K1533" s="14">
        <v>11</v>
      </c>
      <c r="L1533" s="15">
        <v>36.3</v>
      </c>
      <c r="M1533" s="15">
        <v>36.3</v>
      </c>
    </row>
    <row r="1534" spans="4:13">
      <c r="D1534" s="12">
        <v>46128</v>
      </c>
      <c r="E1534" s="13">
        <v>1595613</v>
      </c>
      <c r="F1534" s="13" t="s">
        <v>47</v>
      </c>
      <c r="G1534" s="14">
        <v>20300112</v>
      </c>
      <c r="H1534" s="13" t="s">
        <v>437</v>
      </c>
      <c r="I1534" s="13" t="s">
        <v>49</v>
      </c>
      <c r="J1534" s="14">
        <v>1</v>
      </c>
      <c r="K1534" s="14">
        <v>11</v>
      </c>
      <c r="L1534" s="15">
        <v>36.3</v>
      </c>
      <c r="M1534" s="15">
        <v>36.3</v>
      </c>
    </row>
    <row r="1535" spans="4:13">
      <c r="D1535" s="12">
        <v>46128</v>
      </c>
      <c r="E1535" s="13">
        <v>1595613</v>
      </c>
      <c r="F1535" s="13" t="s">
        <v>47</v>
      </c>
      <c r="G1535" s="14">
        <v>20306256</v>
      </c>
      <c r="H1535" s="13" t="s">
        <v>349</v>
      </c>
      <c r="I1535" s="13" t="s">
        <v>83</v>
      </c>
      <c r="J1535" s="14">
        <v>1</v>
      </c>
      <c r="K1535" s="14">
        <v>22</v>
      </c>
      <c r="L1535" s="15">
        <v>72.6</v>
      </c>
      <c r="M1535" s="15">
        <v>72.6</v>
      </c>
    </row>
    <row r="1536" spans="4:13">
      <c r="D1536" s="12">
        <v>46128</v>
      </c>
      <c r="E1536" s="13">
        <v>1595613</v>
      </c>
      <c r="F1536" s="13" t="s">
        <v>65</v>
      </c>
      <c r="G1536" s="14">
        <v>20303836</v>
      </c>
      <c r="H1536" s="13" t="s">
        <v>332</v>
      </c>
      <c r="I1536" s="13" t="s">
        <v>83</v>
      </c>
      <c r="J1536" s="14">
        <v>10</v>
      </c>
      <c r="K1536" s="14">
        <v>40</v>
      </c>
      <c r="L1536" s="15">
        <v>13.2</v>
      </c>
      <c r="M1536" s="15">
        <v>132</v>
      </c>
    </row>
    <row r="1537" spans="4:13">
      <c r="D1537" s="12">
        <v>46129</v>
      </c>
      <c r="E1537" s="13">
        <v>1595818</v>
      </c>
      <c r="F1537" s="13" t="s">
        <v>15</v>
      </c>
      <c r="G1537" s="14">
        <v>20315046</v>
      </c>
      <c r="H1537" s="13" t="s">
        <v>340</v>
      </c>
      <c r="I1537" s="13" t="s">
        <v>314</v>
      </c>
      <c r="J1537" s="14">
        <v>1</v>
      </c>
      <c r="K1537" s="14">
        <v>1</v>
      </c>
      <c r="L1537" s="15">
        <v>21</v>
      </c>
      <c r="M1537" s="15">
        <v>21</v>
      </c>
    </row>
    <row r="1538" spans="4:13">
      <c r="D1538" s="12">
        <v>46129</v>
      </c>
      <c r="E1538" s="13">
        <v>1595818</v>
      </c>
      <c r="F1538" s="13" t="s">
        <v>131</v>
      </c>
      <c r="G1538" s="14">
        <v>20309744</v>
      </c>
      <c r="H1538" s="13" t="s">
        <v>361</v>
      </c>
      <c r="I1538" s="13" t="s">
        <v>221</v>
      </c>
      <c r="J1538" s="14">
        <v>1</v>
      </c>
      <c r="K1538" s="14">
        <v>9</v>
      </c>
      <c r="L1538" s="15">
        <v>92.4</v>
      </c>
      <c r="M1538" s="15">
        <v>92.4</v>
      </c>
    </row>
    <row r="1539" spans="4:13">
      <c r="D1539" s="12">
        <v>46129</v>
      </c>
      <c r="E1539" s="13">
        <v>1595818</v>
      </c>
      <c r="F1539" s="13" t="s">
        <v>131</v>
      </c>
      <c r="G1539" s="14">
        <v>20309648</v>
      </c>
      <c r="H1539" s="13" t="s">
        <v>363</v>
      </c>
      <c r="I1539" s="13" t="s">
        <v>221</v>
      </c>
      <c r="J1539" s="14">
        <v>1</v>
      </c>
      <c r="K1539" s="14">
        <v>14</v>
      </c>
      <c r="L1539" s="15">
        <v>138.6</v>
      </c>
      <c r="M1539" s="15">
        <v>138.6</v>
      </c>
    </row>
    <row r="1540" spans="4:13">
      <c r="D1540" s="12">
        <v>46129</v>
      </c>
      <c r="E1540" s="13">
        <v>1595818</v>
      </c>
      <c r="F1540" s="13" t="s">
        <v>131</v>
      </c>
      <c r="G1540" s="14">
        <v>20314461</v>
      </c>
      <c r="H1540" s="13" t="s">
        <v>426</v>
      </c>
      <c r="I1540" s="13" t="s">
        <v>221</v>
      </c>
      <c r="J1540" s="14">
        <v>1</v>
      </c>
      <c r="K1540" s="14">
        <v>26</v>
      </c>
      <c r="L1540" s="15">
        <v>180</v>
      </c>
      <c r="M1540" s="15">
        <f>J1540*L1540</f>
        <v>180</v>
      </c>
    </row>
    <row r="1541" spans="4:13">
      <c r="D1541" s="12">
        <v>46129</v>
      </c>
      <c r="E1541" s="13">
        <v>1595818</v>
      </c>
      <c r="F1541" s="13" t="s">
        <v>131</v>
      </c>
      <c r="G1541" s="14">
        <v>20309658</v>
      </c>
      <c r="H1541" s="13" t="s">
        <v>365</v>
      </c>
      <c r="I1541" s="13" t="s">
        <v>221</v>
      </c>
      <c r="J1541" s="14">
        <v>2</v>
      </c>
      <c r="K1541" s="14">
        <v>10</v>
      </c>
      <c r="L1541" s="15">
        <v>52.8</v>
      </c>
      <c r="M1541" s="15">
        <v>105.6</v>
      </c>
    </row>
    <row r="1542" spans="4:13">
      <c r="D1542" s="12">
        <v>46129</v>
      </c>
      <c r="E1542" s="13">
        <v>1595818</v>
      </c>
      <c r="F1542" s="13" t="s">
        <v>385</v>
      </c>
      <c r="G1542" s="14">
        <v>20311814</v>
      </c>
      <c r="H1542" s="13" t="s">
        <v>427</v>
      </c>
      <c r="I1542" s="13" t="s">
        <v>221</v>
      </c>
      <c r="J1542" s="14">
        <v>1</v>
      </c>
      <c r="K1542" s="14">
        <v>2</v>
      </c>
      <c r="L1542" s="15">
        <v>21</v>
      </c>
      <c r="M1542" s="15">
        <v>21</v>
      </c>
    </row>
    <row r="1543" spans="4:13">
      <c r="D1543" s="12">
        <v>46129</v>
      </c>
      <c r="E1543" s="13">
        <v>1595834</v>
      </c>
      <c r="F1543" s="13" t="s">
        <v>131</v>
      </c>
      <c r="G1543" s="14">
        <v>20312465</v>
      </c>
      <c r="H1543" s="13" t="s">
        <v>320</v>
      </c>
      <c r="I1543" s="13" t="s">
        <v>221</v>
      </c>
      <c r="J1543" s="14">
        <v>1</v>
      </c>
      <c r="K1543" s="14">
        <v>27</v>
      </c>
      <c r="L1543" s="15">
        <v>180</v>
      </c>
      <c r="M1543" s="15">
        <f>J1543*L1543</f>
        <v>180</v>
      </c>
    </row>
    <row r="1544" spans="4:13">
      <c r="D1544" s="12">
        <v>46129</v>
      </c>
      <c r="E1544" s="13">
        <v>1595834</v>
      </c>
      <c r="F1544" s="13" t="s">
        <v>131</v>
      </c>
      <c r="G1544" s="14">
        <v>20303777</v>
      </c>
      <c r="H1544" s="13" t="s">
        <v>351</v>
      </c>
      <c r="I1544" s="13" t="s">
        <v>221</v>
      </c>
      <c r="J1544" s="14">
        <v>1</v>
      </c>
      <c r="K1544" s="14">
        <v>27</v>
      </c>
      <c r="L1544" s="15">
        <v>180</v>
      </c>
      <c r="M1544" s="15">
        <f>J1544*L1544</f>
        <v>180</v>
      </c>
    </row>
    <row r="1545" spans="4:13">
      <c r="D1545" s="12">
        <v>46129</v>
      </c>
      <c r="E1545" s="13">
        <v>1595842</v>
      </c>
      <c r="F1545" s="13" t="s">
        <v>324</v>
      </c>
      <c r="G1545" s="14">
        <v>20303003</v>
      </c>
      <c r="H1545" s="13" t="s">
        <v>483</v>
      </c>
      <c r="I1545" s="13" t="s">
        <v>326</v>
      </c>
      <c r="J1545" s="14">
        <v>1</v>
      </c>
      <c r="K1545" s="14">
        <v>23</v>
      </c>
      <c r="L1545" s="15">
        <v>75.9</v>
      </c>
      <c r="M1545" s="15">
        <v>75.9</v>
      </c>
    </row>
    <row r="1546" spans="4:13">
      <c r="D1546" s="12">
        <v>46129</v>
      </c>
      <c r="E1546" s="13">
        <v>1595842</v>
      </c>
      <c r="F1546" s="13" t="s">
        <v>324</v>
      </c>
      <c r="G1546" s="14">
        <v>20303010</v>
      </c>
      <c r="H1546" s="13" t="s">
        <v>325</v>
      </c>
      <c r="I1546" s="13" t="s">
        <v>326</v>
      </c>
      <c r="J1546" s="14">
        <v>2</v>
      </c>
      <c r="K1546" s="14">
        <v>50</v>
      </c>
      <c r="L1546" s="15">
        <v>82.5</v>
      </c>
      <c r="M1546" s="15">
        <v>165</v>
      </c>
    </row>
    <row r="1547" spans="4:13">
      <c r="D1547" s="12">
        <v>46129</v>
      </c>
      <c r="E1547" s="13">
        <v>1595842</v>
      </c>
      <c r="F1547" s="13" t="s">
        <v>324</v>
      </c>
      <c r="G1547" s="14">
        <v>20303015</v>
      </c>
      <c r="H1547" s="13" t="s">
        <v>334</v>
      </c>
      <c r="I1547" s="13" t="s">
        <v>326</v>
      </c>
      <c r="J1547" s="14">
        <v>1</v>
      </c>
      <c r="K1547" s="14">
        <v>34</v>
      </c>
      <c r="L1547" s="15">
        <v>112.2</v>
      </c>
      <c r="M1547" s="15">
        <v>112.2</v>
      </c>
    </row>
    <row r="1548" spans="4:13">
      <c r="D1548" s="12">
        <v>46129</v>
      </c>
      <c r="E1548" s="13">
        <v>1595842</v>
      </c>
      <c r="F1548" s="13" t="s">
        <v>324</v>
      </c>
      <c r="G1548" s="14">
        <v>20303022</v>
      </c>
      <c r="H1548" s="13" t="s">
        <v>352</v>
      </c>
      <c r="I1548" s="13" t="s">
        <v>326</v>
      </c>
      <c r="J1548" s="14">
        <v>3</v>
      </c>
      <c r="K1548" s="14">
        <v>93</v>
      </c>
      <c r="L1548" s="15">
        <v>102.3</v>
      </c>
      <c r="M1548" s="15">
        <v>306.9</v>
      </c>
    </row>
    <row r="1549" spans="4:13">
      <c r="D1549" s="12">
        <v>46129</v>
      </c>
      <c r="E1549" s="13">
        <v>1595842</v>
      </c>
      <c r="F1549" s="13" t="s">
        <v>324</v>
      </c>
      <c r="G1549" s="14">
        <v>20303018</v>
      </c>
      <c r="H1549" s="13" t="s">
        <v>454</v>
      </c>
      <c r="I1549" s="13" t="s">
        <v>326</v>
      </c>
      <c r="J1549" s="14">
        <v>1</v>
      </c>
      <c r="K1549" s="14">
        <v>50</v>
      </c>
      <c r="L1549" s="15">
        <v>165</v>
      </c>
      <c r="M1549" s="15">
        <v>165</v>
      </c>
    </row>
    <row r="1550" spans="4:13">
      <c r="D1550" s="12">
        <v>46129</v>
      </c>
      <c r="E1550" s="13">
        <v>1595842</v>
      </c>
      <c r="F1550" s="13" t="s">
        <v>324</v>
      </c>
      <c r="G1550" s="14">
        <v>20342050</v>
      </c>
      <c r="H1550" s="13" t="s">
        <v>327</v>
      </c>
      <c r="I1550" s="13" t="s">
        <v>328</v>
      </c>
      <c r="J1550" s="14">
        <v>1</v>
      </c>
      <c r="K1550" s="14">
        <v>19</v>
      </c>
      <c r="L1550" s="15">
        <v>62.7</v>
      </c>
      <c r="M1550" s="15">
        <v>62.7</v>
      </c>
    </row>
    <row r="1551" spans="4:13">
      <c r="D1551" s="12">
        <v>46129</v>
      </c>
      <c r="E1551" s="13">
        <v>1595842</v>
      </c>
      <c r="F1551" s="13" t="s">
        <v>324</v>
      </c>
      <c r="G1551" s="14">
        <v>20303023</v>
      </c>
      <c r="H1551" s="13" t="s">
        <v>335</v>
      </c>
      <c r="I1551" s="13" t="s">
        <v>326</v>
      </c>
      <c r="J1551" s="14">
        <v>2</v>
      </c>
      <c r="K1551" s="14">
        <v>126</v>
      </c>
      <c r="L1551" s="15">
        <v>207.9</v>
      </c>
      <c r="M1551" s="15">
        <v>415.8</v>
      </c>
    </row>
    <row r="1552" spans="4:13">
      <c r="D1552" s="12">
        <v>46129</v>
      </c>
      <c r="E1552" s="13">
        <v>1595842</v>
      </c>
      <c r="F1552" s="13" t="s">
        <v>324</v>
      </c>
      <c r="G1552" s="14">
        <v>20303029</v>
      </c>
      <c r="H1552" s="13" t="s">
        <v>337</v>
      </c>
      <c r="I1552" s="13" t="s">
        <v>326</v>
      </c>
      <c r="J1552" s="14">
        <v>2</v>
      </c>
      <c r="K1552" s="14">
        <v>94</v>
      </c>
      <c r="L1552" s="15">
        <v>155.1</v>
      </c>
      <c r="M1552" s="15">
        <v>310.2</v>
      </c>
    </row>
    <row r="1553" spans="4:13">
      <c r="D1553" s="12">
        <v>46129</v>
      </c>
      <c r="E1553" s="13">
        <v>1595842</v>
      </c>
      <c r="F1553" s="13" t="s">
        <v>324</v>
      </c>
      <c r="G1553" s="14">
        <v>20303036</v>
      </c>
      <c r="H1553" s="13" t="s">
        <v>431</v>
      </c>
      <c r="I1553" s="13" t="s">
        <v>326</v>
      </c>
      <c r="J1553" s="14">
        <v>1</v>
      </c>
      <c r="K1553" s="14">
        <v>22</v>
      </c>
      <c r="L1553" s="15">
        <v>72.6</v>
      </c>
      <c r="M1553" s="15">
        <v>72.6</v>
      </c>
    </row>
    <row r="1554" spans="4:13">
      <c r="D1554" s="12">
        <v>46129</v>
      </c>
      <c r="E1554" s="13">
        <v>1595842</v>
      </c>
      <c r="F1554" s="13" t="s">
        <v>324</v>
      </c>
      <c r="G1554" s="14">
        <v>20300073</v>
      </c>
      <c r="H1554" s="13" t="s">
        <v>422</v>
      </c>
      <c r="I1554" s="13" t="s">
        <v>326</v>
      </c>
      <c r="J1554" s="14">
        <v>1</v>
      </c>
      <c r="K1554" s="14">
        <v>75</v>
      </c>
      <c r="L1554" s="15">
        <v>247.5</v>
      </c>
      <c r="M1554" s="15">
        <v>247.5</v>
      </c>
    </row>
    <row r="1555" spans="4:13">
      <c r="D1555" s="12">
        <v>46129</v>
      </c>
      <c r="E1555" s="13">
        <v>1595842</v>
      </c>
      <c r="F1555" s="13" t="s">
        <v>20</v>
      </c>
      <c r="G1555" s="14">
        <v>20303954</v>
      </c>
      <c r="H1555" s="13" t="s">
        <v>295</v>
      </c>
      <c r="I1555" s="13" t="s">
        <v>29</v>
      </c>
      <c r="J1555" s="14">
        <v>1</v>
      </c>
      <c r="K1555" s="14">
        <v>1</v>
      </c>
      <c r="L1555" s="15">
        <v>4.8</v>
      </c>
      <c r="M1555" s="15">
        <v>4.8</v>
      </c>
    </row>
    <row r="1556" spans="4:13">
      <c r="D1556" s="12">
        <v>46129</v>
      </c>
      <c r="E1556" s="13">
        <v>1595842</v>
      </c>
      <c r="F1556" s="13" t="s">
        <v>20</v>
      </c>
      <c r="G1556" s="14">
        <v>20336548</v>
      </c>
      <c r="H1556" s="13" t="s">
        <v>458</v>
      </c>
      <c r="I1556" s="13" t="s">
        <v>53</v>
      </c>
      <c r="J1556" s="14">
        <v>1</v>
      </c>
      <c r="K1556" s="14">
        <v>1</v>
      </c>
      <c r="L1556" s="15">
        <v>6.6</v>
      </c>
      <c r="M1556" s="15">
        <v>6.6</v>
      </c>
    </row>
    <row r="1557" spans="4:13">
      <c r="D1557" s="12">
        <v>46129</v>
      </c>
      <c r="E1557" s="13">
        <v>1595842</v>
      </c>
      <c r="F1557" s="13" t="s">
        <v>20</v>
      </c>
      <c r="G1557" s="14">
        <v>20304006</v>
      </c>
      <c r="H1557" s="13" t="s">
        <v>435</v>
      </c>
      <c r="I1557" s="13" t="s">
        <v>55</v>
      </c>
      <c r="J1557" s="14">
        <v>1</v>
      </c>
      <c r="K1557" s="14">
        <v>1</v>
      </c>
      <c r="L1557" s="15">
        <v>9.9</v>
      </c>
      <c r="M1557" s="15">
        <v>9.9</v>
      </c>
    </row>
    <row r="1558" spans="4:13">
      <c r="D1558" s="12">
        <v>46129</v>
      </c>
      <c r="E1558" s="13">
        <v>1595842</v>
      </c>
      <c r="F1558" s="13" t="s">
        <v>47</v>
      </c>
      <c r="G1558" s="14">
        <v>20302998</v>
      </c>
      <c r="H1558" s="13" t="s">
        <v>346</v>
      </c>
      <c r="I1558" s="13" t="s">
        <v>347</v>
      </c>
      <c r="J1558" s="14">
        <v>1</v>
      </c>
      <c r="K1558" s="14">
        <v>19</v>
      </c>
      <c r="L1558" s="15">
        <v>62.7</v>
      </c>
      <c r="M1558" s="15">
        <v>62.7</v>
      </c>
    </row>
    <row r="1559" spans="4:13">
      <c r="D1559" s="12">
        <v>46129</v>
      </c>
      <c r="E1559" s="13">
        <v>1595842</v>
      </c>
      <c r="F1559" s="13" t="s">
        <v>47</v>
      </c>
      <c r="G1559" s="14">
        <v>20303035</v>
      </c>
      <c r="H1559" s="13" t="s">
        <v>400</v>
      </c>
      <c r="I1559" s="13" t="s">
        <v>331</v>
      </c>
      <c r="J1559" s="14">
        <v>1</v>
      </c>
      <c r="K1559" s="14">
        <v>22</v>
      </c>
      <c r="L1559" s="15">
        <v>72.6</v>
      </c>
      <c r="M1559" s="15">
        <v>72.6</v>
      </c>
    </row>
    <row r="1560" spans="4:13">
      <c r="D1560" s="12">
        <v>46129</v>
      </c>
      <c r="E1560" s="13">
        <v>1595842</v>
      </c>
      <c r="F1560" s="13" t="s">
        <v>47</v>
      </c>
      <c r="G1560" s="14">
        <v>20306256</v>
      </c>
      <c r="H1560" s="13" t="s">
        <v>349</v>
      </c>
      <c r="I1560" s="13" t="s">
        <v>83</v>
      </c>
      <c r="J1560" s="14">
        <v>2</v>
      </c>
      <c r="K1560" s="14">
        <v>44</v>
      </c>
      <c r="L1560" s="15">
        <v>72.6</v>
      </c>
      <c r="M1560" s="15">
        <v>145.2</v>
      </c>
    </row>
    <row r="1561" spans="4:13">
      <c r="D1561" s="12">
        <v>46129</v>
      </c>
      <c r="E1561" s="13">
        <v>1595842</v>
      </c>
      <c r="F1561" s="13" t="s">
        <v>65</v>
      </c>
      <c r="G1561" s="14">
        <v>20303836</v>
      </c>
      <c r="H1561" s="13" t="s">
        <v>332</v>
      </c>
      <c r="I1561" s="13" t="s">
        <v>83</v>
      </c>
      <c r="J1561" s="14">
        <v>5</v>
      </c>
      <c r="K1561" s="14">
        <v>20</v>
      </c>
      <c r="L1561" s="15">
        <v>13.2</v>
      </c>
      <c r="M1561" s="15">
        <v>66</v>
      </c>
    </row>
    <row r="1562" spans="4:13">
      <c r="D1562" s="12">
        <v>46129</v>
      </c>
      <c r="E1562" s="13">
        <v>1595842</v>
      </c>
      <c r="F1562" s="13" t="s">
        <v>65</v>
      </c>
      <c r="G1562" s="14">
        <v>20310863</v>
      </c>
      <c r="H1562" s="13" t="s">
        <v>333</v>
      </c>
      <c r="I1562" s="13" t="s">
        <v>49</v>
      </c>
      <c r="J1562" s="14">
        <v>1</v>
      </c>
      <c r="K1562" s="14">
        <v>1</v>
      </c>
      <c r="L1562" s="15">
        <v>9.9</v>
      </c>
      <c r="M1562" s="15">
        <v>9.9</v>
      </c>
    </row>
    <row r="1563" spans="4:13">
      <c r="D1563" s="12">
        <v>46129</v>
      </c>
      <c r="E1563" s="13">
        <v>1595847</v>
      </c>
      <c r="F1563" s="13" t="s">
        <v>324</v>
      </c>
      <c r="G1563" s="14">
        <v>20303010</v>
      </c>
      <c r="H1563" s="13" t="s">
        <v>325</v>
      </c>
      <c r="I1563" s="13" t="s">
        <v>326</v>
      </c>
      <c r="J1563" s="14">
        <v>1</v>
      </c>
      <c r="K1563" s="14">
        <v>25</v>
      </c>
      <c r="L1563" s="15">
        <v>82.5</v>
      </c>
      <c r="M1563" s="15">
        <v>82.5</v>
      </c>
    </row>
    <row r="1564" spans="4:13">
      <c r="D1564" s="12">
        <v>46129</v>
      </c>
      <c r="E1564" s="13">
        <v>1595847</v>
      </c>
      <c r="F1564" s="13" t="s">
        <v>47</v>
      </c>
      <c r="G1564" s="14">
        <v>20303011</v>
      </c>
      <c r="H1564" s="13" t="s">
        <v>330</v>
      </c>
      <c r="I1564" s="13" t="s">
        <v>331</v>
      </c>
      <c r="J1564" s="14">
        <v>2</v>
      </c>
      <c r="K1564" s="14">
        <v>52</v>
      </c>
      <c r="L1564" s="15">
        <v>85.8</v>
      </c>
      <c r="M1564" s="15">
        <v>171.6</v>
      </c>
    </row>
    <row r="1565" spans="4:13">
      <c r="D1565" s="12">
        <v>46129</v>
      </c>
      <c r="E1565" s="13">
        <v>1595847</v>
      </c>
      <c r="F1565" s="13" t="s">
        <v>47</v>
      </c>
      <c r="G1565" s="14">
        <v>20306256</v>
      </c>
      <c r="H1565" s="13" t="s">
        <v>349</v>
      </c>
      <c r="I1565" s="13" t="s">
        <v>83</v>
      </c>
      <c r="J1565" s="14">
        <v>1</v>
      </c>
      <c r="K1565" s="14">
        <v>22</v>
      </c>
      <c r="L1565" s="15">
        <v>72.6</v>
      </c>
      <c r="M1565" s="15">
        <v>72.6</v>
      </c>
    </row>
    <row r="1566" spans="4:13">
      <c r="D1566" s="12">
        <v>46129</v>
      </c>
      <c r="E1566" s="13">
        <v>1595847</v>
      </c>
      <c r="F1566" s="13" t="s">
        <v>65</v>
      </c>
      <c r="G1566" s="14">
        <v>20303836</v>
      </c>
      <c r="H1566" s="13" t="s">
        <v>332</v>
      </c>
      <c r="I1566" s="13" t="s">
        <v>83</v>
      </c>
      <c r="J1566" s="14">
        <v>2</v>
      </c>
      <c r="K1566" s="14">
        <v>8</v>
      </c>
      <c r="L1566" s="15">
        <v>13.2</v>
      </c>
      <c r="M1566" s="15">
        <v>26.4</v>
      </c>
    </row>
    <row r="1567" spans="4:13">
      <c r="D1567" s="12">
        <v>46129</v>
      </c>
      <c r="E1567" s="13">
        <v>1595850</v>
      </c>
      <c r="F1567" s="13" t="s">
        <v>15</v>
      </c>
      <c r="G1567" s="14">
        <v>20391491</v>
      </c>
      <c r="H1567" s="13" t="s">
        <v>534</v>
      </c>
      <c r="I1567" s="13" t="s">
        <v>217</v>
      </c>
      <c r="J1567" s="14">
        <v>1</v>
      </c>
      <c r="K1567" s="14">
        <v>1</v>
      </c>
      <c r="L1567" s="15">
        <v>16.8</v>
      </c>
      <c r="M1567" s="15">
        <v>16.8</v>
      </c>
    </row>
    <row r="1568" spans="4:13">
      <c r="D1568" s="12">
        <v>46129</v>
      </c>
      <c r="E1568" s="13">
        <v>1595850</v>
      </c>
      <c r="F1568" s="13" t="s">
        <v>131</v>
      </c>
      <c r="G1568" s="14">
        <v>20312572</v>
      </c>
      <c r="H1568" s="13" t="s">
        <v>366</v>
      </c>
      <c r="I1568" s="13" t="s">
        <v>221</v>
      </c>
      <c r="J1568" s="14">
        <v>1</v>
      </c>
      <c r="K1568" s="14">
        <v>27</v>
      </c>
      <c r="L1568" s="15">
        <v>180</v>
      </c>
      <c r="M1568" s="15">
        <f>J1568*L1568</f>
        <v>180</v>
      </c>
    </row>
    <row r="1569" spans="4:13">
      <c r="D1569" s="12">
        <v>46129</v>
      </c>
      <c r="E1569" s="13">
        <v>1595850</v>
      </c>
      <c r="F1569" s="13" t="s">
        <v>131</v>
      </c>
      <c r="G1569" s="14">
        <v>20412034</v>
      </c>
      <c r="H1569" s="13" t="s">
        <v>344</v>
      </c>
      <c r="I1569" s="13" t="s">
        <v>221</v>
      </c>
      <c r="J1569" s="14">
        <v>1</v>
      </c>
      <c r="K1569" s="14">
        <v>28</v>
      </c>
      <c r="L1569" s="15">
        <v>180</v>
      </c>
      <c r="M1569" s="15">
        <f>J1569*L1569</f>
        <v>180</v>
      </c>
    </row>
    <row r="1570" spans="4:13">
      <c r="D1570" s="12">
        <v>46129</v>
      </c>
      <c r="E1570" s="13">
        <v>1595850</v>
      </c>
      <c r="F1570" s="13" t="s">
        <v>385</v>
      </c>
      <c r="G1570" s="14">
        <v>20399009</v>
      </c>
      <c r="H1570" s="13" t="s">
        <v>404</v>
      </c>
      <c r="I1570" s="13" t="s">
        <v>128</v>
      </c>
      <c r="J1570" s="14">
        <v>1</v>
      </c>
      <c r="K1570" s="14">
        <v>1</v>
      </c>
      <c r="L1570" s="15">
        <v>16.8</v>
      </c>
      <c r="M1570" s="15">
        <v>16.8</v>
      </c>
    </row>
    <row r="1571" spans="4:13">
      <c r="D1571" s="12">
        <v>46129</v>
      </c>
      <c r="E1571" s="13">
        <v>1595850</v>
      </c>
      <c r="F1571" s="13" t="s">
        <v>385</v>
      </c>
      <c r="G1571" s="14">
        <v>20316004</v>
      </c>
      <c r="H1571" s="13" t="s">
        <v>528</v>
      </c>
      <c r="I1571" s="13" t="s">
        <v>221</v>
      </c>
      <c r="J1571" s="14">
        <v>1</v>
      </c>
      <c r="K1571" s="14">
        <v>24</v>
      </c>
      <c r="L1571" s="15">
        <v>180</v>
      </c>
      <c r="M1571" s="15">
        <f>J1571*L1571</f>
        <v>180</v>
      </c>
    </row>
    <row r="1572" spans="4:13">
      <c r="D1572" s="12">
        <v>46129</v>
      </c>
      <c r="E1572" s="13">
        <v>1595919</v>
      </c>
      <c r="F1572" s="13" t="s">
        <v>219</v>
      </c>
      <c r="G1572" s="14">
        <v>20309547</v>
      </c>
      <c r="H1572" s="13" t="s">
        <v>220</v>
      </c>
      <c r="I1572" s="13" t="s">
        <v>221</v>
      </c>
      <c r="J1572" s="14">
        <v>10</v>
      </c>
      <c r="K1572" s="14">
        <v>0</v>
      </c>
      <c r="L1572" s="15">
        <v>21</v>
      </c>
      <c r="M1572" s="15">
        <v>210</v>
      </c>
    </row>
    <row r="1573" spans="4:13">
      <c r="D1573" s="12">
        <v>46129</v>
      </c>
      <c r="E1573" s="13">
        <v>1595930</v>
      </c>
      <c r="F1573" s="13" t="s">
        <v>324</v>
      </c>
      <c r="G1573" s="14">
        <v>20303010</v>
      </c>
      <c r="H1573" s="13" t="s">
        <v>325</v>
      </c>
      <c r="I1573" s="13" t="s">
        <v>326</v>
      </c>
      <c r="J1573" s="14">
        <v>1</v>
      </c>
      <c r="K1573" s="14">
        <v>25</v>
      </c>
      <c r="L1573" s="15">
        <v>82.5</v>
      </c>
      <c r="M1573" s="15">
        <v>82.5</v>
      </c>
    </row>
    <row r="1574" spans="4:13">
      <c r="D1574" s="12">
        <v>46129</v>
      </c>
      <c r="E1574" s="13">
        <v>1595930</v>
      </c>
      <c r="F1574" s="13" t="s">
        <v>324</v>
      </c>
      <c r="G1574" s="14">
        <v>20332470</v>
      </c>
      <c r="H1574" s="13" t="s">
        <v>455</v>
      </c>
      <c r="I1574" s="13" t="s">
        <v>62</v>
      </c>
      <c r="J1574" s="14">
        <v>1</v>
      </c>
      <c r="K1574" s="14">
        <v>11</v>
      </c>
      <c r="L1574" s="15">
        <v>36.3</v>
      </c>
      <c r="M1574" s="15">
        <v>36.3</v>
      </c>
    </row>
    <row r="1575" spans="4:13">
      <c r="D1575" s="12">
        <v>46129</v>
      </c>
      <c r="E1575" s="13">
        <v>1595930</v>
      </c>
      <c r="F1575" s="13" t="s">
        <v>20</v>
      </c>
      <c r="G1575" s="14">
        <v>20303859</v>
      </c>
      <c r="H1575" s="13" t="s">
        <v>46</v>
      </c>
      <c r="I1575" s="13" t="s">
        <v>35</v>
      </c>
      <c r="J1575" s="14">
        <v>1</v>
      </c>
      <c r="K1575" s="14">
        <v>1</v>
      </c>
      <c r="L1575" s="15">
        <v>4.8</v>
      </c>
      <c r="M1575" s="15">
        <v>4.8</v>
      </c>
    </row>
    <row r="1576" spans="4:13">
      <c r="D1576" s="12">
        <v>46129</v>
      </c>
      <c r="E1576" s="13">
        <v>1595930</v>
      </c>
      <c r="F1576" s="13" t="s">
        <v>20</v>
      </c>
      <c r="G1576" s="14">
        <v>20313225</v>
      </c>
      <c r="H1576" s="13" t="s">
        <v>358</v>
      </c>
      <c r="I1576" s="13" t="s">
        <v>31</v>
      </c>
      <c r="J1576" s="14">
        <v>1</v>
      </c>
      <c r="K1576" s="14">
        <v>4</v>
      </c>
      <c r="L1576" s="15">
        <v>13.2</v>
      </c>
      <c r="M1576" s="15">
        <v>13.2</v>
      </c>
    </row>
    <row r="1577" spans="4:13">
      <c r="D1577" s="12">
        <v>46129</v>
      </c>
      <c r="E1577" s="13">
        <v>1595930</v>
      </c>
      <c r="F1577" s="13" t="s">
        <v>15</v>
      </c>
      <c r="G1577" s="14">
        <v>20359528</v>
      </c>
      <c r="H1577" s="13" t="s">
        <v>535</v>
      </c>
      <c r="I1577" s="13" t="s">
        <v>17</v>
      </c>
      <c r="J1577" s="14">
        <v>1</v>
      </c>
      <c r="K1577" s="14">
        <v>1</v>
      </c>
      <c r="L1577" s="15">
        <v>13.2</v>
      </c>
      <c r="M1577" s="15">
        <v>13.2</v>
      </c>
    </row>
    <row r="1578" spans="4:13">
      <c r="D1578" s="12">
        <v>46129</v>
      </c>
      <c r="E1578" s="13">
        <v>1595930</v>
      </c>
      <c r="F1578" s="13" t="s">
        <v>15</v>
      </c>
      <c r="G1578" s="14">
        <v>20314042</v>
      </c>
      <c r="H1578" s="13" t="s">
        <v>341</v>
      </c>
      <c r="I1578" s="13" t="s">
        <v>128</v>
      </c>
      <c r="J1578" s="14">
        <v>3</v>
      </c>
      <c r="K1578" s="14">
        <v>3</v>
      </c>
      <c r="L1578" s="15">
        <v>16.8</v>
      </c>
      <c r="M1578" s="15">
        <v>50.4</v>
      </c>
    </row>
    <row r="1579" spans="4:13">
      <c r="D1579" s="12">
        <v>46129</v>
      </c>
      <c r="E1579" s="13">
        <v>1595930</v>
      </c>
      <c r="F1579" s="13" t="s">
        <v>15</v>
      </c>
      <c r="G1579" s="14">
        <v>20359622</v>
      </c>
      <c r="H1579" s="13" t="s">
        <v>500</v>
      </c>
      <c r="I1579" s="13" t="s">
        <v>128</v>
      </c>
      <c r="J1579" s="14">
        <v>1</v>
      </c>
      <c r="K1579" s="14">
        <v>1</v>
      </c>
      <c r="L1579" s="15">
        <v>16.8</v>
      </c>
      <c r="M1579" s="15">
        <v>16.8</v>
      </c>
    </row>
    <row r="1580" spans="4:13">
      <c r="D1580" s="12">
        <v>46129</v>
      </c>
      <c r="E1580" s="13">
        <v>1595930</v>
      </c>
      <c r="F1580" s="13" t="s">
        <v>15</v>
      </c>
      <c r="G1580" s="14">
        <v>20358905</v>
      </c>
      <c r="H1580" s="13" t="s">
        <v>360</v>
      </c>
      <c r="I1580" s="13" t="s">
        <v>244</v>
      </c>
      <c r="J1580" s="14">
        <v>2</v>
      </c>
      <c r="K1580" s="14">
        <v>2</v>
      </c>
      <c r="L1580" s="15">
        <v>15</v>
      </c>
      <c r="M1580" s="15">
        <v>30</v>
      </c>
    </row>
    <row r="1581" spans="4:13">
      <c r="D1581" s="12">
        <v>46129</v>
      </c>
      <c r="E1581" s="13">
        <v>1595930</v>
      </c>
      <c r="F1581" s="13" t="s">
        <v>15</v>
      </c>
      <c r="G1581" s="14">
        <v>20309651</v>
      </c>
      <c r="H1581" s="13" t="s">
        <v>130</v>
      </c>
      <c r="I1581" s="13" t="s">
        <v>62</v>
      </c>
      <c r="J1581" s="14">
        <v>2</v>
      </c>
      <c r="K1581" s="14">
        <v>2</v>
      </c>
      <c r="L1581" s="15">
        <v>21</v>
      </c>
      <c r="M1581" s="15">
        <v>42</v>
      </c>
    </row>
    <row r="1582" spans="4:13">
      <c r="D1582" s="12">
        <v>46129</v>
      </c>
      <c r="E1582" s="13">
        <v>1595930</v>
      </c>
      <c r="F1582" s="13" t="s">
        <v>15</v>
      </c>
      <c r="G1582" s="14">
        <v>20359639</v>
      </c>
      <c r="H1582" s="13" t="s">
        <v>468</v>
      </c>
      <c r="I1582" s="13" t="s">
        <v>317</v>
      </c>
      <c r="J1582" s="14">
        <v>1</v>
      </c>
      <c r="K1582" s="14">
        <v>1</v>
      </c>
      <c r="L1582" s="15">
        <v>15</v>
      </c>
      <c r="M1582" s="15">
        <v>15</v>
      </c>
    </row>
    <row r="1583" spans="4:13">
      <c r="D1583" s="12">
        <v>46129</v>
      </c>
      <c r="E1583" s="13">
        <v>1595930</v>
      </c>
      <c r="F1583" s="13" t="s">
        <v>15</v>
      </c>
      <c r="G1583" s="14">
        <v>20359638</v>
      </c>
      <c r="H1583" s="13" t="s">
        <v>411</v>
      </c>
      <c r="I1583" s="13" t="s">
        <v>128</v>
      </c>
      <c r="J1583" s="14">
        <v>1</v>
      </c>
      <c r="K1583" s="14">
        <v>1</v>
      </c>
      <c r="L1583" s="15">
        <v>16.8</v>
      </c>
      <c r="M1583" s="15">
        <v>16.8</v>
      </c>
    </row>
    <row r="1584" spans="4:13">
      <c r="D1584" s="12">
        <v>46129</v>
      </c>
      <c r="E1584" s="13">
        <v>1595930</v>
      </c>
      <c r="F1584" s="13" t="s">
        <v>15</v>
      </c>
      <c r="G1584" s="14">
        <v>20360954</v>
      </c>
      <c r="H1584" s="13" t="s">
        <v>441</v>
      </c>
      <c r="I1584" s="13" t="s">
        <v>128</v>
      </c>
      <c r="J1584" s="14">
        <v>1</v>
      </c>
      <c r="K1584" s="14">
        <v>1</v>
      </c>
      <c r="L1584" s="15">
        <v>16.8</v>
      </c>
      <c r="M1584" s="15">
        <v>16.8</v>
      </c>
    </row>
    <row r="1585" spans="4:13">
      <c r="D1585" s="12">
        <v>46129</v>
      </c>
      <c r="E1585" s="13">
        <v>1595930</v>
      </c>
      <c r="F1585" s="13" t="s">
        <v>131</v>
      </c>
      <c r="G1585" s="14">
        <v>20309648</v>
      </c>
      <c r="H1585" s="13" t="s">
        <v>363</v>
      </c>
      <c r="I1585" s="13" t="s">
        <v>221</v>
      </c>
      <c r="J1585" s="14">
        <v>1</v>
      </c>
      <c r="K1585" s="14">
        <v>14</v>
      </c>
      <c r="L1585" s="15">
        <v>138.6</v>
      </c>
      <c r="M1585" s="15">
        <v>138.6</v>
      </c>
    </row>
    <row r="1586" spans="4:13">
      <c r="D1586" s="12">
        <v>46129</v>
      </c>
      <c r="E1586" s="13">
        <v>1595930</v>
      </c>
      <c r="F1586" s="13" t="s">
        <v>131</v>
      </c>
      <c r="G1586" s="14">
        <v>20339097</v>
      </c>
      <c r="H1586" s="13" t="s">
        <v>343</v>
      </c>
      <c r="I1586" s="13" t="s">
        <v>221</v>
      </c>
      <c r="J1586" s="14">
        <v>1</v>
      </c>
      <c r="K1586" s="14">
        <v>32</v>
      </c>
      <c r="L1586" s="15">
        <v>180</v>
      </c>
      <c r="M1586" s="15">
        <f>J1586*L1586</f>
        <v>180</v>
      </c>
    </row>
    <row r="1587" spans="4:13">
      <c r="D1587" s="12">
        <v>46129</v>
      </c>
      <c r="E1587" s="13">
        <v>1595930</v>
      </c>
      <c r="F1587" s="13" t="s">
        <v>131</v>
      </c>
      <c r="G1587" s="14">
        <v>20312767</v>
      </c>
      <c r="H1587" s="13" t="s">
        <v>384</v>
      </c>
      <c r="I1587" s="13" t="s">
        <v>221</v>
      </c>
      <c r="J1587" s="14">
        <v>1</v>
      </c>
      <c r="K1587" s="14">
        <v>9</v>
      </c>
      <c r="L1587" s="15">
        <v>99</v>
      </c>
      <c r="M1587" s="15">
        <v>99</v>
      </c>
    </row>
    <row r="1588" spans="4:13">
      <c r="D1588" s="12">
        <v>46129</v>
      </c>
      <c r="E1588" s="13">
        <v>1595930</v>
      </c>
      <c r="F1588" s="13" t="s">
        <v>131</v>
      </c>
      <c r="G1588" s="14">
        <v>20384037</v>
      </c>
      <c r="H1588" s="13" t="s">
        <v>376</v>
      </c>
      <c r="I1588" s="13" t="s">
        <v>221</v>
      </c>
      <c r="J1588" s="14">
        <v>1</v>
      </c>
      <c r="K1588" s="14">
        <v>25</v>
      </c>
      <c r="L1588" s="15">
        <v>180</v>
      </c>
      <c r="M1588" s="15">
        <f>J1588*L1588</f>
        <v>180</v>
      </c>
    </row>
    <row r="1589" spans="4:13">
      <c r="D1589" s="12">
        <v>46129</v>
      </c>
      <c r="E1589" s="13">
        <v>1595930</v>
      </c>
      <c r="F1589" s="13" t="s">
        <v>131</v>
      </c>
      <c r="G1589" s="14">
        <v>20314362</v>
      </c>
      <c r="H1589" s="13" t="s">
        <v>364</v>
      </c>
      <c r="I1589" s="13" t="s">
        <v>221</v>
      </c>
      <c r="J1589" s="14">
        <v>1</v>
      </c>
      <c r="K1589" s="14">
        <v>27</v>
      </c>
      <c r="L1589" s="15">
        <v>180</v>
      </c>
      <c r="M1589" s="15">
        <f>J1589*L1589</f>
        <v>180</v>
      </c>
    </row>
    <row r="1590" spans="4:13">
      <c r="D1590" s="12">
        <v>46129</v>
      </c>
      <c r="E1590" s="13">
        <v>1595930</v>
      </c>
      <c r="F1590" s="13" t="s">
        <v>131</v>
      </c>
      <c r="G1590" s="14">
        <v>20309658</v>
      </c>
      <c r="H1590" s="13" t="s">
        <v>365</v>
      </c>
      <c r="I1590" s="13" t="s">
        <v>221</v>
      </c>
      <c r="J1590" s="14">
        <v>5</v>
      </c>
      <c r="K1590" s="14">
        <v>25</v>
      </c>
      <c r="L1590" s="15">
        <v>52.8</v>
      </c>
      <c r="M1590" s="15">
        <v>264</v>
      </c>
    </row>
    <row r="1591" spans="4:13">
      <c r="D1591" s="12">
        <v>46129</v>
      </c>
      <c r="E1591" s="13">
        <v>1595930</v>
      </c>
      <c r="F1591" s="13" t="s">
        <v>131</v>
      </c>
      <c r="G1591" s="14">
        <v>20411790</v>
      </c>
      <c r="H1591" s="13" t="s">
        <v>345</v>
      </c>
      <c r="I1591" s="13" t="s">
        <v>221</v>
      </c>
      <c r="J1591" s="14">
        <v>1</v>
      </c>
      <c r="K1591" s="14">
        <v>28</v>
      </c>
      <c r="L1591" s="15">
        <v>180</v>
      </c>
      <c r="M1591" s="15">
        <f>J1591*L1591</f>
        <v>180</v>
      </c>
    </row>
    <row r="1592" spans="4:13">
      <c r="D1592" s="12">
        <v>46129</v>
      </c>
      <c r="E1592" s="13">
        <v>1595930</v>
      </c>
      <c r="F1592" s="13" t="s">
        <v>47</v>
      </c>
      <c r="G1592" s="14">
        <v>20302998</v>
      </c>
      <c r="H1592" s="13" t="s">
        <v>346</v>
      </c>
      <c r="I1592" s="13" t="s">
        <v>347</v>
      </c>
      <c r="J1592" s="14">
        <v>2</v>
      </c>
      <c r="K1592" s="14">
        <v>38</v>
      </c>
      <c r="L1592" s="15">
        <v>62.7</v>
      </c>
      <c r="M1592" s="15">
        <v>125.4</v>
      </c>
    </row>
    <row r="1593" spans="4:13">
      <c r="D1593" s="12">
        <v>46129</v>
      </c>
      <c r="E1593" s="13">
        <v>1595930</v>
      </c>
      <c r="F1593" s="13" t="s">
        <v>47</v>
      </c>
      <c r="G1593" s="14">
        <v>20316425</v>
      </c>
      <c r="H1593" s="13" t="s">
        <v>491</v>
      </c>
      <c r="I1593" s="13" t="s">
        <v>83</v>
      </c>
      <c r="J1593" s="14">
        <v>1</v>
      </c>
      <c r="K1593" s="14">
        <v>11</v>
      </c>
      <c r="L1593" s="15">
        <v>36.3</v>
      </c>
      <c r="M1593" s="15">
        <v>36.3</v>
      </c>
    </row>
    <row r="1594" spans="4:13">
      <c r="D1594" s="12">
        <v>46129</v>
      </c>
      <c r="E1594" s="13">
        <v>1595930</v>
      </c>
      <c r="F1594" s="13" t="s">
        <v>47</v>
      </c>
      <c r="G1594" s="14">
        <v>20303011</v>
      </c>
      <c r="H1594" s="13" t="s">
        <v>330</v>
      </c>
      <c r="I1594" s="13" t="s">
        <v>331</v>
      </c>
      <c r="J1594" s="14">
        <v>2</v>
      </c>
      <c r="K1594" s="14">
        <v>52</v>
      </c>
      <c r="L1594" s="15">
        <v>85.8</v>
      </c>
      <c r="M1594" s="15">
        <v>171.6</v>
      </c>
    </row>
    <row r="1595" spans="4:13">
      <c r="D1595" s="12">
        <v>46129</v>
      </c>
      <c r="E1595" s="13">
        <v>1595930</v>
      </c>
      <c r="F1595" s="13" t="s">
        <v>47</v>
      </c>
      <c r="G1595" s="14">
        <v>20306256</v>
      </c>
      <c r="H1595" s="13" t="s">
        <v>349</v>
      </c>
      <c r="I1595" s="13" t="s">
        <v>83</v>
      </c>
      <c r="J1595" s="14">
        <v>1</v>
      </c>
      <c r="K1595" s="14">
        <v>22</v>
      </c>
      <c r="L1595" s="15">
        <v>72.6</v>
      </c>
      <c r="M1595" s="15">
        <v>72.6</v>
      </c>
    </row>
    <row r="1596" spans="4:13">
      <c r="D1596" s="12">
        <v>46129</v>
      </c>
      <c r="E1596" s="13">
        <v>1595930</v>
      </c>
      <c r="F1596" s="13" t="s">
        <v>385</v>
      </c>
      <c r="G1596" s="14">
        <v>20349421</v>
      </c>
      <c r="H1596" s="13" t="s">
        <v>386</v>
      </c>
      <c r="I1596" s="13" t="s">
        <v>221</v>
      </c>
      <c r="J1596" s="14">
        <v>1</v>
      </c>
      <c r="K1596" s="14">
        <v>2</v>
      </c>
      <c r="L1596" s="15">
        <v>26.4</v>
      </c>
      <c r="M1596" s="15">
        <v>26.4</v>
      </c>
    </row>
    <row r="1597" spans="4:13">
      <c r="D1597" s="12">
        <v>46129</v>
      </c>
      <c r="E1597" s="13">
        <v>1595930</v>
      </c>
      <c r="F1597" s="13" t="s">
        <v>385</v>
      </c>
      <c r="G1597" s="14">
        <v>20311814</v>
      </c>
      <c r="H1597" s="13" t="s">
        <v>427</v>
      </c>
      <c r="I1597" s="13" t="s">
        <v>221</v>
      </c>
      <c r="J1597" s="14">
        <v>1</v>
      </c>
      <c r="K1597" s="14">
        <v>2</v>
      </c>
      <c r="L1597" s="15">
        <v>21</v>
      </c>
      <c r="M1597" s="15">
        <v>21</v>
      </c>
    </row>
    <row r="1598" spans="4:13">
      <c r="D1598" s="12">
        <v>46129</v>
      </c>
      <c r="E1598" s="13">
        <v>1595930</v>
      </c>
      <c r="F1598" s="13" t="s">
        <v>65</v>
      </c>
      <c r="G1598" s="14">
        <v>20309865</v>
      </c>
      <c r="H1598" s="13" t="s">
        <v>499</v>
      </c>
      <c r="I1598" s="13" t="s">
        <v>49</v>
      </c>
      <c r="J1598" s="14">
        <v>1</v>
      </c>
      <c r="K1598" s="14">
        <v>2</v>
      </c>
      <c r="L1598" s="15">
        <v>9.9</v>
      </c>
      <c r="M1598" s="15">
        <v>9.9</v>
      </c>
    </row>
    <row r="1599" spans="4:13">
      <c r="D1599" s="12">
        <v>46129</v>
      </c>
      <c r="E1599" s="13">
        <v>1595930</v>
      </c>
      <c r="F1599" s="13" t="s">
        <v>65</v>
      </c>
      <c r="G1599" s="14">
        <v>20303836</v>
      </c>
      <c r="H1599" s="13" t="s">
        <v>332</v>
      </c>
      <c r="I1599" s="13" t="s">
        <v>83</v>
      </c>
      <c r="J1599" s="14">
        <v>7</v>
      </c>
      <c r="K1599" s="14">
        <v>28</v>
      </c>
      <c r="L1599" s="15">
        <v>13.2</v>
      </c>
      <c r="M1599" s="15">
        <v>92.4</v>
      </c>
    </row>
    <row r="1600" spans="4:13">
      <c r="D1600" s="12">
        <v>46131</v>
      </c>
      <c r="E1600" s="13">
        <v>1596178</v>
      </c>
      <c r="F1600" s="13" t="s">
        <v>15</v>
      </c>
      <c r="G1600" s="14">
        <v>20309550</v>
      </c>
      <c r="H1600" s="13" t="s">
        <v>313</v>
      </c>
      <c r="I1600" s="13" t="s">
        <v>314</v>
      </c>
      <c r="J1600" s="14">
        <v>1</v>
      </c>
      <c r="K1600" s="14">
        <v>3</v>
      </c>
      <c r="L1600" s="15">
        <v>39.6</v>
      </c>
      <c r="M1600" s="15">
        <v>39.6</v>
      </c>
    </row>
    <row r="1601" spans="4:13">
      <c r="D1601" s="12">
        <v>46131</v>
      </c>
      <c r="E1601" s="13">
        <v>1596178</v>
      </c>
      <c r="F1601" s="13" t="s">
        <v>131</v>
      </c>
      <c r="G1601" s="14">
        <v>20407365</v>
      </c>
      <c r="H1601" s="13" t="s">
        <v>464</v>
      </c>
      <c r="I1601" s="13" t="s">
        <v>83</v>
      </c>
      <c r="J1601" s="14">
        <v>1</v>
      </c>
      <c r="K1601" s="14">
        <v>5</v>
      </c>
      <c r="L1601" s="15">
        <v>52.8</v>
      </c>
      <c r="M1601" s="15">
        <v>52.8</v>
      </c>
    </row>
    <row r="1602" spans="4:13">
      <c r="D1602" s="12">
        <v>46131</v>
      </c>
      <c r="E1602" s="13">
        <v>1596178</v>
      </c>
      <c r="F1602" s="13" t="s">
        <v>131</v>
      </c>
      <c r="G1602" s="14">
        <v>20303777</v>
      </c>
      <c r="H1602" s="13" t="s">
        <v>351</v>
      </c>
      <c r="I1602" s="13" t="s">
        <v>221</v>
      </c>
      <c r="J1602" s="14">
        <v>1</v>
      </c>
      <c r="K1602" s="14">
        <v>27</v>
      </c>
      <c r="L1602" s="15">
        <v>180</v>
      </c>
      <c r="M1602" s="15">
        <f>J1602*L1602</f>
        <v>180</v>
      </c>
    </row>
    <row r="1603" spans="4:13">
      <c r="D1603" s="12">
        <v>46131</v>
      </c>
      <c r="E1603" s="13">
        <v>1596178</v>
      </c>
      <c r="F1603" s="13" t="s">
        <v>131</v>
      </c>
      <c r="G1603" s="14">
        <v>20309607</v>
      </c>
      <c r="H1603" s="13" t="s">
        <v>489</v>
      </c>
      <c r="I1603" s="13" t="s">
        <v>83</v>
      </c>
      <c r="J1603" s="14">
        <v>1</v>
      </c>
      <c r="K1603" s="14">
        <v>4</v>
      </c>
      <c r="L1603" s="15">
        <v>39.6</v>
      </c>
      <c r="M1603" s="15">
        <v>39.6</v>
      </c>
    </row>
    <row r="1604" spans="4:13">
      <c r="D1604" s="12">
        <v>46131</v>
      </c>
      <c r="E1604" s="13">
        <v>1596181</v>
      </c>
      <c r="F1604" s="13" t="s">
        <v>324</v>
      </c>
      <c r="G1604" s="14">
        <v>20303010</v>
      </c>
      <c r="H1604" s="13" t="s">
        <v>325</v>
      </c>
      <c r="I1604" s="13" t="s">
        <v>326</v>
      </c>
      <c r="J1604" s="14">
        <v>1</v>
      </c>
      <c r="K1604" s="14">
        <v>25</v>
      </c>
      <c r="L1604" s="15">
        <v>82.5</v>
      </c>
      <c r="M1604" s="15">
        <v>82.5</v>
      </c>
    </row>
    <row r="1605" spans="4:13">
      <c r="D1605" s="12">
        <v>46131</v>
      </c>
      <c r="E1605" s="13">
        <v>1596181</v>
      </c>
      <c r="F1605" s="13" t="s">
        <v>324</v>
      </c>
      <c r="G1605" s="14">
        <v>20303022</v>
      </c>
      <c r="H1605" s="13" t="s">
        <v>352</v>
      </c>
      <c r="I1605" s="13" t="s">
        <v>326</v>
      </c>
      <c r="J1605" s="14">
        <v>2</v>
      </c>
      <c r="K1605" s="14">
        <v>62</v>
      </c>
      <c r="L1605" s="15">
        <v>102.3</v>
      </c>
      <c r="M1605" s="15">
        <v>204.6</v>
      </c>
    </row>
    <row r="1606" spans="4:13">
      <c r="D1606" s="12">
        <v>46131</v>
      </c>
      <c r="E1606" s="13">
        <v>1596181</v>
      </c>
      <c r="F1606" s="13" t="s">
        <v>324</v>
      </c>
      <c r="G1606" s="14">
        <v>20303021</v>
      </c>
      <c r="H1606" s="13" t="s">
        <v>517</v>
      </c>
      <c r="I1606" s="13" t="s">
        <v>331</v>
      </c>
      <c r="J1606" s="14">
        <v>1</v>
      </c>
      <c r="K1606" s="14">
        <v>11</v>
      </c>
      <c r="L1606" s="15">
        <v>36.3</v>
      </c>
      <c r="M1606" s="15">
        <v>36.3</v>
      </c>
    </row>
    <row r="1607" spans="4:13">
      <c r="D1607" s="12">
        <v>46131</v>
      </c>
      <c r="E1607" s="13">
        <v>1596181</v>
      </c>
      <c r="F1607" s="13" t="s">
        <v>324</v>
      </c>
      <c r="G1607" s="14">
        <v>20303023</v>
      </c>
      <c r="H1607" s="13" t="s">
        <v>335</v>
      </c>
      <c r="I1607" s="13" t="s">
        <v>326</v>
      </c>
      <c r="J1607" s="14">
        <v>1</v>
      </c>
      <c r="K1607" s="14">
        <v>63</v>
      </c>
      <c r="L1607" s="15">
        <v>207.9</v>
      </c>
      <c r="M1607" s="15">
        <v>207.9</v>
      </c>
    </row>
    <row r="1608" spans="4:13">
      <c r="D1608" s="12">
        <v>46131</v>
      </c>
      <c r="E1608" s="13">
        <v>1596181</v>
      </c>
      <c r="F1608" s="13" t="s">
        <v>324</v>
      </c>
      <c r="G1608" s="14">
        <v>20303028</v>
      </c>
      <c r="H1608" s="13" t="s">
        <v>492</v>
      </c>
      <c r="I1608" s="13" t="s">
        <v>326</v>
      </c>
      <c r="J1608" s="14">
        <v>1</v>
      </c>
      <c r="K1608" s="14">
        <v>27</v>
      </c>
      <c r="L1608" s="15">
        <v>89.1</v>
      </c>
      <c r="M1608" s="15">
        <v>89.1</v>
      </c>
    </row>
    <row r="1609" spans="4:13">
      <c r="D1609" s="12">
        <v>46131</v>
      </c>
      <c r="E1609" s="13">
        <v>1596181</v>
      </c>
      <c r="F1609" s="13" t="s">
        <v>324</v>
      </c>
      <c r="G1609" s="14">
        <v>20303029</v>
      </c>
      <c r="H1609" s="13" t="s">
        <v>337</v>
      </c>
      <c r="I1609" s="13" t="s">
        <v>326</v>
      </c>
      <c r="J1609" s="14">
        <v>2</v>
      </c>
      <c r="K1609" s="14">
        <v>94</v>
      </c>
      <c r="L1609" s="15">
        <v>155.1</v>
      </c>
      <c r="M1609" s="15">
        <v>310.2</v>
      </c>
    </row>
    <row r="1610" spans="4:13">
      <c r="D1610" s="12">
        <v>46131</v>
      </c>
      <c r="E1610" s="13">
        <v>1596181</v>
      </c>
      <c r="F1610" s="13" t="s">
        <v>324</v>
      </c>
      <c r="G1610" s="14">
        <v>20311750</v>
      </c>
      <c r="H1610" s="13" t="s">
        <v>536</v>
      </c>
      <c r="I1610" s="13" t="s">
        <v>331</v>
      </c>
      <c r="J1610" s="14">
        <v>1</v>
      </c>
      <c r="K1610" s="14">
        <v>18</v>
      </c>
      <c r="L1610" s="15">
        <v>59.4</v>
      </c>
      <c r="M1610" s="15">
        <v>59.4</v>
      </c>
    </row>
    <row r="1611" spans="4:13">
      <c r="D1611" s="12">
        <v>46131</v>
      </c>
      <c r="E1611" s="13">
        <v>1596181</v>
      </c>
      <c r="F1611" s="13" t="s">
        <v>324</v>
      </c>
      <c r="G1611" s="14">
        <v>20303044</v>
      </c>
      <c r="H1611" s="13" t="s">
        <v>461</v>
      </c>
      <c r="I1611" s="13" t="s">
        <v>326</v>
      </c>
      <c r="J1611" s="14">
        <v>1</v>
      </c>
      <c r="K1611" s="14">
        <v>11</v>
      </c>
      <c r="L1611" s="15">
        <v>36.3</v>
      </c>
      <c r="M1611" s="15">
        <v>36.3</v>
      </c>
    </row>
    <row r="1612" spans="4:13">
      <c r="D1612" s="12">
        <v>46131</v>
      </c>
      <c r="E1612" s="13">
        <v>1596181</v>
      </c>
      <c r="F1612" s="13" t="s">
        <v>324</v>
      </c>
      <c r="G1612" s="14">
        <v>20309680</v>
      </c>
      <c r="H1612" s="13" t="s">
        <v>462</v>
      </c>
      <c r="I1612" s="13" t="s">
        <v>326</v>
      </c>
      <c r="J1612" s="14">
        <v>1</v>
      </c>
      <c r="K1612" s="14">
        <v>7</v>
      </c>
      <c r="L1612" s="15">
        <v>23.1</v>
      </c>
      <c r="M1612" s="15">
        <v>23.1</v>
      </c>
    </row>
    <row r="1613" spans="4:13">
      <c r="D1613" s="12">
        <v>46131</v>
      </c>
      <c r="E1613" s="13">
        <v>1596181</v>
      </c>
      <c r="F1613" s="13" t="s">
        <v>324</v>
      </c>
      <c r="G1613" s="14">
        <v>20303058</v>
      </c>
      <c r="H1613" s="13" t="s">
        <v>338</v>
      </c>
      <c r="I1613" s="13" t="s">
        <v>326</v>
      </c>
      <c r="J1613" s="14">
        <v>1</v>
      </c>
      <c r="K1613" s="14">
        <v>57</v>
      </c>
      <c r="L1613" s="15">
        <v>188.1</v>
      </c>
      <c r="M1613" s="15">
        <v>188.1</v>
      </c>
    </row>
    <row r="1614" spans="4:13">
      <c r="D1614" s="12">
        <v>46131</v>
      </c>
      <c r="E1614" s="13">
        <v>1596181</v>
      </c>
      <c r="F1614" s="13" t="s">
        <v>163</v>
      </c>
      <c r="G1614" s="14">
        <v>20303912</v>
      </c>
      <c r="H1614" s="13" t="s">
        <v>329</v>
      </c>
      <c r="I1614" s="13" t="s">
        <v>83</v>
      </c>
      <c r="J1614" s="14">
        <v>2</v>
      </c>
      <c r="K1614" s="14">
        <v>10</v>
      </c>
      <c r="L1614" s="15">
        <v>16.5</v>
      </c>
      <c r="M1614" s="15">
        <v>33</v>
      </c>
    </row>
    <row r="1615" spans="4:13">
      <c r="D1615" s="12">
        <v>46131</v>
      </c>
      <c r="E1615" s="13">
        <v>1596181</v>
      </c>
      <c r="F1615" s="13" t="s">
        <v>20</v>
      </c>
      <c r="G1615" s="14">
        <v>20311365</v>
      </c>
      <c r="H1615" s="13" t="s">
        <v>509</v>
      </c>
      <c r="I1615" s="13" t="s">
        <v>308</v>
      </c>
      <c r="J1615" s="14">
        <v>1</v>
      </c>
      <c r="K1615" s="14">
        <v>2</v>
      </c>
      <c r="L1615" s="15">
        <v>9.9</v>
      </c>
      <c r="M1615" s="15">
        <v>9.9</v>
      </c>
    </row>
    <row r="1616" spans="4:13">
      <c r="D1616" s="12">
        <v>46131</v>
      </c>
      <c r="E1616" s="13">
        <v>1596181</v>
      </c>
      <c r="F1616" s="13" t="s">
        <v>20</v>
      </c>
      <c r="G1616" s="14">
        <v>20303954</v>
      </c>
      <c r="H1616" s="13" t="s">
        <v>295</v>
      </c>
      <c r="I1616" s="13" t="s">
        <v>29</v>
      </c>
      <c r="J1616" s="14">
        <v>1</v>
      </c>
      <c r="K1616" s="14">
        <v>1</v>
      </c>
      <c r="L1616" s="15">
        <v>4.8</v>
      </c>
      <c r="M1616" s="15">
        <v>4.8</v>
      </c>
    </row>
    <row r="1617" spans="4:13">
      <c r="D1617" s="12">
        <v>46131</v>
      </c>
      <c r="E1617" s="13">
        <v>1596181</v>
      </c>
      <c r="F1617" s="13" t="s">
        <v>20</v>
      </c>
      <c r="G1617" s="14">
        <v>20305028</v>
      </c>
      <c r="H1617" s="13" t="s">
        <v>432</v>
      </c>
      <c r="I1617" s="13" t="s">
        <v>29</v>
      </c>
      <c r="J1617" s="14">
        <v>1</v>
      </c>
      <c r="K1617" s="14">
        <v>1</v>
      </c>
      <c r="L1617" s="15">
        <v>4.8</v>
      </c>
      <c r="M1617" s="15">
        <v>4.8</v>
      </c>
    </row>
    <row r="1618" spans="4:13">
      <c r="D1618" s="12">
        <v>46131</v>
      </c>
      <c r="E1618" s="13">
        <v>1596181</v>
      </c>
      <c r="F1618" s="13" t="s">
        <v>20</v>
      </c>
      <c r="G1618" s="14">
        <v>20307293</v>
      </c>
      <c r="H1618" s="13" t="s">
        <v>211</v>
      </c>
      <c r="I1618" s="13" t="s">
        <v>22</v>
      </c>
      <c r="J1618" s="14">
        <v>1</v>
      </c>
      <c r="K1618" s="14">
        <v>2</v>
      </c>
      <c r="L1618" s="15">
        <v>8.1</v>
      </c>
      <c r="M1618" s="15">
        <v>8.1</v>
      </c>
    </row>
    <row r="1619" spans="4:13">
      <c r="D1619" s="12">
        <v>46131</v>
      </c>
      <c r="E1619" s="13">
        <v>1596181</v>
      </c>
      <c r="F1619" s="13" t="s">
        <v>20</v>
      </c>
      <c r="G1619" s="14">
        <v>20305193</v>
      </c>
      <c r="H1619" s="13" t="s">
        <v>396</v>
      </c>
      <c r="I1619" s="13" t="s">
        <v>22</v>
      </c>
      <c r="J1619" s="14">
        <v>1</v>
      </c>
      <c r="K1619" s="14">
        <v>1</v>
      </c>
      <c r="L1619" s="15">
        <v>4.8</v>
      </c>
      <c r="M1619" s="15">
        <v>4.8</v>
      </c>
    </row>
    <row r="1620" spans="4:13">
      <c r="D1620" s="12">
        <v>46131</v>
      </c>
      <c r="E1620" s="13">
        <v>1596181</v>
      </c>
      <c r="F1620" s="13" t="s">
        <v>20</v>
      </c>
      <c r="G1620" s="14">
        <v>20309681</v>
      </c>
      <c r="H1620" s="13" t="s">
        <v>451</v>
      </c>
      <c r="I1620" s="13" t="s">
        <v>29</v>
      </c>
      <c r="J1620" s="14">
        <v>1</v>
      </c>
      <c r="K1620" s="14">
        <v>1</v>
      </c>
      <c r="L1620" s="15">
        <v>4.8</v>
      </c>
      <c r="M1620" s="15">
        <v>4.8</v>
      </c>
    </row>
    <row r="1621" spans="4:13">
      <c r="D1621" s="12">
        <v>46131</v>
      </c>
      <c r="E1621" s="13">
        <v>1596181</v>
      </c>
      <c r="F1621" s="13" t="s">
        <v>47</v>
      </c>
      <c r="G1621" s="14">
        <v>20303011</v>
      </c>
      <c r="H1621" s="13" t="s">
        <v>330</v>
      </c>
      <c r="I1621" s="13" t="s">
        <v>331</v>
      </c>
      <c r="J1621" s="14">
        <v>1</v>
      </c>
      <c r="K1621" s="14">
        <v>26</v>
      </c>
      <c r="L1621" s="15">
        <v>85.8</v>
      </c>
      <c r="M1621" s="15">
        <v>85.8</v>
      </c>
    </row>
    <row r="1622" spans="4:13">
      <c r="D1622" s="12">
        <v>46131</v>
      </c>
      <c r="E1622" s="13">
        <v>1596181</v>
      </c>
      <c r="F1622" s="13" t="s">
        <v>65</v>
      </c>
      <c r="G1622" s="14">
        <v>20303836</v>
      </c>
      <c r="H1622" s="13" t="s">
        <v>332</v>
      </c>
      <c r="I1622" s="13" t="s">
        <v>83</v>
      </c>
      <c r="J1622" s="14">
        <v>4</v>
      </c>
      <c r="K1622" s="14">
        <v>16</v>
      </c>
      <c r="L1622" s="15">
        <v>13.2</v>
      </c>
      <c r="M1622" s="15">
        <v>52.8</v>
      </c>
    </row>
    <row r="1623" spans="4:13">
      <c r="D1623" s="12">
        <v>46131</v>
      </c>
      <c r="E1623" s="13">
        <v>1596181</v>
      </c>
      <c r="F1623" s="13" t="s">
        <v>65</v>
      </c>
      <c r="G1623" s="14">
        <v>20309747</v>
      </c>
      <c r="H1623" s="13" t="s">
        <v>359</v>
      </c>
      <c r="I1623" s="13" t="s">
        <v>83</v>
      </c>
      <c r="J1623" s="14">
        <v>1</v>
      </c>
      <c r="K1623" s="14">
        <v>2</v>
      </c>
      <c r="L1623" s="15">
        <v>9.9</v>
      </c>
      <c r="M1623" s="15">
        <v>9.9</v>
      </c>
    </row>
    <row r="1624" spans="4:13">
      <c r="D1624" s="12">
        <v>46131</v>
      </c>
      <c r="E1624" s="13">
        <v>1596182</v>
      </c>
      <c r="F1624" s="13" t="s">
        <v>65</v>
      </c>
      <c r="G1624" s="14">
        <v>20310863</v>
      </c>
      <c r="H1624" s="13" t="s">
        <v>333</v>
      </c>
      <c r="I1624" s="13" t="s">
        <v>49</v>
      </c>
      <c r="J1624" s="14">
        <v>1</v>
      </c>
      <c r="K1624" s="14">
        <v>1</v>
      </c>
      <c r="L1624" s="15">
        <v>9.9</v>
      </c>
      <c r="M1624" s="15">
        <v>9.9</v>
      </c>
    </row>
    <row r="1625" spans="4:13">
      <c r="D1625" s="12">
        <v>46131</v>
      </c>
      <c r="E1625" s="13">
        <v>1596210</v>
      </c>
      <c r="F1625" s="13" t="s">
        <v>378</v>
      </c>
      <c r="G1625" s="14">
        <v>20310012</v>
      </c>
      <c r="H1625" s="13" t="s">
        <v>379</v>
      </c>
      <c r="I1625" s="13" t="s">
        <v>2</v>
      </c>
      <c r="J1625" s="14">
        <v>6</v>
      </c>
      <c r="K1625" s="14">
        <v>0</v>
      </c>
      <c r="L1625" s="15">
        <v>15</v>
      </c>
      <c r="M1625" s="15">
        <v>90</v>
      </c>
    </row>
    <row r="1626" spans="4:13">
      <c r="D1626" s="12">
        <v>46132</v>
      </c>
      <c r="E1626" s="13">
        <v>1596313</v>
      </c>
      <c r="F1626" s="13" t="s">
        <v>324</v>
      </c>
      <c r="G1626" s="14">
        <v>20300049</v>
      </c>
      <c r="H1626" s="13" t="s">
        <v>387</v>
      </c>
      <c r="I1626" s="13" t="s">
        <v>326</v>
      </c>
      <c r="J1626" s="14">
        <v>1</v>
      </c>
      <c r="K1626" s="14">
        <v>33</v>
      </c>
      <c r="L1626" s="15">
        <v>108.9</v>
      </c>
      <c r="M1626" s="15">
        <v>108.9</v>
      </c>
    </row>
    <row r="1627" spans="4:13">
      <c r="D1627" s="12">
        <v>46132</v>
      </c>
      <c r="E1627" s="13">
        <v>1596313</v>
      </c>
      <c r="F1627" s="13" t="s">
        <v>324</v>
      </c>
      <c r="G1627" s="14">
        <v>20303001</v>
      </c>
      <c r="H1627" s="13" t="s">
        <v>515</v>
      </c>
      <c r="I1627" s="13" t="s">
        <v>326</v>
      </c>
      <c r="J1627" s="14">
        <v>1</v>
      </c>
      <c r="K1627" s="14">
        <v>19</v>
      </c>
      <c r="L1627" s="15">
        <v>62.7</v>
      </c>
      <c r="M1627" s="15">
        <v>62.7</v>
      </c>
    </row>
    <row r="1628" spans="4:13">
      <c r="D1628" s="12">
        <v>46132</v>
      </c>
      <c r="E1628" s="13">
        <v>1596313</v>
      </c>
      <c r="F1628" s="13" t="s">
        <v>324</v>
      </c>
      <c r="G1628" s="14">
        <v>20303010</v>
      </c>
      <c r="H1628" s="13" t="s">
        <v>325</v>
      </c>
      <c r="I1628" s="13" t="s">
        <v>326</v>
      </c>
      <c r="J1628" s="14">
        <v>1</v>
      </c>
      <c r="K1628" s="14">
        <v>25</v>
      </c>
      <c r="L1628" s="15">
        <v>82.5</v>
      </c>
      <c r="M1628" s="15">
        <v>82.5</v>
      </c>
    </row>
    <row r="1629" spans="4:13">
      <c r="D1629" s="12">
        <v>46132</v>
      </c>
      <c r="E1629" s="13">
        <v>1596313</v>
      </c>
      <c r="F1629" s="13" t="s">
        <v>324</v>
      </c>
      <c r="G1629" s="14">
        <v>20303022</v>
      </c>
      <c r="H1629" s="13" t="s">
        <v>352</v>
      </c>
      <c r="I1629" s="13" t="s">
        <v>326</v>
      </c>
      <c r="J1629" s="14">
        <v>2</v>
      </c>
      <c r="K1629" s="14">
        <v>62</v>
      </c>
      <c r="L1629" s="15">
        <v>102.3</v>
      </c>
      <c r="M1629" s="15">
        <v>204.6</v>
      </c>
    </row>
    <row r="1630" spans="4:13">
      <c r="D1630" s="12">
        <v>46132</v>
      </c>
      <c r="E1630" s="13">
        <v>1596313</v>
      </c>
      <c r="F1630" s="13" t="s">
        <v>324</v>
      </c>
      <c r="G1630" s="14">
        <v>20309891</v>
      </c>
      <c r="H1630" s="13" t="s">
        <v>473</v>
      </c>
      <c r="I1630" s="13" t="s">
        <v>326</v>
      </c>
      <c r="J1630" s="14">
        <v>1</v>
      </c>
      <c r="K1630" s="14">
        <v>28</v>
      </c>
      <c r="L1630" s="15">
        <v>92.4</v>
      </c>
      <c r="M1630" s="15">
        <v>92.4</v>
      </c>
    </row>
    <row r="1631" spans="4:13">
      <c r="D1631" s="12">
        <v>46132</v>
      </c>
      <c r="E1631" s="13">
        <v>1596313</v>
      </c>
      <c r="F1631" s="13" t="s">
        <v>324</v>
      </c>
      <c r="G1631" s="14">
        <v>20303023</v>
      </c>
      <c r="H1631" s="13" t="s">
        <v>335</v>
      </c>
      <c r="I1631" s="13" t="s">
        <v>326</v>
      </c>
      <c r="J1631" s="14">
        <v>1</v>
      </c>
      <c r="K1631" s="14">
        <v>63</v>
      </c>
      <c r="L1631" s="15">
        <v>207.9</v>
      </c>
      <c r="M1631" s="15">
        <v>207.9</v>
      </c>
    </row>
    <row r="1632" spans="4:13">
      <c r="D1632" s="12">
        <v>46132</v>
      </c>
      <c r="E1632" s="13">
        <v>1596313</v>
      </c>
      <c r="F1632" s="13" t="s">
        <v>20</v>
      </c>
      <c r="G1632" s="14">
        <v>20309447</v>
      </c>
      <c r="H1632" s="13" t="s">
        <v>395</v>
      </c>
      <c r="I1632" s="13" t="s">
        <v>29</v>
      </c>
      <c r="J1632" s="14">
        <v>1</v>
      </c>
      <c r="K1632" s="14">
        <v>1</v>
      </c>
      <c r="L1632" s="15">
        <v>4.8</v>
      </c>
      <c r="M1632" s="15">
        <v>4.8</v>
      </c>
    </row>
    <row r="1633" spans="4:13">
      <c r="D1633" s="12">
        <v>46132</v>
      </c>
      <c r="E1633" s="13">
        <v>1596313</v>
      </c>
      <c r="F1633" s="13" t="s">
        <v>20</v>
      </c>
      <c r="G1633" s="14">
        <v>20305193</v>
      </c>
      <c r="H1633" s="13" t="s">
        <v>396</v>
      </c>
      <c r="I1633" s="13" t="s">
        <v>22</v>
      </c>
      <c r="J1633" s="14">
        <v>1</v>
      </c>
      <c r="K1633" s="14">
        <v>1</v>
      </c>
      <c r="L1633" s="15">
        <v>4.8</v>
      </c>
      <c r="M1633" s="15">
        <v>4.8</v>
      </c>
    </row>
    <row r="1634" spans="4:13">
      <c r="D1634" s="12">
        <v>46132</v>
      </c>
      <c r="E1634" s="13">
        <v>1596313</v>
      </c>
      <c r="F1634" s="13" t="s">
        <v>15</v>
      </c>
      <c r="G1634" s="14">
        <v>20358905</v>
      </c>
      <c r="H1634" s="13" t="s">
        <v>360</v>
      </c>
      <c r="I1634" s="13" t="s">
        <v>244</v>
      </c>
      <c r="J1634" s="14">
        <v>1</v>
      </c>
      <c r="K1634" s="14">
        <v>1</v>
      </c>
      <c r="L1634" s="15">
        <v>15</v>
      </c>
      <c r="M1634" s="15">
        <v>15</v>
      </c>
    </row>
    <row r="1635" spans="4:13">
      <c r="D1635" s="12">
        <v>46132</v>
      </c>
      <c r="E1635" s="13">
        <v>1596313</v>
      </c>
      <c r="F1635" s="13" t="s">
        <v>15</v>
      </c>
      <c r="G1635" s="14">
        <v>20309651</v>
      </c>
      <c r="H1635" s="13" t="s">
        <v>130</v>
      </c>
      <c r="I1635" s="13" t="s">
        <v>62</v>
      </c>
      <c r="J1635" s="14">
        <v>1</v>
      </c>
      <c r="K1635" s="14">
        <v>1</v>
      </c>
      <c r="L1635" s="15">
        <v>21</v>
      </c>
      <c r="M1635" s="15">
        <v>21</v>
      </c>
    </row>
    <row r="1636" spans="4:13">
      <c r="D1636" s="12">
        <v>46132</v>
      </c>
      <c r="E1636" s="13">
        <v>1596313</v>
      </c>
      <c r="F1636" s="13" t="s">
        <v>131</v>
      </c>
      <c r="G1636" s="14">
        <v>20314461</v>
      </c>
      <c r="H1636" s="13" t="s">
        <v>426</v>
      </c>
      <c r="I1636" s="13" t="s">
        <v>221</v>
      </c>
      <c r="J1636" s="14">
        <v>1</v>
      </c>
      <c r="K1636" s="14">
        <v>26</v>
      </c>
      <c r="L1636" s="15">
        <v>180</v>
      </c>
      <c r="M1636" s="15">
        <f>J1636*L1636</f>
        <v>180</v>
      </c>
    </row>
    <row r="1637" spans="4:13">
      <c r="D1637" s="12">
        <v>46132</v>
      </c>
      <c r="E1637" s="13">
        <v>1596313</v>
      </c>
      <c r="F1637" s="13" t="s">
        <v>131</v>
      </c>
      <c r="G1637" s="14">
        <v>20309658</v>
      </c>
      <c r="H1637" s="13" t="s">
        <v>365</v>
      </c>
      <c r="I1637" s="13" t="s">
        <v>221</v>
      </c>
      <c r="J1637" s="14">
        <v>1</v>
      </c>
      <c r="K1637" s="14">
        <v>5</v>
      </c>
      <c r="L1637" s="15">
        <v>52.8</v>
      </c>
      <c r="M1637" s="15">
        <v>52.8</v>
      </c>
    </row>
    <row r="1638" spans="4:13">
      <c r="D1638" s="12">
        <v>46132</v>
      </c>
      <c r="E1638" s="13">
        <v>1596313</v>
      </c>
      <c r="F1638" s="13" t="s">
        <v>131</v>
      </c>
      <c r="G1638" s="14">
        <v>20303777</v>
      </c>
      <c r="H1638" s="13" t="s">
        <v>351</v>
      </c>
      <c r="I1638" s="13" t="s">
        <v>221</v>
      </c>
      <c r="J1638" s="14">
        <v>1</v>
      </c>
      <c r="K1638" s="14">
        <v>27</v>
      </c>
      <c r="L1638" s="15">
        <v>180</v>
      </c>
      <c r="M1638" s="15">
        <f>J1638*L1638</f>
        <v>180</v>
      </c>
    </row>
    <row r="1639" spans="4:13">
      <c r="D1639" s="12">
        <v>46132</v>
      </c>
      <c r="E1639" s="13">
        <v>1596313</v>
      </c>
      <c r="F1639" s="13" t="s">
        <v>131</v>
      </c>
      <c r="G1639" s="14">
        <v>20412034</v>
      </c>
      <c r="H1639" s="13" t="s">
        <v>344</v>
      </c>
      <c r="I1639" s="13" t="s">
        <v>221</v>
      </c>
      <c r="J1639" s="14">
        <v>1</v>
      </c>
      <c r="K1639" s="14">
        <v>28</v>
      </c>
      <c r="L1639" s="15">
        <v>180</v>
      </c>
      <c r="M1639" s="15">
        <f>J1639*L1639</f>
        <v>180</v>
      </c>
    </row>
    <row r="1640" spans="4:13">
      <c r="D1640" s="12">
        <v>46132</v>
      </c>
      <c r="E1640" s="13">
        <v>1596313</v>
      </c>
      <c r="F1640" s="13" t="s">
        <v>47</v>
      </c>
      <c r="G1640" s="14">
        <v>20303011</v>
      </c>
      <c r="H1640" s="13" t="s">
        <v>330</v>
      </c>
      <c r="I1640" s="13" t="s">
        <v>331</v>
      </c>
      <c r="J1640" s="14">
        <v>1</v>
      </c>
      <c r="K1640" s="14">
        <v>26</v>
      </c>
      <c r="L1640" s="15">
        <v>85.8</v>
      </c>
      <c r="M1640" s="15">
        <v>85.8</v>
      </c>
    </row>
    <row r="1641" spans="4:13">
      <c r="D1641" s="12">
        <v>46132</v>
      </c>
      <c r="E1641" s="13">
        <v>1596313</v>
      </c>
      <c r="F1641" s="13" t="s">
        <v>47</v>
      </c>
      <c r="G1641" s="14">
        <v>20309534</v>
      </c>
      <c r="H1641" s="13" t="s">
        <v>537</v>
      </c>
      <c r="I1641" s="13" t="s">
        <v>160</v>
      </c>
      <c r="J1641" s="14">
        <v>1</v>
      </c>
      <c r="K1641" s="14">
        <v>14</v>
      </c>
      <c r="L1641" s="15">
        <v>46.2</v>
      </c>
      <c r="M1641" s="15">
        <v>46.2</v>
      </c>
    </row>
    <row r="1642" spans="4:13">
      <c r="D1642" s="12">
        <v>46132</v>
      </c>
      <c r="E1642" s="13">
        <v>1596313</v>
      </c>
      <c r="F1642" s="13" t="s">
        <v>47</v>
      </c>
      <c r="G1642" s="14">
        <v>20312383</v>
      </c>
      <c r="H1642" s="13" t="s">
        <v>354</v>
      </c>
      <c r="I1642" s="13" t="s">
        <v>331</v>
      </c>
      <c r="J1642" s="14">
        <v>1</v>
      </c>
      <c r="K1642" s="14">
        <v>7</v>
      </c>
      <c r="L1642" s="15">
        <v>23.1</v>
      </c>
      <c r="M1642" s="15">
        <v>23.1</v>
      </c>
    </row>
    <row r="1643" spans="4:13">
      <c r="D1643" s="12">
        <v>46132</v>
      </c>
      <c r="E1643" s="13">
        <v>1596313</v>
      </c>
      <c r="F1643" s="13" t="s">
        <v>65</v>
      </c>
      <c r="G1643" s="14">
        <v>20303836</v>
      </c>
      <c r="H1643" s="13" t="s">
        <v>332</v>
      </c>
      <c r="I1643" s="13" t="s">
        <v>83</v>
      </c>
      <c r="J1643" s="14">
        <v>3</v>
      </c>
      <c r="K1643" s="14">
        <v>12</v>
      </c>
      <c r="L1643" s="15">
        <v>13.2</v>
      </c>
      <c r="M1643" s="15">
        <v>39.6</v>
      </c>
    </row>
    <row r="1644" spans="4:13">
      <c r="D1644" s="12">
        <v>46132</v>
      </c>
      <c r="E1644" s="13">
        <v>1596332</v>
      </c>
      <c r="F1644" s="13" t="s">
        <v>65</v>
      </c>
      <c r="G1644" s="14">
        <v>20303836</v>
      </c>
      <c r="H1644" s="13" t="s">
        <v>332</v>
      </c>
      <c r="I1644" s="13" t="s">
        <v>83</v>
      </c>
      <c r="J1644" s="14">
        <v>1</v>
      </c>
      <c r="K1644" s="14">
        <v>4</v>
      </c>
      <c r="L1644" s="15">
        <v>13.2</v>
      </c>
      <c r="M1644" s="15">
        <v>13.2</v>
      </c>
    </row>
    <row r="1645" spans="4:13">
      <c r="D1645" s="12">
        <v>46132</v>
      </c>
      <c r="E1645" s="13">
        <v>1596371</v>
      </c>
      <c r="F1645" s="13" t="s">
        <v>324</v>
      </c>
      <c r="G1645" s="14">
        <v>20303010</v>
      </c>
      <c r="H1645" s="13" t="s">
        <v>325</v>
      </c>
      <c r="I1645" s="13" t="s">
        <v>326</v>
      </c>
      <c r="J1645" s="14">
        <v>1</v>
      </c>
      <c r="K1645" s="14">
        <v>25</v>
      </c>
      <c r="L1645" s="15">
        <v>82.5</v>
      </c>
      <c r="M1645" s="15">
        <v>82.5</v>
      </c>
    </row>
    <row r="1646" spans="4:13">
      <c r="D1646" s="12">
        <v>46132</v>
      </c>
      <c r="E1646" s="13">
        <v>1596371</v>
      </c>
      <c r="F1646" s="13" t="s">
        <v>324</v>
      </c>
      <c r="G1646" s="14">
        <v>20303022</v>
      </c>
      <c r="H1646" s="13" t="s">
        <v>352</v>
      </c>
      <c r="I1646" s="13" t="s">
        <v>326</v>
      </c>
      <c r="J1646" s="14">
        <v>1</v>
      </c>
      <c r="K1646" s="14">
        <v>31</v>
      </c>
      <c r="L1646" s="15">
        <v>102.3</v>
      </c>
      <c r="M1646" s="15">
        <v>102.3</v>
      </c>
    </row>
    <row r="1647" spans="4:13">
      <c r="D1647" s="12">
        <v>46132</v>
      </c>
      <c r="E1647" s="13">
        <v>1596371</v>
      </c>
      <c r="F1647" s="13" t="s">
        <v>324</v>
      </c>
      <c r="G1647" s="14">
        <v>20303025</v>
      </c>
      <c r="H1647" s="13" t="s">
        <v>336</v>
      </c>
      <c r="I1647" s="13" t="s">
        <v>326</v>
      </c>
      <c r="J1647" s="14">
        <v>1</v>
      </c>
      <c r="K1647" s="14">
        <v>47</v>
      </c>
      <c r="L1647" s="15">
        <v>155.1</v>
      </c>
      <c r="M1647" s="15">
        <v>155.1</v>
      </c>
    </row>
    <row r="1648" spans="4:13">
      <c r="D1648" s="12">
        <v>46132</v>
      </c>
      <c r="E1648" s="13">
        <v>1596371</v>
      </c>
      <c r="F1648" s="13" t="s">
        <v>163</v>
      </c>
      <c r="G1648" s="14">
        <v>20303912</v>
      </c>
      <c r="H1648" s="13" t="s">
        <v>329</v>
      </c>
      <c r="I1648" s="13" t="s">
        <v>83</v>
      </c>
      <c r="J1648" s="14">
        <v>1</v>
      </c>
      <c r="K1648" s="14">
        <v>5</v>
      </c>
      <c r="L1648" s="15">
        <v>16.5</v>
      </c>
      <c r="M1648" s="15">
        <v>16.5</v>
      </c>
    </row>
    <row r="1649" spans="4:13">
      <c r="D1649" s="12">
        <v>46132</v>
      </c>
      <c r="E1649" s="13">
        <v>1596371</v>
      </c>
      <c r="F1649" s="13" t="s">
        <v>20</v>
      </c>
      <c r="G1649" s="14">
        <v>20303954</v>
      </c>
      <c r="H1649" s="13" t="s">
        <v>295</v>
      </c>
      <c r="I1649" s="13" t="s">
        <v>29</v>
      </c>
      <c r="J1649" s="14">
        <v>1</v>
      </c>
      <c r="K1649" s="14">
        <v>1</v>
      </c>
      <c r="L1649" s="15">
        <v>4.8</v>
      </c>
      <c r="M1649" s="15">
        <v>4.8</v>
      </c>
    </row>
    <row r="1650" spans="4:13">
      <c r="D1650" s="12">
        <v>46132</v>
      </c>
      <c r="E1650" s="13">
        <v>1596371</v>
      </c>
      <c r="F1650" s="13" t="s">
        <v>15</v>
      </c>
      <c r="G1650" s="14">
        <v>20359780</v>
      </c>
      <c r="H1650" s="13" t="s">
        <v>372</v>
      </c>
      <c r="I1650" s="13" t="s">
        <v>319</v>
      </c>
      <c r="J1650" s="14">
        <v>1</v>
      </c>
      <c r="K1650" s="14">
        <v>1</v>
      </c>
      <c r="L1650" s="15">
        <v>13.2</v>
      </c>
      <c r="M1650" s="15">
        <v>13.2</v>
      </c>
    </row>
    <row r="1651" spans="4:13">
      <c r="D1651" s="12">
        <v>46132</v>
      </c>
      <c r="E1651" s="13">
        <v>1596371</v>
      </c>
      <c r="F1651" s="13" t="s">
        <v>131</v>
      </c>
      <c r="G1651" s="14">
        <v>20309744</v>
      </c>
      <c r="H1651" s="13" t="s">
        <v>361</v>
      </c>
      <c r="I1651" s="13" t="s">
        <v>221</v>
      </c>
      <c r="J1651" s="14">
        <v>1</v>
      </c>
      <c r="K1651" s="14">
        <v>9</v>
      </c>
      <c r="L1651" s="15">
        <v>92.4</v>
      </c>
      <c r="M1651" s="15">
        <v>92.4</v>
      </c>
    </row>
    <row r="1652" spans="4:13">
      <c r="D1652" s="12">
        <v>46132</v>
      </c>
      <c r="E1652" s="13">
        <v>1596371</v>
      </c>
      <c r="F1652" s="13" t="s">
        <v>131</v>
      </c>
      <c r="G1652" s="14">
        <v>20309648</v>
      </c>
      <c r="H1652" s="13" t="s">
        <v>363</v>
      </c>
      <c r="I1652" s="13" t="s">
        <v>221</v>
      </c>
      <c r="J1652" s="14">
        <v>2</v>
      </c>
      <c r="K1652" s="14">
        <v>28</v>
      </c>
      <c r="L1652" s="15">
        <v>138.6</v>
      </c>
      <c r="M1652" s="15">
        <v>277.2</v>
      </c>
    </row>
    <row r="1653" spans="4:13">
      <c r="D1653" s="12">
        <v>46132</v>
      </c>
      <c r="E1653" s="13">
        <v>1596371</v>
      </c>
      <c r="F1653" s="13" t="s">
        <v>131</v>
      </c>
      <c r="G1653" s="14">
        <v>20309658</v>
      </c>
      <c r="H1653" s="13" t="s">
        <v>365</v>
      </c>
      <c r="I1653" s="13" t="s">
        <v>221</v>
      </c>
      <c r="J1653" s="14">
        <v>1</v>
      </c>
      <c r="K1653" s="14">
        <v>5</v>
      </c>
      <c r="L1653" s="15">
        <v>52.8</v>
      </c>
      <c r="M1653" s="15">
        <v>52.8</v>
      </c>
    </row>
    <row r="1654" spans="4:13">
      <c r="D1654" s="12">
        <v>46132</v>
      </c>
      <c r="E1654" s="13">
        <v>1596371</v>
      </c>
      <c r="F1654" s="13" t="s">
        <v>131</v>
      </c>
      <c r="G1654" s="14">
        <v>20312572</v>
      </c>
      <c r="H1654" s="13" t="s">
        <v>366</v>
      </c>
      <c r="I1654" s="13" t="s">
        <v>221</v>
      </c>
      <c r="J1654" s="14">
        <v>1</v>
      </c>
      <c r="K1654" s="14">
        <v>27</v>
      </c>
      <c r="L1654" s="15">
        <v>180</v>
      </c>
      <c r="M1654" s="15">
        <f>J1654*L1654</f>
        <v>180</v>
      </c>
    </row>
    <row r="1655" spans="4:13">
      <c r="D1655" s="12">
        <v>46132</v>
      </c>
      <c r="E1655" s="13">
        <v>1596371</v>
      </c>
      <c r="F1655" s="13" t="s">
        <v>131</v>
      </c>
      <c r="G1655" s="14">
        <v>20411790</v>
      </c>
      <c r="H1655" s="13" t="s">
        <v>345</v>
      </c>
      <c r="I1655" s="13" t="s">
        <v>221</v>
      </c>
      <c r="J1655" s="14">
        <v>1</v>
      </c>
      <c r="K1655" s="14">
        <v>28</v>
      </c>
      <c r="L1655" s="15">
        <v>180</v>
      </c>
      <c r="M1655" s="15">
        <f>J1655*L1655</f>
        <v>180</v>
      </c>
    </row>
    <row r="1656" spans="4:13">
      <c r="D1656" s="12">
        <v>46132</v>
      </c>
      <c r="E1656" s="13">
        <v>1596371</v>
      </c>
      <c r="F1656" s="13" t="s">
        <v>131</v>
      </c>
      <c r="G1656" s="14">
        <v>20412194</v>
      </c>
      <c r="H1656" s="13" t="s">
        <v>315</v>
      </c>
      <c r="I1656" s="13" t="s">
        <v>221</v>
      </c>
      <c r="J1656" s="14">
        <v>1</v>
      </c>
      <c r="K1656" s="14">
        <v>22</v>
      </c>
      <c r="L1656" s="15">
        <v>180</v>
      </c>
      <c r="M1656" s="15">
        <f>J1656*L1656</f>
        <v>180</v>
      </c>
    </row>
    <row r="1657" spans="4:13">
      <c r="D1657" s="12">
        <v>46132</v>
      </c>
      <c r="E1657" s="13">
        <v>1596371</v>
      </c>
      <c r="F1657" s="13" t="s">
        <v>47</v>
      </c>
      <c r="G1657" s="14">
        <v>20303011</v>
      </c>
      <c r="H1657" s="13" t="s">
        <v>330</v>
      </c>
      <c r="I1657" s="13" t="s">
        <v>331</v>
      </c>
      <c r="J1657" s="14">
        <v>3</v>
      </c>
      <c r="K1657" s="14">
        <v>78</v>
      </c>
      <c r="L1657" s="15">
        <v>85.8</v>
      </c>
      <c r="M1657" s="15">
        <v>257.4</v>
      </c>
    </row>
    <row r="1658" spans="4:13">
      <c r="D1658" s="12">
        <v>46132</v>
      </c>
      <c r="E1658" s="13">
        <v>1596371</v>
      </c>
      <c r="F1658" s="13" t="s">
        <v>385</v>
      </c>
      <c r="G1658" s="14">
        <v>20311814</v>
      </c>
      <c r="H1658" s="13" t="s">
        <v>427</v>
      </c>
      <c r="I1658" s="13" t="s">
        <v>221</v>
      </c>
      <c r="J1658" s="14">
        <v>1</v>
      </c>
      <c r="K1658" s="14">
        <v>2</v>
      </c>
      <c r="L1658" s="15">
        <v>21</v>
      </c>
      <c r="M1658" s="15">
        <v>21</v>
      </c>
    </row>
    <row r="1659" spans="4:13">
      <c r="D1659" s="12">
        <v>46132</v>
      </c>
      <c r="E1659" s="13">
        <v>1596371</v>
      </c>
      <c r="F1659" s="13" t="s">
        <v>65</v>
      </c>
      <c r="G1659" s="14">
        <v>20309865</v>
      </c>
      <c r="H1659" s="13" t="s">
        <v>499</v>
      </c>
      <c r="I1659" s="13" t="s">
        <v>49</v>
      </c>
      <c r="J1659" s="14">
        <v>1</v>
      </c>
      <c r="K1659" s="14">
        <v>2</v>
      </c>
      <c r="L1659" s="15">
        <v>9.9</v>
      </c>
      <c r="M1659" s="15">
        <v>9.9</v>
      </c>
    </row>
    <row r="1660" spans="4:13">
      <c r="D1660" s="12">
        <v>46132</v>
      </c>
      <c r="E1660" s="13">
        <v>1596371</v>
      </c>
      <c r="F1660" s="13" t="s">
        <v>65</v>
      </c>
      <c r="G1660" s="14">
        <v>20303836</v>
      </c>
      <c r="H1660" s="13" t="s">
        <v>332</v>
      </c>
      <c r="I1660" s="13" t="s">
        <v>83</v>
      </c>
      <c r="J1660" s="14">
        <v>1</v>
      </c>
      <c r="K1660" s="14">
        <v>4</v>
      </c>
      <c r="L1660" s="15">
        <v>13.2</v>
      </c>
      <c r="M1660" s="15">
        <v>13.2</v>
      </c>
    </row>
    <row r="1661" spans="4:13">
      <c r="D1661" s="12">
        <v>46132</v>
      </c>
      <c r="E1661" s="13">
        <v>1596468</v>
      </c>
      <c r="F1661" s="13" t="s">
        <v>324</v>
      </c>
      <c r="G1661" s="14">
        <v>20303010</v>
      </c>
      <c r="H1661" s="13" t="s">
        <v>325</v>
      </c>
      <c r="I1661" s="13" t="s">
        <v>326</v>
      </c>
      <c r="J1661" s="14">
        <v>1</v>
      </c>
      <c r="K1661" s="14">
        <v>25</v>
      </c>
      <c r="L1661" s="15">
        <v>82.5</v>
      </c>
      <c r="M1661" s="15">
        <v>82.5</v>
      </c>
    </row>
    <row r="1662" spans="4:13">
      <c r="D1662" s="12">
        <v>46132</v>
      </c>
      <c r="E1662" s="13">
        <v>1596468</v>
      </c>
      <c r="F1662" s="13" t="s">
        <v>324</v>
      </c>
      <c r="G1662" s="14">
        <v>20303025</v>
      </c>
      <c r="H1662" s="13" t="s">
        <v>336</v>
      </c>
      <c r="I1662" s="13" t="s">
        <v>326</v>
      </c>
      <c r="J1662" s="14">
        <v>1</v>
      </c>
      <c r="K1662" s="14">
        <v>47</v>
      </c>
      <c r="L1662" s="15">
        <v>155.1</v>
      </c>
      <c r="M1662" s="15">
        <v>155.1</v>
      </c>
    </row>
    <row r="1663" spans="4:13">
      <c r="D1663" s="12">
        <v>46132</v>
      </c>
      <c r="E1663" s="13">
        <v>1596468</v>
      </c>
      <c r="F1663" s="13" t="s">
        <v>324</v>
      </c>
      <c r="G1663" s="14">
        <v>20303029</v>
      </c>
      <c r="H1663" s="13" t="s">
        <v>337</v>
      </c>
      <c r="I1663" s="13" t="s">
        <v>326</v>
      </c>
      <c r="J1663" s="14">
        <v>2</v>
      </c>
      <c r="K1663" s="14">
        <v>94</v>
      </c>
      <c r="L1663" s="15">
        <v>155.1</v>
      </c>
      <c r="M1663" s="15">
        <v>310.2</v>
      </c>
    </row>
    <row r="1664" spans="4:13">
      <c r="D1664" s="12">
        <v>46132</v>
      </c>
      <c r="E1664" s="13">
        <v>1596468</v>
      </c>
      <c r="F1664" s="13" t="s">
        <v>324</v>
      </c>
      <c r="G1664" s="14">
        <v>20303052</v>
      </c>
      <c r="H1664" s="13" t="s">
        <v>388</v>
      </c>
      <c r="I1664" s="13" t="s">
        <v>326</v>
      </c>
      <c r="J1664" s="14">
        <v>1</v>
      </c>
      <c r="K1664" s="14">
        <v>30</v>
      </c>
      <c r="L1664" s="15">
        <v>99</v>
      </c>
      <c r="M1664" s="15">
        <v>99</v>
      </c>
    </row>
    <row r="1665" spans="4:13">
      <c r="D1665" s="12">
        <v>46132</v>
      </c>
      <c r="E1665" s="13">
        <v>1596468</v>
      </c>
      <c r="F1665" s="13" t="s">
        <v>324</v>
      </c>
      <c r="G1665" s="14">
        <v>20303058</v>
      </c>
      <c r="H1665" s="13" t="s">
        <v>338</v>
      </c>
      <c r="I1665" s="13" t="s">
        <v>326</v>
      </c>
      <c r="J1665" s="14">
        <v>1</v>
      </c>
      <c r="K1665" s="14">
        <v>57</v>
      </c>
      <c r="L1665" s="15">
        <v>188.1</v>
      </c>
      <c r="M1665" s="15">
        <v>188.1</v>
      </c>
    </row>
    <row r="1666" spans="4:13">
      <c r="D1666" s="12">
        <v>46132</v>
      </c>
      <c r="E1666" s="13">
        <v>1596468</v>
      </c>
      <c r="F1666" s="13" t="s">
        <v>163</v>
      </c>
      <c r="G1666" s="14">
        <v>20303912</v>
      </c>
      <c r="H1666" s="13" t="s">
        <v>329</v>
      </c>
      <c r="I1666" s="13" t="s">
        <v>83</v>
      </c>
      <c r="J1666" s="14">
        <v>1</v>
      </c>
      <c r="K1666" s="14">
        <v>5</v>
      </c>
      <c r="L1666" s="15">
        <v>16.5</v>
      </c>
      <c r="M1666" s="15">
        <v>16.5</v>
      </c>
    </row>
    <row r="1667" spans="4:13">
      <c r="D1667" s="12">
        <v>46132</v>
      </c>
      <c r="E1667" s="13">
        <v>1596468</v>
      </c>
      <c r="F1667" s="13" t="s">
        <v>20</v>
      </c>
      <c r="G1667" s="14">
        <v>20303954</v>
      </c>
      <c r="H1667" s="13" t="s">
        <v>295</v>
      </c>
      <c r="I1667" s="13" t="s">
        <v>29</v>
      </c>
      <c r="J1667" s="14">
        <v>1</v>
      </c>
      <c r="K1667" s="14">
        <v>1</v>
      </c>
      <c r="L1667" s="15">
        <v>4.8</v>
      </c>
      <c r="M1667" s="15">
        <v>4.8</v>
      </c>
    </row>
    <row r="1668" spans="4:13">
      <c r="D1668" s="12">
        <v>46132</v>
      </c>
      <c r="E1668" s="13">
        <v>1596468</v>
      </c>
      <c r="F1668" s="13" t="s">
        <v>20</v>
      </c>
      <c r="G1668" s="14">
        <v>20305029</v>
      </c>
      <c r="H1668" s="13" t="s">
        <v>538</v>
      </c>
      <c r="I1668" s="13" t="s">
        <v>35</v>
      </c>
      <c r="J1668" s="14">
        <v>1</v>
      </c>
      <c r="K1668" s="14">
        <v>2</v>
      </c>
      <c r="L1668" s="15">
        <v>8.1</v>
      </c>
      <c r="M1668" s="15">
        <v>8.1</v>
      </c>
    </row>
    <row r="1669" spans="4:13">
      <c r="D1669" s="12">
        <v>46132</v>
      </c>
      <c r="E1669" s="13">
        <v>1596468</v>
      </c>
      <c r="F1669" s="13" t="s">
        <v>20</v>
      </c>
      <c r="G1669" s="14">
        <v>20303979</v>
      </c>
      <c r="H1669" s="13" t="s">
        <v>368</v>
      </c>
      <c r="I1669" s="13" t="s">
        <v>55</v>
      </c>
      <c r="J1669" s="14">
        <v>1</v>
      </c>
      <c r="K1669" s="14">
        <v>1</v>
      </c>
      <c r="L1669" s="15">
        <v>7.8</v>
      </c>
      <c r="M1669" s="15">
        <v>7.8</v>
      </c>
    </row>
    <row r="1670" spans="4:13">
      <c r="D1670" s="12">
        <v>46132</v>
      </c>
      <c r="E1670" s="13">
        <v>1596468</v>
      </c>
      <c r="F1670" s="13" t="s">
        <v>20</v>
      </c>
      <c r="G1670" s="14">
        <v>20311063</v>
      </c>
      <c r="H1670" s="13" t="s">
        <v>183</v>
      </c>
      <c r="I1670" s="13" t="s">
        <v>29</v>
      </c>
      <c r="J1670" s="14">
        <v>1</v>
      </c>
      <c r="K1670" s="14">
        <v>1</v>
      </c>
      <c r="L1670" s="15">
        <v>4.8</v>
      </c>
      <c r="M1670" s="15">
        <v>4.8</v>
      </c>
    </row>
    <row r="1671" spans="4:13">
      <c r="D1671" s="12">
        <v>46132</v>
      </c>
      <c r="E1671" s="13">
        <v>1596468</v>
      </c>
      <c r="F1671" s="13" t="s">
        <v>47</v>
      </c>
      <c r="G1671" s="14">
        <v>20303941</v>
      </c>
      <c r="H1671" s="13" t="s">
        <v>348</v>
      </c>
      <c r="I1671" s="13" t="s">
        <v>331</v>
      </c>
      <c r="J1671" s="14">
        <v>1</v>
      </c>
      <c r="K1671" s="14">
        <v>8</v>
      </c>
      <c r="L1671" s="15">
        <v>26.4</v>
      </c>
      <c r="M1671" s="15">
        <v>26.4</v>
      </c>
    </row>
    <row r="1672" spans="4:13">
      <c r="D1672" s="12">
        <v>46132</v>
      </c>
      <c r="E1672" s="13">
        <v>1596468</v>
      </c>
      <c r="F1672" s="13" t="s">
        <v>65</v>
      </c>
      <c r="G1672" s="14">
        <v>20303836</v>
      </c>
      <c r="H1672" s="13" t="s">
        <v>332</v>
      </c>
      <c r="I1672" s="13" t="s">
        <v>83</v>
      </c>
      <c r="J1672" s="14">
        <v>5</v>
      </c>
      <c r="K1672" s="14">
        <v>20</v>
      </c>
      <c r="L1672" s="15">
        <v>13.2</v>
      </c>
      <c r="M1672" s="15">
        <v>66</v>
      </c>
    </row>
    <row r="1673" spans="4:13">
      <c r="D1673" s="12">
        <v>46132</v>
      </c>
      <c r="E1673" s="13">
        <v>1596492</v>
      </c>
      <c r="F1673" s="13" t="s">
        <v>15</v>
      </c>
      <c r="G1673" s="14">
        <v>20309550</v>
      </c>
      <c r="H1673" s="13" t="s">
        <v>313</v>
      </c>
      <c r="I1673" s="13" t="s">
        <v>314</v>
      </c>
      <c r="J1673" s="14">
        <v>1</v>
      </c>
      <c r="K1673" s="14">
        <v>3</v>
      </c>
      <c r="L1673" s="15">
        <v>39.6</v>
      </c>
      <c r="M1673" s="15">
        <v>39.6</v>
      </c>
    </row>
    <row r="1674" spans="4:13">
      <c r="D1674" s="12">
        <v>46132</v>
      </c>
      <c r="E1674" s="13">
        <v>1596492</v>
      </c>
      <c r="F1674" s="13" t="s">
        <v>15</v>
      </c>
      <c r="G1674" s="14">
        <v>20358905</v>
      </c>
      <c r="H1674" s="13" t="s">
        <v>360</v>
      </c>
      <c r="I1674" s="13" t="s">
        <v>244</v>
      </c>
      <c r="J1674" s="14">
        <v>1</v>
      </c>
      <c r="K1674" s="14">
        <v>1</v>
      </c>
      <c r="L1674" s="15">
        <v>15</v>
      </c>
      <c r="M1674" s="15">
        <v>15</v>
      </c>
    </row>
    <row r="1675" spans="4:13">
      <c r="D1675" s="12">
        <v>46132</v>
      </c>
      <c r="E1675" s="13">
        <v>1596492</v>
      </c>
      <c r="F1675" s="13" t="s">
        <v>15</v>
      </c>
      <c r="G1675" s="14">
        <v>20309651</v>
      </c>
      <c r="H1675" s="13" t="s">
        <v>130</v>
      </c>
      <c r="I1675" s="13" t="s">
        <v>62</v>
      </c>
      <c r="J1675" s="14">
        <v>1</v>
      </c>
      <c r="K1675" s="14">
        <v>1</v>
      </c>
      <c r="L1675" s="15">
        <v>21</v>
      </c>
      <c r="M1675" s="15">
        <v>21</v>
      </c>
    </row>
    <row r="1676" spans="4:13">
      <c r="D1676" s="12">
        <v>46132</v>
      </c>
      <c r="E1676" s="13">
        <v>1596492</v>
      </c>
      <c r="F1676" s="13" t="s">
        <v>131</v>
      </c>
      <c r="G1676" s="14">
        <v>20312465</v>
      </c>
      <c r="H1676" s="13" t="s">
        <v>320</v>
      </c>
      <c r="I1676" s="13" t="s">
        <v>221</v>
      </c>
      <c r="J1676" s="14">
        <v>1</v>
      </c>
      <c r="K1676" s="14">
        <v>27</v>
      </c>
      <c r="L1676" s="15">
        <v>180</v>
      </c>
      <c r="M1676" s="15">
        <f>J1676*L1676</f>
        <v>180</v>
      </c>
    </row>
    <row r="1677" spans="4:13">
      <c r="D1677" s="12">
        <v>46132</v>
      </c>
      <c r="E1677" s="13">
        <v>1596492</v>
      </c>
      <c r="F1677" s="13" t="s">
        <v>131</v>
      </c>
      <c r="G1677" s="14">
        <v>20384037</v>
      </c>
      <c r="H1677" s="13" t="s">
        <v>376</v>
      </c>
      <c r="I1677" s="13" t="s">
        <v>221</v>
      </c>
      <c r="J1677" s="14">
        <v>1</v>
      </c>
      <c r="K1677" s="14">
        <v>25</v>
      </c>
      <c r="L1677" s="15">
        <v>180</v>
      </c>
      <c r="M1677" s="15">
        <f>J1677*L1677</f>
        <v>180</v>
      </c>
    </row>
    <row r="1678" spans="4:13">
      <c r="D1678" s="12">
        <v>46132</v>
      </c>
      <c r="E1678" s="13">
        <v>1596492</v>
      </c>
      <c r="F1678" s="13" t="s">
        <v>131</v>
      </c>
      <c r="G1678" s="14">
        <v>20309658</v>
      </c>
      <c r="H1678" s="13" t="s">
        <v>365</v>
      </c>
      <c r="I1678" s="13" t="s">
        <v>221</v>
      </c>
      <c r="J1678" s="14">
        <v>2</v>
      </c>
      <c r="K1678" s="14">
        <v>10</v>
      </c>
      <c r="L1678" s="15">
        <v>52.8</v>
      </c>
      <c r="M1678" s="15">
        <v>105.6</v>
      </c>
    </row>
    <row r="1679" ht="25.5" spans="4:13">
      <c r="D1679" s="12">
        <v>46132</v>
      </c>
      <c r="E1679" s="13">
        <v>1596492</v>
      </c>
      <c r="F1679" s="13" t="s">
        <v>131</v>
      </c>
      <c r="G1679" s="14">
        <v>20312712</v>
      </c>
      <c r="H1679" s="13" t="s">
        <v>409</v>
      </c>
      <c r="I1679" s="13" t="s">
        <v>221</v>
      </c>
      <c r="J1679" s="14">
        <v>1</v>
      </c>
      <c r="K1679" s="14">
        <v>14</v>
      </c>
      <c r="L1679" s="15">
        <v>138.6</v>
      </c>
      <c r="M1679" s="15">
        <v>138.6</v>
      </c>
    </row>
    <row r="1680" spans="4:13">
      <c r="D1680" s="12">
        <v>46132</v>
      </c>
      <c r="E1680" s="13">
        <v>1596492</v>
      </c>
      <c r="F1680" s="13" t="s">
        <v>385</v>
      </c>
      <c r="G1680" s="14">
        <v>20399009</v>
      </c>
      <c r="H1680" s="13" t="s">
        <v>404</v>
      </c>
      <c r="I1680" s="13" t="s">
        <v>128</v>
      </c>
      <c r="J1680" s="14">
        <v>1</v>
      </c>
      <c r="K1680" s="14">
        <v>1</v>
      </c>
      <c r="L1680" s="15">
        <v>16.8</v>
      </c>
      <c r="M1680" s="15">
        <v>16.8</v>
      </c>
    </row>
    <row r="1681" spans="4:13">
      <c r="D1681" s="12">
        <v>46132</v>
      </c>
      <c r="E1681" s="13">
        <v>1596492</v>
      </c>
      <c r="F1681" s="13" t="s">
        <v>385</v>
      </c>
      <c r="G1681" s="14">
        <v>20316004</v>
      </c>
      <c r="H1681" s="13" t="s">
        <v>528</v>
      </c>
      <c r="I1681" s="13" t="s">
        <v>221</v>
      </c>
      <c r="J1681" s="14">
        <v>1</v>
      </c>
      <c r="K1681" s="14">
        <v>24</v>
      </c>
      <c r="L1681" s="15">
        <v>180</v>
      </c>
      <c r="M1681" s="15">
        <f>J1681*L1681</f>
        <v>180</v>
      </c>
    </row>
    <row r="1682" spans="4:13">
      <c r="D1682" s="12">
        <v>46132</v>
      </c>
      <c r="E1682" s="13">
        <v>1596493</v>
      </c>
      <c r="F1682" s="13" t="s">
        <v>378</v>
      </c>
      <c r="G1682" s="14">
        <v>20310012</v>
      </c>
      <c r="H1682" s="13" t="s">
        <v>379</v>
      </c>
      <c r="I1682" s="13" t="s">
        <v>2</v>
      </c>
      <c r="J1682" s="14">
        <v>5</v>
      </c>
      <c r="K1682" s="14">
        <v>0</v>
      </c>
      <c r="L1682" s="15">
        <v>15</v>
      </c>
      <c r="M1682" s="15">
        <v>75</v>
      </c>
    </row>
    <row r="1686" spans="4:13">
      <c r="D1686" s="21" t="s">
        <v>144</v>
      </c>
      <c r="E1686" s="22"/>
      <c r="F1686" s="22"/>
      <c r="G1686" s="22"/>
      <c r="H1686" s="22"/>
      <c r="I1686" s="22"/>
      <c r="J1686" s="22"/>
      <c r="K1686" s="22"/>
      <c r="L1686" s="22"/>
      <c r="M1686" s="22"/>
    </row>
    <row r="1687" spans="4:13"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</row>
    <row r="1688" spans="4:13"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</row>
    <row r="1689" spans="4:13">
      <c r="D1689" s="23" t="s">
        <v>145</v>
      </c>
      <c r="E1689" s="22"/>
      <c r="F1689" s="22"/>
      <c r="G1689" s="22"/>
      <c r="H1689" s="22"/>
      <c r="I1689" s="22"/>
      <c r="J1689" s="22"/>
      <c r="K1689" s="22"/>
      <c r="L1689" s="22"/>
      <c r="M1689" s="22"/>
    </row>
    <row r="1690" spans="4:13"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</row>
    <row r="1691" spans="4:13">
      <c r="D1691" s="24" t="s">
        <v>146</v>
      </c>
      <c r="E1691" s="24" t="s">
        <v>147</v>
      </c>
      <c r="F1691" s="22"/>
      <c r="G1691" s="24" t="s">
        <v>148</v>
      </c>
      <c r="H1691" s="24" t="s">
        <v>149</v>
      </c>
      <c r="I1691" s="24" t="s">
        <v>7</v>
      </c>
      <c r="J1691" s="24" t="s">
        <v>150</v>
      </c>
      <c r="K1691" s="24" t="s">
        <v>151</v>
      </c>
    </row>
    <row r="1692" ht="15.75" spans="4:13">
      <c r="D1692" s="25" t="s">
        <v>3</v>
      </c>
      <c r="E1692" s="26" t="s">
        <v>2</v>
      </c>
      <c r="F1692" s="26" t="s">
        <v>2</v>
      </c>
      <c r="G1692" s="26" t="s">
        <v>2</v>
      </c>
      <c r="H1692" s="26" t="s">
        <v>2</v>
      </c>
      <c r="I1692" s="26" t="s">
        <v>2</v>
      </c>
      <c r="J1692" s="27" t="s">
        <v>2</v>
      </c>
      <c r="K1692" s="28"/>
    </row>
    <row r="1693" ht="14.25" spans="4:13">
      <c r="D1693" s="29" t="s">
        <v>312</v>
      </c>
      <c r="E1693" s="26" t="s">
        <v>2</v>
      </c>
      <c r="F1693" s="26" t="s">
        <v>2</v>
      </c>
      <c r="G1693" s="26" t="s">
        <v>2</v>
      </c>
      <c r="H1693" s="26" t="s">
        <v>2</v>
      </c>
      <c r="I1693" s="26" t="s">
        <v>2</v>
      </c>
      <c r="J1693" s="30" t="s">
        <v>2</v>
      </c>
      <c r="K1693" s="31">
        <v>-115.8</v>
      </c>
    </row>
    <row r="1694" spans="4:13">
      <c r="D1694" s="32" t="s">
        <v>324</v>
      </c>
      <c r="E1694" s="26" t="s">
        <v>2</v>
      </c>
      <c r="F1694" s="26" t="s">
        <v>2</v>
      </c>
      <c r="G1694" s="26" t="s">
        <v>2</v>
      </c>
      <c r="H1694" s="26" t="s">
        <v>2</v>
      </c>
      <c r="I1694" s="26" t="s">
        <v>2</v>
      </c>
      <c r="J1694" s="33" t="s">
        <v>2</v>
      </c>
      <c r="K1694" s="34">
        <v>-62.7</v>
      </c>
    </row>
    <row r="1695" ht="25.5" spans="4:13">
      <c r="D1695" s="35">
        <v>3006103426</v>
      </c>
      <c r="E1695" s="36">
        <v>46133.4209998495</v>
      </c>
      <c r="F1695" s="37" t="s">
        <v>2</v>
      </c>
      <c r="G1695" s="38" t="s">
        <v>153</v>
      </c>
      <c r="H1695" s="39">
        <v>46125.6711375347</v>
      </c>
      <c r="I1695" s="40">
        <v>20302998</v>
      </c>
      <c r="J1695" s="40" t="s">
        <v>346</v>
      </c>
      <c r="K1695" s="41">
        <v>-62.7</v>
      </c>
    </row>
    <row r="1696" spans="4:13">
      <c r="D1696" s="32" t="s">
        <v>152</v>
      </c>
      <c r="E1696" s="26" t="s">
        <v>2</v>
      </c>
      <c r="F1696" s="26" t="s">
        <v>2</v>
      </c>
      <c r="G1696" s="26" t="s">
        <v>2</v>
      </c>
      <c r="H1696" s="26" t="s">
        <v>2</v>
      </c>
      <c r="I1696" s="26" t="s">
        <v>2</v>
      </c>
      <c r="J1696" s="33" t="s">
        <v>2</v>
      </c>
      <c r="K1696" s="34">
        <v>-53.1</v>
      </c>
    </row>
    <row r="1697" ht="49.5" spans="4:11">
      <c r="D1697" s="35">
        <v>3006053365</v>
      </c>
      <c r="E1697" s="36">
        <v>46133.4200538542</v>
      </c>
      <c r="F1697" s="37" t="s">
        <v>2</v>
      </c>
      <c r="G1697" s="38" t="s">
        <v>153</v>
      </c>
      <c r="H1697" s="39">
        <v>46107.8752328357</v>
      </c>
      <c r="I1697" s="40">
        <v>20418947</v>
      </c>
      <c r="J1697" s="40" t="s">
        <v>443</v>
      </c>
      <c r="K1697" s="41">
        <v>-36.3</v>
      </c>
    </row>
    <row r="1698" ht="25.5" spans="4:11">
      <c r="D1698" s="35">
        <v>3006103806</v>
      </c>
      <c r="E1698" s="36">
        <v>46133.4208258449</v>
      </c>
      <c r="F1698" s="37" t="s">
        <v>2</v>
      </c>
      <c r="G1698" s="38" t="s">
        <v>153</v>
      </c>
      <c r="H1698" s="39">
        <v>46125.6709106829</v>
      </c>
      <c r="I1698" s="40">
        <v>20359947</v>
      </c>
      <c r="J1698" s="40" t="s">
        <v>373</v>
      </c>
      <c r="K1698" s="41">
        <v>-16.8</v>
      </c>
    </row>
  </sheetData>
  <autoFilter xmlns:etc="http://www.wps.cn/officeDocument/2017/etCustomData" ref="A7:M1682" etc:filterBottomFollowUsedRange="0">
    <extLst/>
  </autoFilter>
  <mergeCells count="15">
    <mergeCell ref="D8:I8"/>
    <mergeCell ref="E1691:F1691"/>
    <mergeCell ref="D1692:I1692"/>
    <mergeCell ref="D1693:I1693"/>
    <mergeCell ref="D1694:I1694"/>
    <mergeCell ref="E1695:F1695"/>
    <mergeCell ref="D1696:I1696"/>
    <mergeCell ref="E1697:F1697"/>
    <mergeCell ref="E1698:F1698"/>
    <mergeCell ref="C7:C1682"/>
    <mergeCell ref="B4:H5"/>
    <mergeCell ref="A7:B1682"/>
    <mergeCell ref="C1:H2"/>
    <mergeCell ref="D1686:M1687"/>
    <mergeCell ref="D1689:H1690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539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54.6</v>
      </c>
    </row>
    <row r="9" spans="1:13">
      <c r="D9" s="12">
        <v>46132</v>
      </c>
      <c r="E9" s="13">
        <v>1596372</v>
      </c>
      <c r="F9" s="13" t="s">
        <v>15</v>
      </c>
      <c r="G9" s="14">
        <v>20313370</v>
      </c>
      <c r="H9" s="13" t="s">
        <v>16</v>
      </c>
      <c r="I9" s="13" t="s">
        <v>17</v>
      </c>
      <c r="J9" s="14">
        <v>3</v>
      </c>
      <c r="K9" s="14">
        <v>3</v>
      </c>
      <c r="L9" s="15">
        <v>13.2</v>
      </c>
      <c r="M9" s="15">
        <v>39.6</v>
      </c>
    </row>
    <row r="10" spans="1:13">
      <c r="D10" s="12">
        <v>46132</v>
      </c>
      <c r="E10" s="13">
        <v>1596372</v>
      </c>
      <c r="F10" s="13" t="s">
        <v>15</v>
      </c>
      <c r="G10" s="14">
        <v>20313815</v>
      </c>
      <c r="H10" s="13" t="s">
        <v>18</v>
      </c>
      <c r="I10" s="13" t="s">
        <v>19</v>
      </c>
      <c r="J10" s="14">
        <v>1</v>
      </c>
      <c r="K10" s="14">
        <v>1</v>
      </c>
      <c r="L10" s="15">
        <v>15</v>
      </c>
      <c r="M10" s="15">
        <v>15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21" sqref="K20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46123</v>
      </c>
      <c r="E9" s="13">
        <v>1593966</v>
      </c>
      <c r="F9" s="13" t="s">
        <v>24</v>
      </c>
      <c r="G9" s="14">
        <v>20306248</v>
      </c>
      <c r="H9" s="13" t="s">
        <v>37</v>
      </c>
      <c r="I9" s="13" t="s">
        <v>38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32</v>
      </c>
      <c r="K8" s="10">
        <v>111</v>
      </c>
      <c r="L8" s="11"/>
      <c r="M8" s="11">
        <v>430.2</v>
      </c>
    </row>
    <row r="9" spans="1:13">
      <c r="D9" s="12">
        <v>46104</v>
      </c>
      <c r="E9" s="13">
        <v>1588201</v>
      </c>
      <c r="F9" s="13" t="s">
        <v>20</v>
      </c>
      <c r="G9" s="14">
        <v>20303859</v>
      </c>
      <c r="H9" s="13" t="s">
        <v>46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46104</v>
      </c>
      <c r="E10" s="13">
        <v>1588201</v>
      </c>
      <c r="F10" s="13" t="s">
        <v>65</v>
      </c>
      <c r="G10" s="14">
        <v>20383353</v>
      </c>
      <c r="H10" s="13" t="s">
        <v>542</v>
      </c>
      <c r="I10" s="13" t="s">
        <v>44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46107</v>
      </c>
      <c r="E11" s="13">
        <v>1589304</v>
      </c>
      <c r="F11" s="13" t="s">
        <v>20</v>
      </c>
      <c r="G11" s="14">
        <v>20309873</v>
      </c>
      <c r="H11" s="13" t="s">
        <v>201</v>
      </c>
      <c r="I11" s="13" t="s">
        <v>55</v>
      </c>
      <c r="J11" s="14">
        <v>1</v>
      </c>
      <c r="K11" s="14">
        <v>7</v>
      </c>
      <c r="L11" s="15">
        <v>23.1</v>
      </c>
      <c r="M11" s="15">
        <v>23.1</v>
      </c>
    </row>
    <row r="12" spans="1:13">
      <c r="D12" s="12">
        <v>46107</v>
      </c>
      <c r="E12" s="13">
        <v>1589304</v>
      </c>
      <c r="F12" s="13" t="s">
        <v>42</v>
      </c>
      <c r="G12" s="14">
        <v>20382238</v>
      </c>
      <c r="H12" s="13" t="s">
        <v>543</v>
      </c>
      <c r="I12" s="13" t="s">
        <v>83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46111</v>
      </c>
      <c r="E13" s="13">
        <v>1590217</v>
      </c>
      <c r="F13" s="13" t="s">
        <v>20</v>
      </c>
      <c r="G13" s="14">
        <v>20303859</v>
      </c>
      <c r="H13" s="13" t="s">
        <v>46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46111</v>
      </c>
      <c r="E14" s="13">
        <v>1590217</v>
      </c>
      <c r="F14" s="13" t="s">
        <v>65</v>
      </c>
      <c r="G14" s="14">
        <v>20383353</v>
      </c>
      <c r="H14" s="13" t="s">
        <v>542</v>
      </c>
      <c r="I14" s="13" t="s">
        <v>44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46113</v>
      </c>
      <c r="E15" s="13">
        <v>1591041</v>
      </c>
      <c r="F15" s="13" t="s">
        <v>20</v>
      </c>
      <c r="G15" s="14">
        <v>20303859</v>
      </c>
      <c r="H15" s="13" t="s">
        <v>46</v>
      </c>
      <c r="I15" s="13" t="s">
        <v>35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46114</v>
      </c>
      <c r="E16" s="13">
        <v>1591384</v>
      </c>
      <c r="F16" s="13" t="s">
        <v>20</v>
      </c>
      <c r="G16" s="14">
        <v>20309873</v>
      </c>
      <c r="H16" s="13" t="s">
        <v>201</v>
      </c>
      <c r="I16" s="13" t="s">
        <v>55</v>
      </c>
      <c r="J16" s="14">
        <v>1</v>
      </c>
      <c r="K16" s="14">
        <v>7</v>
      </c>
      <c r="L16" s="15">
        <v>23.1</v>
      </c>
      <c r="M16" s="15">
        <v>23.1</v>
      </c>
    </row>
    <row r="17" spans="4:13">
      <c r="D17" s="12">
        <v>46114</v>
      </c>
      <c r="E17" s="13">
        <v>1591384</v>
      </c>
      <c r="F17" s="13" t="s">
        <v>42</v>
      </c>
      <c r="G17" s="14">
        <v>20382238</v>
      </c>
      <c r="H17" s="13" t="s">
        <v>543</v>
      </c>
      <c r="I17" s="13" t="s">
        <v>83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46119</v>
      </c>
      <c r="E18" s="13">
        <v>1592413</v>
      </c>
      <c r="F18" s="13" t="s">
        <v>20</v>
      </c>
      <c r="G18" s="14">
        <v>20303859</v>
      </c>
      <c r="H18" s="13" t="s">
        <v>46</v>
      </c>
      <c r="I18" s="13" t="s">
        <v>35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46119</v>
      </c>
      <c r="E19" s="13">
        <v>1592413</v>
      </c>
      <c r="F19" s="13" t="s">
        <v>20</v>
      </c>
      <c r="G19" s="14">
        <v>20309873</v>
      </c>
      <c r="H19" s="13" t="s">
        <v>201</v>
      </c>
      <c r="I19" s="13" t="s">
        <v>55</v>
      </c>
      <c r="J19" s="14">
        <v>1</v>
      </c>
      <c r="K19" s="14">
        <v>7</v>
      </c>
      <c r="L19" s="15">
        <v>23.1</v>
      </c>
      <c r="M19" s="15">
        <v>23.1</v>
      </c>
    </row>
    <row r="20" spans="4:13">
      <c r="D20" s="12">
        <v>46119</v>
      </c>
      <c r="E20" s="13">
        <v>1592413</v>
      </c>
      <c r="F20" s="13" t="s">
        <v>42</v>
      </c>
      <c r="G20" s="14">
        <v>20303850</v>
      </c>
      <c r="H20" s="13" t="s">
        <v>544</v>
      </c>
      <c r="I20" s="13" t="s">
        <v>44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46120</v>
      </c>
      <c r="E21" s="13">
        <v>1592846</v>
      </c>
      <c r="F21" s="13" t="s">
        <v>20</v>
      </c>
      <c r="G21" s="14">
        <v>20303859</v>
      </c>
      <c r="H21" s="13" t="s">
        <v>46</v>
      </c>
      <c r="I21" s="13" t="s">
        <v>35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46121</v>
      </c>
      <c r="E22" s="13">
        <v>1593194</v>
      </c>
      <c r="F22" s="13" t="s">
        <v>20</v>
      </c>
      <c r="G22" s="14">
        <v>20303859</v>
      </c>
      <c r="H22" s="13" t="s">
        <v>46</v>
      </c>
      <c r="I22" s="13" t="s">
        <v>35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46121</v>
      </c>
      <c r="E23" s="13">
        <v>1593194</v>
      </c>
      <c r="F23" s="13" t="s">
        <v>20</v>
      </c>
      <c r="G23" s="14">
        <v>20309873</v>
      </c>
      <c r="H23" s="13" t="s">
        <v>201</v>
      </c>
      <c r="I23" s="13" t="s">
        <v>55</v>
      </c>
      <c r="J23" s="14">
        <v>1</v>
      </c>
      <c r="K23" s="14">
        <v>7</v>
      </c>
      <c r="L23" s="15">
        <v>23.1</v>
      </c>
      <c r="M23" s="15">
        <v>23.1</v>
      </c>
    </row>
    <row r="24" spans="4:13">
      <c r="D24" s="12">
        <v>46121</v>
      </c>
      <c r="E24" s="13">
        <v>1593194</v>
      </c>
      <c r="F24" s="13" t="s">
        <v>42</v>
      </c>
      <c r="G24" s="14">
        <v>20382238</v>
      </c>
      <c r="H24" s="13" t="s">
        <v>543</v>
      </c>
      <c r="I24" s="13" t="s">
        <v>83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46125</v>
      </c>
      <c r="E25" s="13">
        <v>1594158</v>
      </c>
      <c r="F25" s="13" t="s">
        <v>20</v>
      </c>
      <c r="G25" s="14">
        <v>20309873</v>
      </c>
      <c r="H25" s="13" t="s">
        <v>201</v>
      </c>
      <c r="I25" s="13" t="s">
        <v>55</v>
      </c>
      <c r="J25" s="14">
        <v>3</v>
      </c>
      <c r="K25" s="14">
        <v>21</v>
      </c>
      <c r="L25" s="15">
        <v>23.1</v>
      </c>
      <c r="M25" s="15">
        <v>69.3</v>
      </c>
    </row>
    <row r="26" spans="4:13">
      <c r="D26" s="12">
        <v>46125</v>
      </c>
      <c r="E26" s="13">
        <v>1594158</v>
      </c>
      <c r="F26" s="13" t="s">
        <v>65</v>
      </c>
      <c r="G26" s="14">
        <v>20383353</v>
      </c>
      <c r="H26" s="13" t="s">
        <v>542</v>
      </c>
      <c r="I26" s="13" t="s">
        <v>44</v>
      </c>
      <c r="J26" s="14">
        <v>1</v>
      </c>
      <c r="K26" s="14">
        <v>4</v>
      </c>
      <c r="L26" s="15">
        <v>13.2</v>
      </c>
      <c r="M26" s="15">
        <v>13.2</v>
      </c>
    </row>
    <row r="27" spans="4:13">
      <c r="D27" s="12">
        <v>46125</v>
      </c>
      <c r="E27" s="13">
        <v>1594350</v>
      </c>
      <c r="F27" s="13" t="s">
        <v>20</v>
      </c>
      <c r="G27" s="14">
        <v>20303859</v>
      </c>
      <c r="H27" s="13" t="s">
        <v>46</v>
      </c>
      <c r="I27" s="13" t="s">
        <v>35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46127</v>
      </c>
      <c r="E28" s="13">
        <v>1595009</v>
      </c>
      <c r="F28" s="13" t="s">
        <v>20</v>
      </c>
      <c r="G28" s="14">
        <v>20303859</v>
      </c>
      <c r="H28" s="13" t="s">
        <v>46</v>
      </c>
      <c r="I28" s="13" t="s">
        <v>35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46128</v>
      </c>
      <c r="E29" s="13">
        <v>1595332</v>
      </c>
      <c r="F29" s="13" t="s">
        <v>42</v>
      </c>
      <c r="G29" s="14">
        <v>20382238</v>
      </c>
      <c r="H29" s="13" t="s">
        <v>543</v>
      </c>
      <c r="I29" s="13" t="s">
        <v>83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46129</v>
      </c>
      <c r="E30" s="13">
        <v>1595757</v>
      </c>
      <c r="F30" s="13" t="s">
        <v>20</v>
      </c>
      <c r="G30" s="14">
        <v>20309873</v>
      </c>
      <c r="H30" s="13" t="s">
        <v>201</v>
      </c>
      <c r="I30" s="13" t="s">
        <v>55</v>
      </c>
      <c r="J30" s="14">
        <v>1</v>
      </c>
      <c r="K30" s="14">
        <v>7</v>
      </c>
      <c r="L30" s="15">
        <v>23.1</v>
      </c>
      <c r="M30" s="15">
        <v>23.1</v>
      </c>
    </row>
    <row r="31" spans="4:13">
      <c r="D31" s="12">
        <v>46129</v>
      </c>
      <c r="E31" s="13">
        <v>1595757</v>
      </c>
      <c r="F31" s="13" t="s">
        <v>15</v>
      </c>
      <c r="G31" s="14">
        <v>20313370</v>
      </c>
      <c r="H31" s="13" t="s">
        <v>16</v>
      </c>
      <c r="I31" s="13" t="s">
        <v>17</v>
      </c>
      <c r="J31" s="14">
        <v>3</v>
      </c>
      <c r="K31" s="14">
        <v>3</v>
      </c>
      <c r="L31" s="15">
        <v>13.2</v>
      </c>
      <c r="M31" s="15">
        <v>39.6</v>
      </c>
    </row>
    <row r="32" ht="25.5" spans="4:13">
      <c r="D32" s="12">
        <v>46129</v>
      </c>
      <c r="E32" s="13">
        <v>1595757</v>
      </c>
      <c r="F32" s="13" t="s">
        <v>15</v>
      </c>
      <c r="G32" s="14">
        <v>20313522</v>
      </c>
      <c r="H32" s="13" t="s">
        <v>97</v>
      </c>
      <c r="I32" s="13" t="s">
        <v>98</v>
      </c>
      <c r="J32" s="14">
        <v>1</v>
      </c>
      <c r="K32" s="14">
        <v>1</v>
      </c>
      <c r="L32" s="15">
        <v>21</v>
      </c>
      <c r="M32" s="15">
        <v>21</v>
      </c>
    </row>
    <row r="33" spans="4:13">
      <c r="D33" s="12">
        <v>46132</v>
      </c>
      <c r="E33" s="13">
        <v>1596262</v>
      </c>
      <c r="F33" s="13" t="s">
        <v>20</v>
      </c>
      <c r="G33" s="14">
        <v>20303859</v>
      </c>
      <c r="H33" s="13" t="s">
        <v>46</v>
      </c>
      <c r="I33" s="13" t="s">
        <v>35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46132</v>
      </c>
      <c r="E34" s="13">
        <v>1596262</v>
      </c>
      <c r="F34" s="13" t="s">
        <v>65</v>
      </c>
      <c r="G34" s="14">
        <v>20383353</v>
      </c>
      <c r="H34" s="13" t="s">
        <v>542</v>
      </c>
      <c r="I34" s="13" t="s">
        <v>44</v>
      </c>
      <c r="J34" s="14">
        <v>1</v>
      </c>
      <c r="K34" s="14">
        <v>4</v>
      </c>
      <c r="L34" s="15">
        <v>13.2</v>
      </c>
      <c r="M34" s="15">
        <v>13.2</v>
      </c>
    </row>
  </sheetData>
  <autoFilter xmlns:etc="http://www.wps.cn/officeDocument/2017/etCustomData" ref="A7:M34" etc:filterBottomFollowUsedRange="0">
    <extLst/>
  </autoFilter>
  <mergeCells count="5">
    <mergeCell ref="D8:I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</v>
      </c>
      <c r="K8" s="10">
        <v>33</v>
      </c>
      <c r="L8" s="11"/>
      <c r="M8" s="11">
        <v>108.9</v>
      </c>
    </row>
    <row r="9" spans="1:13">
      <c r="D9" s="12">
        <v>46113</v>
      </c>
      <c r="E9" s="13">
        <v>1591042</v>
      </c>
      <c r="F9" s="13" t="s">
        <v>20</v>
      </c>
      <c r="G9" s="14">
        <v>20321887</v>
      </c>
      <c r="H9" s="13" t="s">
        <v>546</v>
      </c>
      <c r="I9" s="13" t="s">
        <v>22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46113</v>
      </c>
      <c r="E10" s="13">
        <v>1591205</v>
      </c>
      <c r="F10" s="13" t="s">
        <v>20</v>
      </c>
      <c r="G10" s="14">
        <v>20321887</v>
      </c>
      <c r="H10" s="13" t="s">
        <v>546</v>
      </c>
      <c r="I10" s="13" t="s">
        <v>22</v>
      </c>
      <c r="J10" s="14">
        <v>2</v>
      </c>
      <c r="K10" s="14">
        <v>6</v>
      </c>
      <c r="L10" s="15">
        <v>9.9</v>
      </c>
      <c r="M10" s="15">
        <v>19.8</v>
      </c>
    </row>
    <row r="11" spans="1:13">
      <c r="D11" s="12">
        <v>46119</v>
      </c>
      <c r="E11" s="13">
        <v>1592616</v>
      </c>
      <c r="F11" s="13" t="s">
        <v>20</v>
      </c>
      <c r="G11" s="14">
        <v>20321887</v>
      </c>
      <c r="H11" s="13" t="s">
        <v>546</v>
      </c>
      <c r="I11" s="13" t="s">
        <v>22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46120</v>
      </c>
      <c r="E12" s="13">
        <v>1593024</v>
      </c>
      <c r="F12" s="13" t="s">
        <v>20</v>
      </c>
      <c r="G12" s="14">
        <v>20321887</v>
      </c>
      <c r="H12" s="13" t="s">
        <v>546</v>
      </c>
      <c r="I12" s="13" t="s">
        <v>22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46122</v>
      </c>
      <c r="E13" s="13">
        <v>1593778</v>
      </c>
      <c r="F13" s="13" t="s">
        <v>20</v>
      </c>
      <c r="G13" s="14">
        <v>20321887</v>
      </c>
      <c r="H13" s="13" t="s">
        <v>546</v>
      </c>
      <c r="I13" s="13" t="s">
        <v>22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46126</v>
      </c>
      <c r="E14" s="13">
        <v>1594584</v>
      </c>
      <c r="F14" s="13" t="s">
        <v>20</v>
      </c>
      <c r="G14" s="14">
        <v>20321887</v>
      </c>
      <c r="H14" s="13" t="s">
        <v>546</v>
      </c>
      <c r="I14" s="13" t="s">
        <v>22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46128</v>
      </c>
      <c r="E15" s="13">
        <v>1595451</v>
      </c>
      <c r="F15" s="13" t="s">
        <v>20</v>
      </c>
      <c r="G15" s="14">
        <v>20321887</v>
      </c>
      <c r="H15" s="13" t="s">
        <v>546</v>
      </c>
      <c r="I15" s="13" t="s">
        <v>22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46129</v>
      </c>
      <c r="E16" s="13">
        <v>1595915</v>
      </c>
      <c r="F16" s="13" t="s">
        <v>20</v>
      </c>
      <c r="G16" s="14">
        <v>20321887</v>
      </c>
      <c r="H16" s="13" t="s">
        <v>546</v>
      </c>
      <c r="I16" s="13" t="s">
        <v>22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46132</v>
      </c>
      <c r="E17" s="13">
        <v>1596435</v>
      </c>
      <c r="F17" s="13" t="s">
        <v>20</v>
      </c>
      <c r="G17" s="14">
        <v>20321887</v>
      </c>
      <c r="H17" s="13" t="s">
        <v>546</v>
      </c>
      <c r="I17" s="13" t="s">
        <v>22</v>
      </c>
      <c r="J17" s="14">
        <v>2</v>
      </c>
      <c r="K17" s="14">
        <v>6</v>
      </c>
      <c r="L17" s="15">
        <v>9.9</v>
      </c>
      <c r="M17" s="15">
        <v>19.8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view="pageBreakPreview" zoomScaleNormal="100" workbookViewId="0">
      <pane ySplit="6" topLeftCell="A10" activePane="bottomLeft" state="frozen"/>
      <selection/>
      <selection pane="bottomLeft" activeCell="M9" sqref="M9:M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72</v>
      </c>
      <c r="K8" s="10">
        <v>152</v>
      </c>
      <c r="L8" s="11"/>
      <c r="M8" s="11">
        <v>615.6</v>
      </c>
    </row>
    <row r="9" spans="1:13">
      <c r="D9" s="12">
        <v>46105</v>
      </c>
      <c r="E9" s="13">
        <v>1588569</v>
      </c>
      <c r="F9" s="13" t="s">
        <v>20</v>
      </c>
      <c r="G9" s="14">
        <v>20305064</v>
      </c>
      <c r="H9" s="13" t="s">
        <v>548</v>
      </c>
      <c r="I9" s="13" t="s">
        <v>549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46105</v>
      </c>
      <c r="E10" s="13">
        <v>1588569</v>
      </c>
      <c r="F10" s="13" t="s">
        <v>20</v>
      </c>
      <c r="G10" s="14">
        <v>20305193</v>
      </c>
      <c r="H10" s="13" t="s">
        <v>396</v>
      </c>
      <c r="I10" s="13" t="s">
        <v>22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46105</v>
      </c>
      <c r="E11" s="13">
        <v>1588569</v>
      </c>
      <c r="F11" s="13" t="s">
        <v>20</v>
      </c>
      <c r="G11" s="14">
        <v>20310576</v>
      </c>
      <c r="H11" s="13" t="s">
        <v>550</v>
      </c>
      <c r="I11" s="13" t="s">
        <v>33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46105</v>
      </c>
      <c r="E12" s="13">
        <v>1588569</v>
      </c>
      <c r="F12" s="13" t="s">
        <v>20</v>
      </c>
      <c r="G12" s="14">
        <v>20303866</v>
      </c>
      <c r="H12" s="13" t="s">
        <v>69</v>
      </c>
      <c r="I12" s="13" t="s">
        <v>33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46105</v>
      </c>
      <c r="E13" s="13">
        <v>1588569</v>
      </c>
      <c r="F13" s="13" t="s">
        <v>42</v>
      </c>
      <c r="G13" s="14">
        <v>20323744</v>
      </c>
      <c r="H13" s="13" t="s">
        <v>551</v>
      </c>
      <c r="I13" s="13" t="s">
        <v>83</v>
      </c>
      <c r="J13" s="14">
        <v>1</v>
      </c>
      <c r="K13" s="14">
        <v>11</v>
      </c>
      <c r="L13" s="15">
        <v>36.3</v>
      </c>
      <c r="M13" s="15">
        <v>36.3</v>
      </c>
    </row>
    <row r="14" spans="1:13">
      <c r="D14" s="12">
        <v>46108</v>
      </c>
      <c r="E14" s="13">
        <v>1589728</v>
      </c>
      <c r="F14" s="13" t="s">
        <v>20</v>
      </c>
      <c r="G14" s="14">
        <v>20305064</v>
      </c>
      <c r="H14" s="13" t="s">
        <v>548</v>
      </c>
      <c r="I14" s="13" t="s">
        <v>549</v>
      </c>
      <c r="J14" s="14">
        <v>5</v>
      </c>
      <c r="K14" s="14">
        <v>5</v>
      </c>
      <c r="L14" s="15">
        <v>4.8</v>
      </c>
      <c r="M14" s="15">
        <v>24</v>
      </c>
    </row>
    <row r="15" spans="1:13">
      <c r="D15" s="12">
        <v>46108</v>
      </c>
      <c r="E15" s="13">
        <v>1589728</v>
      </c>
      <c r="F15" s="13" t="s">
        <v>20</v>
      </c>
      <c r="G15" s="14">
        <v>20305193</v>
      </c>
      <c r="H15" s="13" t="s">
        <v>396</v>
      </c>
      <c r="I15" s="13" t="s">
        <v>22</v>
      </c>
      <c r="J15" s="14">
        <v>3</v>
      </c>
      <c r="K15" s="14">
        <v>3</v>
      </c>
      <c r="L15" s="15">
        <v>4.8</v>
      </c>
      <c r="M15" s="15">
        <v>14.4</v>
      </c>
    </row>
    <row r="16" spans="1:13">
      <c r="D16" s="12">
        <v>46108</v>
      </c>
      <c r="E16" s="13">
        <v>1589728</v>
      </c>
      <c r="F16" s="13" t="s">
        <v>20</v>
      </c>
      <c r="G16" s="14">
        <v>20310576</v>
      </c>
      <c r="H16" s="13" t="s">
        <v>550</v>
      </c>
      <c r="I16" s="13" t="s">
        <v>33</v>
      </c>
      <c r="J16" s="14">
        <v>4</v>
      </c>
      <c r="K16" s="14">
        <v>4</v>
      </c>
      <c r="L16" s="15">
        <v>4.8</v>
      </c>
      <c r="M16" s="15">
        <v>19.2</v>
      </c>
    </row>
    <row r="17" spans="4:13">
      <c r="D17" s="12">
        <v>46108</v>
      </c>
      <c r="E17" s="13">
        <v>1589728</v>
      </c>
      <c r="F17" s="13" t="s">
        <v>20</v>
      </c>
      <c r="G17" s="14">
        <v>20303866</v>
      </c>
      <c r="H17" s="13" t="s">
        <v>69</v>
      </c>
      <c r="I17" s="13" t="s">
        <v>33</v>
      </c>
      <c r="J17" s="14">
        <v>4</v>
      </c>
      <c r="K17" s="14">
        <v>4</v>
      </c>
      <c r="L17" s="15">
        <v>4.8</v>
      </c>
      <c r="M17" s="15">
        <v>19.2</v>
      </c>
    </row>
    <row r="18" spans="4:13">
      <c r="D18" s="12">
        <v>46108</v>
      </c>
      <c r="E18" s="13">
        <v>1589728</v>
      </c>
      <c r="F18" s="13" t="s">
        <v>42</v>
      </c>
      <c r="G18" s="14">
        <v>20323744</v>
      </c>
      <c r="H18" s="13" t="s">
        <v>551</v>
      </c>
      <c r="I18" s="13" t="s">
        <v>83</v>
      </c>
      <c r="J18" s="14">
        <v>1</v>
      </c>
      <c r="K18" s="14">
        <v>11</v>
      </c>
      <c r="L18" s="15">
        <v>36.3</v>
      </c>
      <c r="M18" s="15">
        <v>36.3</v>
      </c>
    </row>
    <row r="19" spans="4:13">
      <c r="D19" s="12">
        <v>46112</v>
      </c>
      <c r="E19" s="13">
        <v>1590625</v>
      </c>
      <c r="F19" s="13" t="s">
        <v>20</v>
      </c>
      <c r="G19" s="14">
        <v>20303717</v>
      </c>
      <c r="H19" s="13" t="s">
        <v>70</v>
      </c>
      <c r="I19" s="13" t="s">
        <v>35</v>
      </c>
      <c r="J19" s="14">
        <v>3</v>
      </c>
      <c r="K19" s="14">
        <v>3</v>
      </c>
      <c r="L19" s="15">
        <v>4.8</v>
      </c>
      <c r="M19" s="15">
        <v>14.4</v>
      </c>
    </row>
    <row r="20" spans="4:13">
      <c r="D20" s="12">
        <v>46112</v>
      </c>
      <c r="E20" s="13">
        <v>1590625</v>
      </c>
      <c r="F20" s="13" t="s">
        <v>20</v>
      </c>
      <c r="G20" s="14">
        <v>20303858</v>
      </c>
      <c r="H20" s="13" t="s">
        <v>552</v>
      </c>
      <c r="I20" s="13" t="s">
        <v>33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46112</v>
      </c>
      <c r="E21" s="13">
        <v>1590625</v>
      </c>
      <c r="F21" s="13" t="s">
        <v>20</v>
      </c>
      <c r="G21" s="14">
        <v>20310576</v>
      </c>
      <c r="H21" s="13" t="s">
        <v>550</v>
      </c>
      <c r="I21" s="13" t="s">
        <v>33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46112</v>
      </c>
      <c r="E22" s="13">
        <v>1590625</v>
      </c>
      <c r="F22" s="13" t="s">
        <v>42</v>
      </c>
      <c r="G22" s="14">
        <v>20323744</v>
      </c>
      <c r="H22" s="13" t="s">
        <v>551</v>
      </c>
      <c r="I22" s="13" t="s">
        <v>83</v>
      </c>
      <c r="J22" s="14">
        <v>1</v>
      </c>
      <c r="K22" s="14">
        <v>11</v>
      </c>
      <c r="L22" s="15">
        <v>36.3</v>
      </c>
      <c r="M22" s="15">
        <v>36.3</v>
      </c>
    </row>
    <row r="23" spans="4:13">
      <c r="D23" s="12">
        <v>46115</v>
      </c>
      <c r="E23" s="13">
        <v>1591818</v>
      </c>
      <c r="F23" s="13" t="s">
        <v>20</v>
      </c>
      <c r="G23" s="14">
        <v>20305064</v>
      </c>
      <c r="H23" s="13" t="s">
        <v>548</v>
      </c>
      <c r="I23" s="13" t="s">
        <v>549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46115</v>
      </c>
      <c r="E24" s="13">
        <v>1591818</v>
      </c>
      <c r="F24" s="13" t="s">
        <v>20</v>
      </c>
      <c r="G24" s="14">
        <v>20305193</v>
      </c>
      <c r="H24" s="13" t="s">
        <v>396</v>
      </c>
      <c r="I24" s="13" t="s">
        <v>22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46115</v>
      </c>
      <c r="E25" s="13">
        <v>1591818</v>
      </c>
      <c r="F25" s="13" t="s">
        <v>20</v>
      </c>
      <c r="G25" s="14">
        <v>20310576</v>
      </c>
      <c r="H25" s="13" t="s">
        <v>550</v>
      </c>
      <c r="I25" s="13" t="s">
        <v>33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46115</v>
      </c>
      <c r="E26" s="13">
        <v>1591818</v>
      </c>
      <c r="F26" s="13" t="s">
        <v>20</v>
      </c>
      <c r="G26" s="14">
        <v>20303866</v>
      </c>
      <c r="H26" s="13" t="s">
        <v>69</v>
      </c>
      <c r="I26" s="13" t="s">
        <v>33</v>
      </c>
      <c r="J26" s="14">
        <v>3</v>
      </c>
      <c r="K26" s="14">
        <v>3</v>
      </c>
      <c r="L26" s="15">
        <v>4.8</v>
      </c>
      <c r="M26" s="15">
        <v>14.4</v>
      </c>
    </row>
    <row r="27" spans="4:13">
      <c r="D27" s="12">
        <v>46115</v>
      </c>
      <c r="E27" s="13">
        <v>1591818</v>
      </c>
      <c r="F27" s="13" t="s">
        <v>42</v>
      </c>
      <c r="G27" s="14">
        <v>20323744</v>
      </c>
      <c r="H27" s="13" t="s">
        <v>551</v>
      </c>
      <c r="I27" s="13" t="s">
        <v>83</v>
      </c>
      <c r="J27" s="14">
        <v>1</v>
      </c>
      <c r="K27" s="14">
        <v>11</v>
      </c>
      <c r="L27" s="15">
        <v>36.3</v>
      </c>
      <c r="M27" s="15">
        <v>36.3</v>
      </c>
    </row>
    <row r="28" spans="4:13">
      <c r="D28" s="12">
        <v>46119</v>
      </c>
      <c r="E28" s="13">
        <v>1592415</v>
      </c>
      <c r="F28" s="13" t="s">
        <v>42</v>
      </c>
      <c r="G28" s="14">
        <v>20323744</v>
      </c>
      <c r="H28" s="13" t="s">
        <v>551</v>
      </c>
      <c r="I28" s="13" t="s">
        <v>83</v>
      </c>
      <c r="J28" s="14">
        <v>1</v>
      </c>
      <c r="K28" s="14">
        <v>11</v>
      </c>
      <c r="L28" s="15">
        <v>36.3</v>
      </c>
      <c r="M28" s="15">
        <v>36.3</v>
      </c>
    </row>
    <row r="29" spans="4:13">
      <c r="D29" s="12">
        <v>46121</v>
      </c>
      <c r="E29" s="13">
        <v>1593197</v>
      </c>
      <c r="F29" s="13" t="s">
        <v>20</v>
      </c>
      <c r="G29" s="14">
        <v>20315425</v>
      </c>
      <c r="H29" s="13" t="s">
        <v>21</v>
      </c>
      <c r="I29" s="13" t="s">
        <v>22</v>
      </c>
      <c r="J29" s="14">
        <v>1</v>
      </c>
      <c r="K29" s="14">
        <v>1</v>
      </c>
      <c r="L29" s="15">
        <v>4.8</v>
      </c>
      <c r="M29" s="15">
        <v>4.8</v>
      </c>
    </row>
    <row r="30" ht="25.5" spans="4:13">
      <c r="D30" s="12">
        <v>46122</v>
      </c>
      <c r="E30" s="13">
        <v>1593560</v>
      </c>
      <c r="F30" s="13" t="s">
        <v>24</v>
      </c>
      <c r="G30" s="14">
        <v>20306248</v>
      </c>
      <c r="H30" s="13" t="s">
        <v>37</v>
      </c>
      <c r="I30" s="13" t="s">
        <v>38</v>
      </c>
      <c r="J30" s="14">
        <v>1</v>
      </c>
      <c r="K30" s="14">
        <v>1</v>
      </c>
      <c r="L30" s="15">
        <v>21</v>
      </c>
      <c r="M30" s="15">
        <v>21</v>
      </c>
    </row>
    <row r="31" spans="4:13">
      <c r="D31" s="12">
        <v>46122</v>
      </c>
      <c r="E31" s="13">
        <v>1593641</v>
      </c>
      <c r="F31" s="13" t="s">
        <v>20</v>
      </c>
      <c r="G31" s="14">
        <v>20303717</v>
      </c>
      <c r="H31" s="13" t="s">
        <v>70</v>
      </c>
      <c r="I31" s="13" t="s">
        <v>35</v>
      </c>
      <c r="J31" s="14">
        <v>5</v>
      </c>
      <c r="K31" s="14">
        <v>5</v>
      </c>
      <c r="L31" s="15">
        <v>4.8</v>
      </c>
      <c r="M31" s="15">
        <v>24</v>
      </c>
    </row>
    <row r="32" spans="4:13">
      <c r="D32" s="12">
        <v>46122</v>
      </c>
      <c r="E32" s="13">
        <v>1593641</v>
      </c>
      <c r="F32" s="13" t="s">
        <v>20</v>
      </c>
      <c r="G32" s="14">
        <v>20303858</v>
      </c>
      <c r="H32" s="13" t="s">
        <v>552</v>
      </c>
      <c r="I32" s="13" t="s">
        <v>33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46122</v>
      </c>
      <c r="E33" s="13">
        <v>1593641</v>
      </c>
      <c r="F33" s="13" t="s">
        <v>42</v>
      </c>
      <c r="G33" s="14">
        <v>20323744</v>
      </c>
      <c r="H33" s="13" t="s">
        <v>551</v>
      </c>
      <c r="I33" s="13" t="s">
        <v>83</v>
      </c>
      <c r="J33" s="14">
        <v>1</v>
      </c>
      <c r="K33" s="14">
        <v>11</v>
      </c>
      <c r="L33" s="15">
        <v>36.3</v>
      </c>
      <c r="M33" s="15">
        <v>36.3</v>
      </c>
    </row>
    <row r="34" spans="4:13">
      <c r="D34" s="12">
        <v>46126</v>
      </c>
      <c r="E34" s="13">
        <v>1594632</v>
      </c>
      <c r="F34" s="13" t="s">
        <v>20</v>
      </c>
      <c r="G34" s="14">
        <v>20305064</v>
      </c>
      <c r="H34" s="13" t="s">
        <v>548</v>
      </c>
      <c r="I34" s="13" t="s">
        <v>549</v>
      </c>
      <c r="J34" s="14">
        <v>3</v>
      </c>
      <c r="K34" s="14">
        <v>3</v>
      </c>
      <c r="L34" s="15">
        <v>4.8</v>
      </c>
      <c r="M34" s="15">
        <v>14.4</v>
      </c>
    </row>
    <row r="35" spans="4:13">
      <c r="D35" s="12">
        <v>46126</v>
      </c>
      <c r="E35" s="13">
        <v>1594632</v>
      </c>
      <c r="F35" s="13" t="s">
        <v>20</v>
      </c>
      <c r="G35" s="14">
        <v>20325962</v>
      </c>
      <c r="H35" s="13" t="s">
        <v>553</v>
      </c>
      <c r="I35" s="13" t="s">
        <v>53</v>
      </c>
      <c r="J35" s="14">
        <v>1</v>
      </c>
      <c r="K35" s="14">
        <v>1</v>
      </c>
      <c r="L35" s="15">
        <v>6.6</v>
      </c>
      <c r="M35" s="15">
        <v>6.6</v>
      </c>
    </row>
    <row r="36" spans="4:13">
      <c r="D36" s="12">
        <v>46126</v>
      </c>
      <c r="E36" s="13">
        <v>1594632</v>
      </c>
      <c r="F36" s="13" t="s">
        <v>20</v>
      </c>
      <c r="G36" s="14">
        <v>20305193</v>
      </c>
      <c r="H36" s="13" t="s">
        <v>396</v>
      </c>
      <c r="I36" s="13" t="s">
        <v>22</v>
      </c>
      <c r="J36" s="14">
        <v>2</v>
      </c>
      <c r="K36" s="14">
        <v>2</v>
      </c>
      <c r="L36" s="15">
        <v>4.8</v>
      </c>
      <c r="M36" s="15">
        <v>9.6</v>
      </c>
    </row>
    <row r="37" spans="4:13">
      <c r="D37" s="12">
        <v>46126</v>
      </c>
      <c r="E37" s="13">
        <v>1594632</v>
      </c>
      <c r="F37" s="13" t="s">
        <v>20</v>
      </c>
      <c r="G37" s="14">
        <v>20310576</v>
      </c>
      <c r="H37" s="13" t="s">
        <v>550</v>
      </c>
      <c r="I37" s="13" t="s">
        <v>33</v>
      </c>
      <c r="J37" s="14">
        <v>2</v>
      </c>
      <c r="K37" s="14">
        <v>2</v>
      </c>
      <c r="L37" s="15">
        <v>4.8</v>
      </c>
      <c r="M37" s="15">
        <v>9.6</v>
      </c>
    </row>
    <row r="38" spans="4:13">
      <c r="D38" s="12">
        <v>46126</v>
      </c>
      <c r="E38" s="13">
        <v>1594632</v>
      </c>
      <c r="F38" s="13" t="s">
        <v>20</v>
      </c>
      <c r="G38" s="14">
        <v>20303866</v>
      </c>
      <c r="H38" s="13" t="s">
        <v>69</v>
      </c>
      <c r="I38" s="13" t="s">
        <v>33</v>
      </c>
      <c r="J38" s="14">
        <v>3</v>
      </c>
      <c r="K38" s="14">
        <v>3</v>
      </c>
      <c r="L38" s="15">
        <v>4.8</v>
      </c>
      <c r="M38" s="15">
        <v>14.4</v>
      </c>
    </row>
    <row r="39" spans="4:13">
      <c r="D39" s="12">
        <v>46126</v>
      </c>
      <c r="E39" s="13">
        <v>1594632</v>
      </c>
      <c r="F39" s="13" t="s">
        <v>42</v>
      </c>
      <c r="G39" s="14">
        <v>20323744</v>
      </c>
      <c r="H39" s="13" t="s">
        <v>551</v>
      </c>
      <c r="I39" s="13" t="s">
        <v>83</v>
      </c>
      <c r="J39" s="14">
        <v>1</v>
      </c>
      <c r="K39" s="14">
        <v>11</v>
      </c>
      <c r="L39" s="15">
        <v>36.3</v>
      </c>
      <c r="M39" s="15">
        <v>36.3</v>
      </c>
    </row>
    <row r="40" spans="4:13">
      <c r="D40" s="12">
        <v>46129</v>
      </c>
      <c r="E40" s="13">
        <v>1595758</v>
      </c>
      <c r="F40" s="13" t="s">
        <v>20</v>
      </c>
      <c r="G40" s="14">
        <v>20305064</v>
      </c>
      <c r="H40" s="13" t="s">
        <v>548</v>
      </c>
      <c r="I40" s="13" t="s">
        <v>549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46129</v>
      </c>
      <c r="E41" s="13">
        <v>1595758</v>
      </c>
      <c r="F41" s="13" t="s">
        <v>20</v>
      </c>
      <c r="G41" s="14">
        <v>20310576</v>
      </c>
      <c r="H41" s="13" t="s">
        <v>550</v>
      </c>
      <c r="I41" s="13" t="s">
        <v>33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46129</v>
      </c>
      <c r="E42" s="13">
        <v>1595758</v>
      </c>
      <c r="F42" s="13" t="s">
        <v>20</v>
      </c>
      <c r="G42" s="14">
        <v>20303866</v>
      </c>
      <c r="H42" s="13" t="s">
        <v>69</v>
      </c>
      <c r="I42" s="13" t="s">
        <v>33</v>
      </c>
      <c r="J42" s="14">
        <v>7</v>
      </c>
      <c r="K42" s="14">
        <v>7</v>
      </c>
      <c r="L42" s="15">
        <v>4.8</v>
      </c>
      <c r="M42" s="15">
        <v>33.6</v>
      </c>
    </row>
    <row r="43" spans="4:13">
      <c r="D43" s="12">
        <v>46129</v>
      </c>
      <c r="E43" s="13">
        <v>1595758</v>
      </c>
      <c r="F43" s="13" t="s">
        <v>42</v>
      </c>
      <c r="G43" s="14">
        <v>20323744</v>
      </c>
      <c r="H43" s="13" t="s">
        <v>551</v>
      </c>
      <c r="I43" s="13" t="s">
        <v>83</v>
      </c>
      <c r="J43" s="14">
        <v>1</v>
      </c>
      <c r="K43" s="14">
        <v>11</v>
      </c>
      <c r="L43" s="15">
        <v>36.3</v>
      </c>
      <c r="M43" s="15">
        <v>36.3</v>
      </c>
    </row>
    <row r="44" ht="0.05" customHeight="1"/>
  </sheetData>
  <autoFilter xmlns:etc="http://www.wps.cn/officeDocument/2017/etCustomData" ref="A7:M43" etc:filterBottomFollowUsedRange="0">
    <extLst/>
  </autoFilter>
  <mergeCells count="5">
    <mergeCell ref="D8:I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18" activePane="bottomLeft" state="frozen"/>
      <selection/>
      <selection pane="bottomLeft" activeCell="M9" sqref="M9:M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64</v>
      </c>
      <c r="K8" s="10">
        <v>232</v>
      </c>
      <c r="L8" s="11"/>
      <c r="M8" s="11">
        <v>834.6</v>
      </c>
    </row>
    <row r="9" spans="1:13">
      <c r="D9" s="12">
        <v>46105</v>
      </c>
      <c r="E9" s="13">
        <v>1588570</v>
      </c>
      <c r="F9" s="13" t="s">
        <v>20</v>
      </c>
      <c r="G9" s="14">
        <v>20303859</v>
      </c>
      <c r="H9" s="13" t="s">
        <v>46</v>
      </c>
      <c r="I9" s="13" t="s">
        <v>35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46105</v>
      </c>
      <c r="E10" s="13">
        <v>1588570</v>
      </c>
      <c r="F10" s="13" t="s">
        <v>20</v>
      </c>
      <c r="G10" s="14">
        <v>20303858</v>
      </c>
      <c r="H10" s="13" t="s">
        <v>552</v>
      </c>
      <c r="I10" s="13" t="s">
        <v>33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46105</v>
      </c>
      <c r="E11" s="13">
        <v>1588570</v>
      </c>
      <c r="F11" s="13" t="s">
        <v>20</v>
      </c>
      <c r="G11" s="14">
        <v>20309578</v>
      </c>
      <c r="H11" s="13" t="s">
        <v>555</v>
      </c>
      <c r="I11" s="13" t="s">
        <v>33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46105</v>
      </c>
      <c r="E12" s="13">
        <v>1588570</v>
      </c>
      <c r="F12" s="13" t="s">
        <v>20</v>
      </c>
      <c r="G12" s="14">
        <v>20345331</v>
      </c>
      <c r="H12" s="13" t="s">
        <v>556</v>
      </c>
      <c r="I12" s="13" t="s">
        <v>33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46105</v>
      </c>
      <c r="E13" s="13">
        <v>1588570</v>
      </c>
      <c r="F13" s="13" t="s">
        <v>20</v>
      </c>
      <c r="G13" s="14">
        <v>20310576</v>
      </c>
      <c r="H13" s="13" t="s">
        <v>550</v>
      </c>
      <c r="I13" s="13" t="s">
        <v>33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46105</v>
      </c>
      <c r="E14" s="13">
        <v>1588570</v>
      </c>
      <c r="F14" s="13" t="s">
        <v>20</v>
      </c>
      <c r="G14" s="14">
        <v>20303866</v>
      </c>
      <c r="H14" s="13" t="s">
        <v>69</v>
      </c>
      <c r="I14" s="13" t="s">
        <v>33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46105</v>
      </c>
      <c r="E15" s="13">
        <v>1588570</v>
      </c>
      <c r="F15" s="13" t="s">
        <v>42</v>
      </c>
      <c r="G15" s="14">
        <v>20368028</v>
      </c>
      <c r="H15" s="13" t="s">
        <v>557</v>
      </c>
      <c r="I15" s="13" t="s">
        <v>221</v>
      </c>
      <c r="J15" s="14">
        <v>1</v>
      </c>
      <c r="K15" s="14">
        <v>17</v>
      </c>
      <c r="L15" s="15">
        <v>56.1</v>
      </c>
      <c r="M15" s="15">
        <v>56.1</v>
      </c>
    </row>
    <row r="16" spans="1:13">
      <c r="D16" s="12">
        <v>46105</v>
      </c>
      <c r="E16" s="13">
        <v>1588570</v>
      </c>
      <c r="F16" s="13" t="s">
        <v>47</v>
      </c>
      <c r="G16" s="14">
        <v>20309406</v>
      </c>
      <c r="H16" s="13" t="s">
        <v>558</v>
      </c>
      <c r="I16" s="13" t="s">
        <v>44</v>
      </c>
      <c r="J16" s="14">
        <v>2</v>
      </c>
      <c r="K16" s="14">
        <v>10</v>
      </c>
      <c r="L16" s="15">
        <v>16.5</v>
      </c>
      <c r="M16" s="15">
        <v>33</v>
      </c>
    </row>
    <row r="17" spans="4:13">
      <c r="D17" s="12">
        <v>46108</v>
      </c>
      <c r="E17" s="13">
        <v>1589686</v>
      </c>
      <c r="F17" s="13" t="s">
        <v>20</v>
      </c>
      <c r="G17" s="14">
        <v>20312296</v>
      </c>
      <c r="H17" s="13" t="s">
        <v>559</v>
      </c>
      <c r="I17" s="13" t="s">
        <v>560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46108</v>
      </c>
      <c r="E18" s="13">
        <v>1589686</v>
      </c>
      <c r="F18" s="13" t="s">
        <v>20</v>
      </c>
      <c r="G18" s="14">
        <v>20303858</v>
      </c>
      <c r="H18" s="13" t="s">
        <v>552</v>
      </c>
      <c r="I18" s="13" t="s">
        <v>33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46108</v>
      </c>
      <c r="E19" s="13">
        <v>1589686</v>
      </c>
      <c r="F19" s="13" t="s">
        <v>20</v>
      </c>
      <c r="G19" s="14">
        <v>20310576</v>
      </c>
      <c r="H19" s="13" t="s">
        <v>550</v>
      </c>
      <c r="I19" s="13" t="s">
        <v>33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46108</v>
      </c>
      <c r="E20" s="13">
        <v>1589686</v>
      </c>
      <c r="F20" s="13" t="s">
        <v>42</v>
      </c>
      <c r="G20" s="14">
        <v>20368028</v>
      </c>
      <c r="H20" s="13" t="s">
        <v>557</v>
      </c>
      <c r="I20" s="13" t="s">
        <v>221</v>
      </c>
      <c r="J20" s="14">
        <v>1</v>
      </c>
      <c r="K20" s="14">
        <v>17</v>
      </c>
      <c r="L20" s="15">
        <v>56.1</v>
      </c>
      <c r="M20" s="15">
        <v>56.1</v>
      </c>
    </row>
    <row r="21" spans="4:13">
      <c r="D21" s="12">
        <v>46108</v>
      </c>
      <c r="E21" s="13">
        <v>1589686</v>
      </c>
      <c r="F21" s="13" t="s">
        <v>47</v>
      </c>
      <c r="G21" s="14">
        <v>20309406</v>
      </c>
      <c r="H21" s="13" t="s">
        <v>558</v>
      </c>
      <c r="I21" s="13" t="s">
        <v>44</v>
      </c>
      <c r="J21" s="14">
        <v>2</v>
      </c>
      <c r="K21" s="14">
        <v>10</v>
      </c>
      <c r="L21" s="15">
        <v>16.5</v>
      </c>
      <c r="M21" s="15">
        <v>33</v>
      </c>
    </row>
    <row r="22" spans="4:13">
      <c r="D22" s="12">
        <v>46112</v>
      </c>
      <c r="E22" s="13">
        <v>1590626</v>
      </c>
      <c r="F22" s="13" t="s">
        <v>20</v>
      </c>
      <c r="G22" s="14">
        <v>20303859</v>
      </c>
      <c r="H22" s="13" t="s">
        <v>46</v>
      </c>
      <c r="I22" s="13" t="s">
        <v>35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46112</v>
      </c>
      <c r="E23" s="13">
        <v>1590626</v>
      </c>
      <c r="F23" s="13" t="s">
        <v>20</v>
      </c>
      <c r="G23" s="14">
        <v>20303858</v>
      </c>
      <c r="H23" s="13" t="s">
        <v>552</v>
      </c>
      <c r="I23" s="13" t="s">
        <v>33</v>
      </c>
      <c r="J23" s="14">
        <v>3</v>
      </c>
      <c r="K23" s="14">
        <v>3</v>
      </c>
      <c r="L23" s="15">
        <v>4.8</v>
      </c>
      <c r="M23" s="15">
        <v>14.4</v>
      </c>
    </row>
    <row r="24" spans="4:13">
      <c r="D24" s="12">
        <v>46112</v>
      </c>
      <c r="E24" s="13">
        <v>1590626</v>
      </c>
      <c r="F24" s="13" t="s">
        <v>20</v>
      </c>
      <c r="G24" s="14">
        <v>20305064</v>
      </c>
      <c r="H24" s="13" t="s">
        <v>548</v>
      </c>
      <c r="I24" s="13" t="s">
        <v>549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46112</v>
      </c>
      <c r="E25" s="13">
        <v>1590626</v>
      </c>
      <c r="F25" s="13" t="s">
        <v>42</v>
      </c>
      <c r="G25" s="14">
        <v>20368028</v>
      </c>
      <c r="H25" s="13" t="s">
        <v>557</v>
      </c>
      <c r="I25" s="13" t="s">
        <v>221</v>
      </c>
      <c r="J25" s="14">
        <v>1</v>
      </c>
      <c r="K25" s="14">
        <v>17</v>
      </c>
      <c r="L25" s="15">
        <v>56.1</v>
      </c>
      <c r="M25" s="15">
        <v>56.1</v>
      </c>
    </row>
    <row r="26" spans="4:13">
      <c r="D26" s="12">
        <v>46112</v>
      </c>
      <c r="E26" s="13">
        <v>1590626</v>
      </c>
      <c r="F26" s="13" t="s">
        <v>47</v>
      </c>
      <c r="G26" s="14">
        <v>20309406</v>
      </c>
      <c r="H26" s="13" t="s">
        <v>558</v>
      </c>
      <c r="I26" s="13" t="s">
        <v>44</v>
      </c>
      <c r="J26" s="14">
        <v>3</v>
      </c>
      <c r="K26" s="14">
        <v>15</v>
      </c>
      <c r="L26" s="15">
        <v>16.5</v>
      </c>
      <c r="M26" s="15">
        <v>49.5</v>
      </c>
    </row>
    <row r="27" spans="4:13">
      <c r="D27" s="12">
        <v>46115</v>
      </c>
      <c r="E27" s="13">
        <v>1591819</v>
      </c>
      <c r="F27" s="13" t="s">
        <v>20</v>
      </c>
      <c r="G27" s="14">
        <v>20303857</v>
      </c>
      <c r="H27" s="13" t="s">
        <v>561</v>
      </c>
      <c r="I27" s="13" t="s">
        <v>33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46115</v>
      </c>
      <c r="E28" s="13">
        <v>1591819</v>
      </c>
      <c r="F28" s="13" t="s">
        <v>20</v>
      </c>
      <c r="G28" s="14">
        <v>20309578</v>
      </c>
      <c r="H28" s="13" t="s">
        <v>555</v>
      </c>
      <c r="I28" s="13" t="s">
        <v>33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46115</v>
      </c>
      <c r="E29" s="13">
        <v>1591819</v>
      </c>
      <c r="F29" s="13" t="s">
        <v>20</v>
      </c>
      <c r="G29" s="14">
        <v>20310576</v>
      </c>
      <c r="H29" s="13" t="s">
        <v>550</v>
      </c>
      <c r="I29" s="13" t="s">
        <v>33</v>
      </c>
      <c r="J29" s="14">
        <v>2</v>
      </c>
      <c r="K29" s="14">
        <v>2</v>
      </c>
      <c r="L29" s="15">
        <v>4.8</v>
      </c>
      <c r="M29" s="15">
        <v>9.6</v>
      </c>
    </row>
    <row r="30" spans="4:13">
      <c r="D30" s="12">
        <v>46115</v>
      </c>
      <c r="E30" s="13">
        <v>1591819</v>
      </c>
      <c r="F30" s="13" t="s">
        <v>42</v>
      </c>
      <c r="G30" s="14">
        <v>20368028</v>
      </c>
      <c r="H30" s="13" t="s">
        <v>557</v>
      </c>
      <c r="I30" s="13" t="s">
        <v>221</v>
      </c>
      <c r="J30" s="14">
        <v>1</v>
      </c>
      <c r="K30" s="14">
        <v>17</v>
      </c>
      <c r="L30" s="15">
        <v>56.1</v>
      </c>
      <c r="M30" s="15">
        <v>56.1</v>
      </c>
    </row>
    <row r="31" spans="4:13">
      <c r="D31" s="12">
        <v>46115</v>
      </c>
      <c r="E31" s="13">
        <v>1591819</v>
      </c>
      <c r="F31" s="13" t="s">
        <v>47</v>
      </c>
      <c r="G31" s="14">
        <v>20309406</v>
      </c>
      <c r="H31" s="13" t="s">
        <v>558</v>
      </c>
      <c r="I31" s="13" t="s">
        <v>44</v>
      </c>
      <c r="J31" s="14">
        <v>2</v>
      </c>
      <c r="K31" s="14">
        <v>10</v>
      </c>
      <c r="L31" s="15">
        <v>16.5</v>
      </c>
      <c r="M31" s="15">
        <v>33</v>
      </c>
    </row>
    <row r="32" spans="4:13">
      <c r="D32" s="12">
        <v>46119</v>
      </c>
      <c r="E32" s="13">
        <v>1592416</v>
      </c>
      <c r="F32" s="13" t="s">
        <v>20</v>
      </c>
      <c r="G32" s="14">
        <v>20305194</v>
      </c>
      <c r="H32" s="13" t="s">
        <v>394</v>
      </c>
      <c r="I32" s="13" t="s">
        <v>29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46119</v>
      </c>
      <c r="E33" s="13">
        <v>1592416</v>
      </c>
      <c r="F33" s="13" t="s">
        <v>20</v>
      </c>
      <c r="G33" s="14">
        <v>20303858</v>
      </c>
      <c r="H33" s="13" t="s">
        <v>552</v>
      </c>
      <c r="I33" s="13" t="s">
        <v>33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46119</v>
      </c>
      <c r="E34" s="13">
        <v>1592416</v>
      </c>
      <c r="F34" s="13" t="s">
        <v>20</v>
      </c>
      <c r="G34" s="14">
        <v>20309578</v>
      </c>
      <c r="H34" s="13" t="s">
        <v>555</v>
      </c>
      <c r="I34" s="13" t="s">
        <v>33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46119</v>
      </c>
      <c r="E35" s="13">
        <v>1592416</v>
      </c>
      <c r="F35" s="13" t="s">
        <v>20</v>
      </c>
      <c r="G35" s="14">
        <v>20310576</v>
      </c>
      <c r="H35" s="13" t="s">
        <v>550</v>
      </c>
      <c r="I35" s="13" t="s">
        <v>33</v>
      </c>
      <c r="J35" s="14">
        <v>3</v>
      </c>
      <c r="K35" s="14">
        <v>3</v>
      </c>
      <c r="L35" s="15">
        <v>4.8</v>
      </c>
      <c r="M35" s="15">
        <v>14.4</v>
      </c>
    </row>
    <row r="36" spans="4:13">
      <c r="D36" s="12">
        <v>46119</v>
      </c>
      <c r="E36" s="13">
        <v>1592416</v>
      </c>
      <c r="F36" s="13" t="s">
        <v>20</v>
      </c>
      <c r="G36" s="14">
        <v>20303866</v>
      </c>
      <c r="H36" s="13" t="s">
        <v>69</v>
      </c>
      <c r="I36" s="13" t="s">
        <v>33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46119</v>
      </c>
      <c r="E37" s="13">
        <v>1592416</v>
      </c>
      <c r="F37" s="13" t="s">
        <v>20</v>
      </c>
      <c r="G37" s="14">
        <v>20310966</v>
      </c>
      <c r="H37" s="13" t="s">
        <v>562</v>
      </c>
      <c r="I37" s="13" t="s">
        <v>33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46119</v>
      </c>
      <c r="E38" s="13">
        <v>1592416</v>
      </c>
      <c r="F38" s="13" t="s">
        <v>42</v>
      </c>
      <c r="G38" s="14">
        <v>20368028</v>
      </c>
      <c r="H38" s="13" t="s">
        <v>557</v>
      </c>
      <c r="I38" s="13" t="s">
        <v>221</v>
      </c>
      <c r="J38" s="14">
        <v>1</v>
      </c>
      <c r="K38" s="14">
        <v>17</v>
      </c>
      <c r="L38" s="15">
        <v>56.1</v>
      </c>
      <c r="M38" s="15">
        <v>56.1</v>
      </c>
    </row>
    <row r="39" spans="4:13">
      <c r="D39" s="12">
        <v>46122</v>
      </c>
      <c r="E39" s="13">
        <v>1593642</v>
      </c>
      <c r="F39" s="13" t="s">
        <v>20</v>
      </c>
      <c r="G39" s="14">
        <v>20309578</v>
      </c>
      <c r="H39" s="13" t="s">
        <v>555</v>
      </c>
      <c r="I39" s="13" t="s">
        <v>33</v>
      </c>
      <c r="J39" s="14">
        <v>2</v>
      </c>
      <c r="K39" s="14">
        <v>2</v>
      </c>
      <c r="L39" s="15">
        <v>4.8</v>
      </c>
      <c r="M39" s="15">
        <v>9.6</v>
      </c>
    </row>
    <row r="40" spans="4:13">
      <c r="D40" s="12">
        <v>46122</v>
      </c>
      <c r="E40" s="13">
        <v>1593642</v>
      </c>
      <c r="F40" s="13" t="s">
        <v>20</v>
      </c>
      <c r="G40" s="14">
        <v>20310576</v>
      </c>
      <c r="H40" s="13" t="s">
        <v>550</v>
      </c>
      <c r="I40" s="13" t="s">
        <v>33</v>
      </c>
      <c r="J40" s="14">
        <v>3</v>
      </c>
      <c r="K40" s="14">
        <v>3</v>
      </c>
      <c r="L40" s="15">
        <v>4.8</v>
      </c>
      <c r="M40" s="15">
        <v>14.4</v>
      </c>
    </row>
    <row r="41" spans="4:13">
      <c r="D41" s="12">
        <v>46122</v>
      </c>
      <c r="E41" s="13">
        <v>1593642</v>
      </c>
      <c r="F41" s="13" t="s">
        <v>42</v>
      </c>
      <c r="G41" s="14">
        <v>20368028</v>
      </c>
      <c r="H41" s="13" t="s">
        <v>557</v>
      </c>
      <c r="I41" s="13" t="s">
        <v>221</v>
      </c>
      <c r="J41" s="14">
        <v>1</v>
      </c>
      <c r="K41" s="14">
        <v>17</v>
      </c>
      <c r="L41" s="15">
        <v>56.1</v>
      </c>
      <c r="M41" s="15">
        <v>56.1</v>
      </c>
    </row>
    <row r="42" spans="4:13">
      <c r="D42" s="12">
        <v>46126</v>
      </c>
      <c r="E42" s="13">
        <v>1594585</v>
      </c>
      <c r="F42" s="13" t="s">
        <v>20</v>
      </c>
      <c r="G42" s="14">
        <v>20312296</v>
      </c>
      <c r="H42" s="13" t="s">
        <v>559</v>
      </c>
      <c r="I42" s="13" t="s">
        <v>560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46126</v>
      </c>
      <c r="E43" s="13">
        <v>1594585</v>
      </c>
      <c r="F43" s="13" t="s">
        <v>20</v>
      </c>
      <c r="G43" s="14">
        <v>20303858</v>
      </c>
      <c r="H43" s="13" t="s">
        <v>552</v>
      </c>
      <c r="I43" s="13" t="s">
        <v>33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46126</v>
      </c>
      <c r="E44" s="13">
        <v>1594585</v>
      </c>
      <c r="F44" s="13" t="s">
        <v>20</v>
      </c>
      <c r="G44" s="14">
        <v>20309578</v>
      </c>
      <c r="H44" s="13" t="s">
        <v>555</v>
      </c>
      <c r="I44" s="13" t="s">
        <v>33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46126</v>
      </c>
      <c r="E45" s="13">
        <v>1594585</v>
      </c>
      <c r="F45" s="13" t="s">
        <v>20</v>
      </c>
      <c r="G45" s="14">
        <v>20310576</v>
      </c>
      <c r="H45" s="13" t="s">
        <v>550</v>
      </c>
      <c r="I45" s="13" t="s">
        <v>33</v>
      </c>
      <c r="J45" s="14">
        <v>2</v>
      </c>
      <c r="K45" s="14">
        <v>2</v>
      </c>
      <c r="L45" s="15">
        <v>4.8</v>
      </c>
      <c r="M45" s="15">
        <v>9.6</v>
      </c>
    </row>
    <row r="46" spans="4:13">
      <c r="D46" s="12">
        <v>46126</v>
      </c>
      <c r="E46" s="13">
        <v>1594585</v>
      </c>
      <c r="F46" s="13" t="s">
        <v>42</v>
      </c>
      <c r="G46" s="14">
        <v>20368028</v>
      </c>
      <c r="H46" s="13" t="s">
        <v>557</v>
      </c>
      <c r="I46" s="13" t="s">
        <v>221</v>
      </c>
      <c r="J46" s="14">
        <v>1</v>
      </c>
      <c r="K46" s="14">
        <v>17</v>
      </c>
      <c r="L46" s="15">
        <v>56.1</v>
      </c>
      <c r="M46" s="15">
        <v>56.1</v>
      </c>
    </row>
    <row r="47" spans="4:13">
      <c r="D47" s="12">
        <v>46129</v>
      </c>
      <c r="E47" s="13">
        <v>1595759</v>
      </c>
      <c r="F47" s="13" t="s">
        <v>20</v>
      </c>
      <c r="G47" s="14">
        <v>20303857</v>
      </c>
      <c r="H47" s="13" t="s">
        <v>561</v>
      </c>
      <c r="I47" s="13" t="s">
        <v>33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46129</v>
      </c>
      <c r="E48" s="13">
        <v>1595759</v>
      </c>
      <c r="F48" s="13" t="s">
        <v>20</v>
      </c>
      <c r="G48" s="14">
        <v>20303858</v>
      </c>
      <c r="H48" s="13" t="s">
        <v>552</v>
      </c>
      <c r="I48" s="13" t="s">
        <v>33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46129</v>
      </c>
      <c r="E49" s="13">
        <v>1595759</v>
      </c>
      <c r="F49" s="13" t="s">
        <v>20</v>
      </c>
      <c r="G49" s="14">
        <v>20305064</v>
      </c>
      <c r="H49" s="13" t="s">
        <v>548</v>
      </c>
      <c r="I49" s="13" t="s">
        <v>549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46129</v>
      </c>
      <c r="E50" s="13">
        <v>1595759</v>
      </c>
      <c r="F50" s="13" t="s">
        <v>20</v>
      </c>
      <c r="G50" s="14">
        <v>20309578</v>
      </c>
      <c r="H50" s="13" t="s">
        <v>555</v>
      </c>
      <c r="I50" s="13" t="s">
        <v>33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46129</v>
      </c>
      <c r="E51" s="13">
        <v>1595759</v>
      </c>
      <c r="F51" s="13" t="s">
        <v>20</v>
      </c>
      <c r="G51" s="14">
        <v>20310576</v>
      </c>
      <c r="H51" s="13" t="s">
        <v>550</v>
      </c>
      <c r="I51" s="13" t="s">
        <v>33</v>
      </c>
      <c r="J51" s="14">
        <v>3</v>
      </c>
      <c r="K51" s="14">
        <v>3</v>
      </c>
      <c r="L51" s="15">
        <v>4.8</v>
      </c>
      <c r="M51" s="15">
        <v>14.4</v>
      </c>
    </row>
    <row r="52" spans="4:13">
      <c r="D52" s="12">
        <v>46129</v>
      </c>
      <c r="E52" s="13">
        <v>1595759</v>
      </c>
      <c r="F52" s="13" t="s">
        <v>47</v>
      </c>
      <c r="G52" s="14">
        <v>20309406</v>
      </c>
      <c r="H52" s="13" t="s">
        <v>558</v>
      </c>
      <c r="I52" s="13" t="s">
        <v>44</v>
      </c>
      <c r="J52" s="14">
        <v>1</v>
      </c>
      <c r="K52" s="14">
        <v>5</v>
      </c>
      <c r="L52" s="15">
        <v>16.5</v>
      </c>
      <c r="M52" s="15">
        <v>16.5</v>
      </c>
    </row>
    <row r="53" spans="4:13">
      <c r="D53" s="12">
        <v>46129</v>
      </c>
      <c r="E53" s="13">
        <v>1595787</v>
      </c>
      <c r="F53" s="13" t="s">
        <v>42</v>
      </c>
      <c r="G53" s="14">
        <v>20368028</v>
      </c>
      <c r="H53" s="13" t="s">
        <v>557</v>
      </c>
      <c r="I53" s="13" t="s">
        <v>221</v>
      </c>
      <c r="J53" s="14">
        <v>1</v>
      </c>
      <c r="K53" s="14">
        <v>17</v>
      </c>
      <c r="L53" s="15">
        <v>56.1</v>
      </c>
      <c r="M53" s="15">
        <v>56.1</v>
      </c>
    </row>
  </sheetData>
  <autoFilter xmlns:etc="http://www.wps.cn/officeDocument/2017/etCustomData" ref="A7:M53" etc:filterBottomFollowUsedRange="0">
    <extLst/>
  </autoFilter>
  <mergeCells count="5">
    <mergeCell ref="D8:I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563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29</v>
      </c>
      <c r="K8" s="10">
        <v>114</v>
      </c>
      <c r="L8" s="11"/>
      <c r="M8" s="11">
        <v>859.2</v>
      </c>
    </row>
    <row r="9" spans="1:13">
      <c r="D9" s="12">
        <v>46102</v>
      </c>
      <c r="E9" s="13">
        <v>1588072</v>
      </c>
      <c r="F9" s="13" t="s">
        <v>219</v>
      </c>
      <c r="G9" s="14">
        <v>20309547</v>
      </c>
      <c r="H9" s="13" t="s">
        <v>220</v>
      </c>
      <c r="I9" s="13" t="s">
        <v>221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46104</v>
      </c>
      <c r="E10" s="13">
        <v>1588288</v>
      </c>
      <c r="F10" s="13" t="s">
        <v>15</v>
      </c>
      <c r="G10" s="14">
        <v>20353546</v>
      </c>
      <c r="H10" s="13" t="s">
        <v>564</v>
      </c>
      <c r="I10" s="13" t="s">
        <v>83</v>
      </c>
      <c r="J10" s="14">
        <v>1</v>
      </c>
      <c r="K10" s="14">
        <v>0</v>
      </c>
      <c r="L10" s="15">
        <v>21</v>
      </c>
      <c r="M10" s="15">
        <v>21</v>
      </c>
    </row>
    <row r="11" spans="1:13">
      <c r="D11" s="12">
        <v>46105</v>
      </c>
      <c r="E11" s="13">
        <v>1588744</v>
      </c>
      <c r="F11" s="13" t="s">
        <v>219</v>
      </c>
      <c r="G11" s="14">
        <v>20309547</v>
      </c>
      <c r="H11" s="13" t="s">
        <v>220</v>
      </c>
      <c r="I11" s="13" t="s">
        <v>221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46107</v>
      </c>
      <c r="E12" s="13">
        <v>1589488</v>
      </c>
      <c r="F12" s="13" t="s">
        <v>219</v>
      </c>
      <c r="G12" s="14">
        <v>20309547</v>
      </c>
      <c r="H12" s="13" t="s">
        <v>220</v>
      </c>
      <c r="I12" s="13" t="s">
        <v>221</v>
      </c>
      <c r="J12" s="14">
        <v>1</v>
      </c>
      <c r="K12" s="14">
        <v>0</v>
      </c>
      <c r="L12" s="15">
        <v>21</v>
      </c>
      <c r="M12" s="15">
        <v>21</v>
      </c>
    </row>
    <row r="13" spans="1:13">
      <c r="D13" s="12">
        <v>46108</v>
      </c>
      <c r="E13" s="13">
        <v>1589800</v>
      </c>
      <c r="F13" s="13" t="s">
        <v>15</v>
      </c>
      <c r="G13" s="14">
        <v>20353546</v>
      </c>
      <c r="H13" s="13" t="s">
        <v>564</v>
      </c>
      <c r="I13" s="13" t="s">
        <v>83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46110</v>
      </c>
      <c r="E14" s="13">
        <v>1590135</v>
      </c>
      <c r="F14" s="13" t="s">
        <v>219</v>
      </c>
      <c r="G14" s="14">
        <v>20309547</v>
      </c>
      <c r="H14" s="13" t="s">
        <v>220</v>
      </c>
      <c r="I14" s="13" t="s">
        <v>221</v>
      </c>
      <c r="J14" s="14">
        <v>2</v>
      </c>
      <c r="K14" s="14">
        <v>0</v>
      </c>
      <c r="L14" s="15">
        <v>21</v>
      </c>
      <c r="M14" s="15">
        <v>42</v>
      </c>
    </row>
    <row r="15" spans="1:13">
      <c r="D15" s="12">
        <v>46112</v>
      </c>
      <c r="E15" s="13">
        <v>1590833</v>
      </c>
      <c r="F15" s="13" t="s">
        <v>219</v>
      </c>
      <c r="G15" s="14">
        <v>20309547</v>
      </c>
      <c r="H15" s="13" t="s">
        <v>220</v>
      </c>
      <c r="I15" s="13" t="s">
        <v>221</v>
      </c>
      <c r="J15" s="14">
        <v>1</v>
      </c>
      <c r="K15" s="14">
        <v>0</v>
      </c>
      <c r="L15" s="15">
        <v>21</v>
      </c>
      <c r="M15" s="15">
        <v>21</v>
      </c>
    </row>
    <row r="16" spans="1:13">
      <c r="D16" s="12">
        <v>46113</v>
      </c>
      <c r="E16" s="13">
        <v>1591130</v>
      </c>
      <c r="F16" s="13" t="s">
        <v>15</v>
      </c>
      <c r="G16" s="14">
        <v>20353546</v>
      </c>
      <c r="H16" s="13" t="s">
        <v>564</v>
      </c>
      <c r="I16" s="13" t="s">
        <v>83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46114</v>
      </c>
      <c r="E17" s="13">
        <v>1591573</v>
      </c>
      <c r="F17" s="13" t="s">
        <v>219</v>
      </c>
      <c r="G17" s="14">
        <v>20309547</v>
      </c>
      <c r="H17" s="13" t="s">
        <v>220</v>
      </c>
      <c r="I17" s="13" t="s">
        <v>221</v>
      </c>
      <c r="J17" s="14">
        <v>1</v>
      </c>
      <c r="K17" s="14">
        <v>0</v>
      </c>
      <c r="L17" s="15">
        <v>21</v>
      </c>
      <c r="M17" s="15">
        <v>21</v>
      </c>
    </row>
    <row r="18" spans="4:13">
      <c r="D18" s="12">
        <v>46114</v>
      </c>
      <c r="E18" s="13">
        <v>1591603</v>
      </c>
      <c r="F18" s="13" t="s">
        <v>15</v>
      </c>
      <c r="G18" s="14">
        <v>20353546</v>
      </c>
      <c r="H18" s="13" t="s">
        <v>564</v>
      </c>
      <c r="I18" s="13" t="s">
        <v>83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6">
        <v>46115</v>
      </c>
      <c r="E19" s="17">
        <v>1591820</v>
      </c>
      <c r="F19" s="18" t="s">
        <v>565</v>
      </c>
      <c r="G19" s="19">
        <v>20401799</v>
      </c>
      <c r="H19" s="18" t="s">
        <v>324</v>
      </c>
      <c r="I19" s="18" t="s">
        <v>566</v>
      </c>
      <c r="J19" s="19">
        <v>1</v>
      </c>
      <c r="K19" s="19">
        <v>19</v>
      </c>
      <c r="L19" s="20">
        <f>K19*3.3</f>
        <v>62.7</v>
      </c>
      <c r="M19" s="20">
        <f>L19*J19</f>
        <v>62.7</v>
      </c>
    </row>
    <row r="20" spans="4:13">
      <c r="D20" s="16">
        <v>46115</v>
      </c>
      <c r="E20" s="17">
        <v>1591888</v>
      </c>
      <c r="F20" s="18" t="s">
        <v>567</v>
      </c>
      <c r="G20" s="19">
        <v>20353546</v>
      </c>
      <c r="H20" s="18" t="s">
        <v>564</v>
      </c>
      <c r="I20" s="18" t="s">
        <v>568</v>
      </c>
      <c r="J20" s="19">
        <v>1</v>
      </c>
      <c r="K20" s="19">
        <v>0</v>
      </c>
      <c r="L20" s="20">
        <v>21</v>
      </c>
      <c r="M20" s="20">
        <v>21</v>
      </c>
    </row>
    <row r="21" spans="4:13">
      <c r="D21" s="16">
        <v>46115</v>
      </c>
      <c r="E21" s="17">
        <v>1591977</v>
      </c>
      <c r="F21" s="18" t="s">
        <v>565</v>
      </c>
      <c r="G21" s="19">
        <v>20401799</v>
      </c>
      <c r="H21" s="18" t="s">
        <v>324</v>
      </c>
      <c r="I21" s="18" t="s">
        <v>566</v>
      </c>
      <c r="J21" s="19">
        <v>2</v>
      </c>
      <c r="K21" s="19">
        <v>38</v>
      </c>
      <c r="L21" s="20">
        <v>62.7</v>
      </c>
      <c r="M21" s="20">
        <f>L21*J21</f>
        <v>125.4</v>
      </c>
    </row>
    <row r="22" spans="4:13">
      <c r="D22" s="16">
        <v>46117</v>
      </c>
      <c r="E22" s="17">
        <v>1592227</v>
      </c>
      <c r="F22" s="18" t="s">
        <v>569</v>
      </c>
      <c r="G22" s="19">
        <v>20309547</v>
      </c>
      <c r="H22" s="18" t="s">
        <v>570</v>
      </c>
      <c r="I22" s="18" t="s">
        <v>571</v>
      </c>
      <c r="J22" s="19">
        <v>2</v>
      </c>
      <c r="K22" s="19">
        <v>0</v>
      </c>
      <c r="L22" s="20">
        <v>21</v>
      </c>
      <c r="M22" s="20">
        <v>42</v>
      </c>
    </row>
    <row r="23" spans="4:13">
      <c r="D23" s="16">
        <v>46119</v>
      </c>
      <c r="E23" s="17">
        <v>1592480</v>
      </c>
      <c r="F23" s="18" t="s">
        <v>567</v>
      </c>
      <c r="G23" s="19">
        <v>20353546</v>
      </c>
      <c r="H23" s="18" t="s">
        <v>564</v>
      </c>
      <c r="I23" s="18" t="s">
        <v>568</v>
      </c>
      <c r="J23" s="19">
        <v>1</v>
      </c>
      <c r="K23" s="19">
        <v>0</v>
      </c>
      <c r="L23" s="20">
        <v>21</v>
      </c>
      <c r="M23" s="20">
        <v>21</v>
      </c>
    </row>
    <row r="24" spans="4:13">
      <c r="D24" s="16">
        <v>46120</v>
      </c>
      <c r="E24" s="17">
        <v>1592989</v>
      </c>
      <c r="F24" s="18" t="s">
        <v>569</v>
      </c>
      <c r="G24" s="19">
        <v>20309547</v>
      </c>
      <c r="H24" s="18" t="s">
        <v>570</v>
      </c>
      <c r="I24" s="18" t="s">
        <v>571</v>
      </c>
      <c r="J24" s="19">
        <v>1</v>
      </c>
      <c r="K24" s="19">
        <v>0</v>
      </c>
      <c r="L24" s="20">
        <v>21</v>
      </c>
      <c r="M24" s="20">
        <v>21</v>
      </c>
    </row>
    <row r="25" spans="4:13">
      <c r="D25" s="16">
        <v>46122</v>
      </c>
      <c r="E25" s="17">
        <v>1593830</v>
      </c>
      <c r="F25" s="18" t="s">
        <v>569</v>
      </c>
      <c r="G25" s="19">
        <v>20309547</v>
      </c>
      <c r="H25" s="18" t="s">
        <v>570</v>
      </c>
      <c r="I25" s="18" t="s">
        <v>571</v>
      </c>
      <c r="J25" s="19">
        <v>2</v>
      </c>
      <c r="K25" s="19">
        <v>0</v>
      </c>
      <c r="L25" s="20">
        <v>21</v>
      </c>
      <c r="M25" s="20">
        <v>42</v>
      </c>
    </row>
    <row r="26" spans="4:13">
      <c r="D26" s="16">
        <v>46126</v>
      </c>
      <c r="E26" s="17">
        <v>1594687</v>
      </c>
      <c r="F26" s="18" t="s">
        <v>565</v>
      </c>
      <c r="G26" s="19">
        <v>20401799</v>
      </c>
      <c r="H26" s="18" t="s">
        <v>324</v>
      </c>
      <c r="I26" s="18" t="s">
        <v>566</v>
      </c>
      <c r="J26" s="19">
        <v>3</v>
      </c>
      <c r="K26" s="19">
        <v>57</v>
      </c>
      <c r="L26" s="20">
        <v>62.7</v>
      </c>
      <c r="M26" s="20">
        <f>L26*J26</f>
        <v>188.1</v>
      </c>
    </row>
    <row r="27" spans="4:13">
      <c r="D27" s="16">
        <v>46126</v>
      </c>
      <c r="E27" s="17">
        <v>1594796</v>
      </c>
      <c r="F27" s="18" t="s">
        <v>569</v>
      </c>
      <c r="G27" s="19">
        <v>20309547</v>
      </c>
      <c r="H27" s="18" t="s">
        <v>570</v>
      </c>
      <c r="I27" s="18" t="s">
        <v>571</v>
      </c>
      <c r="J27" s="19">
        <v>1</v>
      </c>
      <c r="K27" s="19">
        <v>0</v>
      </c>
      <c r="L27" s="20">
        <v>21</v>
      </c>
      <c r="M27" s="20">
        <v>21</v>
      </c>
    </row>
    <row r="28" spans="4:13">
      <c r="D28" s="16">
        <v>46128</v>
      </c>
      <c r="E28" s="17">
        <v>1595526</v>
      </c>
      <c r="F28" s="18" t="s">
        <v>569</v>
      </c>
      <c r="G28" s="19">
        <v>20309547</v>
      </c>
      <c r="H28" s="18" t="s">
        <v>570</v>
      </c>
      <c r="I28" s="18" t="s">
        <v>571</v>
      </c>
      <c r="J28" s="19">
        <v>1</v>
      </c>
      <c r="K28" s="19">
        <v>0</v>
      </c>
      <c r="L28" s="20">
        <v>21</v>
      </c>
      <c r="M28" s="20">
        <v>21</v>
      </c>
    </row>
    <row r="29" spans="4:13">
      <c r="D29" s="16">
        <v>46129</v>
      </c>
      <c r="E29" s="17">
        <v>1595848</v>
      </c>
      <c r="F29" s="18" t="s">
        <v>567</v>
      </c>
      <c r="G29" s="19">
        <v>20353546</v>
      </c>
      <c r="H29" s="18" t="s">
        <v>564</v>
      </c>
      <c r="I29" s="18" t="s">
        <v>568</v>
      </c>
      <c r="J29" s="19">
        <v>1</v>
      </c>
      <c r="K29" s="19">
        <v>0</v>
      </c>
      <c r="L29" s="20">
        <v>21</v>
      </c>
      <c r="M29" s="20">
        <v>21</v>
      </c>
    </row>
    <row r="30" spans="4:13">
      <c r="D30" s="16">
        <v>46130</v>
      </c>
      <c r="E30" s="17">
        <v>1596102</v>
      </c>
      <c r="F30" s="18" t="s">
        <v>569</v>
      </c>
      <c r="G30" s="19">
        <v>20309547</v>
      </c>
      <c r="H30" s="18" t="s">
        <v>570</v>
      </c>
      <c r="I30" s="18" t="s">
        <v>571</v>
      </c>
      <c r="J30" s="19">
        <v>1</v>
      </c>
      <c r="K30" s="19">
        <v>0</v>
      </c>
      <c r="L30" s="20">
        <v>21</v>
      </c>
      <c r="M30" s="20">
        <v>21</v>
      </c>
    </row>
    <row r="31" spans="4:13">
      <c r="D31" s="12">
        <v>46132</v>
      </c>
      <c r="E31" s="13">
        <v>1596373</v>
      </c>
      <c r="F31" s="13" t="s">
        <v>15</v>
      </c>
      <c r="G31" s="14">
        <v>20364096</v>
      </c>
      <c r="H31" s="13" t="s">
        <v>572</v>
      </c>
      <c r="I31" s="13" t="s">
        <v>2</v>
      </c>
      <c r="J31" s="14">
        <v>1</v>
      </c>
      <c r="K31" s="14">
        <v>0</v>
      </c>
      <c r="L31" s="15">
        <v>21</v>
      </c>
      <c r="M31" s="15">
        <v>21</v>
      </c>
    </row>
  </sheetData>
  <autoFilter xmlns:etc="http://www.wps.cn/officeDocument/2017/etCustomData" ref="A7:M31" etc:filterBottomFollowUsedRange="0">
    <extLst/>
  </autoFilter>
  <mergeCells count="5">
    <mergeCell ref="D8:I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view="pageBreakPreview" zoomScaleNormal="100" workbookViewId="0">
      <pane ySplit="6" topLeftCell="A28" activePane="bottomLeft" state="frozen"/>
      <selection/>
      <selection pane="bottomLeft" activeCell="M9" sqref="M9:M5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70</v>
      </c>
      <c r="K8" s="10">
        <v>190</v>
      </c>
      <c r="L8" s="11"/>
      <c r="M8" s="11">
        <v>747.9</v>
      </c>
    </row>
    <row r="9" spans="1:13">
      <c r="D9" s="12">
        <v>46103</v>
      </c>
      <c r="E9" s="13">
        <v>1588112</v>
      </c>
      <c r="F9" s="13" t="s">
        <v>20</v>
      </c>
      <c r="G9" s="14">
        <v>20312795</v>
      </c>
      <c r="H9" s="13" t="s">
        <v>574</v>
      </c>
      <c r="I9" s="13" t="s">
        <v>31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46103</v>
      </c>
      <c r="E10" s="13">
        <v>1588112</v>
      </c>
      <c r="F10" s="13" t="s">
        <v>20</v>
      </c>
      <c r="G10" s="14">
        <v>20316042</v>
      </c>
      <c r="H10" s="13" t="s">
        <v>34</v>
      </c>
      <c r="I10" s="13" t="s">
        <v>35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46104</v>
      </c>
      <c r="E11" s="13">
        <v>1588200</v>
      </c>
      <c r="F11" s="13" t="s">
        <v>20</v>
      </c>
      <c r="G11" s="14">
        <v>20312795</v>
      </c>
      <c r="H11" s="13" t="s">
        <v>574</v>
      </c>
      <c r="I11" s="13" t="s">
        <v>31</v>
      </c>
      <c r="J11" s="14">
        <v>2</v>
      </c>
      <c r="K11" s="14">
        <v>8</v>
      </c>
      <c r="L11" s="15">
        <v>13.2</v>
      </c>
      <c r="M11" s="15">
        <v>26.4</v>
      </c>
    </row>
    <row r="12" spans="1:13">
      <c r="D12" s="12">
        <v>46104</v>
      </c>
      <c r="E12" s="13">
        <v>1588200</v>
      </c>
      <c r="F12" s="13" t="s">
        <v>42</v>
      </c>
      <c r="G12" s="14">
        <v>20310518</v>
      </c>
      <c r="H12" s="13" t="s">
        <v>43</v>
      </c>
      <c r="I12" s="13" t="s">
        <v>44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46105</v>
      </c>
      <c r="E13" s="13">
        <v>1588571</v>
      </c>
      <c r="F13" s="13" t="s">
        <v>20</v>
      </c>
      <c r="G13" s="14">
        <v>20316042</v>
      </c>
      <c r="H13" s="13" t="s">
        <v>34</v>
      </c>
      <c r="I13" s="13" t="s">
        <v>35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46106</v>
      </c>
      <c r="E14" s="13">
        <v>1588946</v>
      </c>
      <c r="F14" s="13" t="s">
        <v>20</v>
      </c>
      <c r="G14" s="14">
        <v>20312795</v>
      </c>
      <c r="H14" s="13" t="s">
        <v>574</v>
      </c>
      <c r="I14" s="13" t="s">
        <v>31</v>
      </c>
      <c r="J14" s="14">
        <v>1</v>
      </c>
      <c r="K14" s="14">
        <v>4</v>
      </c>
      <c r="L14" s="15">
        <v>13.2</v>
      </c>
      <c r="M14" s="15">
        <v>13.2</v>
      </c>
    </row>
    <row r="15" ht="25.5" spans="1:13">
      <c r="D15" s="12">
        <v>46107</v>
      </c>
      <c r="E15" s="13">
        <v>1589305</v>
      </c>
      <c r="F15" s="13" t="s">
        <v>20</v>
      </c>
      <c r="G15" s="14">
        <v>20303687</v>
      </c>
      <c r="H15" s="13" t="s">
        <v>575</v>
      </c>
      <c r="I15" s="13" t="s">
        <v>31</v>
      </c>
      <c r="J15" s="14">
        <v>2</v>
      </c>
      <c r="K15" s="14">
        <v>4</v>
      </c>
      <c r="L15" s="15">
        <v>9.9</v>
      </c>
      <c r="M15" s="15">
        <v>19.8</v>
      </c>
    </row>
    <row r="16" spans="1:13">
      <c r="D16" s="12">
        <v>46107</v>
      </c>
      <c r="E16" s="13">
        <v>1589305</v>
      </c>
      <c r="F16" s="13" t="s">
        <v>20</v>
      </c>
      <c r="G16" s="14">
        <v>20316042</v>
      </c>
      <c r="H16" s="13" t="s">
        <v>34</v>
      </c>
      <c r="I16" s="13" t="s">
        <v>35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46107</v>
      </c>
      <c r="E17" s="13">
        <v>1589305</v>
      </c>
      <c r="F17" s="13" t="s">
        <v>42</v>
      </c>
      <c r="G17" s="14">
        <v>20310518</v>
      </c>
      <c r="H17" s="13" t="s">
        <v>43</v>
      </c>
      <c r="I17" s="13" t="s">
        <v>44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46108</v>
      </c>
      <c r="E18" s="13">
        <v>1589687</v>
      </c>
      <c r="F18" s="13" t="s">
        <v>20</v>
      </c>
      <c r="G18" s="14">
        <v>20312795</v>
      </c>
      <c r="H18" s="13" t="s">
        <v>574</v>
      </c>
      <c r="I18" s="13" t="s">
        <v>31</v>
      </c>
      <c r="J18" s="14">
        <v>2</v>
      </c>
      <c r="K18" s="14">
        <v>8</v>
      </c>
      <c r="L18" s="15">
        <v>13.2</v>
      </c>
      <c r="M18" s="15">
        <v>26.4</v>
      </c>
    </row>
    <row r="19" ht="25.5" spans="4:13">
      <c r="D19" s="12">
        <v>46110</v>
      </c>
      <c r="E19" s="13">
        <v>1590136</v>
      </c>
      <c r="F19" s="13" t="s">
        <v>20</v>
      </c>
      <c r="G19" s="14">
        <v>20303687</v>
      </c>
      <c r="H19" s="13" t="s">
        <v>575</v>
      </c>
      <c r="I19" s="13" t="s">
        <v>31</v>
      </c>
      <c r="J19" s="14">
        <v>1</v>
      </c>
      <c r="K19" s="14">
        <v>2</v>
      </c>
      <c r="L19" s="15">
        <v>9.9</v>
      </c>
      <c r="M19" s="15">
        <v>9.9</v>
      </c>
    </row>
    <row r="20" spans="4:13">
      <c r="D20" s="12">
        <v>46110</v>
      </c>
      <c r="E20" s="13">
        <v>1590136</v>
      </c>
      <c r="F20" s="13" t="s">
        <v>20</v>
      </c>
      <c r="G20" s="14">
        <v>20312795</v>
      </c>
      <c r="H20" s="13" t="s">
        <v>574</v>
      </c>
      <c r="I20" s="13" t="s">
        <v>31</v>
      </c>
      <c r="J20" s="14">
        <v>4</v>
      </c>
      <c r="K20" s="14">
        <v>16</v>
      </c>
      <c r="L20" s="15">
        <v>13.2</v>
      </c>
      <c r="M20" s="15">
        <v>52.8</v>
      </c>
    </row>
    <row r="21" spans="4:13">
      <c r="D21" s="12">
        <v>46111</v>
      </c>
      <c r="E21" s="13">
        <v>1590239</v>
      </c>
      <c r="F21" s="13" t="s">
        <v>20</v>
      </c>
      <c r="G21" s="14">
        <v>20312795</v>
      </c>
      <c r="H21" s="13" t="s">
        <v>574</v>
      </c>
      <c r="I21" s="13" t="s">
        <v>31</v>
      </c>
      <c r="J21" s="14">
        <v>2</v>
      </c>
      <c r="K21" s="14">
        <v>8</v>
      </c>
      <c r="L21" s="15">
        <v>13.2</v>
      </c>
      <c r="M21" s="15">
        <v>26.4</v>
      </c>
    </row>
    <row r="22" spans="4:13">
      <c r="D22" s="12">
        <v>46111</v>
      </c>
      <c r="E22" s="13">
        <v>1590239</v>
      </c>
      <c r="F22" s="13" t="s">
        <v>42</v>
      </c>
      <c r="G22" s="14">
        <v>20310518</v>
      </c>
      <c r="H22" s="13" t="s">
        <v>43</v>
      </c>
      <c r="I22" s="13" t="s">
        <v>44</v>
      </c>
      <c r="J22" s="14">
        <v>1</v>
      </c>
      <c r="K22" s="14">
        <v>2</v>
      </c>
      <c r="L22" s="15">
        <v>9.9</v>
      </c>
      <c r="M22" s="15">
        <v>9.9</v>
      </c>
    </row>
    <row r="23" ht="25.5" spans="4:13">
      <c r="D23" s="12">
        <v>46112</v>
      </c>
      <c r="E23" s="13">
        <v>1590628</v>
      </c>
      <c r="F23" s="13" t="s">
        <v>20</v>
      </c>
      <c r="G23" s="14">
        <v>20303687</v>
      </c>
      <c r="H23" s="13" t="s">
        <v>575</v>
      </c>
      <c r="I23" s="13" t="s">
        <v>31</v>
      </c>
      <c r="J23" s="14">
        <v>1</v>
      </c>
      <c r="K23" s="14">
        <v>2</v>
      </c>
      <c r="L23" s="15">
        <v>9.9</v>
      </c>
      <c r="M23" s="15">
        <v>9.9</v>
      </c>
    </row>
    <row r="24" spans="4:13">
      <c r="D24" s="12">
        <v>46112</v>
      </c>
      <c r="E24" s="13">
        <v>1590628</v>
      </c>
      <c r="F24" s="13" t="s">
        <v>20</v>
      </c>
      <c r="G24" s="14">
        <v>20312795</v>
      </c>
      <c r="H24" s="13" t="s">
        <v>574</v>
      </c>
      <c r="I24" s="13" t="s">
        <v>31</v>
      </c>
      <c r="J24" s="14">
        <v>1</v>
      </c>
      <c r="K24" s="14">
        <v>4</v>
      </c>
      <c r="L24" s="15">
        <v>13.2</v>
      </c>
      <c r="M24" s="15">
        <v>13.2</v>
      </c>
    </row>
    <row r="25" ht="25.5" spans="4:13">
      <c r="D25" s="12">
        <v>46113</v>
      </c>
      <c r="E25" s="13">
        <v>1591043</v>
      </c>
      <c r="F25" s="13" t="s">
        <v>20</v>
      </c>
      <c r="G25" s="14">
        <v>20303687</v>
      </c>
      <c r="H25" s="13" t="s">
        <v>575</v>
      </c>
      <c r="I25" s="13" t="s">
        <v>31</v>
      </c>
      <c r="J25" s="14">
        <v>2</v>
      </c>
      <c r="K25" s="14">
        <v>4</v>
      </c>
      <c r="L25" s="15">
        <v>9.9</v>
      </c>
      <c r="M25" s="15">
        <v>19.8</v>
      </c>
    </row>
    <row r="26" ht="25.5" spans="4:13">
      <c r="D26" s="12">
        <v>46114</v>
      </c>
      <c r="E26" s="13">
        <v>1591395</v>
      </c>
      <c r="F26" s="13" t="s">
        <v>20</v>
      </c>
      <c r="G26" s="14">
        <v>20303687</v>
      </c>
      <c r="H26" s="13" t="s">
        <v>575</v>
      </c>
      <c r="I26" s="13" t="s">
        <v>31</v>
      </c>
      <c r="J26" s="14">
        <v>1</v>
      </c>
      <c r="K26" s="14">
        <v>2</v>
      </c>
      <c r="L26" s="15">
        <v>9.9</v>
      </c>
      <c r="M26" s="15">
        <v>9.9</v>
      </c>
    </row>
    <row r="27" spans="4:13">
      <c r="D27" s="12">
        <v>46114</v>
      </c>
      <c r="E27" s="13">
        <v>1591395</v>
      </c>
      <c r="F27" s="13" t="s">
        <v>20</v>
      </c>
      <c r="G27" s="14">
        <v>20312795</v>
      </c>
      <c r="H27" s="13" t="s">
        <v>574</v>
      </c>
      <c r="I27" s="13" t="s">
        <v>31</v>
      </c>
      <c r="J27" s="14">
        <v>1</v>
      </c>
      <c r="K27" s="14">
        <v>4</v>
      </c>
      <c r="L27" s="15">
        <v>13.2</v>
      </c>
      <c r="M27" s="15">
        <v>13.2</v>
      </c>
    </row>
    <row r="28" spans="4:13">
      <c r="D28" s="12">
        <v>46114</v>
      </c>
      <c r="E28" s="13">
        <v>1591395</v>
      </c>
      <c r="F28" s="13" t="s">
        <v>42</v>
      </c>
      <c r="G28" s="14">
        <v>20310518</v>
      </c>
      <c r="H28" s="13" t="s">
        <v>43</v>
      </c>
      <c r="I28" s="13" t="s">
        <v>44</v>
      </c>
      <c r="J28" s="14">
        <v>1</v>
      </c>
      <c r="K28" s="14">
        <v>2</v>
      </c>
      <c r="L28" s="15">
        <v>9.9</v>
      </c>
      <c r="M28" s="15">
        <v>9.9</v>
      </c>
    </row>
    <row r="29" ht="25.5" spans="4:13">
      <c r="D29" s="12">
        <v>46115</v>
      </c>
      <c r="E29" s="13">
        <v>1591821</v>
      </c>
      <c r="F29" s="13" t="s">
        <v>20</v>
      </c>
      <c r="G29" s="14">
        <v>20303687</v>
      </c>
      <c r="H29" s="13" t="s">
        <v>575</v>
      </c>
      <c r="I29" s="13" t="s">
        <v>31</v>
      </c>
      <c r="J29" s="14">
        <v>3</v>
      </c>
      <c r="K29" s="14">
        <v>6</v>
      </c>
      <c r="L29" s="15">
        <v>9.9</v>
      </c>
      <c r="M29" s="15">
        <v>29.7</v>
      </c>
    </row>
    <row r="30" spans="4:13">
      <c r="D30" s="12">
        <v>46115</v>
      </c>
      <c r="E30" s="13">
        <v>1591821</v>
      </c>
      <c r="F30" s="13" t="s">
        <v>20</v>
      </c>
      <c r="G30" s="14">
        <v>20312795</v>
      </c>
      <c r="H30" s="13" t="s">
        <v>574</v>
      </c>
      <c r="I30" s="13" t="s">
        <v>31</v>
      </c>
      <c r="J30" s="14">
        <v>1</v>
      </c>
      <c r="K30" s="14">
        <v>4</v>
      </c>
      <c r="L30" s="15">
        <v>13.2</v>
      </c>
      <c r="M30" s="15">
        <v>13.2</v>
      </c>
    </row>
    <row r="31" ht="25.5" spans="4:13">
      <c r="D31" s="12">
        <v>46117</v>
      </c>
      <c r="E31" s="13">
        <v>1592228</v>
      </c>
      <c r="F31" s="13" t="s">
        <v>20</v>
      </c>
      <c r="G31" s="14">
        <v>20303687</v>
      </c>
      <c r="H31" s="13" t="s">
        <v>575</v>
      </c>
      <c r="I31" s="13" t="s">
        <v>31</v>
      </c>
      <c r="J31" s="14">
        <v>5</v>
      </c>
      <c r="K31" s="14">
        <v>10</v>
      </c>
      <c r="L31" s="15">
        <v>9.9</v>
      </c>
      <c r="M31" s="15">
        <v>49.5</v>
      </c>
    </row>
    <row r="32" spans="4:13">
      <c r="D32" s="12">
        <v>46117</v>
      </c>
      <c r="E32" s="13">
        <v>1592228</v>
      </c>
      <c r="F32" s="13" t="s">
        <v>20</v>
      </c>
      <c r="G32" s="14">
        <v>20312795</v>
      </c>
      <c r="H32" s="13" t="s">
        <v>574</v>
      </c>
      <c r="I32" s="13" t="s">
        <v>31</v>
      </c>
      <c r="J32" s="14">
        <v>2</v>
      </c>
      <c r="K32" s="14">
        <v>8</v>
      </c>
      <c r="L32" s="15">
        <v>13.2</v>
      </c>
      <c r="M32" s="15">
        <v>26.4</v>
      </c>
    </row>
    <row r="33" spans="4:13">
      <c r="D33" s="12">
        <v>46119</v>
      </c>
      <c r="E33" s="13">
        <v>1592414</v>
      </c>
      <c r="F33" s="13" t="s">
        <v>20</v>
      </c>
      <c r="G33" s="14">
        <v>20312795</v>
      </c>
      <c r="H33" s="13" t="s">
        <v>574</v>
      </c>
      <c r="I33" s="13" t="s">
        <v>31</v>
      </c>
      <c r="J33" s="14">
        <v>2</v>
      </c>
      <c r="K33" s="14">
        <v>8</v>
      </c>
      <c r="L33" s="15">
        <v>13.2</v>
      </c>
      <c r="M33" s="15">
        <v>26.4</v>
      </c>
    </row>
    <row r="34" spans="4:13">
      <c r="D34" s="12">
        <v>46119</v>
      </c>
      <c r="E34" s="13">
        <v>1592414</v>
      </c>
      <c r="F34" s="13" t="s">
        <v>42</v>
      </c>
      <c r="G34" s="14">
        <v>20310518</v>
      </c>
      <c r="H34" s="13" t="s">
        <v>43</v>
      </c>
      <c r="I34" s="13" t="s">
        <v>44</v>
      </c>
      <c r="J34" s="14">
        <v>1</v>
      </c>
      <c r="K34" s="14">
        <v>2</v>
      </c>
      <c r="L34" s="15">
        <v>9.9</v>
      </c>
      <c r="M34" s="15">
        <v>9.9</v>
      </c>
    </row>
    <row r="35" ht="25.5" spans="4:13">
      <c r="D35" s="12">
        <v>46120</v>
      </c>
      <c r="E35" s="13">
        <v>1592798</v>
      </c>
      <c r="F35" s="13" t="s">
        <v>20</v>
      </c>
      <c r="G35" s="14">
        <v>20303687</v>
      </c>
      <c r="H35" s="13" t="s">
        <v>575</v>
      </c>
      <c r="I35" s="13" t="s">
        <v>31</v>
      </c>
      <c r="J35" s="14">
        <v>1</v>
      </c>
      <c r="K35" s="14">
        <v>2</v>
      </c>
      <c r="L35" s="15">
        <v>9.9</v>
      </c>
      <c r="M35" s="15">
        <v>9.9</v>
      </c>
    </row>
    <row r="36" spans="4:13">
      <c r="D36" s="12">
        <v>46120</v>
      </c>
      <c r="E36" s="13">
        <v>1592798</v>
      </c>
      <c r="F36" s="13" t="s">
        <v>20</v>
      </c>
      <c r="G36" s="14">
        <v>20312795</v>
      </c>
      <c r="H36" s="13" t="s">
        <v>574</v>
      </c>
      <c r="I36" s="13" t="s">
        <v>31</v>
      </c>
      <c r="J36" s="14">
        <v>2</v>
      </c>
      <c r="K36" s="14">
        <v>8</v>
      </c>
      <c r="L36" s="15">
        <v>13.2</v>
      </c>
      <c r="M36" s="15">
        <v>26.4</v>
      </c>
    </row>
    <row r="37" spans="4:13">
      <c r="D37" s="12">
        <v>46120</v>
      </c>
      <c r="E37" s="13">
        <v>1592798</v>
      </c>
      <c r="F37" s="13" t="s">
        <v>20</v>
      </c>
      <c r="G37" s="14">
        <v>20316042</v>
      </c>
      <c r="H37" s="13" t="s">
        <v>34</v>
      </c>
      <c r="I37" s="13" t="s">
        <v>35</v>
      </c>
      <c r="J37" s="14">
        <v>1</v>
      </c>
      <c r="K37" s="14">
        <v>1</v>
      </c>
      <c r="L37" s="15">
        <v>4.8</v>
      </c>
      <c r="M37" s="15">
        <v>4.8</v>
      </c>
    </row>
    <row r="38" ht="25.5" spans="4:13">
      <c r="D38" s="12">
        <v>46121</v>
      </c>
      <c r="E38" s="13">
        <v>1593196</v>
      </c>
      <c r="F38" s="13" t="s">
        <v>20</v>
      </c>
      <c r="G38" s="14">
        <v>20303687</v>
      </c>
      <c r="H38" s="13" t="s">
        <v>575</v>
      </c>
      <c r="I38" s="13" t="s">
        <v>31</v>
      </c>
      <c r="J38" s="14">
        <v>2</v>
      </c>
      <c r="K38" s="14">
        <v>4</v>
      </c>
      <c r="L38" s="15">
        <v>9.9</v>
      </c>
      <c r="M38" s="15">
        <v>19.8</v>
      </c>
    </row>
    <row r="39" spans="4:13">
      <c r="D39" s="12">
        <v>46121</v>
      </c>
      <c r="E39" s="13">
        <v>1593196</v>
      </c>
      <c r="F39" s="13" t="s">
        <v>42</v>
      </c>
      <c r="G39" s="14">
        <v>20310518</v>
      </c>
      <c r="H39" s="13" t="s">
        <v>43</v>
      </c>
      <c r="I39" s="13" t="s">
        <v>44</v>
      </c>
      <c r="J39" s="14">
        <v>1</v>
      </c>
      <c r="K39" s="14">
        <v>2</v>
      </c>
      <c r="L39" s="15">
        <v>9.9</v>
      </c>
      <c r="M39" s="15">
        <v>9.9</v>
      </c>
    </row>
    <row r="40" spans="4:13">
      <c r="D40" s="12">
        <v>46122</v>
      </c>
      <c r="E40" s="13">
        <v>1593643</v>
      </c>
      <c r="F40" s="13" t="s">
        <v>20</v>
      </c>
      <c r="G40" s="14">
        <v>20316042</v>
      </c>
      <c r="H40" s="13" t="s">
        <v>34</v>
      </c>
      <c r="I40" s="13" t="s">
        <v>35</v>
      </c>
      <c r="J40" s="14">
        <v>1</v>
      </c>
      <c r="K40" s="14">
        <v>1</v>
      </c>
      <c r="L40" s="15">
        <v>4.8</v>
      </c>
      <c r="M40" s="15">
        <v>4.8</v>
      </c>
    </row>
    <row r="41" ht="25.5" spans="4:13">
      <c r="D41" s="12">
        <v>46124</v>
      </c>
      <c r="E41" s="13">
        <v>1594066</v>
      </c>
      <c r="F41" s="13" t="s">
        <v>20</v>
      </c>
      <c r="G41" s="14">
        <v>20303687</v>
      </c>
      <c r="H41" s="13" t="s">
        <v>575</v>
      </c>
      <c r="I41" s="13" t="s">
        <v>31</v>
      </c>
      <c r="J41" s="14">
        <v>3</v>
      </c>
      <c r="K41" s="14">
        <v>6</v>
      </c>
      <c r="L41" s="15">
        <v>9.9</v>
      </c>
      <c r="M41" s="15">
        <v>29.7</v>
      </c>
    </row>
    <row r="42" spans="4:13">
      <c r="D42" s="12">
        <v>46124</v>
      </c>
      <c r="E42" s="13">
        <v>1594066</v>
      </c>
      <c r="F42" s="13" t="s">
        <v>20</v>
      </c>
      <c r="G42" s="14">
        <v>20312795</v>
      </c>
      <c r="H42" s="13" t="s">
        <v>574</v>
      </c>
      <c r="I42" s="13" t="s">
        <v>31</v>
      </c>
      <c r="J42" s="14">
        <v>1</v>
      </c>
      <c r="K42" s="14">
        <v>4</v>
      </c>
      <c r="L42" s="15">
        <v>13.2</v>
      </c>
      <c r="M42" s="15">
        <v>13.2</v>
      </c>
    </row>
    <row r="43" spans="4:13">
      <c r="D43" s="12">
        <v>46124</v>
      </c>
      <c r="E43" s="13">
        <v>1594066</v>
      </c>
      <c r="F43" s="13" t="s">
        <v>20</v>
      </c>
      <c r="G43" s="14">
        <v>20316042</v>
      </c>
      <c r="H43" s="13" t="s">
        <v>34</v>
      </c>
      <c r="I43" s="13" t="s">
        <v>35</v>
      </c>
      <c r="J43" s="14">
        <v>1</v>
      </c>
      <c r="K43" s="14">
        <v>1</v>
      </c>
      <c r="L43" s="15">
        <v>4.8</v>
      </c>
      <c r="M43" s="15">
        <v>4.8</v>
      </c>
    </row>
    <row r="44" ht="25.5" spans="4:13">
      <c r="D44" s="12">
        <v>46125</v>
      </c>
      <c r="E44" s="13">
        <v>1594167</v>
      </c>
      <c r="F44" s="13" t="s">
        <v>20</v>
      </c>
      <c r="G44" s="14">
        <v>20303687</v>
      </c>
      <c r="H44" s="13" t="s">
        <v>575</v>
      </c>
      <c r="I44" s="13" t="s">
        <v>31</v>
      </c>
      <c r="J44" s="14">
        <v>1</v>
      </c>
      <c r="K44" s="14">
        <v>2</v>
      </c>
      <c r="L44" s="15">
        <v>9.9</v>
      </c>
      <c r="M44" s="15">
        <v>9.9</v>
      </c>
    </row>
    <row r="45" spans="4:13">
      <c r="D45" s="12">
        <v>46125</v>
      </c>
      <c r="E45" s="13">
        <v>1594167</v>
      </c>
      <c r="F45" s="13" t="s">
        <v>42</v>
      </c>
      <c r="G45" s="14">
        <v>20310518</v>
      </c>
      <c r="H45" s="13" t="s">
        <v>43</v>
      </c>
      <c r="I45" s="13" t="s">
        <v>44</v>
      </c>
      <c r="J45" s="14">
        <v>1</v>
      </c>
      <c r="K45" s="14">
        <v>2</v>
      </c>
      <c r="L45" s="15">
        <v>9.9</v>
      </c>
      <c r="M45" s="15">
        <v>9.9</v>
      </c>
    </row>
    <row r="46" spans="4:13">
      <c r="D46" s="12">
        <v>46126</v>
      </c>
      <c r="E46" s="13">
        <v>1594586</v>
      </c>
      <c r="F46" s="13" t="s">
        <v>20</v>
      </c>
      <c r="G46" s="14">
        <v>20312795</v>
      </c>
      <c r="H46" s="13" t="s">
        <v>574</v>
      </c>
      <c r="I46" s="13" t="s">
        <v>31</v>
      </c>
      <c r="J46" s="14">
        <v>1</v>
      </c>
      <c r="K46" s="14">
        <v>4</v>
      </c>
      <c r="L46" s="15">
        <v>13.2</v>
      </c>
      <c r="M46" s="15">
        <v>13.2</v>
      </c>
    </row>
    <row r="47" spans="4:13">
      <c r="D47" s="12">
        <v>46126</v>
      </c>
      <c r="E47" s="13">
        <v>1594586</v>
      </c>
      <c r="F47" s="13" t="s">
        <v>20</v>
      </c>
      <c r="G47" s="14">
        <v>20316042</v>
      </c>
      <c r="H47" s="13" t="s">
        <v>34</v>
      </c>
      <c r="I47" s="13" t="s">
        <v>35</v>
      </c>
      <c r="J47" s="14">
        <v>2</v>
      </c>
      <c r="K47" s="14">
        <v>2</v>
      </c>
      <c r="L47" s="15">
        <v>4.8</v>
      </c>
      <c r="M47" s="15">
        <v>9.6</v>
      </c>
    </row>
    <row r="48" ht="25.5" spans="4:13">
      <c r="D48" s="12">
        <v>46127</v>
      </c>
      <c r="E48" s="13">
        <v>1595010</v>
      </c>
      <c r="F48" s="13" t="s">
        <v>20</v>
      </c>
      <c r="G48" s="14">
        <v>20303687</v>
      </c>
      <c r="H48" s="13" t="s">
        <v>575</v>
      </c>
      <c r="I48" s="13" t="s">
        <v>31</v>
      </c>
      <c r="J48" s="14">
        <v>1</v>
      </c>
      <c r="K48" s="14">
        <v>2</v>
      </c>
      <c r="L48" s="15">
        <v>9.9</v>
      </c>
      <c r="M48" s="15">
        <v>9.9</v>
      </c>
    </row>
    <row r="49" spans="4:13">
      <c r="D49" s="12">
        <v>46127</v>
      </c>
      <c r="E49" s="13">
        <v>1595010</v>
      </c>
      <c r="F49" s="13" t="s">
        <v>20</v>
      </c>
      <c r="G49" s="14">
        <v>20312795</v>
      </c>
      <c r="H49" s="13" t="s">
        <v>574</v>
      </c>
      <c r="I49" s="13" t="s">
        <v>31</v>
      </c>
      <c r="J49" s="14">
        <v>2</v>
      </c>
      <c r="K49" s="14">
        <v>8</v>
      </c>
      <c r="L49" s="15">
        <v>13.2</v>
      </c>
      <c r="M49" s="15">
        <v>26.4</v>
      </c>
    </row>
    <row r="50" spans="4:13">
      <c r="D50" s="12">
        <v>46128</v>
      </c>
      <c r="E50" s="13">
        <v>1595333</v>
      </c>
      <c r="F50" s="13" t="s">
        <v>20</v>
      </c>
      <c r="G50" s="14">
        <v>20312795</v>
      </c>
      <c r="H50" s="13" t="s">
        <v>574</v>
      </c>
      <c r="I50" s="13" t="s">
        <v>31</v>
      </c>
      <c r="J50" s="14">
        <v>1</v>
      </c>
      <c r="K50" s="14">
        <v>4</v>
      </c>
      <c r="L50" s="15">
        <v>13.2</v>
      </c>
      <c r="M50" s="15">
        <v>13.2</v>
      </c>
    </row>
    <row r="51" spans="4:13">
      <c r="D51" s="12">
        <v>46128</v>
      </c>
      <c r="E51" s="13">
        <v>1595333</v>
      </c>
      <c r="F51" s="13" t="s">
        <v>42</v>
      </c>
      <c r="G51" s="14">
        <v>20310518</v>
      </c>
      <c r="H51" s="13" t="s">
        <v>43</v>
      </c>
      <c r="I51" s="13" t="s">
        <v>44</v>
      </c>
      <c r="J51" s="14">
        <v>1</v>
      </c>
      <c r="K51" s="14">
        <v>2</v>
      </c>
      <c r="L51" s="15">
        <v>9.9</v>
      </c>
      <c r="M51" s="15">
        <v>9.9</v>
      </c>
    </row>
    <row r="52" spans="4:13">
      <c r="D52" s="12">
        <v>46129</v>
      </c>
      <c r="E52" s="13">
        <v>1595760</v>
      </c>
      <c r="F52" s="13" t="s">
        <v>20</v>
      </c>
      <c r="G52" s="14">
        <v>20312795</v>
      </c>
      <c r="H52" s="13" t="s">
        <v>574</v>
      </c>
      <c r="I52" s="13" t="s">
        <v>31</v>
      </c>
      <c r="J52" s="14">
        <v>1</v>
      </c>
      <c r="K52" s="14">
        <v>4</v>
      </c>
      <c r="L52" s="15">
        <v>13.2</v>
      </c>
      <c r="M52" s="15">
        <v>13.2</v>
      </c>
    </row>
    <row r="53" ht="25.5" spans="4:13">
      <c r="D53" s="12">
        <v>46131</v>
      </c>
      <c r="E53" s="13">
        <v>1596175</v>
      </c>
      <c r="F53" s="13" t="s">
        <v>20</v>
      </c>
      <c r="G53" s="14">
        <v>20303687</v>
      </c>
      <c r="H53" s="13" t="s">
        <v>575</v>
      </c>
      <c r="I53" s="13" t="s">
        <v>31</v>
      </c>
      <c r="J53" s="14">
        <v>1</v>
      </c>
      <c r="K53" s="14">
        <v>2</v>
      </c>
      <c r="L53" s="15">
        <v>9.9</v>
      </c>
      <c r="M53" s="15">
        <v>9.9</v>
      </c>
    </row>
    <row r="54" spans="4:13">
      <c r="D54" s="12">
        <v>46132</v>
      </c>
      <c r="E54" s="13">
        <v>1596274</v>
      </c>
      <c r="F54" s="13" t="s">
        <v>20</v>
      </c>
      <c r="G54" s="14">
        <v>20312795</v>
      </c>
      <c r="H54" s="13" t="s">
        <v>574</v>
      </c>
      <c r="I54" s="13" t="s">
        <v>31</v>
      </c>
      <c r="J54" s="14">
        <v>1</v>
      </c>
      <c r="K54" s="14">
        <v>4</v>
      </c>
      <c r="L54" s="15">
        <v>13.2</v>
      </c>
      <c r="M54" s="15">
        <v>13.2</v>
      </c>
    </row>
    <row r="55" spans="4:13">
      <c r="D55" s="12">
        <v>46132</v>
      </c>
      <c r="E55" s="13">
        <v>1596274</v>
      </c>
      <c r="F55" s="13" t="s">
        <v>42</v>
      </c>
      <c r="G55" s="14">
        <v>20310518</v>
      </c>
      <c r="H55" s="13" t="s">
        <v>43</v>
      </c>
      <c r="I55" s="13" t="s">
        <v>44</v>
      </c>
      <c r="J55" s="14">
        <v>1</v>
      </c>
      <c r="K55" s="14">
        <v>2</v>
      </c>
      <c r="L55" s="15">
        <v>9.9</v>
      </c>
      <c r="M55" s="15">
        <v>9.9</v>
      </c>
    </row>
    <row r="56" ht="0.05" customHeight="1"/>
  </sheetData>
  <autoFilter xmlns:etc="http://www.wps.cn/officeDocument/2017/etCustomData" ref="A7:M55" etc:filterBottomFollowUsedRange="0">
    <extLst/>
  </autoFilter>
  <mergeCells count="5">
    <mergeCell ref="D8:I8"/>
    <mergeCell ref="C7:C55"/>
    <mergeCell ref="B4:H5"/>
    <mergeCell ref="A7:B55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showGridLines="0" view="pageBreakPreview" zoomScaleNormal="100" workbookViewId="0">
      <pane ySplit="6" topLeftCell="A54" activePane="bottomLeft" state="frozen"/>
      <selection/>
      <selection pane="bottomLeft" activeCell="M9" sqref="M9:M9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875" customWidth="1"/>
    <col min="9" max="9" width="18.125" customWidth="1"/>
    <col min="10" max="10" width="6.475" customWidth="1"/>
    <col min="11" max="11" width="9.45" customWidth="1"/>
    <col min="12" max="12" width="9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116</v>
      </c>
      <c r="K8" s="10">
        <v>357</v>
      </c>
      <c r="L8" s="11"/>
      <c r="M8" s="11">
        <v>1271.4</v>
      </c>
    </row>
    <row r="9" spans="1:13">
      <c r="D9" s="12">
        <v>46103</v>
      </c>
      <c r="E9" s="13">
        <v>1588113</v>
      </c>
      <c r="F9" s="13" t="s">
        <v>20</v>
      </c>
      <c r="G9" s="14">
        <v>20303746</v>
      </c>
      <c r="H9" s="13" t="s">
        <v>290</v>
      </c>
      <c r="I9" s="13" t="s">
        <v>31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46103</v>
      </c>
      <c r="E10" s="13">
        <v>1588113</v>
      </c>
      <c r="F10" s="13" t="s">
        <v>20</v>
      </c>
      <c r="G10" s="14">
        <v>20303747</v>
      </c>
      <c r="H10" s="13" t="s">
        <v>577</v>
      </c>
      <c r="I10" s="13" t="s">
        <v>31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46104</v>
      </c>
      <c r="E11" s="13">
        <v>1588202</v>
      </c>
      <c r="F11" s="13" t="s">
        <v>20</v>
      </c>
      <c r="G11" s="14">
        <v>20303717</v>
      </c>
      <c r="H11" s="13" t="s">
        <v>70</v>
      </c>
      <c r="I11" s="13" t="s">
        <v>35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46104</v>
      </c>
      <c r="E12" s="13">
        <v>1588202</v>
      </c>
      <c r="F12" s="13" t="s">
        <v>20</v>
      </c>
      <c r="G12" s="14">
        <v>20303863</v>
      </c>
      <c r="H12" s="13" t="s">
        <v>28</v>
      </c>
      <c r="I12" s="13" t="s">
        <v>29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46104</v>
      </c>
      <c r="E13" s="13">
        <v>1588202</v>
      </c>
      <c r="F13" s="13" t="s">
        <v>20</v>
      </c>
      <c r="G13" s="14">
        <v>20303746</v>
      </c>
      <c r="H13" s="13" t="s">
        <v>290</v>
      </c>
      <c r="I13" s="13" t="s">
        <v>31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46104</v>
      </c>
      <c r="E14" s="13">
        <v>1588202</v>
      </c>
      <c r="F14" s="13" t="s">
        <v>20</v>
      </c>
      <c r="G14" s="14">
        <v>20303747</v>
      </c>
      <c r="H14" s="13" t="s">
        <v>577</v>
      </c>
      <c r="I14" s="13" t="s">
        <v>31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46104</v>
      </c>
      <c r="E15" s="13">
        <v>1588202</v>
      </c>
      <c r="F15" s="13" t="s">
        <v>20</v>
      </c>
      <c r="G15" s="14">
        <v>20316042</v>
      </c>
      <c r="H15" s="13" t="s">
        <v>34</v>
      </c>
      <c r="I15" s="13" t="s">
        <v>35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46104</v>
      </c>
      <c r="E16" s="13">
        <v>1588202</v>
      </c>
      <c r="F16" s="13" t="s">
        <v>42</v>
      </c>
      <c r="G16" s="14">
        <v>20303854</v>
      </c>
      <c r="H16" s="13" t="s">
        <v>578</v>
      </c>
      <c r="I16" s="13" t="s">
        <v>44</v>
      </c>
      <c r="J16" s="14">
        <v>1</v>
      </c>
      <c r="K16" s="14">
        <v>6</v>
      </c>
      <c r="L16" s="15">
        <v>19.8</v>
      </c>
      <c r="M16" s="15">
        <v>19.8</v>
      </c>
    </row>
    <row r="17" spans="4:13">
      <c r="D17" s="12">
        <v>46105</v>
      </c>
      <c r="E17" s="13">
        <v>1588572</v>
      </c>
      <c r="F17" s="13" t="s">
        <v>20</v>
      </c>
      <c r="G17" s="14">
        <v>20303746</v>
      </c>
      <c r="H17" s="13" t="s">
        <v>290</v>
      </c>
      <c r="I17" s="13" t="s">
        <v>31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46105</v>
      </c>
      <c r="E18" s="13">
        <v>1588572</v>
      </c>
      <c r="F18" s="13" t="s">
        <v>20</v>
      </c>
      <c r="G18" s="14">
        <v>20303747</v>
      </c>
      <c r="H18" s="13" t="s">
        <v>577</v>
      </c>
      <c r="I18" s="13" t="s">
        <v>31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46106</v>
      </c>
      <c r="E19" s="13">
        <v>1588947</v>
      </c>
      <c r="F19" s="13" t="s">
        <v>20</v>
      </c>
      <c r="G19" s="14">
        <v>20303717</v>
      </c>
      <c r="H19" s="13" t="s">
        <v>70</v>
      </c>
      <c r="I19" s="13" t="s">
        <v>35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46106</v>
      </c>
      <c r="E20" s="13">
        <v>1588947</v>
      </c>
      <c r="F20" s="13" t="s">
        <v>20</v>
      </c>
      <c r="G20" s="14">
        <v>20303746</v>
      </c>
      <c r="H20" s="13" t="s">
        <v>290</v>
      </c>
      <c r="I20" s="13" t="s">
        <v>31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46106</v>
      </c>
      <c r="E21" s="13">
        <v>1588947</v>
      </c>
      <c r="F21" s="13" t="s">
        <v>20</v>
      </c>
      <c r="G21" s="14">
        <v>20303747</v>
      </c>
      <c r="H21" s="13" t="s">
        <v>577</v>
      </c>
      <c r="I21" s="13" t="s">
        <v>31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46106</v>
      </c>
      <c r="E22" s="13">
        <v>1588947</v>
      </c>
      <c r="F22" s="13" t="s">
        <v>20</v>
      </c>
      <c r="G22" s="14">
        <v>20316042</v>
      </c>
      <c r="H22" s="13" t="s">
        <v>34</v>
      </c>
      <c r="I22" s="13" t="s">
        <v>35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46107</v>
      </c>
      <c r="E23" s="13">
        <v>1589306</v>
      </c>
      <c r="F23" s="13" t="s">
        <v>20</v>
      </c>
      <c r="G23" s="14">
        <v>20303746</v>
      </c>
      <c r="H23" s="13" t="s">
        <v>290</v>
      </c>
      <c r="I23" s="13" t="s">
        <v>31</v>
      </c>
      <c r="J23" s="14">
        <v>2</v>
      </c>
      <c r="K23" s="14">
        <v>8</v>
      </c>
      <c r="L23" s="15">
        <v>13.2</v>
      </c>
      <c r="M23" s="15">
        <v>26.4</v>
      </c>
    </row>
    <row r="24" spans="4:13">
      <c r="D24" s="12">
        <v>46107</v>
      </c>
      <c r="E24" s="13">
        <v>1589306</v>
      </c>
      <c r="F24" s="13" t="s">
        <v>20</v>
      </c>
      <c r="G24" s="14">
        <v>20303747</v>
      </c>
      <c r="H24" s="13" t="s">
        <v>577</v>
      </c>
      <c r="I24" s="13" t="s">
        <v>31</v>
      </c>
      <c r="J24" s="14">
        <v>2</v>
      </c>
      <c r="K24" s="14">
        <v>10</v>
      </c>
      <c r="L24" s="15">
        <v>16.5</v>
      </c>
      <c r="M24" s="15">
        <v>33</v>
      </c>
    </row>
    <row r="25" spans="4:13">
      <c r="D25" s="12">
        <v>46107</v>
      </c>
      <c r="E25" s="13">
        <v>1589306</v>
      </c>
      <c r="F25" s="13" t="s">
        <v>20</v>
      </c>
      <c r="G25" s="14">
        <v>20316042</v>
      </c>
      <c r="H25" s="13" t="s">
        <v>34</v>
      </c>
      <c r="I25" s="13" t="s">
        <v>35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46107</v>
      </c>
      <c r="E26" s="13">
        <v>1589306</v>
      </c>
      <c r="F26" s="13" t="s">
        <v>42</v>
      </c>
      <c r="G26" s="14">
        <v>20303854</v>
      </c>
      <c r="H26" s="13" t="s">
        <v>578</v>
      </c>
      <c r="I26" s="13" t="s">
        <v>44</v>
      </c>
      <c r="J26" s="14">
        <v>1</v>
      </c>
      <c r="K26" s="14">
        <v>6</v>
      </c>
      <c r="L26" s="15">
        <v>19.8</v>
      </c>
      <c r="M26" s="15">
        <v>19.8</v>
      </c>
    </row>
    <row r="27" spans="4:13">
      <c r="D27" s="12">
        <v>46108</v>
      </c>
      <c r="E27" s="13">
        <v>1589729</v>
      </c>
      <c r="F27" s="13" t="s">
        <v>20</v>
      </c>
      <c r="G27" s="14">
        <v>20303746</v>
      </c>
      <c r="H27" s="13" t="s">
        <v>290</v>
      </c>
      <c r="I27" s="13" t="s">
        <v>31</v>
      </c>
      <c r="J27" s="14">
        <v>1</v>
      </c>
      <c r="K27" s="14">
        <v>4</v>
      </c>
      <c r="L27" s="15">
        <v>13.2</v>
      </c>
      <c r="M27" s="15">
        <v>13.2</v>
      </c>
    </row>
    <row r="28" spans="4:13">
      <c r="D28" s="12">
        <v>46108</v>
      </c>
      <c r="E28" s="13">
        <v>1589729</v>
      </c>
      <c r="F28" s="13" t="s">
        <v>20</v>
      </c>
      <c r="G28" s="14">
        <v>20316042</v>
      </c>
      <c r="H28" s="13" t="s">
        <v>34</v>
      </c>
      <c r="I28" s="13" t="s">
        <v>35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46108</v>
      </c>
      <c r="E29" s="13">
        <v>1589729</v>
      </c>
      <c r="F29" s="13" t="s">
        <v>15</v>
      </c>
      <c r="G29" s="14">
        <v>20405208</v>
      </c>
      <c r="H29" s="13" t="s">
        <v>579</v>
      </c>
      <c r="I29" s="13" t="s">
        <v>17</v>
      </c>
      <c r="J29" s="14">
        <v>1</v>
      </c>
      <c r="K29" s="14">
        <v>1</v>
      </c>
      <c r="L29" s="15">
        <v>13.2</v>
      </c>
      <c r="M29" s="15">
        <v>13.2</v>
      </c>
    </row>
    <row r="30" spans="4:13">
      <c r="D30" s="12">
        <v>46110</v>
      </c>
      <c r="E30" s="13">
        <v>1590137</v>
      </c>
      <c r="F30" s="13" t="s">
        <v>20</v>
      </c>
      <c r="G30" s="14">
        <v>20310771</v>
      </c>
      <c r="H30" s="13" t="s">
        <v>580</v>
      </c>
      <c r="I30" s="13" t="s">
        <v>33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46110</v>
      </c>
      <c r="E31" s="13">
        <v>1590137</v>
      </c>
      <c r="F31" s="13" t="s">
        <v>20</v>
      </c>
      <c r="G31" s="14">
        <v>20303746</v>
      </c>
      <c r="H31" s="13" t="s">
        <v>290</v>
      </c>
      <c r="I31" s="13" t="s">
        <v>31</v>
      </c>
      <c r="J31" s="14">
        <v>2</v>
      </c>
      <c r="K31" s="14">
        <v>8</v>
      </c>
      <c r="L31" s="15">
        <v>13.2</v>
      </c>
      <c r="M31" s="15">
        <v>26.4</v>
      </c>
    </row>
    <row r="32" spans="4:13">
      <c r="D32" s="12">
        <v>46110</v>
      </c>
      <c r="E32" s="13">
        <v>1590137</v>
      </c>
      <c r="F32" s="13" t="s">
        <v>20</v>
      </c>
      <c r="G32" s="14">
        <v>20303747</v>
      </c>
      <c r="H32" s="13" t="s">
        <v>577</v>
      </c>
      <c r="I32" s="13" t="s">
        <v>31</v>
      </c>
      <c r="J32" s="14">
        <v>3</v>
      </c>
      <c r="K32" s="14">
        <v>15</v>
      </c>
      <c r="L32" s="15">
        <v>16.5</v>
      </c>
      <c r="M32" s="15">
        <v>49.5</v>
      </c>
    </row>
    <row r="33" spans="4:13">
      <c r="D33" s="12">
        <v>46111</v>
      </c>
      <c r="E33" s="13">
        <v>1590240</v>
      </c>
      <c r="F33" s="13" t="s">
        <v>20</v>
      </c>
      <c r="G33" s="14">
        <v>20316042</v>
      </c>
      <c r="H33" s="13" t="s">
        <v>34</v>
      </c>
      <c r="I33" s="13" t="s">
        <v>35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46111</v>
      </c>
      <c r="E34" s="13">
        <v>1590240</v>
      </c>
      <c r="F34" s="13" t="s">
        <v>42</v>
      </c>
      <c r="G34" s="14">
        <v>20303854</v>
      </c>
      <c r="H34" s="13" t="s">
        <v>578</v>
      </c>
      <c r="I34" s="13" t="s">
        <v>44</v>
      </c>
      <c r="J34" s="14">
        <v>1</v>
      </c>
      <c r="K34" s="14">
        <v>6</v>
      </c>
      <c r="L34" s="15">
        <v>19.8</v>
      </c>
      <c r="M34" s="15">
        <v>19.8</v>
      </c>
    </row>
    <row r="35" spans="4:13">
      <c r="D35" s="12">
        <v>46111</v>
      </c>
      <c r="E35" s="13">
        <v>1590258</v>
      </c>
      <c r="F35" s="13" t="s">
        <v>15</v>
      </c>
      <c r="G35" s="14">
        <v>20405208</v>
      </c>
      <c r="H35" s="13" t="s">
        <v>579</v>
      </c>
      <c r="I35" s="13" t="s">
        <v>17</v>
      </c>
      <c r="J35" s="14">
        <v>1</v>
      </c>
      <c r="K35" s="14">
        <v>1</v>
      </c>
      <c r="L35" s="15">
        <v>13.2</v>
      </c>
      <c r="M35" s="15">
        <v>13.2</v>
      </c>
    </row>
    <row r="36" spans="4:13">
      <c r="D36" s="12">
        <v>46113</v>
      </c>
      <c r="E36" s="13">
        <v>1591044</v>
      </c>
      <c r="F36" s="13" t="s">
        <v>20</v>
      </c>
      <c r="G36" s="14">
        <v>20303747</v>
      </c>
      <c r="H36" s="13" t="s">
        <v>577</v>
      </c>
      <c r="I36" s="13" t="s">
        <v>31</v>
      </c>
      <c r="J36" s="14">
        <v>3</v>
      </c>
      <c r="K36" s="14">
        <v>15</v>
      </c>
      <c r="L36" s="15">
        <v>16.5</v>
      </c>
      <c r="M36" s="15">
        <v>49.5</v>
      </c>
    </row>
    <row r="37" spans="4:13">
      <c r="D37" s="12">
        <v>46114</v>
      </c>
      <c r="E37" s="13">
        <v>1591403</v>
      </c>
      <c r="F37" s="13" t="s">
        <v>20</v>
      </c>
      <c r="G37" s="14">
        <v>20303746</v>
      </c>
      <c r="H37" s="13" t="s">
        <v>290</v>
      </c>
      <c r="I37" s="13" t="s">
        <v>31</v>
      </c>
      <c r="J37" s="14">
        <v>1</v>
      </c>
      <c r="K37" s="14">
        <v>4</v>
      </c>
      <c r="L37" s="15">
        <v>13.2</v>
      </c>
      <c r="M37" s="15">
        <v>13.2</v>
      </c>
    </row>
    <row r="38" spans="4:13">
      <c r="D38" s="12">
        <v>46114</v>
      </c>
      <c r="E38" s="13">
        <v>1591403</v>
      </c>
      <c r="F38" s="13" t="s">
        <v>20</v>
      </c>
      <c r="G38" s="14">
        <v>20303747</v>
      </c>
      <c r="H38" s="13" t="s">
        <v>577</v>
      </c>
      <c r="I38" s="13" t="s">
        <v>31</v>
      </c>
      <c r="J38" s="14">
        <v>2</v>
      </c>
      <c r="K38" s="14">
        <v>10</v>
      </c>
      <c r="L38" s="15">
        <v>16.5</v>
      </c>
      <c r="M38" s="15">
        <v>33</v>
      </c>
    </row>
    <row r="39" spans="4:13">
      <c r="D39" s="12">
        <v>46114</v>
      </c>
      <c r="E39" s="13">
        <v>1591403</v>
      </c>
      <c r="F39" s="13" t="s">
        <v>20</v>
      </c>
      <c r="G39" s="14">
        <v>20310290</v>
      </c>
      <c r="H39" s="13" t="s">
        <v>581</v>
      </c>
      <c r="I39" s="13" t="s">
        <v>33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46114</v>
      </c>
      <c r="E40" s="13">
        <v>1591403</v>
      </c>
      <c r="F40" s="13" t="s">
        <v>20</v>
      </c>
      <c r="G40" s="14">
        <v>20316042</v>
      </c>
      <c r="H40" s="13" t="s">
        <v>34</v>
      </c>
      <c r="I40" s="13" t="s">
        <v>35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46114</v>
      </c>
      <c r="E41" s="13">
        <v>1591403</v>
      </c>
      <c r="F41" s="13" t="s">
        <v>42</v>
      </c>
      <c r="G41" s="14">
        <v>20303854</v>
      </c>
      <c r="H41" s="13" t="s">
        <v>578</v>
      </c>
      <c r="I41" s="13" t="s">
        <v>44</v>
      </c>
      <c r="J41" s="14">
        <v>1</v>
      </c>
      <c r="K41" s="14">
        <v>6</v>
      </c>
      <c r="L41" s="15">
        <v>19.8</v>
      </c>
      <c r="M41" s="15">
        <v>19.8</v>
      </c>
    </row>
    <row r="42" spans="4:13">
      <c r="D42" s="12">
        <v>46115</v>
      </c>
      <c r="E42" s="13">
        <v>1591822</v>
      </c>
      <c r="F42" s="13" t="s">
        <v>20</v>
      </c>
      <c r="G42" s="14">
        <v>20303717</v>
      </c>
      <c r="H42" s="13" t="s">
        <v>70</v>
      </c>
      <c r="I42" s="13" t="s">
        <v>35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46115</v>
      </c>
      <c r="E43" s="13">
        <v>1591822</v>
      </c>
      <c r="F43" s="13" t="s">
        <v>20</v>
      </c>
      <c r="G43" s="14">
        <v>20303746</v>
      </c>
      <c r="H43" s="13" t="s">
        <v>290</v>
      </c>
      <c r="I43" s="13" t="s">
        <v>31</v>
      </c>
      <c r="J43" s="14">
        <v>2</v>
      </c>
      <c r="K43" s="14">
        <v>8</v>
      </c>
      <c r="L43" s="15">
        <v>13.2</v>
      </c>
      <c r="M43" s="15">
        <v>26.4</v>
      </c>
    </row>
    <row r="44" spans="4:13">
      <c r="D44" s="12">
        <v>46115</v>
      </c>
      <c r="E44" s="13">
        <v>1591822</v>
      </c>
      <c r="F44" s="13" t="s">
        <v>20</v>
      </c>
      <c r="G44" s="14">
        <v>20303747</v>
      </c>
      <c r="H44" s="13" t="s">
        <v>577</v>
      </c>
      <c r="I44" s="13" t="s">
        <v>31</v>
      </c>
      <c r="J44" s="14">
        <v>1</v>
      </c>
      <c r="K44" s="14">
        <v>5</v>
      </c>
      <c r="L44" s="15">
        <v>16.5</v>
      </c>
      <c r="M44" s="15">
        <v>16.5</v>
      </c>
    </row>
    <row r="45" spans="4:13">
      <c r="D45" s="12">
        <v>46117</v>
      </c>
      <c r="E45" s="13">
        <v>1592229</v>
      </c>
      <c r="F45" s="13" t="s">
        <v>20</v>
      </c>
      <c r="G45" s="14">
        <v>20303717</v>
      </c>
      <c r="H45" s="13" t="s">
        <v>70</v>
      </c>
      <c r="I45" s="13" t="s">
        <v>35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46117</v>
      </c>
      <c r="E46" s="13">
        <v>1592229</v>
      </c>
      <c r="F46" s="13" t="s">
        <v>20</v>
      </c>
      <c r="G46" s="14">
        <v>20303863</v>
      </c>
      <c r="H46" s="13" t="s">
        <v>28</v>
      </c>
      <c r="I46" s="13" t="s">
        <v>29</v>
      </c>
      <c r="J46" s="14">
        <v>2</v>
      </c>
      <c r="K46" s="14">
        <v>2</v>
      </c>
      <c r="L46" s="15">
        <v>4.8</v>
      </c>
      <c r="M46" s="15">
        <v>9.6</v>
      </c>
    </row>
    <row r="47" spans="4:13">
      <c r="D47" s="12">
        <v>46117</v>
      </c>
      <c r="E47" s="13">
        <v>1592229</v>
      </c>
      <c r="F47" s="13" t="s">
        <v>20</v>
      </c>
      <c r="G47" s="14">
        <v>20309551</v>
      </c>
      <c r="H47" s="13" t="s">
        <v>582</v>
      </c>
      <c r="I47" s="13" t="s">
        <v>33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46117</v>
      </c>
      <c r="E48" s="13">
        <v>1592229</v>
      </c>
      <c r="F48" s="13" t="s">
        <v>20</v>
      </c>
      <c r="G48" s="14">
        <v>20303746</v>
      </c>
      <c r="H48" s="13" t="s">
        <v>290</v>
      </c>
      <c r="I48" s="13" t="s">
        <v>31</v>
      </c>
      <c r="J48" s="14">
        <v>1</v>
      </c>
      <c r="K48" s="14">
        <v>4</v>
      </c>
      <c r="L48" s="15">
        <v>13.2</v>
      </c>
      <c r="M48" s="15">
        <v>13.2</v>
      </c>
    </row>
    <row r="49" spans="4:13">
      <c r="D49" s="12">
        <v>46117</v>
      </c>
      <c r="E49" s="13">
        <v>1592229</v>
      </c>
      <c r="F49" s="13" t="s">
        <v>20</v>
      </c>
      <c r="G49" s="14">
        <v>20303747</v>
      </c>
      <c r="H49" s="13" t="s">
        <v>577</v>
      </c>
      <c r="I49" s="13" t="s">
        <v>31</v>
      </c>
      <c r="J49" s="14">
        <v>2</v>
      </c>
      <c r="K49" s="14">
        <v>10</v>
      </c>
      <c r="L49" s="15">
        <v>16.5</v>
      </c>
      <c r="M49" s="15">
        <v>33</v>
      </c>
    </row>
    <row r="50" spans="4:13">
      <c r="D50" s="12">
        <v>46117</v>
      </c>
      <c r="E50" s="13">
        <v>1592229</v>
      </c>
      <c r="F50" s="13" t="s">
        <v>20</v>
      </c>
      <c r="G50" s="14">
        <v>20316042</v>
      </c>
      <c r="H50" s="13" t="s">
        <v>34</v>
      </c>
      <c r="I50" s="13" t="s">
        <v>35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46119</v>
      </c>
      <c r="E51" s="13">
        <v>1592395</v>
      </c>
      <c r="F51" s="13" t="s">
        <v>20</v>
      </c>
      <c r="G51" s="14">
        <v>20303717</v>
      </c>
      <c r="H51" s="13" t="s">
        <v>70</v>
      </c>
      <c r="I51" s="13" t="s">
        <v>35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46119</v>
      </c>
      <c r="E52" s="13">
        <v>1592395</v>
      </c>
      <c r="F52" s="13" t="s">
        <v>20</v>
      </c>
      <c r="G52" s="14">
        <v>20303863</v>
      </c>
      <c r="H52" s="13" t="s">
        <v>28</v>
      </c>
      <c r="I52" s="13" t="s">
        <v>29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46119</v>
      </c>
      <c r="E53" s="13">
        <v>1592395</v>
      </c>
      <c r="F53" s="13" t="s">
        <v>20</v>
      </c>
      <c r="G53" s="14">
        <v>20303746</v>
      </c>
      <c r="H53" s="13" t="s">
        <v>290</v>
      </c>
      <c r="I53" s="13" t="s">
        <v>31</v>
      </c>
      <c r="J53" s="14">
        <v>4</v>
      </c>
      <c r="K53" s="14">
        <v>16</v>
      </c>
      <c r="L53" s="15">
        <v>13.2</v>
      </c>
      <c r="M53" s="15">
        <v>52.8</v>
      </c>
    </row>
    <row r="54" spans="4:13">
      <c r="D54" s="12">
        <v>46119</v>
      </c>
      <c r="E54" s="13">
        <v>1592395</v>
      </c>
      <c r="F54" s="13" t="s">
        <v>20</v>
      </c>
      <c r="G54" s="14">
        <v>20316042</v>
      </c>
      <c r="H54" s="13" t="s">
        <v>34</v>
      </c>
      <c r="I54" s="13" t="s">
        <v>35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46119</v>
      </c>
      <c r="E55" s="13">
        <v>1592395</v>
      </c>
      <c r="F55" s="13" t="s">
        <v>42</v>
      </c>
      <c r="G55" s="14">
        <v>20303854</v>
      </c>
      <c r="H55" s="13" t="s">
        <v>578</v>
      </c>
      <c r="I55" s="13" t="s">
        <v>44</v>
      </c>
      <c r="J55" s="14">
        <v>1</v>
      </c>
      <c r="K55" s="14">
        <v>6</v>
      </c>
      <c r="L55" s="15">
        <v>19.8</v>
      </c>
      <c r="M55" s="15">
        <v>19.8</v>
      </c>
    </row>
    <row r="56" spans="4:13">
      <c r="D56" s="12">
        <v>46120</v>
      </c>
      <c r="E56" s="13">
        <v>1592799</v>
      </c>
      <c r="F56" s="13" t="s">
        <v>20</v>
      </c>
      <c r="G56" s="14">
        <v>20303717</v>
      </c>
      <c r="H56" s="13" t="s">
        <v>70</v>
      </c>
      <c r="I56" s="13" t="s">
        <v>35</v>
      </c>
      <c r="J56" s="14">
        <v>1</v>
      </c>
      <c r="K56" s="14">
        <v>1</v>
      </c>
      <c r="L56" s="15">
        <v>4.8</v>
      </c>
      <c r="M56" s="15">
        <v>4.8</v>
      </c>
    </row>
    <row r="57" spans="4:13">
      <c r="D57" s="12">
        <v>46120</v>
      </c>
      <c r="E57" s="13">
        <v>1592799</v>
      </c>
      <c r="F57" s="13" t="s">
        <v>20</v>
      </c>
      <c r="G57" s="14">
        <v>20303863</v>
      </c>
      <c r="H57" s="13" t="s">
        <v>28</v>
      </c>
      <c r="I57" s="13" t="s">
        <v>29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46120</v>
      </c>
      <c r="E58" s="13">
        <v>1592799</v>
      </c>
      <c r="F58" s="13" t="s">
        <v>20</v>
      </c>
      <c r="G58" s="14">
        <v>20303746</v>
      </c>
      <c r="H58" s="13" t="s">
        <v>290</v>
      </c>
      <c r="I58" s="13" t="s">
        <v>31</v>
      </c>
      <c r="J58" s="14">
        <v>2</v>
      </c>
      <c r="K58" s="14">
        <v>8</v>
      </c>
      <c r="L58" s="15">
        <v>13.2</v>
      </c>
      <c r="M58" s="15">
        <v>26.4</v>
      </c>
    </row>
    <row r="59" spans="4:13">
      <c r="D59" s="12">
        <v>46121</v>
      </c>
      <c r="E59" s="13">
        <v>1593195</v>
      </c>
      <c r="F59" s="13" t="s">
        <v>20</v>
      </c>
      <c r="G59" s="14">
        <v>20303746</v>
      </c>
      <c r="H59" s="13" t="s">
        <v>290</v>
      </c>
      <c r="I59" s="13" t="s">
        <v>31</v>
      </c>
      <c r="J59" s="14">
        <v>2</v>
      </c>
      <c r="K59" s="14">
        <v>8</v>
      </c>
      <c r="L59" s="15">
        <v>13.2</v>
      </c>
      <c r="M59" s="15">
        <v>26.4</v>
      </c>
    </row>
    <row r="60" spans="4:13">
      <c r="D60" s="12">
        <v>46121</v>
      </c>
      <c r="E60" s="13">
        <v>1593195</v>
      </c>
      <c r="F60" s="13" t="s">
        <v>20</v>
      </c>
      <c r="G60" s="14">
        <v>20316042</v>
      </c>
      <c r="H60" s="13" t="s">
        <v>34</v>
      </c>
      <c r="I60" s="13" t="s">
        <v>35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46121</v>
      </c>
      <c r="E61" s="13">
        <v>1593195</v>
      </c>
      <c r="F61" s="13" t="s">
        <v>42</v>
      </c>
      <c r="G61" s="14">
        <v>20303854</v>
      </c>
      <c r="H61" s="13" t="s">
        <v>578</v>
      </c>
      <c r="I61" s="13" t="s">
        <v>44</v>
      </c>
      <c r="J61" s="14">
        <v>1</v>
      </c>
      <c r="K61" s="14">
        <v>6</v>
      </c>
      <c r="L61" s="15">
        <v>19.8</v>
      </c>
      <c r="M61" s="15">
        <v>19.8</v>
      </c>
    </row>
    <row r="62" spans="4:13">
      <c r="D62" s="12">
        <v>46122</v>
      </c>
      <c r="E62" s="13">
        <v>1593644</v>
      </c>
      <c r="F62" s="13" t="s">
        <v>20</v>
      </c>
      <c r="G62" s="14">
        <v>20305111</v>
      </c>
      <c r="H62" s="13" t="s">
        <v>136</v>
      </c>
      <c r="I62" s="13" t="s">
        <v>29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46122</v>
      </c>
      <c r="E63" s="13">
        <v>1593644</v>
      </c>
      <c r="F63" s="13" t="s">
        <v>20</v>
      </c>
      <c r="G63" s="14">
        <v>20303717</v>
      </c>
      <c r="H63" s="13" t="s">
        <v>70</v>
      </c>
      <c r="I63" s="13" t="s">
        <v>35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46122</v>
      </c>
      <c r="E64" s="13">
        <v>1593644</v>
      </c>
      <c r="F64" s="13" t="s">
        <v>20</v>
      </c>
      <c r="G64" s="14">
        <v>20303863</v>
      </c>
      <c r="H64" s="13" t="s">
        <v>28</v>
      </c>
      <c r="I64" s="13" t="s">
        <v>29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46122</v>
      </c>
      <c r="E65" s="13">
        <v>1593644</v>
      </c>
      <c r="F65" s="13" t="s">
        <v>20</v>
      </c>
      <c r="G65" s="14">
        <v>20303746</v>
      </c>
      <c r="H65" s="13" t="s">
        <v>290</v>
      </c>
      <c r="I65" s="13" t="s">
        <v>31</v>
      </c>
      <c r="J65" s="14">
        <v>2</v>
      </c>
      <c r="K65" s="14">
        <v>8</v>
      </c>
      <c r="L65" s="15">
        <v>13.2</v>
      </c>
      <c r="M65" s="15">
        <v>26.4</v>
      </c>
    </row>
    <row r="66" spans="4:13">
      <c r="D66" s="12">
        <v>46122</v>
      </c>
      <c r="E66" s="13">
        <v>1593644</v>
      </c>
      <c r="F66" s="13" t="s">
        <v>20</v>
      </c>
      <c r="G66" s="14">
        <v>20316042</v>
      </c>
      <c r="H66" s="13" t="s">
        <v>34</v>
      </c>
      <c r="I66" s="13" t="s">
        <v>35</v>
      </c>
      <c r="J66" s="14">
        <v>2</v>
      </c>
      <c r="K66" s="14">
        <v>2</v>
      </c>
      <c r="L66" s="15">
        <v>4.8</v>
      </c>
      <c r="M66" s="15">
        <v>9.6</v>
      </c>
    </row>
    <row r="67" spans="4:13">
      <c r="D67" s="12">
        <v>46124</v>
      </c>
      <c r="E67" s="13">
        <v>1594067</v>
      </c>
      <c r="F67" s="13" t="s">
        <v>20</v>
      </c>
      <c r="G67" s="14">
        <v>20303863</v>
      </c>
      <c r="H67" s="13" t="s">
        <v>28</v>
      </c>
      <c r="I67" s="13" t="s">
        <v>29</v>
      </c>
      <c r="J67" s="14">
        <v>3</v>
      </c>
      <c r="K67" s="14">
        <v>3</v>
      </c>
      <c r="L67" s="15">
        <v>4.8</v>
      </c>
      <c r="M67" s="15">
        <v>14.4</v>
      </c>
    </row>
    <row r="68" spans="4:13">
      <c r="D68" s="12">
        <v>46124</v>
      </c>
      <c r="E68" s="13">
        <v>1594067</v>
      </c>
      <c r="F68" s="13" t="s">
        <v>20</v>
      </c>
      <c r="G68" s="14">
        <v>20303746</v>
      </c>
      <c r="H68" s="13" t="s">
        <v>290</v>
      </c>
      <c r="I68" s="13" t="s">
        <v>31</v>
      </c>
      <c r="J68" s="14">
        <v>1</v>
      </c>
      <c r="K68" s="14">
        <v>4</v>
      </c>
      <c r="L68" s="15">
        <v>13.2</v>
      </c>
      <c r="M68" s="15">
        <v>13.2</v>
      </c>
    </row>
    <row r="69" spans="4:13">
      <c r="D69" s="12">
        <v>46124</v>
      </c>
      <c r="E69" s="13">
        <v>1594067</v>
      </c>
      <c r="F69" s="13" t="s">
        <v>20</v>
      </c>
      <c r="G69" s="14">
        <v>20303747</v>
      </c>
      <c r="H69" s="13" t="s">
        <v>577</v>
      </c>
      <c r="I69" s="13" t="s">
        <v>31</v>
      </c>
      <c r="J69" s="14">
        <v>2</v>
      </c>
      <c r="K69" s="14">
        <v>10</v>
      </c>
      <c r="L69" s="15">
        <v>16.5</v>
      </c>
      <c r="M69" s="15">
        <v>33</v>
      </c>
    </row>
    <row r="70" spans="4:13">
      <c r="D70" s="12">
        <v>46124</v>
      </c>
      <c r="E70" s="13">
        <v>1594067</v>
      </c>
      <c r="F70" s="13" t="s">
        <v>20</v>
      </c>
      <c r="G70" s="14">
        <v>20316042</v>
      </c>
      <c r="H70" s="13" t="s">
        <v>34</v>
      </c>
      <c r="I70" s="13" t="s">
        <v>35</v>
      </c>
      <c r="J70" s="14">
        <v>3</v>
      </c>
      <c r="K70" s="14">
        <v>3</v>
      </c>
      <c r="L70" s="15">
        <v>4.8</v>
      </c>
      <c r="M70" s="15">
        <v>14.4</v>
      </c>
    </row>
    <row r="71" spans="4:13">
      <c r="D71" s="12">
        <v>46125</v>
      </c>
      <c r="E71" s="13">
        <v>1594154</v>
      </c>
      <c r="F71" s="13" t="s">
        <v>20</v>
      </c>
      <c r="G71" s="14">
        <v>20303717</v>
      </c>
      <c r="H71" s="13" t="s">
        <v>70</v>
      </c>
      <c r="I71" s="13" t="s">
        <v>35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46125</v>
      </c>
      <c r="E72" s="13">
        <v>1594154</v>
      </c>
      <c r="F72" s="13" t="s">
        <v>42</v>
      </c>
      <c r="G72" s="14">
        <v>20303854</v>
      </c>
      <c r="H72" s="13" t="s">
        <v>578</v>
      </c>
      <c r="I72" s="13" t="s">
        <v>44</v>
      </c>
      <c r="J72" s="14">
        <v>1</v>
      </c>
      <c r="K72" s="14">
        <v>6</v>
      </c>
      <c r="L72" s="15">
        <v>19.8</v>
      </c>
      <c r="M72" s="15">
        <v>19.8</v>
      </c>
    </row>
    <row r="73" spans="4:13">
      <c r="D73" s="12">
        <v>46126</v>
      </c>
      <c r="E73" s="13">
        <v>1594587</v>
      </c>
      <c r="F73" s="13" t="s">
        <v>20</v>
      </c>
      <c r="G73" s="14">
        <v>20305111</v>
      </c>
      <c r="H73" s="13" t="s">
        <v>136</v>
      </c>
      <c r="I73" s="13" t="s">
        <v>29</v>
      </c>
      <c r="J73" s="14">
        <v>1</v>
      </c>
      <c r="K73" s="14">
        <v>1</v>
      </c>
      <c r="L73" s="15">
        <v>4.8</v>
      </c>
      <c r="M73" s="15">
        <v>4.8</v>
      </c>
    </row>
    <row r="74" spans="4:13">
      <c r="D74" s="12">
        <v>46126</v>
      </c>
      <c r="E74" s="13">
        <v>1594587</v>
      </c>
      <c r="F74" s="13" t="s">
        <v>20</v>
      </c>
      <c r="G74" s="14">
        <v>20303747</v>
      </c>
      <c r="H74" s="13" t="s">
        <v>577</v>
      </c>
      <c r="I74" s="13" t="s">
        <v>31</v>
      </c>
      <c r="J74" s="14">
        <v>2</v>
      </c>
      <c r="K74" s="14">
        <v>10</v>
      </c>
      <c r="L74" s="15">
        <v>16.5</v>
      </c>
      <c r="M74" s="15">
        <v>33</v>
      </c>
    </row>
    <row r="75" spans="4:13">
      <c r="D75" s="12">
        <v>46126</v>
      </c>
      <c r="E75" s="13">
        <v>1594587</v>
      </c>
      <c r="F75" s="13" t="s">
        <v>20</v>
      </c>
      <c r="G75" s="14">
        <v>20316042</v>
      </c>
      <c r="H75" s="13" t="s">
        <v>34</v>
      </c>
      <c r="I75" s="13" t="s">
        <v>35</v>
      </c>
      <c r="J75" s="14">
        <v>2</v>
      </c>
      <c r="K75" s="14">
        <v>2</v>
      </c>
      <c r="L75" s="15">
        <v>4.8</v>
      </c>
      <c r="M75" s="15">
        <v>9.6</v>
      </c>
    </row>
    <row r="76" spans="4:13">
      <c r="D76" s="12">
        <v>46127</v>
      </c>
      <c r="E76" s="13">
        <v>1595011</v>
      </c>
      <c r="F76" s="13" t="s">
        <v>20</v>
      </c>
      <c r="G76" s="14">
        <v>20303717</v>
      </c>
      <c r="H76" s="13" t="s">
        <v>70</v>
      </c>
      <c r="I76" s="13" t="s">
        <v>35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46127</v>
      </c>
      <c r="E77" s="13">
        <v>1595011</v>
      </c>
      <c r="F77" s="13" t="s">
        <v>20</v>
      </c>
      <c r="G77" s="14">
        <v>20303746</v>
      </c>
      <c r="H77" s="13" t="s">
        <v>290</v>
      </c>
      <c r="I77" s="13" t="s">
        <v>31</v>
      </c>
      <c r="J77" s="14">
        <v>2</v>
      </c>
      <c r="K77" s="14">
        <v>8</v>
      </c>
      <c r="L77" s="15">
        <v>13.2</v>
      </c>
      <c r="M77" s="15">
        <v>26.4</v>
      </c>
    </row>
    <row r="78" spans="4:13">
      <c r="D78" s="12">
        <v>46127</v>
      </c>
      <c r="E78" s="13">
        <v>1595011</v>
      </c>
      <c r="F78" s="13" t="s">
        <v>20</v>
      </c>
      <c r="G78" s="14">
        <v>20303747</v>
      </c>
      <c r="H78" s="13" t="s">
        <v>577</v>
      </c>
      <c r="I78" s="13" t="s">
        <v>31</v>
      </c>
      <c r="J78" s="14">
        <v>4</v>
      </c>
      <c r="K78" s="14">
        <v>20</v>
      </c>
      <c r="L78" s="15">
        <v>16.5</v>
      </c>
      <c r="M78" s="15">
        <v>66</v>
      </c>
    </row>
    <row r="79" spans="4:13">
      <c r="D79" s="12">
        <v>46127</v>
      </c>
      <c r="E79" s="13">
        <v>1595011</v>
      </c>
      <c r="F79" s="13" t="s">
        <v>20</v>
      </c>
      <c r="G79" s="14">
        <v>20310966</v>
      </c>
      <c r="H79" s="13" t="s">
        <v>562</v>
      </c>
      <c r="I79" s="13" t="s">
        <v>33</v>
      </c>
      <c r="J79" s="14">
        <v>2</v>
      </c>
      <c r="K79" s="14">
        <v>2</v>
      </c>
      <c r="L79" s="15">
        <v>4.8</v>
      </c>
      <c r="M79" s="15">
        <v>9.6</v>
      </c>
    </row>
    <row r="80" spans="4:13">
      <c r="D80" s="12">
        <v>46127</v>
      </c>
      <c r="E80" s="13">
        <v>1595011</v>
      </c>
      <c r="F80" s="13" t="s">
        <v>20</v>
      </c>
      <c r="G80" s="14">
        <v>20316042</v>
      </c>
      <c r="H80" s="13" t="s">
        <v>34</v>
      </c>
      <c r="I80" s="13" t="s">
        <v>35</v>
      </c>
      <c r="J80" s="14">
        <v>1</v>
      </c>
      <c r="K80" s="14">
        <v>1</v>
      </c>
      <c r="L80" s="15">
        <v>4.8</v>
      </c>
      <c r="M80" s="15">
        <v>4.8</v>
      </c>
    </row>
    <row r="81" spans="4:13">
      <c r="D81" s="12">
        <v>46128</v>
      </c>
      <c r="E81" s="13">
        <v>1595319</v>
      </c>
      <c r="F81" s="13" t="s">
        <v>20</v>
      </c>
      <c r="G81" s="14">
        <v>20303863</v>
      </c>
      <c r="H81" s="13" t="s">
        <v>28</v>
      </c>
      <c r="I81" s="13" t="s">
        <v>29</v>
      </c>
      <c r="J81" s="14">
        <v>1</v>
      </c>
      <c r="K81" s="14">
        <v>1</v>
      </c>
      <c r="L81" s="15">
        <v>4.8</v>
      </c>
      <c r="M81" s="15">
        <v>4.8</v>
      </c>
    </row>
    <row r="82" spans="4:13">
      <c r="D82" s="12">
        <v>46128</v>
      </c>
      <c r="E82" s="13">
        <v>1595319</v>
      </c>
      <c r="F82" s="13" t="s">
        <v>42</v>
      </c>
      <c r="G82" s="14">
        <v>20303854</v>
      </c>
      <c r="H82" s="13" t="s">
        <v>578</v>
      </c>
      <c r="I82" s="13" t="s">
        <v>44</v>
      </c>
      <c r="J82" s="14">
        <v>1</v>
      </c>
      <c r="K82" s="14">
        <v>6</v>
      </c>
      <c r="L82" s="15">
        <v>19.8</v>
      </c>
      <c r="M82" s="15">
        <v>19.8</v>
      </c>
    </row>
    <row r="83" spans="4:13">
      <c r="D83" s="12">
        <v>46129</v>
      </c>
      <c r="E83" s="13">
        <v>1595761</v>
      </c>
      <c r="F83" s="13" t="s">
        <v>20</v>
      </c>
      <c r="G83" s="14">
        <v>20303747</v>
      </c>
      <c r="H83" s="13" t="s">
        <v>577</v>
      </c>
      <c r="I83" s="13" t="s">
        <v>31</v>
      </c>
      <c r="J83" s="14">
        <v>1</v>
      </c>
      <c r="K83" s="14">
        <v>5</v>
      </c>
      <c r="L83" s="15">
        <v>16.5</v>
      </c>
      <c r="M83" s="15">
        <v>16.5</v>
      </c>
    </row>
    <row r="84" spans="4:13">
      <c r="D84" s="12">
        <v>46129</v>
      </c>
      <c r="E84" s="13">
        <v>1595761</v>
      </c>
      <c r="F84" s="13" t="s">
        <v>20</v>
      </c>
      <c r="G84" s="14">
        <v>20310966</v>
      </c>
      <c r="H84" s="13" t="s">
        <v>562</v>
      </c>
      <c r="I84" s="13" t="s">
        <v>33</v>
      </c>
      <c r="J84" s="14">
        <v>1</v>
      </c>
      <c r="K84" s="14">
        <v>1</v>
      </c>
      <c r="L84" s="15">
        <v>4.8</v>
      </c>
      <c r="M84" s="15">
        <v>4.8</v>
      </c>
    </row>
    <row r="85" spans="4:13">
      <c r="D85" s="12">
        <v>46129</v>
      </c>
      <c r="E85" s="13">
        <v>1595761</v>
      </c>
      <c r="F85" s="13" t="s">
        <v>20</v>
      </c>
      <c r="G85" s="14">
        <v>20400283</v>
      </c>
      <c r="H85" s="13" t="s">
        <v>583</v>
      </c>
      <c r="I85" s="13" t="s">
        <v>29</v>
      </c>
      <c r="J85" s="14">
        <v>1</v>
      </c>
      <c r="K85" s="14">
        <v>1</v>
      </c>
      <c r="L85" s="15">
        <v>4.8</v>
      </c>
      <c r="M85" s="15">
        <v>4.8</v>
      </c>
    </row>
    <row r="86" spans="4:13">
      <c r="D86" s="12">
        <v>46131</v>
      </c>
      <c r="E86" s="13">
        <v>1596176</v>
      </c>
      <c r="F86" s="13" t="s">
        <v>20</v>
      </c>
      <c r="G86" s="14">
        <v>20303717</v>
      </c>
      <c r="H86" s="13" t="s">
        <v>70</v>
      </c>
      <c r="I86" s="13" t="s">
        <v>35</v>
      </c>
      <c r="J86" s="14">
        <v>1</v>
      </c>
      <c r="K86" s="14">
        <v>1</v>
      </c>
      <c r="L86" s="15">
        <v>4.8</v>
      </c>
      <c r="M86" s="15">
        <v>4.8</v>
      </c>
    </row>
    <row r="87" spans="4:13">
      <c r="D87" s="12">
        <v>46131</v>
      </c>
      <c r="E87" s="13">
        <v>1596176</v>
      </c>
      <c r="F87" s="13" t="s">
        <v>20</v>
      </c>
      <c r="G87" s="14">
        <v>20303747</v>
      </c>
      <c r="H87" s="13" t="s">
        <v>577</v>
      </c>
      <c r="I87" s="13" t="s">
        <v>31</v>
      </c>
      <c r="J87" s="14">
        <v>2</v>
      </c>
      <c r="K87" s="14">
        <v>10</v>
      </c>
      <c r="L87" s="15">
        <v>16.5</v>
      </c>
      <c r="M87" s="15">
        <v>33</v>
      </c>
    </row>
    <row r="88" spans="4:13">
      <c r="D88" s="12">
        <v>46132</v>
      </c>
      <c r="E88" s="13">
        <v>1596258</v>
      </c>
      <c r="F88" s="13" t="s">
        <v>20</v>
      </c>
      <c r="G88" s="14">
        <v>20303746</v>
      </c>
      <c r="H88" s="13" t="s">
        <v>290</v>
      </c>
      <c r="I88" s="13" t="s">
        <v>31</v>
      </c>
      <c r="J88" s="14">
        <v>1</v>
      </c>
      <c r="K88" s="14">
        <v>4</v>
      </c>
      <c r="L88" s="15">
        <v>13.2</v>
      </c>
      <c r="M88" s="15">
        <v>13.2</v>
      </c>
    </row>
    <row r="89" spans="4:13">
      <c r="D89" s="12">
        <v>46132</v>
      </c>
      <c r="E89" s="13">
        <v>1596258</v>
      </c>
      <c r="F89" s="13" t="s">
        <v>42</v>
      </c>
      <c r="G89" s="14">
        <v>20303854</v>
      </c>
      <c r="H89" s="13" t="s">
        <v>578</v>
      </c>
      <c r="I89" s="13" t="s">
        <v>44</v>
      </c>
      <c r="J89" s="14">
        <v>1</v>
      </c>
      <c r="K89" s="14">
        <v>6</v>
      </c>
      <c r="L89" s="15">
        <v>19.8</v>
      </c>
      <c r="M89" s="15">
        <v>19.8</v>
      </c>
    </row>
    <row r="90" ht="0.05" customHeight="1"/>
  </sheetData>
  <autoFilter xmlns:etc="http://www.wps.cn/officeDocument/2017/etCustomData" ref="A7:M89" etc:filterBottomFollowUsedRange="0">
    <extLst/>
  </autoFilter>
  <mergeCells count="5">
    <mergeCell ref="D8:I8"/>
    <mergeCell ref="C7:C89"/>
    <mergeCell ref="B4:H5"/>
    <mergeCell ref="A7:B8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375" customWidth="1"/>
    <col min="10" max="10" width="6.475" customWidth="1"/>
    <col min="11" max="11" width="9.45" customWidth="1"/>
    <col min="12" max="12" width="10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18</v>
      </c>
      <c r="L8" s="11"/>
      <c r="M8" s="11">
        <v>105</v>
      </c>
    </row>
    <row r="9" spans="1:13">
      <c r="D9" s="12">
        <v>46105</v>
      </c>
      <c r="E9" s="13">
        <v>1588573</v>
      </c>
      <c r="F9" s="13" t="s">
        <v>42</v>
      </c>
      <c r="G9" s="14">
        <v>20310518</v>
      </c>
      <c r="H9" s="13" t="s">
        <v>43</v>
      </c>
      <c r="I9" s="13" t="s">
        <v>44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46108</v>
      </c>
      <c r="E10" s="13">
        <v>1589688</v>
      </c>
      <c r="F10" s="13" t="s">
        <v>42</v>
      </c>
      <c r="G10" s="14">
        <v>20310518</v>
      </c>
      <c r="H10" s="13" t="s">
        <v>43</v>
      </c>
      <c r="I10" s="13" t="s">
        <v>44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46112</v>
      </c>
      <c r="E11" s="13">
        <v>1590627</v>
      </c>
      <c r="F11" s="13" t="s">
        <v>42</v>
      </c>
      <c r="G11" s="14">
        <v>20310518</v>
      </c>
      <c r="H11" s="13" t="s">
        <v>43</v>
      </c>
      <c r="I11" s="13" t="s">
        <v>44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46115</v>
      </c>
      <c r="E12" s="13">
        <v>1591838</v>
      </c>
      <c r="F12" s="13" t="s">
        <v>42</v>
      </c>
      <c r="G12" s="14">
        <v>20310518</v>
      </c>
      <c r="H12" s="13" t="s">
        <v>43</v>
      </c>
      <c r="I12" s="13" t="s">
        <v>44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46119</v>
      </c>
      <c r="E13" s="13">
        <v>1592417</v>
      </c>
      <c r="F13" s="13" t="s">
        <v>42</v>
      </c>
      <c r="G13" s="14">
        <v>20310518</v>
      </c>
      <c r="H13" s="13" t="s">
        <v>43</v>
      </c>
      <c r="I13" s="13" t="s">
        <v>44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46122</v>
      </c>
      <c r="E14" s="13">
        <v>1593645</v>
      </c>
      <c r="F14" s="13" t="s">
        <v>42</v>
      </c>
      <c r="G14" s="14">
        <v>20310518</v>
      </c>
      <c r="H14" s="13" t="s">
        <v>43</v>
      </c>
      <c r="I14" s="13" t="s">
        <v>44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46126</v>
      </c>
      <c r="E15" s="13">
        <v>1594588</v>
      </c>
      <c r="F15" s="13" t="s">
        <v>42</v>
      </c>
      <c r="G15" s="14">
        <v>20310518</v>
      </c>
      <c r="H15" s="13" t="s">
        <v>43</v>
      </c>
      <c r="I15" s="13" t="s">
        <v>44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46126</v>
      </c>
      <c r="E16" s="13">
        <v>1594792</v>
      </c>
      <c r="F16" s="13" t="s">
        <v>20</v>
      </c>
      <c r="G16" s="14">
        <v>20315425</v>
      </c>
      <c r="H16" s="13" t="s">
        <v>21</v>
      </c>
      <c r="I16" s="13" t="s">
        <v>22</v>
      </c>
      <c r="J16" s="14">
        <v>1</v>
      </c>
      <c r="K16" s="14">
        <v>1</v>
      </c>
      <c r="L16" s="15">
        <v>4.8</v>
      </c>
      <c r="M16" s="15">
        <v>4.8</v>
      </c>
    </row>
    <row r="17" ht="25.5" spans="4:13">
      <c r="D17" s="12">
        <v>46127</v>
      </c>
      <c r="E17" s="13">
        <v>1594932</v>
      </c>
      <c r="F17" s="13" t="s">
        <v>24</v>
      </c>
      <c r="G17" s="14">
        <v>20306248</v>
      </c>
      <c r="H17" s="13" t="s">
        <v>37</v>
      </c>
      <c r="I17" s="13" t="s">
        <v>38</v>
      </c>
      <c r="J17" s="14">
        <v>1</v>
      </c>
      <c r="K17" s="14">
        <v>1</v>
      </c>
      <c r="L17" s="15">
        <v>21</v>
      </c>
      <c r="M17" s="15">
        <v>21</v>
      </c>
    </row>
    <row r="18" spans="4:13">
      <c r="D18" s="12">
        <v>46129</v>
      </c>
      <c r="E18" s="13">
        <v>1595762</v>
      </c>
      <c r="F18" s="13" t="s">
        <v>42</v>
      </c>
      <c r="G18" s="14">
        <v>20310518</v>
      </c>
      <c r="H18" s="13" t="s">
        <v>43</v>
      </c>
      <c r="I18" s="13" t="s">
        <v>44</v>
      </c>
      <c r="J18" s="14">
        <v>1</v>
      </c>
      <c r="K18" s="14">
        <v>2</v>
      </c>
      <c r="L18" s="15">
        <v>9.9</v>
      </c>
      <c r="M18" s="15">
        <v>9.9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75" customWidth="1"/>
    <col min="9" max="9" width="20.5416666666667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9.6</v>
      </c>
    </row>
    <row r="9" spans="1:13">
      <c r="D9" s="12">
        <v>46129</v>
      </c>
      <c r="E9" s="13">
        <v>1595763</v>
      </c>
      <c r="F9" s="13" t="s">
        <v>20</v>
      </c>
      <c r="G9" s="14">
        <v>20316042</v>
      </c>
      <c r="H9" s="13" t="s">
        <v>34</v>
      </c>
      <c r="I9" s="13" t="s">
        <v>35</v>
      </c>
      <c r="J9" s="14">
        <v>2</v>
      </c>
      <c r="K9" s="14">
        <v>2</v>
      </c>
      <c r="L9" s="15">
        <v>4.8</v>
      </c>
      <c r="M9" s="15">
        <v>9.6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8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88.8</v>
      </c>
    </row>
    <row r="9" ht="25.5" spans="1:13">
      <c r="D9" s="12">
        <v>46102</v>
      </c>
      <c r="E9" s="13">
        <v>1588005</v>
      </c>
      <c r="F9" s="13" t="s">
        <v>24</v>
      </c>
      <c r="G9" s="14">
        <v>20306248</v>
      </c>
      <c r="H9" s="13" t="s">
        <v>37</v>
      </c>
      <c r="I9" s="13" t="s">
        <v>38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46108</v>
      </c>
      <c r="E10" s="13">
        <v>1589689</v>
      </c>
      <c r="F10" s="13" t="s">
        <v>20</v>
      </c>
      <c r="G10" s="14">
        <v>20303859</v>
      </c>
      <c r="H10" s="13" t="s">
        <v>46</v>
      </c>
      <c r="I10" s="13" t="s">
        <v>35</v>
      </c>
      <c r="J10" s="14">
        <v>1</v>
      </c>
      <c r="K10" s="14">
        <v>1</v>
      </c>
      <c r="L10" s="15">
        <v>4.8</v>
      </c>
      <c r="M10" s="15">
        <v>4.8</v>
      </c>
    </row>
    <row r="11" ht="25.5" spans="1:13">
      <c r="D11" s="12">
        <v>46109</v>
      </c>
      <c r="E11" s="13">
        <v>1590048</v>
      </c>
      <c r="F11" s="13" t="s">
        <v>24</v>
      </c>
      <c r="G11" s="14">
        <v>20306248</v>
      </c>
      <c r="H11" s="13" t="s">
        <v>37</v>
      </c>
      <c r="I11" s="13" t="s">
        <v>38</v>
      </c>
      <c r="J11" s="14">
        <v>3</v>
      </c>
      <c r="K11" s="14">
        <v>3</v>
      </c>
      <c r="L11" s="15">
        <v>21</v>
      </c>
      <c r="M11" s="15">
        <v>63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16病区</vt:lpstr>
      <vt:lpstr>NICU（9楼 新生儿）</vt:lpstr>
      <vt:lpstr>产科</vt:lpstr>
      <vt:lpstr>超声介入</vt:lpstr>
      <vt:lpstr>导管室</vt:lpstr>
      <vt:lpstr>耳病</vt:lpstr>
      <vt:lpstr>耳科门诊</vt:lpstr>
      <vt:lpstr>分娩室</vt:lpstr>
      <vt:lpstr>妇科病房</vt:lpstr>
      <vt:lpstr>妇科宫腔镜</vt:lpstr>
      <vt:lpstr>妇科门诊</vt:lpstr>
      <vt:lpstr>妇科阴道镜</vt:lpstr>
      <vt:lpstr>肛肠门诊</vt:lpstr>
      <vt:lpstr>供应室</vt:lpstr>
      <vt:lpstr>骨二肛肠甲乳外（20病区）</vt:lpstr>
      <vt:lpstr>骨外三</vt:lpstr>
      <vt:lpstr>骨外一</vt:lpstr>
      <vt:lpstr>呼吸内科</vt:lpstr>
      <vt:lpstr>急诊病房</vt:lpstr>
      <vt:lpstr>急诊科</vt:lpstr>
      <vt:lpstr>老年呼吸科</vt:lpstr>
      <vt:lpstr>麻醉科</vt:lpstr>
      <vt:lpstr>门诊手术室</vt:lpstr>
      <vt:lpstr>泌外11楼（泌外一 二 三）</vt:lpstr>
      <vt:lpstr>泌外12楼（泌外四 ）</vt:lpstr>
      <vt:lpstr>内分泌</vt:lpstr>
      <vt:lpstr>皮肤病房</vt:lpstr>
      <vt:lpstr>皮肤门诊</vt:lpstr>
      <vt:lpstr>普外二</vt:lpstr>
      <vt:lpstr>普外三</vt:lpstr>
      <vt:lpstr>普外三消化三</vt:lpstr>
      <vt:lpstr>备注</vt:lpstr>
      <vt:lpstr>普外一</vt:lpstr>
      <vt:lpstr>腔镜室</vt:lpstr>
      <vt:lpstr>全科医疗</vt:lpstr>
      <vt:lpstr>日间病房</vt:lpstr>
      <vt:lpstr>伤口造口</vt:lpstr>
      <vt:lpstr>烧伤科</vt:lpstr>
      <vt:lpstr>神内一</vt:lpstr>
      <vt:lpstr>神外二</vt:lpstr>
      <vt:lpstr>神外一</vt:lpstr>
      <vt:lpstr>肾内科</vt:lpstr>
      <vt:lpstr>生殖医学科</vt:lpstr>
      <vt:lpstr>手术室</vt:lpstr>
      <vt:lpstr>透析科</vt:lpstr>
      <vt:lpstr>心血管内科</vt:lpstr>
      <vt:lpstr>胸外</vt:lpstr>
      <vt:lpstr>血液 </vt:lpstr>
      <vt:lpstr>眼科病房</vt:lpstr>
      <vt:lpstr>眼科门诊</vt:lpstr>
      <vt:lpstr>眼科手术室</vt:lpstr>
      <vt:lpstr>整形病房</vt:lpstr>
      <vt:lpstr>整形门诊</vt:lpstr>
      <vt:lpstr>中西医结合</vt:lpstr>
      <vt:lpstr>肿瘤科</vt:lpstr>
      <vt:lpstr>重症医学科（ICU）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2026-04-21T01:04:00Z</dcterms:created>
  <dcterms:modified xsi:type="dcterms:W3CDTF">2026-04-23T05:17:54Z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16DC987315B94D3B82B3710C05450AC4_12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