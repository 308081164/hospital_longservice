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7"/>
  </bookViews>
  <sheets>
    <sheet name="门诊耳鼻喉" sheetId="1" r:id="rId1"/>
    <sheet name="门诊妇科" sheetId="2" r:id="rId2"/>
    <sheet name="门诊肛肠科" sheetId="3" r:id="rId3"/>
    <sheet name="门诊计划生育" sheetId="4" r:id="rId4"/>
    <sheet name="门诊口腔科" sheetId="5" r:id="rId5"/>
    <sheet name="门诊手术室" sheetId="6" r:id="rId6"/>
    <sheet name="门诊外科" sheetId="7" r:id="rId7"/>
    <sheet name="门诊眼科" sheetId="8" r:id="rId8"/>
    <sheet name="外科（住院处）" sheetId="9" r:id="rId9"/>
    <sheet name="住院处手术室" sheetId="10" r:id="rId10"/>
    <sheet name="费用调整" sheetId="11" r:id="rId11"/>
  </sheets>
  <definedNames>
    <definedName name="_xlnm._FilterDatabase" localSheetId="0" hidden="1">门诊耳鼻喉!$A$9:$K$20</definedName>
    <definedName name="_xlnm._FilterDatabase" localSheetId="1" hidden="1">门诊妇科!$A$7:$K$163</definedName>
    <definedName name="_xlnm._FilterDatabase" localSheetId="3" hidden="1">门诊计划生育!$A$7:$K$90</definedName>
    <definedName name="_xlnm._FilterDatabase" localSheetId="4" hidden="1">门诊口腔科!$A$7:$K$52</definedName>
    <definedName name="_xlnm._FilterDatabase" localSheetId="5" hidden="1">门诊手术室!$A$7:$K$30</definedName>
    <definedName name="_xlnm._FilterDatabase" localSheetId="6" hidden="1">门诊外科!$A$7:$K$30</definedName>
    <definedName name="_xlnm._FilterDatabase" localSheetId="7" hidden="1">门诊眼科!$A$7:$K$36</definedName>
    <definedName name="_xlnm._FilterDatabase" localSheetId="8" hidden="1">'外科（住院处）'!$A$7:$K$31</definedName>
    <definedName name="_xlnm._FilterDatabase" localSheetId="9" hidden="1">住院处手术室!$A$7:$K$87</definedName>
    <definedName name="_xlnm.Print_Titles" localSheetId="0">门诊耳鼻喉!$1:$6</definedName>
    <definedName name="_xlnm.Print_Titles" localSheetId="1">门诊妇科!$1:$6</definedName>
    <definedName name="_xlnm.Print_Titles" localSheetId="2">门诊肛肠科!$1:$6</definedName>
    <definedName name="_xlnm.Print_Titles" localSheetId="3">门诊计划生育!$1:$6</definedName>
    <definedName name="_xlnm.Print_Titles" localSheetId="4">门诊口腔科!$1:$6</definedName>
    <definedName name="_xlnm.Print_Titles" localSheetId="5">门诊手术室!$1:$6</definedName>
    <definedName name="_xlnm.Print_Titles" localSheetId="6">门诊外科!$1:$6</definedName>
    <definedName name="_xlnm.Print_Titles" localSheetId="7">门诊眼科!$1:$6</definedName>
    <definedName name="_xlnm.Print_Titles" localSheetId="8">'外科（住院处）'!$1:$6</definedName>
    <definedName name="_xlnm.Print_Titles" localSheetId="9">住院处手术室!$1:$6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<sst xmlns="http://schemas.openxmlformats.org/spreadsheetml/2006/main" count="1184" uniqueCount="138">
  <si>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</si>
  <si>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</si>
  <si>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</si>
  <si>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呼兰区第一人民医院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</si>
  <si>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</si>
  <si>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</si>
  <si>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</si>
  <si>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</si>
  <si>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</si>
  <si>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</si>
  <si>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</si>
  <si>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</si>
  <si>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门诊耳鼻喉</t>
  </si>
  <si>
    <t>器械包(ZSD)</t>
  </si>
  <si>
    <t>耳鼻喉器械包</t>
  </si>
  <si>
    <t>额外包(无纺布)</t>
  </si>
  <si>
    <t>扁桃体包-16件/W6050</t>
  </si>
  <si>
    <t>额外包(纸塑袋)</t>
  </si>
  <si>
    <t>镊子1剪刀1止血钳1/Z1526</t>
  </si>
  <si>
    <t>缝合包</t>
  </si>
  <si>
    <t>门诊妇科</t>
  </si>
  <si>
    <t>病理钳-1/Z2032</t>
  </si>
  <si>
    <t>宫颈钳-1/Z1535</t>
  </si>
  <si>
    <t>窥器-1/Z1526</t>
  </si>
  <si>
    <t>扩棒5号-1件/Z7526</t>
  </si>
  <si>
    <t>取环钩-1/Z7537</t>
  </si>
  <si>
    <t>探针-1/Z7537</t>
  </si>
  <si>
    <t>止血钳-1/Z1029</t>
  </si>
  <si>
    <t>刮宫包</t>
  </si>
  <si>
    <t>取环包</t>
  </si>
  <si>
    <t>扩棒4.5号-1/Z7526</t>
  </si>
  <si>
    <t>扩棒5.5号-1件/Z7526</t>
  </si>
  <si>
    <t>镊子-1/Z7534</t>
  </si>
  <si>
    <t>取环器-1/Z1535</t>
  </si>
  <si>
    <t>带环包</t>
  </si>
  <si>
    <t>妇科刮勺-1/Z7537</t>
  </si>
  <si>
    <t>剪刀-1/Z1029</t>
  </si>
  <si>
    <t>扩棒4号-1/Z7526</t>
  </si>
  <si>
    <t>吸头5号-1/Z7534</t>
  </si>
  <si>
    <t>吸头6号-1/Z7534</t>
  </si>
  <si>
    <t>持针器-1/Z1026</t>
  </si>
  <si>
    <t>扩棒6.5号-1件/Z7526</t>
  </si>
  <si>
    <t>扩棒6号-1件/Z7526</t>
  </si>
  <si>
    <t>卵圆钳-1/Z1535</t>
  </si>
  <si>
    <t>产包-4件/W6050</t>
  </si>
  <si>
    <t>上环叉-1/Z7537</t>
  </si>
  <si>
    <t>小手术包</t>
  </si>
  <si>
    <t>扩棒7.5号-1件/Z7526</t>
  </si>
  <si>
    <t>扩棒8号-1件/Z7526</t>
  </si>
  <si>
    <t>门诊肛肠科</t>
  </si>
  <si>
    <t>切开包</t>
  </si>
  <si>
    <t>门诊计划生育</t>
  </si>
  <si>
    <t>持针器-1/Z1029</t>
  </si>
  <si>
    <t>扩棒7号-1/Z7526</t>
  </si>
  <si>
    <t>吸头7号-1/Z7534</t>
  </si>
  <si>
    <t>门诊口腔科</t>
  </si>
  <si>
    <t>拔牙钳-1/Z1029</t>
  </si>
  <si>
    <t>拔牙挺-1/Z7526</t>
  </si>
  <si>
    <t>挖勺-1/Z7534</t>
  </si>
  <si>
    <t>三角挺-1/Z1026</t>
  </si>
  <si>
    <t>洁牙机手柄-1/Z7526</t>
  </si>
  <si>
    <t>洁牙尖-1/Z7520</t>
  </si>
  <si>
    <t>手机-1/Z1026</t>
  </si>
  <si>
    <t>拔髓针-4/Z7520</t>
  </si>
  <si>
    <t>车针-5/Z7520</t>
  </si>
  <si>
    <t>成型片-1/z7520</t>
  </si>
  <si>
    <t>扩大针-5/Z7520</t>
  </si>
  <si>
    <t>门诊手术室</t>
  </si>
  <si>
    <t>器械包</t>
  </si>
  <si>
    <t>持物钳罐-3 /W7050</t>
  </si>
  <si>
    <t>大盆1小盆1碗1盘1/W9050</t>
  </si>
  <si>
    <t>弯肠钳子-2/Z1535</t>
  </si>
  <si>
    <t>甲状腺包</t>
  </si>
  <si>
    <t>阑尾钳-1/Z1026</t>
  </si>
  <si>
    <t>门诊外科</t>
  </si>
  <si>
    <t>剪刀缸-2/Z1535</t>
  </si>
  <si>
    <t>器械切开包</t>
  </si>
  <si>
    <t>剪刀缸-3/W6050</t>
  </si>
  <si>
    <t>门诊眼科</t>
  </si>
  <si>
    <t>镊子缸-2/Z2044</t>
  </si>
  <si>
    <t>眼科器械包</t>
  </si>
  <si>
    <t>敷料包(纸塑袋)</t>
  </si>
  <si>
    <t>孔巾/Z2032</t>
  </si>
  <si>
    <t>棉签/Z1026</t>
  </si>
  <si>
    <t>纱布/Z1526</t>
  </si>
  <si>
    <t>显微剪刀-1/Z1020</t>
  </si>
  <si>
    <t>显微有钩镊-1/Z7520</t>
  </si>
  <si>
    <t>显微剪刀-1件/z7526</t>
  </si>
  <si>
    <t>显微有钩镊-1件/z7526</t>
  </si>
  <si>
    <t>外科（住院处）</t>
  </si>
  <si>
    <t>消毒缸-1/Z2032</t>
  </si>
  <si>
    <t>持物钳罐-4/W7050</t>
  </si>
  <si>
    <t>拉钩-1/Z1026</t>
  </si>
  <si>
    <t>棉球/Z3044</t>
  </si>
  <si>
    <t>咬骨钳-1/Z1535</t>
  </si>
  <si>
    <t>住院处手术室</t>
  </si>
  <si>
    <t>外科包</t>
  </si>
  <si>
    <t>阑尾钳 -1/Z1026</t>
  </si>
  <si>
    <t>弯盘-2/Z2032</t>
  </si>
  <si>
    <t>敷料包(无纺布包)</t>
  </si>
  <si>
    <t>刷手服（男）/W1250</t>
  </si>
  <si>
    <t>S钩（小）-2件/W6050</t>
  </si>
  <si>
    <t>大盆1小盆1/W9050</t>
  </si>
  <si>
    <t>棉球/Z1020</t>
  </si>
  <si>
    <t>蚊氏包</t>
  </si>
  <si>
    <t>荷包钳-1/Z2044</t>
  </si>
  <si>
    <t>开力-2/Z1535</t>
  </si>
  <si>
    <t>脑用牵开器-1/z1526</t>
  </si>
  <si>
    <t>吸引器-1/z7534</t>
  </si>
  <si>
    <t>患服/W12050</t>
  </si>
  <si>
    <t>科服/W1250</t>
  </si>
  <si>
    <t>大直角-2/Z1535</t>
  </si>
  <si>
    <t>腹膜钳-2/Z1535</t>
  </si>
  <si>
    <t>骨科持针器-2/Z1526</t>
  </si>
  <si>
    <t>骨撬-2/Z1035</t>
  </si>
  <si>
    <t>压肠板-1/Z1035</t>
  </si>
  <si>
    <t>直肠钳子-2/Z1535</t>
  </si>
  <si>
    <t>直角钳（中）-2/Z1535</t>
  </si>
  <si>
    <t>鞍钩-2/W6050</t>
  </si>
  <si>
    <t>止血钳（胸科）-4/W6050</t>
  </si>
  <si>
    <t>绷带/Z1526</t>
  </si>
  <si>
    <t>腔镜纱布/Z1026</t>
  </si>
  <si>
    <t>眼科纱布/Z1026</t>
  </si>
  <si>
    <t>爪钩-2/Z1526</t>
  </si>
  <si>
    <t>S钩（大）-2 /W7050</t>
  </si>
  <si>
    <t>持骨器-2/W6050</t>
  </si>
  <si>
    <t>眼科包(弯盘1巾钳子2)/W6050</t>
  </si>
  <si>
    <t>止血钳-6//W6050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</si>
  <si>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</si>
  <si>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2026/5/8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2026/5/8</t>
    </r>
  </si>
  <si>
    <t>处理序号</t>
  </si>
  <si>
    <t>发票操作时间</t>
  </si>
  <si>
    <t>原因</t>
  </si>
  <si>
    <t>处理序号完成时间</t>
  </si>
  <si>
    <t>包名称</t>
  </si>
  <si>
    <t>金额</t>
  </si>
  <si>
    <t>敷料包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</si>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</sst>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3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176" fontId="3" fillId="2" borderId="2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3" borderId="2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4" borderId="2" xfId="0" applyNumberFormat="1" applyFont="1" applyFill="1" applyBorder="1" applyAlignment="1">
      <alignment horizontal="left" vertical="top" wrapText="1" readingOrder="1"/>
    </xf>
    <xf numFmtId="0" fontId="3" fillId="4" borderId="2" xfId="0" applyNumberFormat="1" applyFont="1" applyFill="1" applyBorder="1" applyAlignment="1">
      <alignment vertical="top" wrapText="1" readingOrder="1"/>
    </xf>
    <xf numFmtId="176" fontId="3" fillId="4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8" fontId="3" fillId="0" borderId="3" xfId="0" applyNumberFormat="1" applyFont="1" applyFill="1" applyBorder="1" applyAlignment="1">
      <alignment horizontal="center"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horizontal="center" vertical="top" wrapText="1" readingOrder="1"/>
    </xf>
    <xf numFmtId="178" fontId="7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19050</xdr:rowOff>
    </xdr:from>
    <xdr:to>
      <xdr:col>10</xdr:col>
      <xdr:colOff>728428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9525</xdr:rowOff>
    </xdr:from>
    <xdr:to>
      <xdr:col>10</xdr:col>
      <xdr:colOff>804628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1</xdr:row>
      <xdr:rowOff>38100</xdr:rowOff>
    </xdr:from>
    <xdr:to>
      <xdr:col>10</xdr:col>
      <xdr:colOff>785578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47625</xdr:rowOff>
    </xdr:from>
    <xdr:to>
      <xdr:col>10</xdr:col>
      <xdr:colOff>690328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0</xdr:rowOff>
    </xdr:from>
    <xdr:to>
      <xdr:col>10</xdr:col>
      <xdr:colOff>728428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28575</xdr:rowOff>
    </xdr:from>
    <xdr:to>
      <xdr:col>10</xdr:col>
      <xdr:colOff>709378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76200</xdr:rowOff>
    </xdr:from>
    <xdr:to>
      <xdr:col>10</xdr:col>
      <xdr:colOff>795103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28575</xdr:rowOff>
    </xdr:from>
    <xdr:to>
      <xdr:col>10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9525</xdr:rowOff>
    </xdr:from>
    <xdr:to>
      <xdr:col>10</xdr:col>
      <xdr:colOff>690328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170815</xdr:colOff>
      <xdr:row>1</xdr:row>
      <xdr:rowOff>66675</xdr:rowOff>
    </xdr:from>
    <xdr:to>
      <xdr:col>10</xdr:col>
      <xdr:colOff>680803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38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473710</xdr:colOff>
      <xdr:row>0</xdr:row>
      <xdr:rowOff>86360</xdr:rowOff>
    </xdr:from>
    <xdr:to>
      <xdr:col>8</xdr:col>
      <xdr:colOff>983698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4045" y="86360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15" sqref="D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11" t="s">
        <v>2</v>
      </c>
      <c r="D8" s="30" t="s">
        <v>3</v>
      </c>
      <c r="E8" s="24" t="s">
        <v>2</v>
      </c>
      <c r="F8" s="24" t="s">
        <v>2</v>
      </c>
      <c r="G8" s="24" t="s">
        <v>2</v>
      </c>
      <c r="H8" s="24" t="s">
        <v>2</v>
      </c>
      <c r="I8" s="31"/>
      <c r="J8" s="32"/>
      <c r="K8" s="32"/>
      <c r="L8">
        <f>K10+门诊妇科!K8+门诊肛肠科!K8+门诊计划生育!K8+门诊口腔科!K8+门诊手术室!K8+门诊外科!K8+门诊眼科!K8+'外科（住院处）'!K8+住院处手术室!K8</f>
        <v>11799.2</v>
      </c>
    </row>
    <row r="9" spans="2:12">
      <c r="C9" s="11" t="s">
        <v>2</v>
      </c>
      <c r="D9" s="28" t="s">
        <v>4</v>
      </c>
      <c r="E9" s="28" t="s">
        <v>5</v>
      </c>
      <c r="F9" s="28" t="s">
        <v>6</v>
      </c>
      <c r="G9" s="28" t="s">
        <v>7</v>
      </c>
      <c r="H9" s="28" t="s">
        <v>8</v>
      </c>
      <c r="I9" s="28" t="s">
        <v>9</v>
      </c>
      <c r="J9" s="28" t="s">
        <v>10</v>
      </c>
      <c r="K9" s="28" t="s">
        <v>11</v>
      </c>
    </row>
    <row r="10" ht="14.25" spans="2:12">
      <c r="D10" s="23" t="s">
        <v>12</v>
      </c>
      <c r="E10" s="24" t="s">
        <v>2</v>
      </c>
      <c r="F10" s="24" t="s">
        <v>2</v>
      </c>
      <c r="G10" s="24" t="s">
        <v>2</v>
      </c>
      <c r="H10" s="24" t="s">
        <v>2</v>
      </c>
      <c r="I10" s="25">
        <v>10</v>
      </c>
      <c r="J10" s="26"/>
      <c r="K10" s="26">
        <v>585.2</v>
      </c>
    </row>
    <row r="11" spans="2:12">
      <c r="D11" s="27">
        <v>46116</v>
      </c>
      <c r="E11" s="19">
        <v>1592165</v>
      </c>
      <c r="F11" s="19" t="s">
        <v>13</v>
      </c>
      <c r="G11" s="28">
        <v>20316613</v>
      </c>
      <c r="H11" s="19" t="s">
        <v>14</v>
      </c>
      <c r="I11" s="28">
        <v>1</v>
      </c>
      <c r="J11" s="29">
        <v>69.3</v>
      </c>
      <c r="K11" s="29">
        <v>69.3</v>
      </c>
      <c r="L11">
        <f>J11/0.7</f>
        <v>99</v>
      </c>
    </row>
    <row r="12" spans="2:12">
      <c r="D12" s="27">
        <v>46116</v>
      </c>
      <c r="E12" s="19">
        <v>1592165</v>
      </c>
      <c r="F12" s="19" t="s">
        <v>15</v>
      </c>
      <c r="G12" s="28">
        <v>20323449</v>
      </c>
      <c r="H12" s="19" t="s">
        <v>16</v>
      </c>
      <c r="I12" s="28">
        <v>1</v>
      </c>
      <c r="J12" s="29">
        <v>61.6</v>
      </c>
      <c r="K12" s="29">
        <v>61.6</v>
      </c>
      <c r="L12">
        <f t="shared" ref="L12:L20" si="0">J12/0.7</f>
        <v>88</v>
      </c>
    </row>
    <row r="13" spans="2:12">
      <c r="D13" s="27">
        <v>46121</v>
      </c>
      <c r="E13" s="19">
        <v>1593320</v>
      </c>
      <c r="F13" s="19" t="s">
        <v>13</v>
      </c>
      <c r="G13" s="28">
        <v>20316613</v>
      </c>
      <c r="H13" s="19" t="s">
        <v>14</v>
      </c>
      <c r="I13" s="28">
        <v>1</v>
      </c>
      <c r="J13" s="29">
        <v>69.3</v>
      </c>
      <c r="K13" s="29">
        <v>69.3</v>
      </c>
      <c r="L13">
        <f t="shared" si="0"/>
        <v>99</v>
      </c>
    </row>
    <row r="14" spans="2:12">
      <c r="D14" s="27">
        <v>46121</v>
      </c>
      <c r="E14" s="19">
        <v>1593320</v>
      </c>
      <c r="F14" s="19" t="s">
        <v>15</v>
      </c>
      <c r="G14" s="28">
        <v>20323449</v>
      </c>
      <c r="H14" s="19" t="s">
        <v>16</v>
      </c>
      <c r="I14" s="28">
        <v>1</v>
      </c>
      <c r="J14" s="29">
        <v>61.6</v>
      </c>
      <c r="K14" s="29">
        <v>61.6</v>
      </c>
      <c r="L14">
        <f t="shared" si="0"/>
        <v>88</v>
      </c>
    </row>
    <row r="15" spans="2:12">
      <c r="D15" s="27">
        <v>46126</v>
      </c>
      <c r="E15" s="19">
        <v>1594710</v>
      </c>
      <c r="F15" s="19" t="s">
        <v>13</v>
      </c>
      <c r="G15" s="28">
        <v>20316613</v>
      </c>
      <c r="H15" s="19" t="s">
        <v>14</v>
      </c>
      <c r="I15" s="28">
        <v>1</v>
      </c>
      <c r="J15" s="29">
        <v>69.3</v>
      </c>
      <c r="K15" s="29">
        <v>69.3</v>
      </c>
      <c r="L15">
        <f t="shared" si="0"/>
        <v>99</v>
      </c>
    </row>
    <row r="16" spans="2:12">
      <c r="D16" s="27">
        <v>46130</v>
      </c>
      <c r="E16" s="19">
        <v>1596124</v>
      </c>
      <c r="F16" s="19" t="s">
        <v>17</v>
      </c>
      <c r="G16" s="28">
        <v>20373746</v>
      </c>
      <c r="H16" s="19" t="s">
        <v>18</v>
      </c>
      <c r="I16" s="28">
        <v>1</v>
      </c>
      <c r="J16" s="29">
        <v>11.55</v>
      </c>
      <c r="K16" s="29">
        <v>11.55</v>
      </c>
      <c r="L16">
        <f t="shared" si="0"/>
        <v>16.5</v>
      </c>
    </row>
    <row r="17" spans="4:12">
      <c r="D17" s="27">
        <v>46130</v>
      </c>
      <c r="E17" s="19">
        <v>1596124</v>
      </c>
      <c r="F17" s="19" t="s">
        <v>13</v>
      </c>
      <c r="G17" s="28">
        <v>20316613</v>
      </c>
      <c r="H17" s="19" t="s">
        <v>14</v>
      </c>
      <c r="I17" s="28">
        <v>1</v>
      </c>
      <c r="J17" s="29">
        <v>69.3</v>
      </c>
      <c r="K17" s="29">
        <v>69.3</v>
      </c>
      <c r="L17">
        <f t="shared" si="0"/>
        <v>99</v>
      </c>
    </row>
    <row r="18" spans="4:12">
      <c r="D18" s="27">
        <v>46135</v>
      </c>
      <c r="E18" s="19">
        <v>1597564</v>
      </c>
      <c r="F18" s="19" t="s">
        <v>13</v>
      </c>
      <c r="G18" s="28">
        <v>20316613</v>
      </c>
      <c r="H18" s="19" t="s">
        <v>14</v>
      </c>
      <c r="I18" s="28">
        <v>1</v>
      </c>
      <c r="J18" s="29">
        <v>69.3</v>
      </c>
      <c r="K18" s="29">
        <v>69.3</v>
      </c>
      <c r="L18">
        <f t="shared" si="0"/>
        <v>99</v>
      </c>
    </row>
    <row r="19" spans="4:12">
      <c r="D19" s="27">
        <v>46135</v>
      </c>
      <c r="E19" s="19">
        <v>1597564</v>
      </c>
      <c r="F19" s="19" t="s">
        <v>13</v>
      </c>
      <c r="G19" s="28">
        <v>20316605</v>
      </c>
      <c r="H19" s="19" t="s">
        <v>19</v>
      </c>
      <c r="I19" s="28">
        <v>1</v>
      </c>
      <c r="J19" s="29">
        <v>34.65</v>
      </c>
      <c r="K19" s="29">
        <v>34.65</v>
      </c>
      <c r="L19">
        <f t="shared" si="0"/>
        <v>49.5</v>
      </c>
    </row>
    <row r="20" spans="4:12">
      <c r="D20" s="27">
        <v>46140</v>
      </c>
      <c r="E20" s="19">
        <v>1598878</v>
      </c>
      <c r="F20" s="19" t="s">
        <v>13</v>
      </c>
      <c r="G20" s="28">
        <v>20316613</v>
      </c>
      <c r="H20" s="19" t="s">
        <v>14</v>
      </c>
      <c r="I20" s="28">
        <v>1</v>
      </c>
      <c r="J20" s="29">
        <v>69.3</v>
      </c>
      <c r="K20" s="29">
        <v>69.3</v>
      </c>
      <c r="L20">
        <f t="shared" si="0"/>
        <v>99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20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287</v>
      </c>
      <c r="J8" s="26"/>
      <c r="K8" s="26">
        <v>3614.44999999999</v>
      </c>
    </row>
    <row r="9" spans="1:12">
      <c r="D9" s="27">
        <v>46114</v>
      </c>
      <c r="E9" s="19">
        <v>1591524</v>
      </c>
      <c r="F9" s="19" t="s">
        <v>17</v>
      </c>
      <c r="G9" s="28">
        <v>20316538</v>
      </c>
      <c r="H9" s="19" t="s">
        <v>21</v>
      </c>
      <c r="I9" s="28">
        <v>1</v>
      </c>
      <c r="J9" s="29">
        <v>9.1</v>
      </c>
      <c r="K9" s="29">
        <v>9.1</v>
      </c>
      <c r="L9">
        <f>J9/0.7</f>
        <v>13</v>
      </c>
    </row>
    <row r="10" spans="1:12">
      <c r="D10" s="27">
        <v>46114</v>
      </c>
      <c r="E10" s="19">
        <v>1591524</v>
      </c>
      <c r="F10" s="19" t="s">
        <v>17</v>
      </c>
      <c r="G10" s="28">
        <v>20318012</v>
      </c>
      <c r="H10" s="19" t="s">
        <v>22</v>
      </c>
      <c r="I10" s="28">
        <v>3</v>
      </c>
      <c r="J10" s="29">
        <v>7.7</v>
      </c>
      <c r="K10" s="29">
        <v>23.1</v>
      </c>
      <c r="L10">
        <f t="shared" ref="L10:L41" si="0">J10/0.7</f>
        <v>11</v>
      </c>
    </row>
    <row r="11" spans="1:12">
      <c r="D11" s="27">
        <v>46114</v>
      </c>
      <c r="E11" s="19">
        <v>1591524</v>
      </c>
      <c r="F11" s="19" t="s">
        <v>17</v>
      </c>
      <c r="G11" s="28">
        <v>20318011</v>
      </c>
      <c r="H11" s="19" t="s">
        <v>23</v>
      </c>
      <c r="I11" s="28">
        <v>2</v>
      </c>
      <c r="J11" s="29">
        <v>7.7</v>
      </c>
      <c r="K11" s="29">
        <v>15.4</v>
      </c>
      <c r="L11">
        <f t="shared" si="0"/>
        <v>11</v>
      </c>
    </row>
    <row r="12" spans="1:12">
      <c r="D12" s="27">
        <v>46114</v>
      </c>
      <c r="E12" s="19">
        <v>1591524</v>
      </c>
      <c r="F12" s="19" t="s">
        <v>17</v>
      </c>
      <c r="G12" s="28">
        <v>20320558</v>
      </c>
      <c r="H12" s="19" t="s">
        <v>24</v>
      </c>
      <c r="I12" s="28">
        <v>2</v>
      </c>
      <c r="J12" s="29">
        <v>5.6</v>
      </c>
      <c r="K12" s="29">
        <v>11.2</v>
      </c>
      <c r="L12">
        <f t="shared" si="0"/>
        <v>8</v>
      </c>
    </row>
    <row r="13" spans="1:12">
      <c r="D13" s="27">
        <v>46114</v>
      </c>
      <c r="E13" s="19">
        <v>1591524</v>
      </c>
      <c r="F13" s="19" t="s">
        <v>17</v>
      </c>
      <c r="G13" s="28">
        <v>20329902</v>
      </c>
      <c r="H13" s="19" t="s">
        <v>25</v>
      </c>
      <c r="I13" s="28">
        <v>2</v>
      </c>
      <c r="J13" s="29">
        <v>5.6</v>
      </c>
      <c r="K13" s="29">
        <v>11.2</v>
      </c>
      <c r="L13">
        <f t="shared" si="0"/>
        <v>8</v>
      </c>
    </row>
    <row r="14" spans="1:12">
      <c r="D14" s="27">
        <v>46114</v>
      </c>
      <c r="E14" s="19">
        <v>1591524</v>
      </c>
      <c r="F14" s="19" t="s">
        <v>17</v>
      </c>
      <c r="G14" s="28">
        <v>20320659</v>
      </c>
      <c r="H14" s="19" t="s">
        <v>26</v>
      </c>
      <c r="I14" s="28">
        <v>2</v>
      </c>
      <c r="J14" s="29">
        <v>5.6</v>
      </c>
      <c r="K14" s="29">
        <v>11.2</v>
      </c>
      <c r="L14">
        <f t="shared" si="0"/>
        <v>8</v>
      </c>
    </row>
    <row r="15" spans="1:12">
      <c r="D15" s="27">
        <v>46114</v>
      </c>
      <c r="E15" s="19">
        <v>1591524</v>
      </c>
      <c r="F15" s="19" t="s">
        <v>17</v>
      </c>
      <c r="G15" s="28">
        <v>20316536</v>
      </c>
      <c r="H15" s="19" t="s">
        <v>27</v>
      </c>
      <c r="I15" s="28">
        <v>5</v>
      </c>
      <c r="J15" s="29">
        <v>5.6</v>
      </c>
      <c r="K15" s="29">
        <v>28</v>
      </c>
      <c r="L15">
        <f t="shared" si="0"/>
        <v>8</v>
      </c>
    </row>
    <row r="16" spans="1:12">
      <c r="D16" s="27">
        <v>46114</v>
      </c>
      <c r="E16" s="19">
        <v>1591524</v>
      </c>
      <c r="F16" s="19" t="s">
        <v>13</v>
      </c>
      <c r="G16" s="28">
        <v>20316495</v>
      </c>
      <c r="H16" s="19" t="s">
        <v>28</v>
      </c>
      <c r="I16" s="28">
        <v>1</v>
      </c>
      <c r="J16" s="29">
        <v>53.9</v>
      </c>
      <c r="K16" s="29">
        <v>53.9</v>
      </c>
      <c r="L16">
        <f t="shared" si="0"/>
        <v>77</v>
      </c>
    </row>
    <row r="17" spans="4:12">
      <c r="D17" s="27">
        <v>46114</v>
      </c>
      <c r="E17" s="19">
        <v>1591524</v>
      </c>
      <c r="F17" s="19" t="s">
        <v>13</v>
      </c>
      <c r="G17" s="28">
        <v>20351726</v>
      </c>
      <c r="H17" s="19" t="s">
        <v>29</v>
      </c>
      <c r="I17" s="28">
        <v>1</v>
      </c>
      <c r="J17" s="29">
        <v>38.5</v>
      </c>
      <c r="K17" s="29">
        <v>38.5</v>
      </c>
      <c r="L17">
        <f t="shared" si="0"/>
        <v>55</v>
      </c>
    </row>
    <row r="18" spans="4:12">
      <c r="D18" s="27">
        <v>46116</v>
      </c>
      <c r="E18" s="19">
        <v>1592166</v>
      </c>
      <c r="F18" s="19" t="s">
        <v>17</v>
      </c>
      <c r="G18" s="28">
        <v>20316538</v>
      </c>
      <c r="H18" s="19" t="s">
        <v>21</v>
      </c>
      <c r="I18" s="28">
        <v>3</v>
      </c>
      <c r="J18" s="29">
        <v>9.1</v>
      </c>
      <c r="K18" s="29">
        <v>27.3</v>
      </c>
      <c r="L18">
        <f t="shared" si="0"/>
        <v>13</v>
      </c>
    </row>
    <row r="19" spans="4:12">
      <c r="D19" s="27">
        <v>46116</v>
      </c>
      <c r="E19" s="19">
        <v>1592166</v>
      </c>
      <c r="F19" s="19" t="s">
        <v>17</v>
      </c>
      <c r="G19" s="28">
        <v>20318012</v>
      </c>
      <c r="H19" s="19" t="s">
        <v>22</v>
      </c>
      <c r="I19" s="28">
        <v>1</v>
      </c>
      <c r="J19" s="29">
        <v>7.7</v>
      </c>
      <c r="K19" s="29">
        <v>7.7</v>
      </c>
      <c r="L19">
        <f t="shared" si="0"/>
        <v>11</v>
      </c>
    </row>
    <row r="20" spans="4:12">
      <c r="D20" s="27">
        <v>46116</v>
      </c>
      <c r="E20" s="19">
        <v>1592166</v>
      </c>
      <c r="F20" s="19" t="s">
        <v>17</v>
      </c>
      <c r="G20" s="28">
        <v>20318011</v>
      </c>
      <c r="H20" s="19" t="s">
        <v>23</v>
      </c>
      <c r="I20" s="28">
        <v>1</v>
      </c>
      <c r="J20" s="29">
        <v>7.7</v>
      </c>
      <c r="K20" s="29">
        <v>7.7</v>
      </c>
      <c r="L20">
        <f t="shared" si="0"/>
        <v>11</v>
      </c>
    </row>
    <row r="21" spans="4:12">
      <c r="D21" s="27">
        <v>46116</v>
      </c>
      <c r="E21" s="19">
        <v>1592166</v>
      </c>
      <c r="F21" s="19" t="s">
        <v>17</v>
      </c>
      <c r="G21" s="28">
        <v>20316520</v>
      </c>
      <c r="H21" s="19" t="s">
        <v>30</v>
      </c>
      <c r="I21" s="28">
        <v>2</v>
      </c>
      <c r="J21" s="29">
        <v>5.6</v>
      </c>
      <c r="K21" s="29">
        <v>11.2</v>
      </c>
      <c r="L21">
        <f t="shared" si="0"/>
        <v>8</v>
      </c>
    </row>
    <row r="22" spans="4:12">
      <c r="D22" s="27">
        <v>46116</v>
      </c>
      <c r="E22" s="19">
        <v>1592166</v>
      </c>
      <c r="F22" s="19" t="s">
        <v>17</v>
      </c>
      <c r="G22" s="28">
        <v>20332509</v>
      </c>
      <c r="H22" s="19" t="s">
        <v>31</v>
      </c>
      <c r="I22" s="28">
        <v>1</v>
      </c>
      <c r="J22" s="29">
        <v>5.6</v>
      </c>
      <c r="K22" s="29">
        <v>5.6</v>
      </c>
      <c r="L22">
        <f t="shared" si="0"/>
        <v>8</v>
      </c>
    </row>
    <row r="23" spans="4:12">
      <c r="D23" s="27">
        <v>46116</v>
      </c>
      <c r="E23" s="19">
        <v>1592166</v>
      </c>
      <c r="F23" s="19" t="s">
        <v>17</v>
      </c>
      <c r="G23" s="28">
        <v>20320558</v>
      </c>
      <c r="H23" s="19" t="s">
        <v>24</v>
      </c>
      <c r="I23" s="28">
        <v>3</v>
      </c>
      <c r="J23" s="29">
        <v>5.6</v>
      </c>
      <c r="K23" s="29">
        <v>16.8</v>
      </c>
      <c r="L23">
        <f t="shared" si="0"/>
        <v>8</v>
      </c>
    </row>
    <row r="24" spans="4:12">
      <c r="D24" s="27">
        <v>46116</v>
      </c>
      <c r="E24" s="19">
        <v>1592166</v>
      </c>
      <c r="F24" s="19" t="s">
        <v>17</v>
      </c>
      <c r="G24" s="28">
        <v>20316710</v>
      </c>
      <c r="H24" s="19" t="s">
        <v>32</v>
      </c>
      <c r="I24" s="28">
        <v>1</v>
      </c>
      <c r="J24" s="29">
        <v>5.6</v>
      </c>
      <c r="K24" s="29">
        <v>5.6</v>
      </c>
      <c r="L24">
        <f t="shared" si="0"/>
        <v>8</v>
      </c>
    </row>
    <row r="25" spans="4:12">
      <c r="D25" s="27">
        <v>46116</v>
      </c>
      <c r="E25" s="19">
        <v>1592166</v>
      </c>
      <c r="F25" s="19" t="s">
        <v>17</v>
      </c>
      <c r="G25" s="28">
        <v>20329902</v>
      </c>
      <c r="H25" s="19" t="s">
        <v>25</v>
      </c>
      <c r="I25" s="28">
        <v>2</v>
      </c>
      <c r="J25" s="29">
        <v>5.6</v>
      </c>
      <c r="K25" s="29">
        <v>11.2</v>
      </c>
      <c r="L25">
        <f t="shared" si="0"/>
        <v>8</v>
      </c>
    </row>
    <row r="26" spans="4:12">
      <c r="D26" s="27">
        <v>46116</v>
      </c>
      <c r="E26" s="19">
        <v>1592166</v>
      </c>
      <c r="F26" s="19" t="s">
        <v>17</v>
      </c>
      <c r="G26" s="28">
        <v>20316500</v>
      </c>
      <c r="H26" s="19" t="s">
        <v>33</v>
      </c>
      <c r="I26" s="28">
        <v>1</v>
      </c>
      <c r="J26" s="29">
        <v>7.7</v>
      </c>
      <c r="K26" s="29">
        <v>7.7</v>
      </c>
      <c r="L26">
        <f t="shared" si="0"/>
        <v>11</v>
      </c>
    </row>
    <row r="27" spans="4:12">
      <c r="D27" s="27">
        <v>46116</v>
      </c>
      <c r="E27" s="19">
        <v>1592166</v>
      </c>
      <c r="F27" s="19" t="s">
        <v>17</v>
      </c>
      <c r="G27" s="28">
        <v>20320659</v>
      </c>
      <c r="H27" s="19" t="s">
        <v>26</v>
      </c>
      <c r="I27" s="28">
        <v>1</v>
      </c>
      <c r="J27" s="29">
        <v>5.6</v>
      </c>
      <c r="K27" s="29">
        <v>5.6</v>
      </c>
      <c r="L27">
        <f t="shared" si="0"/>
        <v>8</v>
      </c>
    </row>
    <row r="28" spans="4:12">
      <c r="D28" s="27">
        <v>46116</v>
      </c>
      <c r="E28" s="19">
        <v>1592166</v>
      </c>
      <c r="F28" s="19" t="s">
        <v>17</v>
      </c>
      <c r="G28" s="28">
        <v>20316536</v>
      </c>
      <c r="H28" s="19" t="s">
        <v>27</v>
      </c>
      <c r="I28" s="28">
        <v>5</v>
      </c>
      <c r="J28" s="29">
        <v>5.6</v>
      </c>
      <c r="K28" s="29">
        <v>28</v>
      </c>
      <c r="L28">
        <f t="shared" si="0"/>
        <v>8</v>
      </c>
    </row>
    <row r="29" spans="4:12">
      <c r="D29" s="27">
        <v>46116</v>
      </c>
      <c r="E29" s="19">
        <v>1592166</v>
      </c>
      <c r="F29" s="19" t="s">
        <v>13</v>
      </c>
      <c r="G29" s="28">
        <v>20316494</v>
      </c>
      <c r="H29" s="19" t="s">
        <v>34</v>
      </c>
      <c r="I29" s="28">
        <v>1</v>
      </c>
      <c r="J29" s="29">
        <v>53.9</v>
      </c>
      <c r="K29" s="29">
        <v>53.9</v>
      </c>
      <c r="L29">
        <f t="shared" si="0"/>
        <v>77</v>
      </c>
    </row>
    <row r="30" spans="4:12">
      <c r="D30" s="27">
        <v>46116</v>
      </c>
      <c r="E30" s="19">
        <v>1592166</v>
      </c>
      <c r="F30" s="19" t="s">
        <v>13</v>
      </c>
      <c r="G30" s="28">
        <v>20316495</v>
      </c>
      <c r="H30" s="19" t="s">
        <v>28</v>
      </c>
      <c r="I30" s="28">
        <v>3</v>
      </c>
      <c r="J30" s="29">
        <v>53.9</v>
      </c>
      <c r="K30" s="29">
        <v>161.7</v>
      </c>
      <c r="L30">
        <f t="shared" si="0"/>
        <v>77</v>
      </c>
    </row>
    <row r="31" spans="4:12">
      <c r="D31" s="27">
        <v>46116</v>
      </c>
      <c r="E31" s="19">
        <v>1592166</v>
      </c>
      <c r="F31" s="19" t="s">
        <v>13</v>
      </c>
      <c r="G31" s="28">
        <v>20351726</v>
      </c>
      <c r="H31" s="19" t="s">
        <v>29</v>
      </c>
      <c r="I31" s="28">
        <v>1</v>
      </c>
      <c r="J31" s="29">
        <v>38.5</v>
      </c>
      <c r="K31" s="29">
        <v>38.5</v>
      </c>
      <c r="L31">
        <f t="shared" si="0"/>
        <v>55</v>
      </c>
    </row>
    <row r="32" spans="4:12">
      <c r="D32" s="27">
        <v>46119</v>
      </c>
      <c r="E32" s="19">
        <v>1592532</v>
      </c>
      <c r="F32" s="19" t="s">
        <v>17</v>
      </c>
      <c r="G32" s="28">
        <v>20316709</v>
      </c>
      <c r="H32" s="19" t="s">
        <v>35</v>
      </c>
      <c r="I32" s="28">
        <v>1</v>
      </c>
      <c r="J32" s="29">
        <v>5.6</v>
      </c>
      <c r="K32" s="29">
        <v>5.6</v>
      </c>
      <c r="L32">
        <f t="shared" si="0"/>
        <v>8</v>
      </c>
    </row>
    <row r="33" spans="4:12">
      <c r="D33" s="27">
        <v>46119</v>
      </c>
      <c r="E33" s="19">
        <v>1592532</v>
      </c>
      <c r="F33" s="19" t="s">
        <v>17</v>
      </c>
      <c r="G33" s="28">
        <v>20318012</v>
      </c>
      <c r="H33" s="19" t="s">
        <v>22</v>
      </c>
      <c r="I33" s="28">
        <v>1</v>
      </c>
      <c r="J33" s="29">
        <v>7.7</v>
      </c>
      <c r="K33" s="29">
        <v>7.7</v>
      </c>
      <c r="L33">
        <f t="shared" si="0"/>
        <v>11</v>
      </c>
    </row>
    <row r="34" spans="4:12">
      <c r="D34" s="27">
        <v>46119</v>
      </c>
      <c r="E34" s="19">
        <v>1592532</v>
      </c>
      <c r="F34" s="19" t="s">
        <v>17</v>
      </c>
      <c r="G34" s="28">
        <v>20316532</v>
      </c>
      <c r="H34" s="19" t="s">
        <v>36</v>
      </c>
      <c r="I34" s="28">
        <v>1</v>
      </c>
      <c r="J34" s="29">
        <v>5.6</v>
      </c>
      <c r="K34" s="29">
        <v>5.6</v>
      </c>
      <c r="L34">
        <f t="shared" si="0"/>
        <v>8</v>
      </c>
    </row>
    <row r="35" spans="4:12">
      <c r="D35" s="27">
        <v>46119</v>
      </c>
      <c r="E35" s="19">
        <v>1592532</v>
      </c>
      <c r="F35" s="19" t="s">
        <v>17</v>
      </c>
      <c r="G35" s="28">
        <v>20318011</v>
      </c>
      <c r="H35" s="19" t="s">
        <v>23</v>
      </c>
      <c r="I35" s="28">
        <v>1</v>
      </c>
      <c r="J35" s="29">
        <v>7.7</v>
      </c>
      <c r="K35" s="29">
        <v>7.7</v>
      </c>
      <c r="L35">
        <f t="shared" si="0"/>
        <v>11</v>
      </c>
    </row>
    <row r="36" spans="4:12">
      <c r="D36" s="27">
        <v>46119</v>
      </c>
      <c r="E36" s="19">
        <v>1592532</v>
      </c>
      <c r="F36" s="19" t="s">
        <v>17</v>
      </c>
      <c r="G36" s="28">
        <v>20316520</v>
      </c>
      <c r="H36" s="19" t="s">
        <v>30</v>
      </c>
      <c r="I36" s="28">
        <v>1</v>
      </c>
      <c r="J36" s="29">
        <v>5.6</v>
      </c>
      <c r="K36" s="29">
        <v>5.6</v>
      </c>
      <c r="L36">
        <f t="shared" si="0"/>
        <v>8</v>
      </c>
    </row>
    <row r="37" spans="4:12">
      <c r="D37" s="27">
        <v>46119</v>
      </c>
      <c r="E37" s="19">
        <v>1592532</v>
      </c>
      <c r="F37" s="19" t="s">
        <v>17</v>
      </c>
      <c r="G37" s="28">
        <v>20316522</v>
      </c>
      <c r="H37" s="19" t="s">
        <v>37</v>
      </c>
      <c r="I37" s="28">
        <v>1</v>
      </c>
      <c r="J37" s="29">
        <v>5.6</v>
      </c>
      <c r="K37" s="29">
        <v>5.6</v>
      </c>
      <c r="L37">
        <f t="shared" si="0"/>
        <v>8</v>
      </c>
    </row>
    <row r="38" spans="4:12">
      <c r="D38" s="27">
        <v>46119</v>
      </c>
      <c r="E38" s="19">
        <v>1592532</v>
      </c>
      <c r="F38" s="19" t="s">
        <v>17</v>
      </c>
      <c r="G38" s="28">
        <v>20316710</v>
      </c>
      <c r="H38" s="19" t="s">
        <v>32</v>
      </c>
      <c r="I38" s="28">
        <v>1</v>
      </c>
      <c r="J38" s="29">
        <v>5.6</v>
      </c>
      <c r="K38" s="29">
        <v>5.6</v>
      </c>
      <c r="L38">
        <f t="shared" si="0"/>
        <v>8</v>
      </c>
    </row>
    <row r="39" spans="4:12">
      <c r="D39" s="27">
        <v>46119</v>
      </c>
      <c r="E39" s="19">
        <v>1592532</v>
      </c>
      <c r="F39" s="19" t="s">
        <v>17</v>
      </c>
      <c r="G39" s="28">
        <v>20329902</v>
      </c>
      <c r="H39" s="19" t="s">
        <v>25</v>
      </c>
      <c r="I39" s="28">
        <v>2</v>
      </c>
      <c r="J39" s="29">
        <v>5.6</v>
      </c>
      <c r="K39" s="29">
        <v>11.2</v>
      </c>
      <c r="L39">
        <f t="shared" si="0"/>
        <v>8</v>
      </c>
    </row>
    <row r="40" spans="4:12">
      <c r="D40" s="27">
        <v>46119</v>
      </c>
      <c r="E40" s="19">
        <v>1592532</v>
      </c>
      <c r="F40" s="19" t="s">
        <v>17</v>
      </c>
      <c r="G40" s="28">
        <v>20320659</v>
      </c>
      <c r="H40" s="19" t="s">
        <v>26</v>
      </c>
      <c r="I40" s="28">
        <v>1</v>
      </c>
      <c r="J40" s="29">
        <v>5.6</v>
      </c>
      <c r="K40" s="29">
        <v>5.6</v>
      </c>
      <c r="L40">
        <f t="shared" si="0"/>
        <v>8</v>
      </c>
    </row>
    <row r="41" spans="4:12">
      <c r="D41" s="27">
        <v>46119</v>
      </c>
      <c r="E41" s="19">
        <v>1592532</v>
      </c>
      <c r="F41" s="19" t="s">
        <v>17</v>
      </c>
      <c r="G41" s="28">
        <v>20316708</v>
      </c>
      <c r="H41" s="19" t="s">
        <v>38</v>
      </c>
      <c r="I41" s="28">
        <v>1</v>
      </c>
      <c r="J41" s="29">
        <v>5.6</v>
      </c>
      <c r="K41" s="29">
        <v>5.6</v>
      </c>
      <c r="L41">
        <f t="shared" si="0"/>
        <v>8</v>
      </c>
    </row>
    <row r="42" spans="4:12">
      <c r="D42" s="27">
        <v>46119</v>
      </c>
      <c r="E42" s="19">
        <v>1592532</v>
      </c>
      <c r="F42" s="19" t="s">
        <v>17</v>
      </c>
      <c r="G42" s="28">
        <v>20316819</v>
      </c>
      <c r="H42" s="19" t="s">
        <v>39</v>
      </c>
      <c r="I42" s="28">
        <v>1</v>
      </c>
      <c r="J42" s="29">
        <v>5.6</v>
      </c>
      <c r="K42" s="29">
        <v>5.6</v>
      </c>
      <c r="L42">
        <f t="shared" ref="L42:L73" si="1">J42/0.7</f>
        <v>8</v>
      </c>
    </row>
    <row r="43" spans="4:12">
      <c r="D43" s="27">
        <v>46119</v>
      </c>
      <c r="E43" s="19">
        <v>1592532</v>
      </c>
      <c r="F43" s="19" t="s">
        <v>13</v>
      </c>
      <c r="G43" s="28">
        <v>20316495</v>
      </c>
      <c r="H43" s="19" t="s">
        <v>28</v>
      </c>
      <c r="I43" s="28">
        <v>5</v>
      </c>
      <c r="J43" s="29">
        <v>53.9</v>
      </c>
      <c r="K43" s="29">
        <v>269.5</v>
      </c>
      <c r="L43">
        <f t="shared" si="1"/>
        <v>77</v>
      </c>
    </row>
    <row r="44" spans="4:12">
      <c r="D44" s="27">
        <v>46121</v>
      </c>
      <c r="E44" s="19">
        <v>1593321</v>
      </c>
      <c r="F44" s="19" t="s">
        <v>17</v>
      </c>
      <c r="G44" s="28">
        <v>20318012</v>
      </c>
      <c r="H44" s="19" t="s">
        <v>22</v>
      </c>
      <c r="I44" s="28">
        <v>3</v>
      </c>
      <c r="J44" s="29">
        <v>7.7</v>
      </c>
      <c r="K44" s="29">
        <v>23.1</v>
      </c>
      <c r="L44">
        <f t="shared" si="1"/>
        <v>11</v>
      </c>
    </row>
    <row r="45" spans="4:12">
      <c r="D45" s="27">
        <v>46121</v>
      </c>
      <c r="E45" s="19">
        <v>1593321</v>
      </c>
      <c r="F45" s="19" t="s">
        <v>17</v>
      </c>
      <c r="G45" s="28">
        <v>20318011</v>
      </c>
      <c r="H45" s="19" t="s">
        <v>23</v>
      </c>
      <c r="I45" s="28">
        <v>2</v>
      </c>
      <c r="J45" s="29">
        <v>7.7</v>
      </c>
      <c r="K45" s="29">
        <v>15.4</v>
      </c>
      <c r="L45">
        <f t="shared" si="1"/>
        <v>11</v>
      </c>
    </row>
    <row r="46" spans="4:12">
      <c r="D46" s="27">
        <v>46121</v>
      </c>
      <c r="E46" s="19">
        <v>1593321</v>
      </c>
      <c r="F46" s="19" t="s">
        <v>17</v>
      </c>
      <c r="G46" s="28">
        <v>20316520</v>
      </c>
      <c r="H46" s="19" t="s">
        <v>30</v>
      </c>
      <c r="I46" s="28">
        <v>2</v>
      </c>
      <c r="J46" s="29">
        <v>5.6</v>
      </c>
      <c r="K46" s="29">
        <v>11.2</v>
      </c>
      <c r="L46">
        <f t="shared" si="1"/>
        <v>8</v>
      </c>
    </row>
    <row r="47" spans="4:12">
      <c r="D47" s="27">
        <v>46121</v>
      </c>
      <c r="E47" s="19">
        <v>1593321</v>
      </c>
      <c r="F47" s="19" t="s">
        <v>17</v>
      </c>
      <c r="G47" s="28">
        <v>20332509</v>
      </c>
      <c r="H47" s="19" t="s">
        <v>31</v>
      </c>
      <c r="I47" s="28">
        <v>1</v>
      </c>
      <c r="J47" s="29">
        <v>5.6</v>
      </c>
      <c r="K47" s="29">
        <v>5.6</v>
      </c>
      <c r="L47">
        <f t="shared" si="1"/>
        <v>8</v>
      </c>
    </row>
    <row r="48" spans="4:12">
      <c r="D48" s="27">
        <v>46121</v>
      </c>
      <c r="E48" s="19">
        <v>1593321</v>
      </c>
      <c r="F48" s="19" t="s">
        <v>17</v>
      </c>
      <c r="G48" s="28">
        <v>20329902</v>
      </c>
      <c r="H48" s="19" t="s">
        <v>25</v>
      </c>
      <c r="I48" s="28">
        <v>3</v>
      </c>
      <c r="J48" s="29">
        <v>5.6</v>
      </c>
      <c r="K48" s="29">
        <v>16.8</v>
      </c>
      <c r="L48">
        <f t="shared" si="1"/>
        <v>8</v>
      </c>
    </row>
    <row r="49" spans="4:12">
      <c r="D49" s="27">
        <v>46121</v>
      </c>
      <c r="E49" s="19">
        <v>1593321</v>
      </c>
      <c r="F49" s="19" t="s">
        <v>17</v>
      </c>
      <c r="G49" s="28">
        <v>20320659</v>
      </c>
      <c r="H49" s="19" t="s">
        <v>26</v>
      </c>
      <c r="I49" s="28">
        <v>3</v>
      </c>
      <c r="J49" s="29">
        <v>5.6</v>
      </c>
      <c r="K49" s="29">
        <v>16.8</v>
      </c>
      <c r="L49">
        <f t="shared" si="1"/>
        <v>8</v>
      </c>
    </row>
    <row r="50" spans="4:12">
      <c r="D50" s="27">
        <v>46121</v>
      </c>
      <c r="E50" s="19">
        <v>1593321</v>
      </c>
      <c r="F50" s="19" t="s">
        <v>17</v>
      </c>
      <c r="G50" s="28">
        <v>20316536</v>
      </c>
      <c r="H50" s="19" t="s">
        <v>27</v>
      </c>
      <c r="I50" s="28">
        <v>2</v>
      </c>
      <c r="J50" s="29">
        <v>5.6</v>
      </c>
      <c r="K50" s="29">
        <v>11.2</v>
      </c>
      <c r="L50">
        <f t="shared" si="1"/>
        <v>8</v>
      </c>
    </row>
    <row r="51" spans="4:12">
      <c r="D51" s="27">
        <v>46121</v>
      </c>
      <c r="E51" s="19">
        <v>1593321</v>
      </c>
      <c r="F51" s="19" t="s">
        <v>13</v>
      </c>
      <c r="G51" s="28">
        <v>20351726</v>
      </c>
      <c r="H51" s="19" t="s">
        <v>29</v>
      </c>
      <c r="I51" s="28">
        <v>1</v>
      </c>
      <c r="J51" s="29">
        <v>38.5</v>
      </c>
      <c r="K51" s="29">
        <v>38.5</v>
      </c>
      <c r="L51">
        <f t="shared" si="1"/>
        <v>55</v>
      </c>
    </row>
    <row r="52" spans="4:12">
      <c r="D52" s="27">
        <v>46123</v>
      </c>
      <c r="E52" s="19">
        <v>1594005</v>
      </c>
      <c r="F52" s="19" t="s">
        <v>17</v>
      </c>
      <c r="G52" s="28">
        <v>20316499</v>
      </c>
      <c r="H52" s="19" t="s">
        <v>40</v>
      </c>
      <c r="I52" s="28">
        <v>1</v>
      </c>
      <c r="J52" s="29">
        <v>5.6</v>
      </c>
      <c r="K52" s="29">
        <v>5.6</v>
      </c>
      <c r="L52">
        <f t="shared" si="1"/>
        <v>8</v>
      </c>
    </row>
    <row r="53" spans="4:12">
      <c r="D53" s="27">
        <v>46123</v>
      </c>
      <c r="E53" s="19">
        <v>1594005</v>
      </c>
      <c r="F53" s="19" t="s">
        <v>17</v>
      </c>
      <c r="G53" s="28">
        <v>20318012</v>
      </c>
      <c r="H53" s="19" t="s">
        <v>22</v>
      </c>
      <c r="I53" s="28">
        <v>2</v>
      </c>
      <c r="J53" s="29">
        <v>7.7</v>
      </c>
      <c r="K53" s="29">
        <v>15.4</v>
      </c>
      <c r="L53">
        <f t="shared" si="1"/>
        <v>11</v>
      </c>
    </row>
    <row r="54" spans="4:12">
      <c r="D54" s="27">
        <v>46123</v>
      </c>
      <c r="E54" s="19">
        <v>1594005</v>
      </c>
      <c r="F54" s="19" t="s">
        <v>17</v>
      </c>
      <c r="G54" s="28">
        <v>20316532</v>
      </c>
      <c r="H54" s="19" t="s">
        <v>36</v>
      </c>
      <c r="I54" s="28">
        <v>2</v>
      </c>
      <c r="J54" s="29">
        <v>5.6</v>
      </c>
      <c r="K54" s="29">
        <v>11.2</v>
      </c>
      <c r="L54">
        <f t="shared" si="1"/>
        <v>8</v>
      </c>
    </row>
    <row r="55" spans="4:12">
      <c r="D55" s="27">
        <v>46123</v>
      </c>
      <c r="E55" s="19">
        <v>1594005</v>
      </c>
      <c r="F55" s="19" t="s">
        <v>17</v>
      </c>
      <c r="G55" s="28">
        <v>20318011</v>
      </c>
      <c r="H55" s="19" t="s">
        <v>23</v>
      </c>
      <c r="I55" s="28">
        <v>2</v>
      </c>
      <c r="J55" s="29">
        <v>7.7</v>
      </c>
      <c r="K55" s="29">
        <v>15.4</v>
      </c>
      <c r="L55">
        <f t="shared" si="1"/>
        <v>11</v>
      </c>
    </row>
    <row r="56" spans="4:12">
      <c r="D56" s="27">
        <v>46123</v>
      </c>
      <c r="E56" s="19">
        <v>1594005</v>
      </c>
      <c r="F56" s="19" t="s">
        <v>17</v>
      </c>
      <c r="G56" s="28">
        <v>20332509</v>
      </c>
      <c r="H56" s="19" t="s">
        <v>31</v>
      </c>
      <c r="I56" s="28">
        <v>1</v>
      </c>
      <c r="J56" s="29">
        <v>5.6</v>
      </c>
      <c r="K56" s="29">
        <v>5.6</v>
      </c>
      <c r="L56">
        <f t="shared" si="1"/>
        <v>8</v>
      </c>
    </row>
    <row r="57" spans="4:12">
      <c r="D57" s="27">
        <v>46123</v>
      </c>
      <c r="E57" s="19">
        <v>1594005</v>
      </c>
      <c r="F57" s="19" t="s">
        <v>17</v>
      </c>
      <c r="G57" s="28">
        <v>20320558</v>
      </c>
      <c r="H57" s="19" t="s">
        <v>24</v>
      </c>
      <c r="I57" s="28">
        <v>2</v>
      </c>
      <c r="J57" s="29">
        <v>5.6</v>
      </c>
      <c r="K57" s="29">
        <v>11.2</v>
      </c>
      <c r="L57">
        <f t="shared" si="1"/>
        <v>8</v>
      </c>
    </row>
    <row r="58" spans="4:12">
      <c r="D58" s="27">
        <v>46123</v>
      </c>
      <c r="E58" s="19">
        <v>1594005</v>
      </c>
      <c r="F58" s="19" t="s">
        <v>17</v>
      </c>
      <c r="G58" s="28">
        <v>20332792</v>
      </c>
      <c r="H58" s="19" t="s">
        <v>41</v>
      </c>
      <c r="I58" s="28">
        <v>1</v>
      </c>
      <c r="J58" s="29">
        <v>5.6</v>
      </c>
      <c r="K58" s="29">
        <v>5.6</v>
      </c>
      <c r="L58">
        <f t="shared" si="1"/>
        <v>8</v>
      </c>
    </row>
    <row r="59" spans="4:12">
      <c r="D59" s="27">
        <v>46123</v>
      </c>
      <c r="E59" s="19">
        <v>1594005</v>
      </c>
      <c r="F59" s="19" t="s">
        <v>17</v>
      </c>
      <c r="G59" s="28">
        <v>20316516</v>
      </c>
      <c r="H59" s="19" t="s">
        <v>42</v>
      </c>
      <c r="I59" s="28">
        <v>1</v>
      </c>
      <c r="J59" s="29">
        <v>5.6</v>
      </c>
      <c r="K59" s="29">
        <v>5.6</v>
      </c>
      <c r="L59">
        <f t="shared" si="1"/>
        <v>8</v>
      </c>
    </row>
    <row r="60" spans="4:12">
      <c r="D60" s="27">
        <v>46123</v>
      </c>
      <c r="E60" s="19">
        <v>1594005</v>
      </c>
      <c r="F60" s="19" t="s">
        <v>17</v>
      </c>
      <c r="G60" s="28">
        <v>20316710</v>
      </c>
      <c r="H60" s="19" t="s">
        <v>32</v>
      </c>
      <c r="I60" s="28">
        <v>1</v>
      </c>
      <c r="J60" s="29">
        <v>5.6</v>
      </c>
      <c r="K60" s="29">
        <v>5.6</v>
      </c>
      <c r="L60">
        <f t="shared" si="1"/>
        <v>8</v>
      </c>
    </row>
    <row r="61" spans="4:12">
      <c r="D61" s="27">
        <v>46123</v>
      </c>
      <c r="E61" s="19">
        <v>1594005</v>
      </c>
      <c r="F61" s="19" t="s">
        <v>17</v>
      </c>
      <c r="G61" s="28">
        <v>20320659</v>
      </c>
      <c r="H61" s="19" t="s">
        <v>26</v>
      </c>
      <c r="I61" s="28">
        <v>2</v>
      </c>
      <c r="J61" s="29">
        <v>5.6</v>
      </c>
      <c r="K61" s="29">
        <v>11.2</v>
      </c>
      <c r="L61">
        <f t="shared" si="1"/>
        <v>8</v>
      </c>
    </row>
    <row r="62" spans="4:12">
      <c r="D62" s="27">
        <v>46123</v>
      </c>
      <c r="E62" s="19">
        <v>1594005</v>
      </c>
      <c r="F62" s="19" t="s">
        <v>17</v>
      </c>
      <c r="G62" s="28">
        <v>20316708</v>
      </c>
      <c r="H62" s="19" t="s">
        <v>38</v>
      </c>
      <c r="I62" s="28">
        <v>1</v>
      </c>
      <c r="J62" s="29">
        <v>5.6</v>
      </c>
      <c r="K62" s="29">
        <v>5.6</v>
      </c>
      <c r="L62">
        <f t="shared" si="1"/>
        <v>8</v>
      </c>
    </row>
    <row r="63" spans="4:12">
      <c r="D63" s="27">
        <v>46123</v>
      </c>
      <c r="E63" s="19">
        <v>1594005</v>
      </c>
      <c r="F63" s="19" t="s">
        <v>17</v>
      </c>
      <c r="G63" s="28">
        <v>20316819</v>
      </c>
      <c r="H63" s="19" t="s">
        <v>39</v>
      </c>
      <c r="I63" s="28">
        <v>1</v>
      </c>
      <c r="J63" s="29">
        <v>5.6</v>
      </c>
      <c r="K63" s="29">
        <v>5.6</v>
      </c>
      <c r="L63">
        <f t="shared" si="1"/>
        <v>8</v>
      </c>
    </row>
    <row r="64" spans="4:12">
      <c r="D64" s="27">
        <v>46123</v>
      </c>
      <c r="E64" s="19">
        <v>1594005</v>
      </c>
      <c r="F64" s="19" t="s">
        <v>17</v>
      </c>
      <c r="G64" s="28">
        <v>20316536</v>
      </c>
      <c r="H64" s="19" t="s">
        <v>27</v>
      </c>
      <c r="I64" s="28">
        <v>8</v>
      </c>
      <c r="J64" s="29">
        <v>5.6</v>
      </c>
      <c r="K64" s="29">
        <v>44.8</v>
      </c>
      <c r="L64">
        <f t="shared" si="1"/>
        <v>8</v>
      </c>
    </row>
    <row r="65" spans="4:12">
      <c r="D65" s="27">
        <v>46126</v>
      </c>
      <c r="E65" s="19">
        <v>1594711</v>
      </c>
      <c r="F65" s="19" t="s">
        <v>17</v>
      </c>
      <c r="G65" s="28">
        <v>20318012</v>
      </c>
      <c r="H65" s="19" t="s">
        <v>22</v>
      </c>
      <c r="I65" s="28">
        <v>3</v>
      </c>
      <c r="J65" s="29">
        <v>7.7</v>
      </c>
      <c r="K65" s="29">
        <v>23.1</v>
      </c>
      <c r="L65">
        <f t="shared" si="1"/>
        <v>11</v>
      </c>
    </row>
    <row r="66" spans="4:12">
      <c r="D66" s="27">
        <v>46126</v>
      </c>
      <c r="E66" s="19">
        <v>1594711</v>
      </c>
      <c r="F66" s="19" t="s">
        <v>17</v>
      </c>
      <c r="G66" s="28">
        <v>20318011</v>
      </c>
      <c r="H66" s="19" t="s">
        <v>23</v>
      </c>
      <c r="I66" s="28">
        <v>2</v>
      </c>
      <c r="J66" s="29">
        <v>7.7</v>
      </c>
      <c r="K66" s="29">
        <v>15.4</v>
      </c>
      <c r="L66">
        <f t="shared" si="1"/>
        <v>11</v>
      </c>
    </row>
    <row r="67" spans="4:12">
      <c r="D67" s="27">
        <v>46126</v>
      </c>
      <c r="E67" s="19">
        <v>1594711</v>
      </c>
      <c r="F67" s="19" t="s">
        <v>17</v>
      </c>
      <c r="G67" s="28">
        <v>20316520</v>
      </c>
      <c r="H67" s="19" t="s">
        <v>30</v>
      </c>
      <c r="I67" s="28">
        <v>1</v>
      </c>
      <c r="J67" s="29">
        <v>5.6</v>
      </c>
      <c r="K67" s="29">
        <v>5.6</v>
      </c>
      <c r="L67">
        <f t="shared" si="1"/>
        <v>8</v>
      </c>
    </row>
    <row r="68" spans="4:12">
      <c r="D68" s="27">
        <v>46126</v>
      </c>
      <c r="E68" s="19">
        <v>1594711</v>
      </c>
      <c r="F68" s="19" t="s">
        <v>17</v>
      </c>
      <c r="G68" s="28">
        <v>20332509</v>
      </c>
      <c r="H68" s="19" t="s">
        <v>31</v>
      </c>
      <c r="I68" s="28">
        <v>1</v>
      </c>
      <c r="J68" s="29">
        <v>5.6</v>
      </c>
      <c r="K68" s="29">
        <v>5.6</v>
      </c>
      <c r="L68">
        <f t="shared" si="1"/>
        <v>8</v>
      </c>
    </row>
    <row r="69" spans="4:12">
      <c r="D69" s="27">
        <v>46126</v>
      </c>
      <c r="E69" s="19">
        <v>1594711</v>
      </c>
      <c r="F69" s="19" t="s">
        <v>17</v>
      </c>
      <c r="G69" s="28">
        <v>20316516</v>
      </c>
      <c r="H69" s="19" t="s">
        <v>42</v>
      </c>
      <c r="I69" s="28">
        <v>1</v>
      </c>
      <c r="J69" s="29">
        <v>5.6</v>
      </c>
      <c r="K69" s="29">
        <v>5.6</v>
      </c>
      <c r="L69">
        <f t="shared" si="1"/>
        <v>8</v>
      </c>
    </row>
    <row r="70" spans="4:12">
      <c r="D70" s="27">
        <v>46126</v>
      </c>
      <c r="E70" s="19">
        <v>1594711</v>
      </c>
      <c r="F70" s="19" t="s">
        <v>17</v>
      </c>
      <c r="G70" s="28">
        <v>20316497</v>
      </c>
      <c r="H70" s="19" t="s">
        <v>43</v>
      </c>
      <c r="I70" s="28">
        <v>1</v>
      </c>
      <c r="J70" s="29">
        <v>7.7</v>
      </c>
      <c r="K70" s="29">
        <v>7.7</v>
      </c>
      <c r="L70">
        <f t="shared" si="1"/>
        <v>11</v>
      </c>
    </row>
    <row r="71" spans="4:12">
      <c r="D71" s="27">
        <v>46126</v>
      </c>
      <c r="E71" s="19">
        <v>1594711</v>
      </c>
      <c r="F71" s="19" t="s">
        <v>17</v>
      </c>
      <c r="G71" s="28">
        <v>20316710</v>
      </c>
      <c r="H71" s="19" t="s">
        <v>32</v>
      </c>
      <c r="I71" s="28">
        <v>1</v>
      </c>
      <c r="J71" s="29">
        <v>5.6</v>
      </c>
      <c r="K71" s="29">
        <v>5.6</v>
      </c>
      <c r="L71">
        <f t="shared" si="1"/>
        <v>8</v>
      </c>
    </row>
    <row r="72" spans="4:12">
      <c r="D72" s="27">
        <v>46126</v>
      </c>
      <c r="E72" s="19">
        <v>1594711</v>
      </c>
      <c r="F72" s="19" t="s">
        <v>17</v>
      </c>
      <c r="G72" s="28">
        <v>20329902</v>
      </c>
      <c r="H72" s="19" t="s">
        <v>25</v>
      </c>
      <c r="I72" s="28">
        <v>1</v>
      </c>
      <c r="J72" s="29">
        <v>5.6</v>
      </c>
      <c r="K72" s="29">
        <v>5.6</v>
      </c>
      <c r="L72">
        <f t="shared" si="1"/>
        <v>8</v>
      </c>
    </row>
    <row r="73" spans="4:12">
      <c r="D73" s="27">
        <v>46126</v>
      </c>
      <c r="E73" s="19">
        <v>1594711</v>
      </c>
      <c r="F73" s="19" t="s">
        <v>17</v>
      </c>
      <c r="G73" s="28">
        <v>20320659</v>
      </c>
      <c r="H73" s="19" t="s">
        <v>26</v>
      </c>
      <c r="I73" s="28">
        <v>2</v>
      </c>
      <c r="J73" s="29">
        <v>5.6</v>
      </c>
      <c r="K73" s="29">
        <v>11.2</v>
      </c>
      <c r="L73">
        <f t="shared" si="1"/>
        <v>8</v>
      </c>
    </row>
    <row r="74" spans="4:12">
      <c r="D74" s="27">
        <v>46126</v>
      </c>
      <c r="E74" s="19">
        <v>1594711</v>
      </c>
      <c r="F74" s="19" t="s">
        <v>17</v>
      </c>
      <c r="G74" s="28">
        <v>20316708</v>
      </c>
      <c r="H74" s="19" t="s">
        <v>38</v>
      </c>
      <c r="I74" s="28">
        <v>2</v>
      </c>
      <c r="J74" s="29">
        <v>5.6</v>
      </c>
      <c r="K74" s="29">
        <v>11.2</v>
      </c>
      <c r="L74">
        <f t="shared" ref="L74:L105" si="2">J74/0.7</f>
        <v>8</v>
      </c>
    </row>
    <row r="75" spans="4:12">
      <c r="D75" s="27">
        <v>46126</v>
      </c>
      <c r="E75" s="19">
        <v>1594711</v>
      </c>
      <c r="F75" s="19" t="s">
        <v>17</v>
      </c>
      <c r="G75" s="28">
        <v>20316536</v>
      </c>
      <c r="H75" s="19" t="s">
        <v>27</v>
      </c>
      <c r="I75" s="28">
        <v>2</v>
      </c>
      <c r="J75" s="29">
        <v>5.6</v>
      </c>
      <c r="K75" s="29">
        <v>11.2</v>
      </c>
      <c r="L75">
        <f t="shared" si="2"/>
        <v>8</v>
      </c>
    </row>
    <row r="76" spans="4:12">
      <c r="D76" s="27">
        <v>46126</v>
      </c>
      <c r="E76" s="19">
        <v>1594711</v>
      </c>
      <c r="F76" s="19" t="s">
        <v>13</v>
      </c>
      <c r="G76" s="28">
        <v>20316495</v>
      </c>
      <c r="H76" s="19" t="s">
        <v>28</v>
      </c>
      <c r="I76" s="28">
        <v>1</v>
      </c>
      <c r="J76" s="29">
        <v>53.9</v>
      </c>
      <c r="K76" s="29">
        <v>53.9</v>
      </c>
      <c r="L76">
        <f t="shared" si="2"/>
        <v>77</v>
      </c>
    </row>
    <row r="77" spans="4:12">
      <c r="D77" s="27">
        <v>46126</v>
      </c>
      <c r="E77" s="19">
        <v>1594711</v>
      </c>
      <c r="F77" s="19" t="s">
        <v>13</v>
      </c>
      <c r="G77" s="28">
        <v>20351726</v>
      </c>
      <c r="H77" s="19" t="s">
        <v>29</v>
      </c>
      <c r="I77" s="28">
        <v>3</v>
      </c>
      <c r="J77" s="29">
        <v>38.5</v>
      </c>
      <c r="K77" s="29">
        <v>115.5</v>
      </c>
      <c r="L77">
        <f t="shared" si="2"/>
        <v>55</v>
      </c>
    </row>
    <row r="78" spans="4:12">
      <c r="D78" s="27">
        <v>46128</v>
      </c>
      <c r="E78" s="19">
        <v>1595490</v>
      </c>
      <c r="F78" s="19" t="s">
        <v>17</v>
      </c>
      <c r="G78" s="28">
        <v>20318012</v>
      </c>
      <c r="H78" s="19" t="s">
        <v>22</v>
      </c>
      <c r="I78" s="28">
        <v>1</v>
      </c>
      <c r="J78" s="29">
        <v>7.7</v>
      </c>
      <c r="K78" s="29">
        <v>7.7</v>
      </c>
      <c r="L78">
        <f t="shared" si="2"/>
        <v>11</v>
      </c>
    </row>
    <row r="79" spans="4:12">
      <c r="D79" s="27">
        <v>46128</v>
      </c>
      <c r="E79" s="19">
        <v>1595490</v>
      </c>
      <c r="F79" s="19" t="s">
        <v>17</v>
      </c>
      <c r="G79" s="28">
        <v>20318011</v>
      </c>
      <c r="H79" s="19" t="s">
        <v>23</v>
      </c>
      <c r="I79" s="28">
        <v>1</v>
      </c>
      <c r="J79" s="29">
        <v>7.7</v>
      </c>
      <c r="K79" s="29">
        <v>7.7</v>
      </c>
      <c r="L79">
        <f t="shared" si="2"/>
        <v>11</v>
      </c>
    </row>
    <row r="80" spans="4:12">
      <c r="D80" s="27">
        <v>46128</v>
      </c>
      <c r="E80" s="19">
        <v>1595490</v>
      </c>
      <c r="F80" s="19" t="s">
        <v>17</v>
      </c>
      <c r="G80" s="28">
        <v>20316520</v>
      </c>
      <c r="H80" s="19" t="s">
        <v>30</v>
      </c>
      <c r="I80" s="28">
        <v>1</v>
      </c>
      <c r="J80" s="29">
        <v>5.6</v>
      </c>
      <c r="K80" s="29">
        <v>5.6</v>
      </c>
      <c r="L80">
        <f t="shared" si="2"/>
        <v>8</v>
      </c>
    </row>
    <row r="81" spans="4:12">
      <c r="D81" s="27">
        <v>46128</v>
      </c>
      <c r="E81" s="19">
        <v>1595490</v>
      </c>
      <c r="F81" s="19" t="s">
        <v>17</v>
      </c>
      <c r="G81" s="28">
        <v>20316710</v>
      </c>
      <c r="H81" s="19" t="s">
        <v>32</v>
      </c>
      <c r="I81" s="28">
        <v>1</v>
      </c>
      <c r="J81" s="29">
        <v>5.6</v>
      </c>
      <c r="K81" s="29">
        <v>5.6</v>
      </c>
      <c r="L81">
        <f t="shared" si="2"/>
        <v>8</v>
      </c>
    </row>
    <row r="82" spans="4:12">
      <c r="D82" s="27">
        <v>46128</v>
      </c>
      <c r="E82" s="19">
        <v>1595490</v>
      </c>
      <c r="F82" s="19" t="s">
        <v>17</v>
      </c>
      <c r="G82" s="28">
        <v>20329902</v>
      </c>
      <c r="H82" s="19" t="s">
        <v>25</v>
      </c>
      <c r="I82" s="28">
        <v>1</v>
      </c>
      <c r="J82" s="29">
        <v>5.6</v>
      </c>
      <c r="K82" s="29">
        <v>5.6</v>
      </c>
      <c r="L82">
        <f t="shared" si="2"/>
        <v>8</v>
      </c>
    </row>
    <row r="83" spans="4:12">
      <c r="D83" s="27">
        <v>46128</v>
      </c>
      <c r="E83" s="19">
        <v>1595490</v>
      </c>
      <c r="F83" s="19" t="s">
        <v>17</v>
      </c>
      <c r="G83" s="28">
        <v>20320659</v>
      </c>
      <c r="H83" s="19" t="s">
        <v>26</v>
      </c>
      <c r="I83" s="28">
        <v>1</v>
      </c>
      <c r="J83" s="29">
        <v>5.6</v>
      </c>
      <c r="K83" s="29">
        <v>5.6</v>
      </c>
      <c r="L83">
        <f t="shared" si="2"/>
        <v>8</v>
      </c>
    </row>
    <row r="84" spans="4:12">
      <c r="D84" s="27">
        <v>46128</v>
      </c>
      <c r="E84" s="19">
        <v>1595490</v>
      </c>
      <c r="F84" s="19" t="s">
        <v>17</v>
      </c>
      <c r="G84" s="28">
        <v>20316819</v>
      </c>
      <c r="H84" s="19" t="s">
        <v>39</v>
      </c>
      <c r="I84" s="28">
        <v>1</v>
      </c>
      <c r="J84" s="29">
        <v>5.6</v>
      </c>
      <c r="K84" s="29">
        <v>5.6</v>
      </c>
      <c r="L84">
        <f t="shared" si="2"/>
        <v>8</v>
      </c>
    </row>
    <row r="85" spans="4:12">
      <c r="D85" s="27">
        <v>46128</v>
      </c>
      <c r="E85" s="19">
        <v>1595490</v>
      </c>
      <c r="F85" s="19" t="s">
        <v>17</v>
      </c>
      <c r="G85" s="28">
        <v>20316536</v>
      </c>
      <c r="H85" s="19" t="s">
        <v>27</v>
      </c>
      <c r="I85" s="28">
        <v>1</v>
      </c>
      <c r="J85" s="29">
        <v>5.6</v>
      </c>
      <c r="K85" s="29">
        <v>5.6</v>
      </c>
      <c r="L85">
        <f t="shared" si="2"/>
        <v>8</v>
      </c>
    </row>
    <row r="86" spans="4:12">
      <c r="D86" s="27">
        <v>46128</v>
      </c>
      <c r="E86" s="19">
        <v>1595490</v>
      </c>
      <c r="F86" s="19" t="s">
        <v>13</v>
      </c>
      <c r="G86" s="28">
        <v>20316494</v>
      </c>
      <c r="H86" s="19" t="s">
        <v>34</v>
      </c>
      <c r="I86" s="28">
        <v>1</v>
      </c>
      <c r="J86" s="29">
        <v>53.9</v>
      </c>
      <c r="K86" s="29">
        <v>53.9</v>
      </c>
      <c r="L86">
        <f t="shared" si="2"/>
        <v>77</v>
      </c>
    </row>
    <row r="87" spans="4:12">
      <c r="D87" s="27">
        <v>46128</v>
      </c>
      <c r="E87" s="19">
        <v>1595490</v>
      </c>
      <c r="F87" s="19" t="s">
        <v>13</v>
      </c>
      <c r="G87" s="28">
        <v>20316495</v>
      </c>
      <c r="H87" s="19" t="s">
        <v>28</v>
      </c>
      <c r="I87" s="28">
        <v>1</v>
      </c>
      <c r="J87" s="29">
        <v>53.9</v>
      </c>
      <c r="K87" s="29">
        <v>53.9</v>
      </c>
      <c r="L87">
        <f t="shared" si="2"/>
        <v>77</v>
      </c>
    </row>
    <row r="88" spans="4:12">
      <c r="D88" s="27">
        <v>46128</v>
      </c>
      <c r="E88" s="19">
        <v>1595490</v>
      </c>
      <c r="F88" s="19" t="s">
        <v>15</v>
      </c>
      <c r="G88" s="28">
        <v>20316645</v>
      </c>
      <c r="H88" s="19" t="s">
        <v>44</v>
      </c>
      <c r="I88" s="28">
        <v>1</v>
      </c>
      <c r="J88" s="29">
        <v>15.4</v>
      </c>
      <c r="K88" s="29">
        <v>15.4</v>
      </c>
      <c r="L88">
        <f t="shared" si="2"/>
        <v>22</v>
      </c>
    </row>
    <row r="89" spans="4:12">
      <c r="D89" s="27">
        <v>46130</v>
      </c>
      <c r="E89" s="19">
        <v>1596125</v>
      </c>
      <c r="F89" s="19" t="s">
        <v>17</v>
      </c>
      <c r="G89" s="28">
        <v>20316709</v>
      </c>
      <c r="H89" s="19" t="s">
        <v>35</v>
      </c>
      <c r="I89" s="28">
        <v>1</v>
      </c>
      <c r="J89" s="29">
        <v>5.6</v>
      </c>
      <c r="K89" s="29">
        <v>5.6</v>
      </c>
      <c r="L89">
        <f t="shared" si="2"/>
        <v>8</v>
      </c>
    </row>
    <row r="90" spans="4:12">
      <c r="D90" s="27">
        <v>46130</v>
      </c>
      <c r="E90" s="19">
        <v>1596125</v>
      </c>
      <c r="F90" s="19" t="s">
        <v>17</v>
      </c>
      <c r="G90" s="28">
        <v>20318012</v>
      </c>
      <c r="H90" s="19" t="s">
        <v>22</v>
      </c>
      <c r="I90" s="28">
        <v>3</v>
      </c>
      <c r="J90" s="29">
        <v>7.7</v>
      </c>
      <c r="K90" s="29">
        <v>23.1</v>
      </c>
      <c r="L90">
        <f t="shared" si="2"/>
        <v>11</v>
      </c>
    </row>
    <row r="91" spans="4:12">
      <c r="D91" s="27">
        <v>46130</v>
      </c>
      <c r="E91" s="19">
        <v>1596125</v>
      </c>
      <c r="F91" s="19" t="s">
        <v>17</v>
      </c>
      <c r="G91" s="28">
        <v>20318011</v>
      </c>
      <c r="H91" s="19" t="s">
        <v>23</v>
      </c>
      <c r="I91" s="28">
        <v>3</v>
      </c>
      <c r="J91" s="29">
        <v>7.7</v>
      </c>
      <c r="K91" s="29">
        <v>23.1</v>
      </c>
      <c r="L91">
        <f t="shared" si="2"/>
        <v>11</v>
      </c>
    </row>
    <row r="92" spans="4:12">
      <c r="D92" s="27">
        <v>46130</v>
      </c>
      <c r="E92" s="19">
        <v>1596125</v>
      </c>
      <c r="F92" s="19" t="s">
        <v>17</v>
      </c>
      <c r="G92" s="28">
        <v>20316520</v>
      </c>
      <c r="H92" s="19" t="s">
        <v>30</v>
      </c>
      <c r="I92" s="28">
        <v>1</v>
      </c>
      <c r="J92" s="29">
        <v>5.6</v>
      </c>
      <c r="K92" s="29">
        <v>5.6</v>
      </c>
      <c r="L92">
        <f t="shared" si="2"/>
        <v>8</v>
      </c>
    </row>
    <row r="93" spans="4:12">
      <c r="D93" s="27">
        <v>46130</v>
      </c>
      <c r="E93" s="19">
        <v>1596125</v>
      </c>
      <c r="F93" s="19" t="s">
        <v>17</v>
      </c>
      <c r="G93" s="28">
        <v>20316522</v>
      </c>
      <c r="H93" s="19" t="s">
        <v>37</v>
      </c>
      <c r="I93" s="28">
        <v>1</v>
      </c>
      <c r="J93" s="29">
        <v>5.6</v>
      </c>
      <c r="K93" s="29">
        <v>5.6</v>
      </c>
      <c r="L93">
        <f t="shared" si="2"/>
        <v>8</v>
      </c>
    </row>
    <row r="94" spans="4:12">
      <c r="D94" s="27">
        <v>46130</v>
      </c>
      <c r="E94" s="19">
        <v>1596125</v>
      </c>
      <c r="F94" s="19" t="s">
        <v>17</v>
      </c>
      <c r="G94" s="28">
        <v>20332509</v>
      </c>
      <c r="H94" s="19" t="s">
        <v>31</v>
      </c>
      <c r="I94" s="28">
        <v>1</v>
      </c>
      <c r="J94" s="29">
        <v>5.6</v>
      </c>
      <c r="K94" s="29">
        <v>5.6</v>
      </c>
      <c r="L94">
        <f t="shared" si="2"/>
        <v>8</v>
      </c>
    </row>
    <row r="95" spans="4:12">
      <c r="D95" s="27">
        <v>46130</v>
      </c>
      <c r="E95" s="19">
        <v>1596125</v>
      </c>
      <c r="F95" s="19" t="s">
        <v>17</v>
      </c>
      <c r="G95" s="28">
        <v>20320558</v>
      </c>
      <c r="H95" s="19" t="s">
        <v>24</v>
      </c>
      <c r="I95" s="28">
        <v>3</v>
      </c>
      <c r="J95" s="29">
        <v>5.6</v>
      </c>
      <c r="K95" s="29">
        <v>16.8</v>
      </c>
      <c r="L95">
        <f t="shared" si="2"/>
        <v>8</v>
      </c>
    </row>
    <row r="96" spans="4:12">
      <c r="D96" s="27">
        <v>46130</v>
      </c>
      <c r="E96" s="19">
        <v>1596125</v>
      </c>
      <c r="F96" s="19" t="s">
        <v>17</v>
      </c>
      <c r="G96" s="28">
        <v>20316710</v>
      </c>
      <c r="H96" s="19" t="s">
        <v>32</v>
      </c>
      <c r="I96" s="28">
        <v>2</v>
      </c>
      <c r="J96" s="29">
        <v>5.6</v>
      </c>
      <c r="K96" s="29">
        <v>11.2</v>
      </c>
      <c r="L96">
        <f t="shared" si="2"/>
        <v>8</v>
      </c>
    </row>
    <row r="97" spans="4:12">
      <c r="D97" s="27">
        <v>46130</v>
      </c>
      <c r="E97" s="19">
        <v>1596125</v>
      </c>
      <c r="F97" s="19" t="s">
        <v>17</v>
      </c>
      <c r="G97" s="28">
        <v>20329902</v>
      </c>
      <c r="H97" s="19" t="s">
        <v>25</v>
      </c>
      <c r="I97" s="28">
        <v>3</v>
      </c>
      <c r="J97" s="29">
        <v>5.6</v>
      </c>
      <c r="K97" s="29">
        <v>16.8</v>
      </c>
      <c r="L97">
        <f t="shared" si="2"/>
        <v>8</v>
      </c>
    </row>
    <row r="98" spans="4:12">
      <c r="D98" s="27">
        <v>46130</v>
      </c>
      <c r="E98" s="19">
        <v>1596125</v>
      </c>
      <c r="F98" s="19" t="s">
        <v>17</v>
      </c>
      <c r="G98" s="28">
        <v>20316500</v>
      </c>
      <c r="H98" s="19" t="s">
        <v>33</v>
      </c>
      <c r="I98" s="28">
        <v>1</v>
      </c>
      <c r="J98" s="29">
        <v>7.7</v>
      </c>
      <c r="K98" s="29">
        <v>7.7</v>
      </c>
      <c r="L98">
        <f t="shared" si="2"/>
        <v>11</v>
      </c>
    </row>
    <row r="99" spans="4:12">
      <c r="D99" s="27">
        <v>46130</v>
      </c>
      <c r="E99" s="19">
        <v>1596125</v>
      </c>
      <c r="F99" s="19" t="s">
        <v>17</v>
      </c>
      <c r="G99" s="28">
        <v>20316903</v>
      </c>
      <c r="H99" s="19" t="s">
        <v>45</v>
      </c>
      <c r="I99" s="28">
        <v>4</v>
      </c>
      <c r="J99" s="29">
        <v>5.6</v>
      </c>
      <c r="K99" s="29">
        <v>22.4</v>
      </c>
      <c r="L99">
        <f t="shared" si="2"/>
        <v>8</v>
      </c>
    </row>
    <row r="100" spans="4:12">
      <c r="D100" s="27">
        <v>46130</v>
      </c>
      <c r="E100" s="19">
        <v>1596125</v>
      </c>
      <c r="F100" s="19" t="s">
        <v>17</v>
      </c>
      <c r="G100" s="28">
        <v>20320659</v>
      </c>
      <c r="H100" s="19" t="s">
        <v>26</v>
      </c>
      <c r="I100" s="28">
        <v>3</v>
      </c>
      <c r="J100" s="29">
        <v>5.6</v>
      </c>
      <c r="K100" s="29">
        <v>16.8</v>
      </c>
      <c r="L100">
        <f t="shared" si="2"/>
        <v>8</v>
      </c>
    </row>
    <row r="101" spans="4:12">
      <c r="D101" s="27">
        <v>46130</v>
      </c>
      <c r="E101" s="19">
        <v>1596125</v>
      </c>
      <c r="F101" s="19" t="s">
        <v>17</v>
      </c>
      <c r="G101" s="28">
        <v>20316536</v>
      </c>
      <c r="H101" s="19" t="s">
        <v>27</v>
      </c>
      <c r="I101" s="28">
        <v>3</v>
      </c>
      <c r="J101" s="29">
        <v>5.6</v>
      </c>
      <c r="K101" s="29">
        <v>16.8</v>
      </c>
      <c r="L101">
        <f t="shared" si="2"/>
        <v>8</v>
      </c>
    </row>
    <row r="102" spans="4:12">
      <c r="D102" s="27">
        <v>46130</v>
      </c>
      <c r="E102" s="19">
        <v>1596125</v>
      </c>
      <c r="F102" s="19" t="s">
        <v>13</v>
      </c>
      <c r="G102" s="28">
        <v>20316494</v>
      </c>
      <c r="H102" s="19" t="s">
        <v>34</v>
      </c>
      <c r="I102" s="28">
        <v>1</v>
      </c>
      <c r="J102" s="29">
        <v>53.9</v>
      </c>
      <c r="K102" s="29">
        <v>53.9</v>
      </c>
      <c r="L102">
        <f t="shared" si="2"/>
        <v>77</v>
      </c>
    </row>
    <row r="103" spans="4:12">
      <c r="D103" s="27">
        <v>46130</v>
      </c>
      <c r="E103" s="19">
        <v>1596125</v>
      </c>
      <c r="F103" s="19" t="s">
        <v>13</v>
      </c>
      <c r="G103" s="28">
        <v>20351726</v>
      </c>
      <c r="H103" s="19" t="s">
        <v>29</v>
      </c>
      <c r="I103" s="28">
        <v>2</v>
      </c>
      <c r="J103" s="29">
        <v>38.5</v>
      </c>
      <c r="K103" s="29">
        <v>77</v>
      </c>
      <c r="L103">
        <f t="shared" si="2"/>
        <v>55</v>
      </c>
    </row>
    <row r="104" spans="4:12">
      <c r="D104" s="27">
        <v>46130</v>
      </c>
      <c r="E104" s="19">
        <v>1596125</v>
      </c>
      <c r="F104" s="19" t="s">
        <v>13</v>
      </c>
      <c r="G104" s="28">
        <v>20316767</v>
      </c>
      <c r="H104" s="19" t="s">
        <v>46</v>
      </c>
      <c r="I104" s="28">
        <v>1</v>
      </c>
      <c r="J104" s="29">
        <v>26.95</v>
      </c>
      <c r="K104" s="29">
        <v>26.95</v>
      </c>
      <c r="L104">
        <f t="shared" si="2"/>
        <v>38.5</v>
      </c>
    </row>
    <row r="105" spans="4:12">
      <c r="D105" s="27">
        <v>46133</v>
      </c>
      <c r="E105" s="19">
        <v>1596782</v>
      </c>
      <c r="F105" s="19" t="s">
        <v>17</v>
      </c>
      <c r="G105" s="28">
        <v>20318012</v>
      </c>
      <c r="H105" s="19" t="s">
        <v>22</v>
      </c>
      <c r="I105" s="28">
        <v>4</v>
      </c>
      <c r="J105" s="29">
        <v>7.7</v>
      </c>
      <c r="K105" s="29">
        <v>30.8</v>
      </c>
      <c r="L105">
        <f t="shared" si="2"/>
        <v>11</v>
      </c>
    </row>
    <row r="106" spans="4:12">
      <c r="D106" s="27">
        <v>46133</v>
      </c>
      <c r="E106" s="19">
        <v>1596782</v>
      </c>
      <c r="F106" s="19" t="s">
        <v>17</v>
      </c>
      <c r="G106" s="28">
        <v>20316532</v>
      </c>
      <c r="H106" s="19" t="s">
        <v>36</v>
      </c>
      <c r="I106" s="28">
        <v>1</v>
      </c>
      <c r="J106" s="29">
        <v>5.6</v>
      </c>
      <c r="K106" s="29">
        <v>5.6</v>
      </c>
      <c r="L106">
        <f t="shared" ref="L106:L137" si="3">J106/0.7</f>
        <v>8</v>
      </c>
    </row>
    <row r="107" spans="4:12">
      <c r="D107" s="27">
        <v>46133</v>
      </c>
      <c r="E107" s="19">
        <v>1596782</v>
      </c>
      <c r="F107" s="19" t="s">
        <v>17</v>
      </c>
      <c r="G107" s="28">
        <v>20318011</v>
      </c>
      <c r="H107" s="19" t="s">
        <v>23</v>
      </c>
      <c r="I107" s="28">
        <v>4</v>
      </c>
      <c r="J107" s="29">
        <v>7.7</v>
      </c>
      <c r="K107" s="29">
        <v>30.8</v>
      </c>
      <c r="L107">
        <f t="shared" si="3"/>
        <v>11</v>
      </c>
    </row>
    <row r="108" spans="4:12">
      <c r="D108" s="27">
        <v>46133</v>
      </c>
      <c r="E108" s="19">
        <v>1596782</v>
      </c>
      <c r="F108" s="19" t="s">
        <v>17</v>
      </c>
      <c r="G108" s="28">
        <v>20316520</v>
      </c>
      <c r="H108" s="19" t="s">
        <v>30</v>
      </c>
      <c r="I108" s="28">
        <v>2</v>
      </c>
      <c r="J108" s="29">
        <v>5.6</v>
      </c>
      <c r="K108" s="29">
        <v>11.2</v>
      </c>
      <c r="L108">
        <f t="shared" si="3"/>
        <v>8</v>
      </c>
    </row>
    <row r="109" spans="4:12">
      <c r="D109" s="27">
        <v>46133</v>
      </c>
      <c r="E109" s="19">
        <v>1596782</v>
      </c>
      <c r="F109" s="19" t="s">
        <v>17</v>
      </c>
      <c r="G109" s="28">
        <v>20320558</v>
      </c>
      <c r="H109" s="19" t="s">
        <v>24</v>
      </c>
      <c r="I109" s="28">
        <v>1</v>
      </c>
      <c r="J109" s="29">
        <v>5.6</v>
      </c>
      <c r="K109" s="29">
        <v>5.6</v>
      </c>
      <c r="L109">
        <f t="shared" si="3"/>
        <v>8</v>
      </c>
    </row>
    <row r="110" spans="4:12">
      <c r="D110" s="27">
        <v>46133</v>
      </c>
      <c r="E110" s="19">
        <v>1596782</v>
      </c>
      <c r="F110" s="19" t="s">
        <v>17</v>
      </c>
      <c r="G110" s="28">
        <v>20316497</v>
      </c>
      <c r="H110" s="19" t="s">
        <v>43</v>
      </c>
      <c r="I110" s="28">
        <v>1</v>
      </c>
      <c r="J110" s="29">
        <v>7.7</v>
      </c>
      <c r="K110" s="29">
        <v>7.7</v>
      </c>
      <c r="L110">
        <f t="shared" si="3"/>
        <v>11</v>
      </c>
    </row>
    <row r="111" spans="4:12">
      <c r="D111" s="27">
        <v>46133</v>
      </c>
      <c r="E111" s="19">
        <v>1596782</v>
      </c>
      <c r="F111" s="19" t="s">
        <v>17</v>
      </c>
      <c r="G111" s="28">
        <v>20316710</v>
      </c>
      <c r="H111" s="19" t="s">
        <v>32</v>
      </c>
      <c r="I111" s="28">
        <v>2</v>
      </c>
      <c r="J111" s="29">
        <v>5.6</v>
      </c>
      <c r="K111" s="29">
        <v>11.2</v>
      </c>
      <c r="L111">
        <f t="shared" si="3"/>
        <v>8</v>
      </c>
    </row>
    <row r="112" spans="4:12">
      <c r="D112" s="27">
        <v>46133</v>
      </c>
      <c r="E112" s="19">
        <v>1596782</v>
      </c>
      <c r="F112" s="19" t="s">
        <v>17</v>
      </c>
      <c r="G112" s="28">
        <v>20329902</v>
      </c>
      <c r="H112" s="19" t="s">
        <v>25</v>
      </c>
      <c r="I112" s="28">
        <v>3</v>
      </c>
      <c r="J112" s="29">
        <v>5.6</v>
      </c>
      <c r="K112" s="29">
        <v>16.8</v>
      </c>
      <c r="L112">
        <f t="shared" si="3"/>
        <v>8</v>
      </c>
    </row>
    <row r="113" spans="4:12">
      <c r="D113" s="27">
        <v>46133</v>
      </c>
      <c r="E113" s="19">
        <v>1596782</v>
      </c>
      <c r="F113" s="19" t="s">
        <v>17</v>
      </c>
      <c r="G113" s="28">
        <v>20320659</v>
      </c>
      <c r="H113" s="19" t="s">
        <v>26</v>
      </c>
      <c r="I113" s="28">
        <v>4</v>
      </c>
      <c r="J113" s="29">
        <v>5.6</v>
      </c>
      <c r="K113" s="29">
        <v>22.4</v>
      </c>
      <c r="L113">
        <f t="shared" si="3"/>
        <v>8</v>
      </c>
    </row>
    <row r="114" spans="4:12">
      <c r="D114" s="27">
        <v>46133</v>
      </c>
      <c r="E114" s="19">
        <v>1596782</v>
      </c>
      <c r="F114" s="19" t="s">
        <v>17</v>
      </c>
      <c r="G114" s="28">
        <v>20316536</v>
      </c>
      <c r="H114" s="19" t="s">
        <v>27</v>
      </c>
      <c r="I114" s="28">
        <v>5</v>
      </c>
      <c r="J114" s="29">
        <v>5.6</v>
      </c>
      <c r="K114" s="29">
        <v>28</v>
      </c>
      <c r="L114">
        <f t="shared" si="3"/>
        <v>8</v>
      </c>
    </row>
    <row r="115" spans="4:12">
      <c r="D115" s="27">
        <v>46133</v>
      </c>
      <c r="E115" s="19">
        <v>1596782</v>
      </c>
      <c r="F115" s="19" t="s">
        <v>13</v>
      </c>
      <c r="G115" s="28">
        <v>20316495</v>
      </c>
      <c r="H115" s="19" t="s">
        <v>28</v>
      </c>
      <c r="I115" s="28">
        <v>2</v>
      </c>
      <c r="J115" s="29">
        <v>53.9</v>
      </c>
      <c r="K115" s="29">
        <v>107.8</v>
      </c>
      <c r="L115">
        <f t="shared" si="3"/>
        <v>77</v>
      </c>
    </row>
    <row r="116" spans="4:12">
      <c r="D116" s="27">
        <v>46135</v>
      </c>
      <c r="E116" s="19">
        <v>1597565</v>
      </c>
      <c r="F116" s="19" t="s">
        <v>17</v>
      </c>
      <c r="G116" s="28">
        <v>20316538</v>
      </c>
      <c r="H116" s="19" t="s">
        <v>21</v>
      </c>
      <c r="I116" s="28">
        <v>1</v>
      </c>
      <c r="J116" s="29">
        <v>9.1</v>
      </c>
      <c r="K116" s="29">
        <v>9.1</v>
      </c>
      <c r="L116">
        <f t="shared" si="3"/>
        <v>13</v>
      </c>
    </row>
    <row r="117" spans="4:12">
      <c r="D117" s="27">
        <v>46135</v>
      </c>
      <c r="E117" s="19">
        <v>1597565</v>
      </c>
      <c r="F117" s="19" t="s">
        <v>17</v>
      </c>
      <c r="G117" s="28">
        <v>20318012</v>
      </c>
      <c r="H117" s="19" t="s">
        <v>22</v>
      </c>
      <c r="I117" s="28">
        <v>2</v>
      </c>
      <c r="J117" s="29">
        <v>7.7</v>
      </c>
      <c r="K117" s="29">
        <v>15.4</v>
      </c>
      <c r="L117">
        <f t="shared" si="3"/>
        <v>11</v>
      </c>
    </row>
    <row r="118" spans="4:12">
      <c r="D118" s="27">
        <v>46135</v>
      </c>
      <c r="E118" s="19">
        <v>1597565</v>
      </c>
      <c r="F118" s="19" t="s">
        <v>17</v>
      </c>
      <c r="G118" s="28">
        <v>20316532</v>
      </c>
      <c r="H118" s="19" t="s">
        <v>36</v>
      </c>
      <c r="I118" s="28">
        <v>1</v>
      </c>
      <c r="J118" s="29">
        <v>5.6</v>
      </c>
      <c r="K118" s="29">
        <v>5.6</v>
      </c>
      <c r="L118">
        <f t="shared" si="3"/>
        <v>8</v>
      </c>
    </row>
    <row r="119" spans="4:12">
      <c r="D119" s="27">
        <v>46135</v>
      </c>
      <c r="E119" s="19">
        <v>1597565</v>
      </c>
      <c r="F119" s="19" t="s">
        <v>17</v>
      </c>
      <c r="G119" s="28">
        <v>20318011</v>
      </c>
      <c r="H119" s="19" t="s">
        <v>23</v>
      </c>
      <c r="I119" s="28">
        <v>3</v>
      </c>
      <c r="J119" s="29">
        <v>7.7</v>
      </c>
      <c r="K119" s="29">
        <v>23.1</v>
      </c>
      <c r="L119">
        <f t="shared" si="3"/>
        <v>11</v>
      </c>
    </row>
    <row r="120" spans="4:12">
      <c r="D120" s="27">
        <v>46135</v>
      </c>
      <c r="E120" s="19">
        <v>1597565</v>
      </c>
      <c r="F120" s="19" t="s">
        <v>17</v>
      </c>
      <c r="G120" s="28">
        <v>20332509</v>
      </c>
      <c r="H120" s="19" t="s">
        <v>31</v>
      </c>
      <c r="I120" s="28">
        <v>1</v>
      </c>
      <c r="J120" s="29">
        <v>5.6</v>
      </c>
      <c r="K120" s="29">
        <v>5.6</v>
      </c>
      <c r="L120">
        <f t="shared" si="3"/>
        <v>8</v>
      </c>
    </row>
    <row r="121" spans="4:12">
      <c r="D121" s="27">
        <v>46135</v>
      </c>
      <c r="E121" s="19">
        <v>1597565</v>
      </c>
      <c r="F121" s="19" t="s">
        <v>17</v>
      </c>
      <c r="G121" s="28">
        <v>20320558</v>
      </c>
      <c r="H121" s="19" t="s">
        <v>24</v>
      </c>
      <c r="I121" s="28">
        <v>2</v>
      </c>
      <c r="J121" s="29">
        <v>5.6</v>
      </c>
      <c r="K121" s="29">
        <v>11.2</v>
      </c>
      <c r="L121">
        <f t="shared" si="3"/>
        <v>8</v>
      </c>
    </row>
    <row r="122" spans="4:12">
      <c r="D122" s="27">
        <v>46135</v>
      </c>
      <c r="E122" s="19">
        <v>1597565</v>
      </c>
      <c r="F122" s="19" t="s">
        <v>17</v>
      </c>
      <c r="G122" s="28">
        <v>20347321</v>
      </c>
      <c r="H122" s="19" t="s">
        <v>47</v>
      </c>
      <c r="I122" s="28">
        <v>1</v>
      </c>
      <c r="J122" s="29">
        <v>5.6</v>
      </c>
      <c r="K122" s="29">
        <v>5.6</v>
      </c>
      <c r="L122">
        <f t="shared" si="3"/>
        <v>8</v>
      </c>
    </row>
    <row r="123" spans="4:12">
      <c r="D123" s="27">
        <v>46135</v>
      </c>
      <c r="E123" s="19">
        <v>1597565</v>
      </c>
      <c r="F123" s="19" t="s">
        <v>17</v>
      </c>
      <c r="G123" s="28">
        <v>20316710</v>
      </c>
      <c r="H123" s="19" t="s">
        <v>32</v>
      </c>
      <c r="I123" s="28">
        <v>1</v>
      </c>
      <c r="J123" s="29">
        <v>5.6</v>
      </c>
      <c r="K123" s="29">
        <v>5.6</v>
      </c>
      <c r="L123">
        <f t="shared" si="3"/>
        <v>8</v>
      </c>
    </row>
    <row r="124" spans="4:12">
      <c r="D124" s="27">
        <v>46135</v>
      </c>
      <c r="E124" s="19">
        <v>1597565</v>
      </c>
      <c r="F124" s="19" t="s">
        <v>17</v>
      </c>
      <c r="G124" s="28">
        <v>20329902</v>
      </c>
      <c r="H124" s="19" t="s">
        <v>25</v>
      </c>
      <c r="I124" s="28">
        <v>2</v>
      </c>
      <c r="J124" s="29">
        <v>5.6</v>
      </c>
      <c r="K124" s="29">
        <v>11.2</v>
      </c>
      <c r="L124">
        <f t="shared" si="3"/>
        <v>8</v>
      </c>
    </row>
    <row r="125" spans="4:12">
      <c r="D125" s="27">
        <v>46135</v>
      </c>
      <c r="E125" s="19">
        <v>1597565</v>
      </c>
      <c r="F125" s="19" t="s">
        <v>17</v>
      </c>
      <c r="G125" s="28">
        <v>20316500</v>
      </c>
      <c r="H125" s="19" t="s">
        <v>33</v>
      </c>
      <c r="I125" s="28">
        <v>1</v>
      </c>
      <c r="J125" s="29">
        <v>7.7</v>
      </c>
      <c r="K125" s="29">
        <v>7.7</v>
      </c>
      <c r="L125">
        <f t="shared" si="3"/>
        <v>11</v>
      </c>
    </row>
    <row r="126" spans="4:12">
      <c r="D126" s="27">
        <v>46135</v>
      </c>
      <c r="E126" s="19">
        <v>1597565</v>
      </c>
      <c r="F126" s="19" t="s">
        <v>17</v>
      </c>
      <c r="G126" s="28">
        <v>20316903</v>
      </c>
      <c r="H126" s="19" t="s">
        <v>45</v>
      </c>
      <c r="I126" s="28">
        <v>1</v>
      </c>
      <c r="J126" s="29">
        <v>5.6</v>
      </c>
      <c r="K126" s="29">
        <v>5.6</v>
      </c>
      <c r="L126">
        <f t="shared" si="3"/>
        <v>8</v>
      </c>
    </row>
    <row r="127" spans="4:12">
      <c r="D127" s="27">
        <v>46135</v>
      </c>
      <c r="E127" s="19">
        <v>1597565</v>
      </c>
      <c r="F127" s="19" t="s">
        <v>17</v>
      </c>
      <c r="G127" s="28">
        <v>20320659</v>
      </c>
      <c r="H127" s="19" t="s">
        <v>26</v>
      </c>
      <c r="I127" s="28">
        <v>2</v>
      </c>
      <c r="J127" s="29">
        <v>5.6</v>
      </c>
      <c r="K127" s="29">
        <v>11.2</v>
      </c>
      <c r="L127">
        <f t="shared" si="3"/>
        <v>8</v>
      </c>
    </row>
    <row r="128" spans="4:12">
      <c r="D128" s="27">
        <v>46135</v>
      </c>
      <c r="E128" s="19">
        <v>1597565</v>
      </c>
      <c r="F128" s="19" t="s">
        <v>17</v>
      </c>
      <c r="G128" s="28">
        <v>20316708</v>
      </c>
      <c r="H128" s="19" t="s">
        <v>38</v>
      </c>
      <c r="I128" s="28">
        <v>1</v>
      </c>
      <c r="J128" s="29">
        <v>5.6</v>
      </c>
      <c r="K128" s="29">
        <v>5.6</v>
      </c>
      <c r="L128">
        <f t="shared" si="3"/>
        <v>8</v>
      </c>
    </row>
    <row r="129" spans="4:12">
      <c r="D129" s="27">
        <v>46135</v>
      </c>
      <c r="E129" s="19">
        <v>1597565</v>
      </c>
      <c r="F129" s="19" t="s">
        <v>17</v>
      </c>
      <c r="G129" s="28">
        <v>20316536</v>
      </c>
      <c r="H129" s="19" t="s">
        <v>27</v>
      </c>
      <c r="I129" s="28">
        <v>7</v>
      </c>
      <c r="J129" s="29">
        <v>5.6</v>
      </c>
      <c r="K129" s="29">
        <v>39.2</v>
      </c>
      <c r="L129">
        <f t="shared" si="3"/>
        <v>8</v>
      </c>
    </row>
    <row r="130" spans="4:12">
      <c r="D130" s="27">
        <v>46135</v>
      </c>
      <c r="E130" s="19">
        <v>1597565</v>
      </c>
      <c r="F130" s="19" t="s">
        <v>13</v>
      </c>
      <c r="G130" s="28">
        <v>20316495</v>
      </c>
      <c r="H130" s="19" t="s">
        <v>28</v>
      </c>
      <c r="I130" s="28">
        <v>5</v>
      </c>
      <c r="J130" s="29">
        <v>53.9</v>
      </c>
      <c r="K130" s="29">
        <v>269.5</v>
      </c>
      <c r="L130">
        <f t="shared" si="3"/>
        <v>77</v>
      </c>
    </row>
    <row r="131" spans="4:12">
      <c r="D131" s="27">
        <v>46135</v>
      </c>
      <c r="E131" s="19">
        <v>1597565</v>
      </c>
      <c r="F131" s="19" t="s">
        <v>13</v>
      </c>
      <c r="G131" s="28">
        <v>20351726</v>
      </c>
      <c r="H131" s="19" t="s">
        <v>29</v>
      </c>
      <c r="I131" s="28">
        <v>3</v>
      </c>
      <c r="J131" s="29">
        <v>38.5</v>
      </c>
      <c r="K131" s="29">
        <v>115.5</v>
      </c>
      <c r="L131">
        <f t="shared" si="3"/>
        <v>55</v>
      </c>
    </row>
    <row r="132" spans="4:12">
      <c r="D132" s="27">
        <v>46137</v>
      </c>
      <c r="E132" s="19">
        <v>1598179</v>
      </c>
      <c r="F132" s="19" t="s">
        <v>17</v>
      </c>
      <c r="G132" s="28">
        <v>20318012</v>
      </c>
      <c r="H132" s="19" t="s">
        <v>22</v>
      </c>
      <c r="I132" s="28">
        <v>3</v>
      </c>
      <c r="J132" s="29">
        <v>7.7</v>
      </c>
      <c r="K132" s="29">
        <v>23.1</v>
      </c>
      <c r="L132">
        <f t="shared" si="3"/>
        <v>11</v>
      </c>
    </row>
    <row r="133" spans="4:12">
      <c r="D133" s="27">
        <v>46137</v>
      </c>
      <c r="E133" s="19">
        <v>1598179</v>
      </c>
      <c r="F133" s="19" t="s">
        <v>17</v>
      </c>
      <c r="G133" s="28">
        <v>20316532</v>
      </c>
      <c r="H133" s="19" t="s">
        <v>36</v>
      </c>
      <c r="I133" s="28">
        <v>1</v>
      </c>
      <c r="J133" s="29">
        <v>5.6</v>
      </c>
      <c r="K133" s="29">
        <v>5.6</v>
      </c>
      <c r="L133">
        <f t="shared" si="3"/>
        <v>8</v>
      </c>
    </row>
    <row r="134" spans="4:12">
      <c r="D134" s="27">
        <v>46137</v>
      </c>
      <c r="E134" s="19">
        <v>1598179</v>
      </c>
      <c r="F134" s="19" t="s">
        <v>17</v>
      </c>
      <c r="G134" s="28">
        <v>20318011</v>
      </c>
      <c r="H134" s="19" t="s">
        <v>23</v>
      </c>
      <c r="I134" s="28">
        <v>1</v>
      </c>
      <c r="J134" s="29">
        <v>7.7</v>
      </c>
      <c r="K134" s="29">
        <v>7.7</v>
      </c>
      <c r="L134">
        <f t="shared" si="3"/>
        <v>11</v>
      </c>
    </row>
    <row r="135" spans="4:12">
      <c r="D135" s="27">
        <v>46137</v>
      </c>
      <c r="E135" s="19">
        <v>1598179</v>
      </c>
      <c r="F135" s="19" t="s">
        <v>17</v>
      </c>
      <c r="G135" s="28">
        <v>20316522</v>
      </c>
      <c r="H135" s="19" t="s">
        <v>37</v>
      </c>
      <c r="I135" s="28">
        <v>1</v>
      </c>
      <c r="J135" s="29">
        <v>5.6</v>
      </c>
      <c r="K135" s="29">
        <v>5.6</v>
      </c>
      <c r="L135">
        <f t="shared" si="3"/>
        <v>8</v>
      </c>
    </row>
    <row r="136" spans="4:12">
      <c r="D136" s="27">
        <v>46137</v>
      </c>
      <c r="E136" s="19">
        <v>1598179</v>
      </c>
      <c r="F136" s="19" t="s">
        <v>17</v>
      </c>
      <c r="G136" s="28">
        <v>20320558</v>
      </c>
      <c r="H136" s="19" t="s">
        <v>24</v>
      </c>
      <c r="I136" s="28">
        <v>1</v>
      </c>
      <c r="J136" s="29">
        <v>5.6</v>
      </c>
      <c r="K136" s="29">
        <v>5.6</v>
      </c>
      <c r="L136">
        <f t="shared" si="3"/>
        <v>8</v>
      </c>
    </row>
    <row r="137" spans="4:12">
      <c r="D137" s="27">
        <v>46137</v>
      </c>
      <c r="E137" s="19">
        <v>1598179</v>
      </c>
      <c r="F137" s="19" t="s">
        <v>17</v>
      </c>
      <c r="G137" s="28">
        <v>20316710</v>
      </c>
      <c r="H137" s="19" t="s">
        <v>32</v>
      </c>
      <c r="I137" s="28">
        <v>2</v>
      </c>
      <c r="J137" s="29">
        <v>5.6</v>
      </c>
      <c r="K137" s="29">
        <v>11.2</v>
      </c>
      <c r="L137">
        <f t="shared" si="3"/>
        <v>8</v>
      </c>
    </row>
    <row r="138" spans="4:12">
      <c r="D138" s="27">
        <v>46137</v>
      </c>
      <c r="E138" s="19">
        <v>1598179</v>
      </c>
      <c r="F138" s="19" t="s">
        <v>17</v>
      </c>
      <c r="G138" s="28">
        <v>20329902</v>
      </c>
      <c r="H138" s="19" t="s">
        <v>25</v>
      </c>
      <c r="I138" s="28">
        <v>2</v>
      </c>
      <c r="J138" s="29">
        <v>5.6</v>
      </c>
      <c r="K138" s="29">
        <v>11.2</v>
      </c>
      <c r="L138">
        <f t="shared" ref="L138:L163" si="4">J138/0.7</f>
        <v>8</v>
      </c>
    </row>
    <row r="139" spans="4:12">
      <c r="D139" s="27">
        <v>46137</v>
      </c>
      <c r="E139" s="19">
        <v>1598179</v>
      </c>
      <c r="F139" s="19" t="s">
        <v>17</v>
      </c>
      <c r="G139" s="28">
        <v>20316903</v>
      </c>
      <c r="H139" s="19" t="s">
        <v>45</v>
      </c>
      <c r="I139" s="28">
        <v>1</v>
      </c>
      <c r="J139" s="29">
        <v>5.6</v>
      </c>
      <c r="K139" s="29">
        <v>5.6</v>
      </c>
      <c r="L139">
        <f t="shared" si="4"/>
        <v>8</v>
      </c>
    </row>
    <row r="140" spans="4:12">
      <c r="D140" s="27">
        <v>46137</v>
      </c>
      <c r="E140" s="19">
        <v>1598179</v>
      </c>
      <c r="F140" s="19" t="s">
        <v>17</v>
      </c>
      <c r="G140" s="28">
        <v>20320659</v>
      </c>
      <c r="H140" s="19" t="s">
        <v>26</v>
      </c>
      <c r="I140" s="28">
        <v>3</v>
      </c>
      <c r="J140" s="29">
        <v>5.6</v>
      </c>
      <c r="K140" s="29">
        <v>16.8</v>
      </c>
      <c r="L140">
        <f t="shared" si="4"/>
        <v>8</v>
      </c>
    </row>
    <row r="141" spans="4:12">
      <c r="D141" s="27">
        <v>46137</v>
      </c>
      <c r="E141" s="19">
        <v>1598179</v>
      </c>
      <c r="F141" s="19" t="s">
        <v>17</v>
      </c>
      <c r="G141" s="28">
        <v>20316536</v>
      </c>
      <c r="H141" s="19" t="s">
        <v>27</v>
      </c>
      <c r="I141" s="28">
        <v>2</v>
      </c>
      <c r="J141" s="29">
        <v>5.6</v>
      </c>
      <c r="K141" s="29">
        <v>11.2</v>
      </c>
      <c r="L141">
        <f t="shared" si="4"/>
        <v>8</v>
      </c>
    </row>
    <row r="142" spans="4:12">
      <c r="D142" s="27">
        <v>46137</v>
      </c>
      <c r="E142" s="19">
        <v>1598179</v>
      </c>
      <c r="F142" s="19" t="s">
        <v>13</v>
      </c>
      <c r="G142" s="28">
        <v>20316495</v>
      </c>
      <c r="H142" s="19" t="s">
        <v>28</v>
      </c>
      <c r="I142" s="28">
        <v>3</v>
      </c>
      <c r="J142" s="29">
        <v>53.9</v>
      </c>
      <c r="K142" s="29">
        <v>161.7</v>
      </c>
      <c r="L142">
        <f t="shared" si="4"/>
        <v>77</v>
      </c>
    </row>
    <row r="143" spans="4:12">
      <c r="D143" s="27">
        <v>46140</v>
      </c>
      <c r="E143" s="19">
        <v>1598879</v>
      </c>
      <c r="F143" s="19" t="s">
        <v>17</v>
      </c>
      <c r="G143" s="28">
        <v>20316709</v>
      </c>
      <c r="H143" s="19" t="s">
        <v>35</v>
      </c>
      <c r="I143" s="28">
        <v>2</v>
      </c>
      <c r="J143" s="29">
        <v>5.6</v>
      </c>
      <c r="K143" s="29">
        <v>11.2</v>
      </c>
      <c r="L143">
        <f t="shared" si="4"/>
        <v>8</v>
      </c>
    </row>
    <row r="144" spans="4:12">
      <c r="D144" s="27">
        <v>46140</v>
      </c>
      <c r="E144" s="19">
        <v>1598879</v>
      </c>
      <c r="F144" s="19" t="s">
        <v>17</v>
      </c>
      <c r="G144" s="28">
        <v>20318012</v>
      </c>
      <c r="H144" s="19" t="s">
        <v>22</v>
      </c>
      <c r="I144" s="28">
        <v>2</v>
      </c>
      <c r="J144" s="29">
        <v>7.7</v>
      </c>
      <c r="K144" s="29">
        <v>15.4</v>
      </c>
      <c r="L144">
        <f t="shared" si="4"/>
        <v>11</v>
      </c>
    </row>
    <row r="145" spans="4:12">
      <c r="D145" s="27">
        <v>46140</v>
      </c>
      <c r="E145" s="19">
        <v>1598879</v>
      </c>
      <c r="F145" s="19" t="s">
        <v>17</v>
      </c>
      <c r="G145" s="28">
        <v>20318011</v>
      </c>
      <c r="H145" s="19" t="s">
        <v>23</v>
      </c>
      <c r="I145" s="28">
        <v>1</v>
      </c>
      <c r="J145" s="29">
        <v>7.7</v>
      </c>
      <c r="K145" s="29">
        <v>7.7</v>
      </c>
      <c r="L145">
        <f t="shared" si="4"/>
        <v>11</v>
      </c>
    </row>
    <row r="146" spans="4:12">
      <c r="D146" s="27">
        <v>46140</v>
      </c>
      <c r="E146" s="19">
        <v>1598879</v>
      </c>
      <c r="F146" s="19" t="s">
        <v>17</v>
      </c>
      <c r="G146" s="28">
        <v>20320558</v>
      </c>
      <c r="H146" s="19" t="s">
        <v>24</v>
      </c>
      <c r="I146" s="28">
        <v>1</v>
      </c>
      <c r="J146" s="29">
        <v>5.6</v>
      </c>
      <c r="K146" s="29">
        <v>5.6</v>
      </c>
      <c r="L146">
        <f t="shared" si="4"/>
        <v>8</v>
      </c>
    </row>
    <row r="147" spans="4:12">
      <c r="D147" s="27">
        <v>46140</v>
      </c>
      <c r="E147" s="19">
        <v>1598879</v>
      </c>
      <c r="F147" s="19" t="s">
        <v>17</v>
      </c>
      <c r="G147" s="28">
        <v>20332792</v>
      </c>
      <c r="H147" s="19" t="s">
        <v>41</v>
      </c>
      <c r="I147" s="28">
        <v>1</v>
      </c>
      <c r="J147" s="29">
        <v>5.6</v>
      </c>
      <c r="K147" s="29">
        <v>5.6</v>
      </c>
      <c r="L147">
        <f t="shared" si="4"/>
        <v>8</v>
      </c>
    </row>
    <row r="148" spans="4:12">
      <c r="D148" s="27">
        <v>46140</v>
      </c>
      <c r="E148" s="19">
        <v>1598879</v>
      </c>
      <c r="F148" s="19" t="s">
        <v>17</v>
      </c>
      <c r="G148" s="28">
        <v>20316506</v>
      </c>
      <c r="H148" s="19" t="s">
        <v>48</v>
      </c>
      <c r="I148" s="28">
        <v>1</v>
      </c>
      <c r="J148" s="29">
        <v>5.6</v>
      </c>
      <c r="K148" s="29">
        <v>5.6</v>
      </c>
      <c r="L148">
        <f t="shared" si="4"/>
        <v>8</v>
      </c>
    </row>
    <row r="149" spans="4:12">
      <c r="D149" s="27">
        <v>46140</v>
      </c>
      <c r="E149" s="19">
        <v>1598879</v>
      </c>
      <c r="F149" s="19" t="s">
        <v>17</v>
      </c>
      <c r="G149" s="28">
        <v>20316710</v>
      </c>
      <c r="H149" s="19" t="s">
        <v>32</v>
      </c>
      <c r="I149" s="28">
        <v>2</v>
      </c>
      <c r="J149" s="29">
        <v>5.6</v>
      </c>
      <c r="K149" s="29">
        <v>11.2</v>
      </c>
      <c r="L149">
        <f t="shared" si="4"/>
        <v>8</v>
      </c>
    </row>
    <row r="150" spans="4:12">
      <c r="D150" s="27">
        <v>46140</v>
      </c>
      <c r="E150" s="19">
        <v>1598879</v>
      </c>
      <c r="F150" s="19" t="s">
        <v>17</v>
      </c>
      <c r="G150" s="28">
        <v>20329902</v>
      </c>
      <c r="H150" s="19" t="s">
        <v>25</v>
      </c>
      <c r="I150" s="28">
        <v>1</v>
      </c>
      <c r="J150" s="29">
        <v>5.6</v>
      </c>
      <c r="K150" s="29">
        <v>5.6</v>
      </c>
      <c r="L150">
        <f t="shared" si="4"/>
        <v>8</v>
      </c>
    </row>
    <row r="151" spans="4:12">
      <c r="D151" s="27">
        <v>46140</v>
      </c>
      <c r="E151" s="19">
        <v>1598879</v>
      </c>
      <c r="F151" s="19" t="s">
        <v>17</v>
      </c>
      <c r="G151" s="28">
        <v>20316500</v>
      </c>
      <c r="H151" s="19" t="s">
        <v>33</v>
      </c>
      <c r="I151" s="28">
        <v>2</v>
      </c>
      <c r="J151" s="29">
        <v>7.7</v>
      </c>
      <c r="K151" s="29">
        <v>15.4</v>
      </c>
      <c r="L151">
        <f t="shared" si="4"/>
        <v>11</v>
      </c>
    </row>
    <row r="152" spans="4:12">
      <c r="D152" s="27">
        <v>46140</v>
      </c>
      <c r="E152" s="19">
        <v>1598879</v>
      </c>
      <c r="F152" s="19" t="s">
        <v>17</v>
      </c>
      <c r="G152" s="28">
        <v>20320659</v>
      </c>
      <c r="H152" s="19" t="s">
        <v>26</v>
      </c>
      <c r="I152" s="28">
        <v>2</v>
      </c>
      <c r="J152" s="29">
        <v>5.6</v>
      </c>
      <c r="K152" s="29">
        <v>11.2</v>
      </c>
      <c r="L152">
        <f t="shared" si="4"/>
        <v>8</v>
      </c>
    </row>
    <row r="153" spans="4:12">
      <c r="D153" s="27">
        <v>46140</v>
      </c>
      <c r="E153" s="19">
        <v>1598879</v>
      </c>
      <c r="F153" s="19" t="s">
        <v>17</v>
      </c>
      <c r="G153" s="28">
        <v>20316819</v>
      </c>
      <c r="H153" s="19" t="s">
        <v>39</v>
      </c>
      <c r="I153" s="28">
        <v>1</v>
      </c>
      <c r="J153" s="29">
        <v>5.6</v>
      </c>
      <c r="K153" s="29">
        <v>5.6</v>
      </c>
      <c r="L153">
        <f t="shared" si="4"/>
        <v>8</v>
      </c>
    </row>
    <row r="154" spans="4:12">
      <c r="D154" s="27">
        <v>46140</v>
      </c>
      <c r="E154" s="19">
        <v>1598879</v>
      </c>
      <c r="F154" s="19" t="s">
        <v>17</v>
      </c>
      <c r="G154" s="28">
        <v>20316536</v>
      </c>
      <c r="H154" s="19" t="s">
        <v>27</v>
      </c>
      <c r="I154" s="28">
        <v>4</v>
      </c>
      <c r="J154" s="29">
        <v>5.6</v>
      </c>
      <c r="K154" s="29">
        <v>22.4</v>
      </c>
      <c r="L154">
        <f t="shared" si="4"/>
        <v>8</v>
      </c>
    </row>
    <row r="155" spans="4:12">
      <c r="D155" s="27">
        <v>46140</v>
      </c>
      <c r="E155" s="19">
        <v>1598879</v>
      </c>
      <c r="F155" s="19" t="s">
        <v>13</v>
      </c>
      <c r="G155" s="28">
        <v>20316495</v>
      </c>
      <c r="H155" s="19" t="s">
        <v>28</v>
      </c>
      <c r="I155" s="28">
        <v>5</v>
      </c>
      <c r="J155" s="29">
        <v>53.9</v>
      </c>
      <c r="K155" s="29">
        <v>269.5</v>
      </c>
      <c r="L155">
        <f t="shared" si="4"/>
        <v>77</v>
      </c>
    </row>
    <row r="156" spans="4:12">
      <c r="D156" s="27">
        <v>46140</v>
      </c>
      <c r="E156" s="19">
        <v>1598879</v>
      </c>
      <c r="F156" s="19" t="s">
        <v>13</v>
      </c>
      <c r="G156" s="28">
        <v>20351726</v>
      </c>
      <c r="H156" s="19" t="s">
        <v>29</v>
      </c>
      <c r="I156" s="28">
        <v>2</v>
      </c>
      <c r="J156" s="29">
        <v>38.5</v>
      </c>
      <c r="K156" s="29">
        <v>77</v>
      </c>
      <c r="L156">
        <f t="shared" si="4"/>
        <v>55</v>
      </c>
    </row>
    <row r="157" spans="4:12">
      <c r="D157" s="27">
        <v>46142</v>
      </c>
      <c r="E157" s="19">
        <v>1599737</v>
      </c>
      <c r="F157" s="19" t="s">
        <v>17</v>
      </c>
      <c r="G157" s="28">
        <v>20318012</v>
      </c>
      <c r="H157" s="19" t="s">
        <v>22</v>
      </c>
      <c r="I157" s="28">
        <v>2</v>
      </c>
      <c r="J157" s="29">
        <v>7.7</v>
      </c>
      <c r="K157" s="29">
        <v>15.4</v>
      </c>
      <c r="L157">
        <f t="shared" si="4"/>
        <v>11</v>
      </c>
    </row>
    <row r="158" spans="4:12">
      <c r="D158" s="27">
        <v>46142</v>
      </c>
      <c r="E158" s="19">
        <v>1599737</v>
      </c>
      <c r="F158" s="19" t="s">
        <v>17</v>
      </c>
      <c r="G158" s="28">
        <v>20318011</v>
      </c>
      <c r="H158" s="19" t="s">
        <v>23</v>
      </c>
      <c r="I158" s="28">
        <v>1</v>
      </c>
      <c r="J158" s="29">
        <v>7.7</v>
      </c>
      <c r="K158" s="29">
        <v>7.7</v>
      </c>
      <c r="L158">
        <f t="shared" si="4"/>
        <v>11</v>
      </c>
    </row>
    <row r="159" spans="4:12">
      <c r="D159" s="27">
        <v>46142</v>
      </c>
      <c r="E159" s="19">
        <v>1599737</v>
      </c>
      <c r="F159" s="19" t="s">
        <v>17</v>
      </c>
      <c r="G159" s="28">
        <v>20316520</v>
      </c>
      <c r="H159" s="19" t="s">
        <v>30</v>
      </c>
      <c r="I159" s="28">
        <v>1</v>
      </c>
      <c r="J159" s="29">
        <v>5.6</v>
      </c>
      <c r="K159" s="29">
        <v>5.6</v>
      </c>
      <c r="L159">
        <f t="shared" si="4"/>
        <v>8</v>
      </c>
    </row>
    <row r="160" spans="4:12">
      <c r="D160" s="27">
        <v>46142</v>
      </c>
      <c r="E160" s="19">
        <v>1599737</v>
      </c>
      <c r="F160" s="19" t="s">
        <v>17</v>
      </c>
      <c r="G160" s="28">
        <v>20329902</v>
      </c>
      <c r="H160" s="19" t="s">
        <v>25</v>
      </c>
      <c r="I160" s="28">
        <v>1</v>
      </c>
      <c r="J160" s="29">
        <v>5.6</v>
      </c>
      <c r="K160" s="29">
        <v>5.6</v>
      </c>
      <c r="L160">
        <f t="shared" si="4"/>
        <v>8</v>
      </c>
    </row>
    <row r="161" spans="4:12">
      <c r="D161" s="27">
        <v>46142</v>
      </c>
      <c r="E161" s="19">
        <v>1599737</v>
      </c>
      <c r="F161" s="19" t="s">
        <v>17</v>
      </c>
      <c r="G161" s="28">
        <v>20316500</v>
      </c>
      <c r="H161" s="19" t="s">
        <v>33</v>
      </c>
      <c r="I161" s="28">
        <v>1</v>
      </c>
      <c r="J161" s="29">
        <v>7.7</v>
      </c>
      <c r="K161" s="29">
        <v>7.7</v>
      </c>
      <c r="L161">
        <f t="shared" si="4"/>
        <v>11</v>
      </c>
    </row>
    <row r="162" spans="4:12">
      <c r="D162" s="27">
        <v>46142</v>
      </c>
      <c r="E162" s="19">
        <v>1599737</v>
      </c>
      <c r="F162" s="19" t="s">
        <v>17</v>
      </c>
      <c r="G162" s="28">
        <v>20320659</v>
      </c>
      <c r="H162" s="19" t="s">
        <v>26</v>
      </c>
      <c r="I162" s="28">
        <v>1</v>
      </c>
      <c r="J162" s="29">
        <v>5.6</v>
      </c>
      <c r="K162" s="29">
        <v>5.6</v>
      </c>
      <c r="L162">
        <f t="shared" si="4"/>
        <v>8</v>
      </c>
    </row>
    <row r="163" spans="4:12">
      <c r="D163" s="27">
        <v>46142</v>
      </c>
      <c r="E163" s="19">
        <v>1599737</v>
      </c>
      <c r="F163" s="19" t="s">
        <v>17</v>
      </c>
      <c r="G163" s="28">
        <v>20316536</v>
      </c>
      <c r="H163" s="19" t="s">
        <v>27</v>
      </c>
      <c r="I163" s="28">
        <v>1</v>
      </c>
      <c r="J163" s="29">
        <v>5.6</v>
      </c>
      <c r="K163" s="29">
        <v>5.6</v>
      </c>
      <c r="L163">
        <f t="shared" si="4"/>
        <v>8</v>
      </c>
    </row>
  </sheetData>
  <autoFilter xmlns:etc="http://www.wps.cn/officeDocument/2017/etCustomData" ref="A7:K163" etc:filterBottomFollowUsedRange="0">
    <extLst/>
  </autoFilter>
  <mergeCells count="5">
    <mergeCell ref="D8:H8"/>
    <mergeCell ref="C7:C163"/>
    <mergeCell ref="B4:H5"/>
    <mergeCell ref="A7:B16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49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6</v>
      </c>
      <c r="J8" s="26"/>
      <c r="K8" s="26">
        <v>231</v>
      </c>
    </row>
    <row r="9" spans="1:11">
      <c r="D9" s="27">
        <v>46114</v>
      </c>
      <c r="E9" s="19">
        <v>1591525</v>
      </c>
      <c r="F9" s="19" t="s">
        <v>13</v>
      </c>
      <c r="G9" s="28">
        <v>20316503</v>
      </c>
      <c r="H9" s="19" t="s">
        <v>50</v>
      </c>
      <c r="I9" s="28">
        <v>2</v>
      </c>
      <c r="J9" s="29">
        <v>38.5</v>
      </c>
      <c r="K9" s="29">
        <v>77</v>
      </c>
    </row>
    <row r="10" spans="1:11">
      <c r="D10" s="27">
        <v>46116</v>
      </c>
      <c r="E10" s="19">
        <v>1592167</v>
      </c>
      <c r="F10" s="19" t="s">
        <v>13</v>
      </c>
      <c r="G10" s="28">
        <v>20316503</v>
      </c>
      <c r="H10" s="19" t="s">
        <v>50</v>
      </c>
      <c r="I10" s="28">
        <v>1</v>
      </c>
      <c r="J10" s="29">
        <v>38.5</v>
      </c>
      <c r="K10" s="29">
        <v>38.5</v>
      </c>
    </row>
    <row r="11" spans="1:11">
      <c r="D11" s="27">
        <v>46119</v>
      </c>
      <c r="E11" s="19">
        <v>1592533</v>
      </c>
      <c r="F11" s="19" t="s">
        <v>13</v>
      </c>
      <c r="G11" s="28">
        <v>20316503</v>
      </c>
      <c r="H11" s="19" t="s">
        <v>50</v>
      </c>
      <c r="I11" s="28">
        <v>1</v>
      </c>
      <c r="J11" s="29">
        <v>38.5</v>
      </c>
      <c r="K11" s="29">
        <v>38.5</v>
      </c>
    </row>
    <row r="12" spans="1:11">
      <c r="D12" s="27">
        <v>46121</v>
      </c>
      <c r="E12" s="19">
        <v>1593322</v>
      </c>
      <c r="F12" s="19" t="s">
        <v>13</v>
      </c>
      <c r="G12" s="28">
        <v>20316503</v>
      </c>
      <c r="H12" s="19" t="s">
        <v>50</v>
      </c>
      <c r="I12" s="28">
        <v>1</v>
      </c>
      <c r="J12" s="29">
        <v>38.5</v>
      </c>
      <c r="K12" s="29">
        <v>38.5</v>
      </c>
    </row>
    <row r="13" spans="1:11">
      <c r="D13" s="27">
        <v>46126</v>
      </c>
      <c r="E13" s="19">
        <v>1594712</v>
      </c>
      <c r="F13" s="19" t="s">
        <v>13</v>
      </c>
      <c r="G13" s="28">
        <v>20316503</v>
      </c>
      <c r="H13" s="19" t="s">
        <v>50</v>
      </c>
      <c r="I13" s="28">
        <v>1</v>
      </c>
      <c r="J13" s="29">
        <v>38.5</v>
      </c>
      <c r="K13" s="29">
        <v>38.5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51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134</v>
      </c>
      <c r="J8" s="26"/>
      <c r="K8" s="26">
        <v>1199.1</v>
      </c>
    </row>
    <row r="9" spans="1:12">
      <c r="D9" s="27">
        <v>46114</v>
      </c>
      <c r="E9" s="19">
        <v>1591526</v>
      </c>
      <c r="F9" s="19" t="s">
        <v>17</v>
      </c>
      <c r="G9" s="28">
        <v>20316538</v>
      </c>
      <c r="H9" s="19" t="s">
        <v>21</v>
      </c>
      <c r="I9" s="28">
        <v>1</v>
      </c>
      <c r="J9" s="29">
        <v>9.1</v>
      </c>
      <c r="K9" s="29">
        <v>9.1</v>
      </c>
      <c r="L9">
        <f>J9/0.7</f>
        <v>13</v>
      </c>
    </row>
    <row r="10" spans="1:12">
      <c r="D10" s="27">
        <v>46114</v>
      </c>
      <c r="E10" s="19">
        <v>1591526</v>
      </c>
      <c r="F10" s="19" t="s">
        <v>17</v>
      </c>
      <c r="G10" s="28">
        <v>20318012</v>
      </c>
      <c r="H10" s="19" t="s">
        <v>22</v>
      </c>
      <c r="I10" s="28">
        <v>2</v>
      </c>
      <c r="J10" s="29">
        <v>7.7</v>
      </c>
      <c r="K10" s="29">
        <v>15.4</v>
      </c>
      <c r="L10">
        <f t="shared" ref="L10:L41" si="0">J10/0.7</f>
        <v>11</v>
      </c>
    </row>
    <row r="11" spans="1:12">
      <c r="D11" s="27">
        <v>46114</v>
      </c>
      <c r="E11" s="19">
        <v>1591526</v>
      </c>
      <c r="F11" s="19" t="s">
        <v>13</v>
      </c>
      <c r="G11" s="28">
        <v>20316517</v>
      </c>
      <c r="H11" s="19" t="s">
        <v>34</v>
      </c>
      <c r="I11" s="28">
        <v>1</v>
      </c>
      <c r="J11" s="29">
        <v>42.35</v>
      </c>
      <c r="K11" s="29">
        <v>42.35</v>
      </c>
      <c r="L11">
        <f t="shared" si="0"/>
        <v>60.5</v>
      </c>
    </row>
    <row r="12" spans="1:12">
      <c r="D12" s="27">
        <v>46116</v>
      </c>
      <c r="E12" s="19">
        <v>1592168</v>
      </c>
      <c r="F12" s="19" t="s">
        <v>17</v>
      </c>
      <c r="G12" s="28">
        <v>20316538</v>
      </c>
      <c r="H12" s="19" t="s">
        <v>21</v>
      </c>
      <c r="I12" s="28">
        <v>1</v>
      </c>
      <c r="J12" s="29">
        <v>9.1</v>
      </c>
      <c r="K12" s="29">
        <v>9.1</v>
      </c>
      <c r="L12">
        <f t="shared" si="0"/>
        <v>13</v>
      </c>
    </row>
    <row r="13" spans="1:12">
      <c r="D13" s="27">
        <v>46116</v>
      </c>
      <c r="E13" s="19">
        <v>1592168</v>
      </c>
      <c r="F13" s="19" t="s">
        <v>17</v>
      </c>
      <c r="G13" s="28">
        <v>20316709</v>
      </c>
      <c r="H13" s="19" t="s">
        <v>35</v>
      </c>
      <c r="I13" s="28">
        <v>2</v>
      </c>
      <c r="J13" s="29">
        <v>5.6</v>
      </c>
      <c r="K13" s="29">
        <v>11.2</v>
      </c>
      <c r="L13">
        <f t="shared" si="0"/>
        <v>8</v>
      </c>
    </row>
    <row r="14" spans="1:12">
      <c r="D14" s="27">
        <v>46116</v>
      </c>
      <c r="E14" s="19">
        <v>1592168</v>
      </c>
      <c r="F14" s="19" t="s">
        <v>17</v>
      </c>
      <c r="G14" s="28">
        <v>20318012</v>
      </c>
      <c r="H14" s="19" t="s">
        <v>22</v>
      </c>
      <c r="I14" s="28">
        <v>5</v>
      </c>
      <c r="J14" s="29">
        <v>7.7</v>
      </c>
      <c r="K14" s="29">
        <v>38.5</v>
      </c>
      <c r="L14">
        <f t="shared" si="0"/>
        <v>11</v>
      </c>
    </row>
    <row r="15" spans="1:12">
      <c r="D15" s="27">
        <v>46116</v>
      </c>
      <c r="E15" s="19">
        <v>1592168</v>
      </c>
      <c r="F15" s="19" t="s">
        <v>17</v>
      </c>
      <c r="G15" s="28">
        <v>20318011</v>
      </c>
      <c r="H15" s="19" t="s">
        <v>23</v>
      </c>
      <c r="I15" s="28">
        <v>5</v>
      </c>
      <c r="J15" s="29">
        <v>7.7</v>
      </c>
      <c r="K15" s="29">
        <v>38.5</v>
      </c>
      <c r="L15">
        <f t="shared" si="0"/>
        <v>11</v>
      </c>
    </row>
    <row r="16" spans="1:12">
      <c r="D16" s="27">
        <v>46116</v>
      </c>
      <c r="E16" s="19">
        <v>1592168</v>
      </c>
      <c r="F16" s="19" t="s">
        <v>17</v>
      </c>
      <c r="G16" s="28">
        <v>20316520</v>
      </c>
      <c r="H16" s="19" t="s">
        <v>30</v>
      </c>
      <c r="I16" s="28">
        <v>1</v>
      </c>
      <c r="J16" s="29">
        <v>5.6</v>
      </c>
      <c r="K16" s="29">
        <v>5.6</v>
      </c>
      <c r="L16">
        <f t="shared" si="0"/>
        <v>8</v>
      </c>
    </row>
    <row r="17" spans="4:12">
      <c r="D17" s="27">
        <v>46116</v>
      </c>
      <c r="E17" s="19">
        <v>1592168</v>
      </c>
      <c r="F17" s="19" t="s">
        <v>17</v>
      </c>
      <c r="G17" s="28">
        <v>20332509</v>
      </c>
      <c r="H17" s="19" t="s">
        <v>31</v>
      </c>
      <c r="I17" s="28">
        <v>1</v>
      </c>
      <c r="J17" s="29">
        <v>5.6</v>
      </c>
      <c r="K17" s="29">
        <v>5.6</v>
      </c>
      <c r="L17">
        <f t="shared" si="0"/>
        <v>8</v>
      </c>
    </row>
    <row r="18" spans="4:12">
      <c r="D18" s="27">
        <v>46116</v>
      </c>
      <c r="E18" s="19">
        <v>1592168</v>
      </c>
      <c r="F18" s="19" t="s">
        <v>17</v>
      </c>
      <c r="G18" s="28">
        <v>20332792</v>
      </c>
      <c r="H18" s="19" t="s">
        <v>41</v>
      </c>
      <c r="I18" s="28">
        <v>1</v>
      </c>
      <c r="J18" s="29">
        <v>5.6</v>
      </c>
      <c r="K18" s="29">
        <v>5.6</v>
      </c>
      <c r="L18">
        <f t="shared" si="0"/>
        <v>8</v>
      </c>
    </row>
    <row r="19" spans="4:12">
      <c r="D19" s="27">
        <v>46116</v>
      </c>
      <c r="E19" s="19">
        <v>1592168</v>
      </c>
      <c r="F19" s="19" t="s">
        <v>17</v>
      </c>
      <c r="G19" s="28">
        <v>20316516</v>
      </c>
      <c r="H19" s="19" t="s">
        <v>42</v>
      </c>
      <c r="I19" s="28">
        <v>2</v>
      </c>
      <c r="J19" s="29">
        <v>5.6</v>
      </c>
      <c r="K19" s="29">
        <v>11.2</v>
      </c>
      <c r="L19">
        <f t="shared" si="0"/>
        <v>8</v>
      </c>
    </row>
    <row r="20" spans="4:12">
      <c r="D20" s="27">
        <v>46116</v>
      </c>
      <c r="E20" s="19">
        <v>1592168</v>
      </c>
      <c r="F20" s="19" t="s">
        <v>17</v>
      </c>
      <c r="G20" s="28">
        <v>20329902</v>
      </c>
      <c r="H20" s="19" t="s">
        <v>25</v>
      </c>
      <c r="I20" s="28">
        <v>5</v>
      </c>
      <c r="J20" s="29">
        <v>5.6</v>
      </c>
      <c r="K20" s="29">
        <v>28</v>
      </c>
      <c r="L20">
        <f t="shared" si="0"/>
        <v>8</v>
      </c>
    </row>
    <row r="21" spans="4:12">
      <c r="D21" s="27">
        <v>46116</v>
      </c>
      <c r="E21" s="19">
        <v>1592168</v>
      </c>
      <c r="F21" s="19" t="s">
        <v>17</v>
      </c>
      <c r="G21" s="28">
        <v>20316500</v>
      </c>
      <c r="H21" s="19" t="s">
        <v>33</v>
      </c>
      <c r="I21" s="28">
        <v>1</v>
      </c>
      <c r="J21" s="29">
        <v>7.7</v>
      </c>
      <c r="K21" s="29">
        <v>7.7</v>
      </c>
      <c r="L21">
        <f t="shared" si="0"/>
        <v>11</v>
      </c>
    </row>
    <row r="22" spans="4:12">
      <c r="D22" s="27">
        <v>46116</v>
      </c>
      <c r="E22" s="19">
        <v>1592168</v>
      </c>
      <c r="F22" s="19" t="s">
        <v>17</v>
      </c>
      <c r="G22" s="28">
        <v>20320659</v>
      </c>
      <c r="H22" s="19" t="s">
        <v>26</v>
      </c>
      <c r="I22" s="28">
        <v>6</v>
      </c>
      <c r="J22" s="29">
        <v>5.6</v>
      </c>
      <c r="K22" s="29">
        <v>33.6</v>
      </c>
      <c r="L22">
        <f t="shared" si="0"/>
        <v>8</v>
      </c>
    </row>
    <row r="23" spans="4:12">
      <c r="D23" s="27">
        <v>46116</v>
      </c>
      <c r="E23" s="19">
        <v>1592168</v>
      </c>
      <c r="F23" s="19" t="s">
        <v>17</v>
      </c>
      <c r="G23" s="28">
        <v>20316819</v>
      </c>
      <c r="H23" s="19" t="s">
        <v>39</v>
      </c>
      <c r="I23" s="28">
        <v>1</v>
      </c>
      <c r="J23" s="29">
        <v>5.6</v>
      </c>
      <c r="K23" s="29">
        <v>5.6</v>
      </c>
      <c r="L23">
        <f t="shared" si="0"/>
        <v>8</v>
      </c>
    </row>
    <row r="24" spans="4:12">
      <c r="D24" s="27">
        <v>46116</v>
      </c>
      <c r="E24" s="19">
        <v>1592168</v>
      </c>
      <c r="F24" s="19" t="s">
        <v>17</v>
      </c>
      <c r="G24" s="28">
        <v>20316536</v>
      </c>
      <c r="H24" s="19" t="s">
        <v>27</v>
      </c>
      <c r="I24" s="28">
        <v>1</v>
      </c>
      <c r="J24" s="29">
        <v>5.6</v>
      </c>
      <c r="K24" s="29">
        <v>5.6</v>
      </c>
      <c r="L24">
        <f t="shared" si="0"/>
        <v>8</v>
      </c>
    </row>
    <row r="25" spans="4:12">
      <c r="D25" s="27">
        <v>46119</v>
      </c>
      <c r="E25" s="19">
        <v>1592534</v>
      </c>
      <c r="F25" s="19" t="s">
        <v>17</v>
      </c>
      <c r="G25" s="28">
        <v>20316538</v>
      </c>
      <c r="H25" s="19" t="s">
        <v>21</v>
      </c>
      <c r="I25" s="28">
        <v>1</v>
      </c>
      <c r="J25" s="29">
        <v>9.1</v>
      </c>
      <c r="K25" s="29">
        <v>9.1</v>
      </c>
      <c r="L25">
        <f t="shared" si="0"/>
        <v>13</v>
      </c>
    </row>
    <row r="26" spans="4:12">
      <c r="D26" s="27">
        <v>46119</v>
      </c>
      <c r="E26" s="19">
        <v>1592534</v>
      </c>
      <c r="F26" s="19" t="s">
        <v>17</v>
      </c>
      <c r="G26" s="28">
        <v>20318012</v>
      </c>
      <c r="H26" s="19" t="s">
        <v>22</v>
      </c>
      <c r="I26" s="28">
        <v>2</v>
      </c>
      <c r="J26" s="29">
        <v>7.7</v>
      </c>
      <c r="K26" s="29">
        <v>15.4</v>
      </c>
      <c r="L26">
        <f t="shared" si="0"/>
        <v>11</v>
      </c>
    </row>
    <row r="27" spans="4:12">
      <c r="D27" s="27">
        <v>46119</v>
      </c>
      <c r="E27" s="19">
        <v>1592534</v>
      </c>
      <c r="F27" s="19" t="s">
        <v>17</v>
      </c>
      <c r="G27" s="28">
        <v>20316522</v>
      </c>
      <c r="H27" s="19" t="s">
        <v>37</v>
      </c>
      <c r="I27" s="28">
        <v>1</v>
      </c>
      <c r="J27" s="29">
        <v>5.6</v>
      </c>
      <c r="K27" s="29">
        <v>5.6</v>
      </c>
      <c r="L27">
        <f t="shared" si="0"/>
        <v>8</v>
      </c>
    </row>
    <row r="28" spans="4:12">
      <c r="D28" s="27">
        <v>46119</v>
      </c>
      <c r="E28" s="19">
        <v>1592534</v>
      </c>
      <c r="F28" s="19" t="s">
        <v>17</v>
      </c>
      <c r="G28" s="28">
        <v>20316516</v>
      </c>
      <c r="H28" s="19" t="s">
        <v>42</v>
      </c>
      <c r="I28" s="28">
        <v>1</v>
      </c>
      <c r="J28" s="29">
        <v>5.6</v>
      </c>
      <c r="K28" s="29">
        <v>5.6</v>
      </c>
      <c r="L28">
        <f t="shared" si="0"/>
        <v>8</v>
      </c>
    </row>
    <row r="29" spans="4:12">
      <c r="D29" s="27">
        <v>46119</v>
      </c>
      <c r="E29" s="19">
        <v>1592534</v>
      </c>
      <c r="F29" s="19" t="s">
        <v>17</v>
      </c>
      <c r="G29" s="28">
        <v>20329902</v>
      </c>
      <c r="H29" s="19" t="s">
        <v>25</v>
      </c>
      <c r="I29" s="28">
        <v>1</v>
      </c>
      <c r="J29" s="29">
        <v>5.6</v>
      </c>
      <c r="K29" s="29">
        <v>5.6</v>
      </c>
      <c r="L29">
        <f t="shared" si="0"/>
        <v>8</v>
      </c>
    </row>
    <row r="30" spans="4:12">
      <c r="D30" s="27">
        <v>46119</v>
      </c>
      <c r="E30" s="19">
        <v>1592534</v>
      </c>
      <c r="F30" s="19" t="s">
        <v>17</v>
      </c>
      <c r="G30" s="28">
        <v>20320659</v>
      </c>
      <c r="H30" s="19" t="s">
        <v>26</v>
      </c>
      <c r="I30" s="28">
        <v>2</v>
      </c>
      <c r="J30" s="29">
        <v>5.6</v>
      </c>
      <c r="K30" s="29">
        <v>11.2</v>
      </c>
      <c r="L30">
        <f t="shared" si="0"/>
        <v>8</v>
      </c>
    </row>
    <row r="31" spans="4:12">
      <c r="D31" s="27">
        <v>46119</v>
      </c>
      <c r="E31" s="19">
        <v>1592534</v>
      </c>
      <c r="F31" s="19" t="s">
        <v>13</v>
      </c>
      <c r="G31" s="28">
        <v>20316517</v>
      </c>
      <c r="H31" s="19" t="s">
        <v>34</v>
      </c>
      <c r="I31" s="28">
        <v>1</v>
      </c>
      <c r="J31" s="29">
        <v>42.35</v>
      </c>
      <c r="K31" s="29">
        <v>42.35</v>
      </c>
      <c r="L31">
        <f t="shared" si="0"/>
        <v>60.5</v>
      </c>
    </row>
    <row r="32" spans="4:12">
      <c r="D32" s="27">
        <v>46119</v>
      </c>
      <c r="E32" s="19">
        <v>1592534</v>
      </c>
      <c r="F32" s="19" t="s">
        <v>13</v>
      </c>
      <c r="G32" s="28">
        <v>20316511</v>
      </c>
      <c r="H32" s="19" t="s">
        <v>28</v>
      </c>
      <c r="I32" s="28">
        <v>1</v>
      </c>
      <c r="J32" s="29">
        <v>65.45</v>
      </c>
      <c r="K32" s="29">
        <v>65.45</v>
      </c>
      <c r="L32">
        <f t="shared" si="0"/>
        <v>93.5</v>
      </c>
    </row>
    <row r="33" spans="4:12">
      <c r="D33" s="27">
        <v>46121</v>
      </c>
      <c r="E33" s="19">
        <v>1593323</v>
      </c>
      <c r="F33" s="19" t="s">
        <v>17</v>
      </c>
      <c r="G33" s="28">
        <v>20316540</v>
      </c>
      <c r="H33" s="19" t="s">
        <v>52</v>
      </c>
      <c r="I33" s="28">
        <v>1</v>
      </c>
      <c r="J33" s="29">
        <v>5.6</v>
      </c>
      <c r="K33" s="29">
        <v>5.6</v>
      </c>
      <c r="L33">
        <f t="shared" si="0"/>
        <v>8</v>
      </c>
    </row>
    <row r="34" spans="4:12">
      <c r="D34" s="27">
        <v>46121</v>
      </c>
      <c r="E34" s="19">
        <v>1593323</v>
      </c>
      <c r="F34" s="19" t="s">
        <v>17</v>
      </c>
      <c r="G34" s="28">
        <v>20316536</v>
      </c>
      <c r="H34" s="19" t="s">
        <v>27</v>
      </c>
      <c r="I34" s="28">
        <v>4</v>
      </c>
      <c r="J34" s="29">
        <v>5.6</v>
      </c>
      <c r="K34" s="29">
        <v>22.4</v>
      </c>
      <c r="L34">
        <f t="shared" si="0"/>
        <v>8</v>
      </c>
    </row>
    <row r="35" spans="4:12">
      <c r="D35" s="27">
        <v>46123</v>
      </c>
      <c r="E35" s="19">
        <v>1594006</v>
      </c>
      <c r="F35" s="19" t="s">
        <v>17</v>
      </c>
      <c r="G35" s="28">
        <v>20316536</v>
      </c>
      <c r="H35" s="19" t="s">
        <v>27</v>
      </c>
      <c r="I35" s="28">
        <v>3</v>
      </c>
      <c r="J35" s="29">
        <v>5.6</v>
      </c>
      <c r="K35" s="29">
        <v>16.8</v>
      </c>
      <c r="L35">
        <f t="shared" si="0"/>
        <v>8</v>
      </c>
    </row>
    <row r="36" spans="4:12">
      <c r="D36" s="27">
        <v>46123</v>
      </c>
      <c r="E36" s="19">
        <v>1594006</v>
      </c>
      <c r="F36" s="19" t="s">
        <v>13</v>
      </c>
      <c r="G36" s="28">
        <v>20316517</v>
      </c>
      <c r="H36" s="19" t="s">
        <v>34</v>
      </c>
      <c r="I36" s="28">
        <v>1</v>
      </c>
      <c r="J36" s="29">
        <v>42.35</v>
      </c>
      <c r="K36" s="29">
        <v>42.35</v>
      </c>
      <c r="L36">
        <f t="shared" si="0"/>
        <v>60.5</v>
      </c>
    </row>
    <row r="37" spans="4:12">
      <c r="D37" s="27">
        <v>46126</v>
      </c>
      <c r="E37" s="19">
        <v>1594713</v>
      </c>
      <c r="F37" s="19" t="s">
        <v>17</v>
      </c>
      <c r="G37" s="28">
        <v>20316538</v>
      </c>
      <c r="H37" s="19" t="s">
        <v>21</v>
      </c>
      <c r="I37" s="28">
        <v>1</v>
      </c>
      <c r="J37" s="29">
        <v>9.1</v>
      </c>
      <c r="K37" s="29">
        <v>9.1</v>
      </c>
      <c r="L37">
        <f t="shared" si="0"/>
        <v>13</v>
      </c>
    </row>
    <row r="38" spans="4:12">
      <c r="D38" s="27">
        <v>46126</v>
      </c>
      <c r="E38" s="19">
        <v>1594713</v>
      </c>
      <c r="F38" s="19" t="s">
        <v>17</v>
      </c>
      <c r="G38" s="28">
        <v>20316540</v>
      </c>
      <c r="H38" s="19" t="s">
        <v>52</v>
      </c>
      <c r="I38" s="28">
        <v>1</v>
      </c>
      <c r="J38" s="29">
        <v>5.6</v>
      </c>
      <c r="K38" s="29">
        <v>5.6</v>
      </c>
      <c r="L38">
        <f t="shared" si="0"/>
        <v>8</v>
      </c>
    </row>
    <row r="39" spans="4:12">
      <c r="D39" s="27">
        <v>46126</v>
      </c>
      <c r="E39" s="19">
        <v>1594713</v>
      </c>
      <c r="F39" s="19" t="s">
        <v>17</v>
      </c>
      <c r="G39" s="28">
        <v>20318012</v>
      </c>
      <c r="H39" s="19" t="s">
        <v>22</v>
      </c>
      <c r="I39" s="28">
        <v>3</v>
      </c>
      <c r="J39" s="29">
        <v>7.7</v>
      </c>
      <c r="K39" s="29">
        <v>23.1</v>
      </c>
      <c r="L39">
        <f t="shared" si="0"/>
        <v>11</v>
      </c>
    </row>
    <row r="40" spans="4:12">
      <c r="D40" s="27">
        <v>46126</v>
      </c>
      <c r="E40" s="19">
        <v>1594713</v>
      </c>
      <c r="F40" s="19" t="s">
        <v>17</v>
      </c>
      <c r="G40" s="28">
        <v>20318011</v>
      </c>
      <c r="H40" s="19" t="s">
        <v>23</v>
      </c>
      <c r="I40" s="28">
        <v>1</v>
      </c>
      <c r="J40" s="29">
        <v>7.7</v>
      </c>
      <c r="K40" s="29">
        <v>7.7</v>
      </c>
      <c r="L40">
        <f t="shared" si="0"/>
        <v>11</v>
      </c>
    </row>
    <row r="41" spans="4:12">
      <c r="D41" s="27">
        <v>46126</v>
      </c>
      <c r="E41" s="19">
        <v>1594713</v>
      </c>
      <c r="F41" s="19" t="s">
        <v>17</v>
      </c>
      <c r="G41" s="28">
        <v>20320558</v>
      </c>
      <c r="H41" s="19" t="s">
        <v>24</v>
      </c>
      <c r="I41" s="28">
        <v>1</v>
      </c>
      <c r="J41" s="29">
        <v>5.6</v>
      </c>
      <c r="K41" s="29">
        <v>5.6</v>
      </c>
      <c r="L41">
        <f t="shared" si="0"/>
        <v>8</v>
      </c>
    </row>
    <row r="42" spans="4:12">
      <c r="D42" s="27">
        <v>46126</v>
      </c>
      <c r="E42" s="19">
        <v>1594713</v>
      </c>
      <c r="F42" s="19" t="s">
        <v>17</v>
      </c>
      <c r="G42" s="28">
        <v>20332792</v>
      </c>
      <c r="H42" s="19" t="s">
        <v>41</v>
      </c>
      <c r="I42" s="28">
        <v>1</v>
      </c>
      <c r="J42" s="29">
        <v>5.6</v>
      </c>
      <c r="K42" s="29">
        <v>5.6</v>
      </c>
      <c r="L42">
        <f t="shared" ref="L42:L73" si="1">J42/0.7</f>
        <v>8</v>
      </c>
    </row>
    <row r="43" spans="4:12">
      <c r="D43" s="27">
        <v>46126</v>
      </c>
      <c r="E43" s="19">
        <v>1594713</v>
      </c>
      <c r="F43" s="19" t="s">
        <v>17</v>
      </c>
      <c r="G43" s="28">
        <v>20329902</v>
      </c>
      <c r="H43" s="19" t="s">
        <v>25</v>
      </c>
      <c r="I43" s="28">
        <v>1</v>
      </c>
      <c r="J43" s="29">
        <v>5.6</v>
      </c>
      <c r="K43" s="29">
        <v>5.6</v>
      </c>
      <c r="L43">
        <f t="shared" si="1"/>
        <v>8</v>
      </c>
    </row>
    <row r="44" spans="4:12">
      <c r="D44" s="27">
        <v>46126</v>
      </c>
      <c r="E44" s="19">
        <v>1594713</v>
      </c>
      <c r="F44" s="19" t="s">
        <v>17</v>
      </c>
      <c r="G44" s="28">
        <v>20320659</v>
      </c>
      <c r="H44" s="19" t="s">
        <v>26</v>
      </c>
      <c r="I44" s="28">
        <v>2</v>
      </c>
      <c r="J44" s="29">
        <v>5.6</v>
      </c>
      <c r="K44" s="29">
        <v>11.2</v>
      </c>
      <c r="L44">
        <f t="shared" si="1"/>
        <v>8</v>
      </c>
    </row>
    <row r="45" spans="4:12">
      <c r="D45" s="27">
        <v>46126</v>
      </c>
      <c r="E45" s="19">
        <v>1594713</v>
      </c>
      <c r="F45" s="19" t="s">
        <v>17</v>
      </c>
      <c r="G45" s="28">
        <v>20316819</v>
      </c>
      <c r="H45" s="19" t="s">
        <v>39</v>
      </c>
      <c r="I45" s="28">
        <v>1</v>
      </c>
      <c r="J45" s="29">
        <v>5.6</v>
      </c>
      <c r="K45" s="29">
        <v>5.6</v>
      </c>
      <c r="L45">
        <f t="shared" si="1"/>
        <v>8</v>
      </c>
    </row>
    <row r="46" spans="4:12">
      <c r="D46" s="27">
        <v>46126</v>
      </c>
      <c r="E46" s="19">
        <v>1594713</v>
      </c>
      <c r="F46" s="19" t="s">
        <v>17</v>
      </c>
      <c r="G46" s="28">
        <v>20316536</v>
      </c>
      <c r="H46" s="19" t="s">
        <v>27</v>
      </c>
      <c r="I46" s="28">
        <v>7</v>
      </c>
      <c r="J46" s="29">
        <v>5.6</v>
      </c>
      <c r="K46" s="29">
        <v>39.2</v>
      </c>
      <c r="L46">
        <f t="shared" si="1"/>
        <v>8</v>
      </c>
    </row>
    <row r="47" spans="4:12">
      <c r="D47" s="27">
        <v>46126</v>
      </c>
      <c r="E47" s="19">
        <v>1594713</v>
      </c>
      <c r="F47" s="19" t="s">
        <v>13</v>
      </c>
      <c r="G47" s="28">
        <v>20316511</v>
      </c>
      <c r="H47" s="19" t="s">
        <v>28</v>
      </c>
      <c r="I47" s="28">
        <v>1</v>
      </c>
      <c r="J47" s="29">
        <v>65.45</v>
      </c>
      <c r="K47" s="29">
        <v>65.45</v>
      </c>
      <c r="L47">
        <f t="shared" si="1"/>
        <v>93.5</v>
      </c>
    </row>
    <row r="48" spans="4:12">
      <c r="D48" s="27">
        <v>46128</v>
      </c>
      <c r="E48" s="19">
        <v>1595491</v>
      </c>
      <c r="F48" s="19" t="s">
        <v>17</v>
      </c>
      <c r="G48" s="28">
        <v>20318012</v>
      </c>
      <c r="H48" s="19" t="s">
        <v>22</v>
      </c>
      <c r="I48" s="28">
        <v>3</v>
      </c>
      <c r="J48" s="29">
        <v>7.7</v>
      </c>
      <c r="K48" s="29">
        <v>23.1</v>
      </c>
      <c r="L48">
        <f t="shared" si="1"/>
        <v>11</v>
      </c>
    </row>
    <row r="49" spans="4:12">
      <c r="D49" s="27">
        <v>46128</v>
      </c>
      <c r="E49" s="19">
        <v>1595491</v>
      </c>
      <c r="F49" s="19" t="s">
        <v>17</v>
      </c>
      <c r="G49" s="28">
        <v>20332509</v>
      </c>
      <c r="H49" s="19" t="s">
        <v>31</v>
      </c>
      <c r="I49" s="28">
        <v>1</v>
      </c>
      <c r="J49" s="29">
        <v>5.6</v>
      </c>
      <c r="K49" s="29">
        <v>5.6</v>
      </c>
      <c r="L49">
        <f t="shared" si="1"/>
        <v>8</v>
      </c>
    </row>
    <row r="50" spans="4:12">
      <c r="D50" s="27">
        <v>46128</v>
      </c>
      <c r="E50" s="19">
        <v>1595491</v>
      </c>
      <c r="F50" s="19" t="s">
        <v>17</v>
      </c>
      <c r="G50" s="28">
        <v>20320558</v>
      </c>
      <c r="H50" s="19" t="s">
        <v>24</v>
      </c>
      <c r="I50" s="28">
        <v>1</v>
      </c>
      <c r="J50" s="29">
        <v>5.6</v>
      </c>
      <c r="K50" s="29">
        <v>5.6</v>
      </c>
      <c r="L50">
        <f t="shared" si="1"/>
        <v>8</v>
      </c>
    </row>
    <row r="51" spans="4:12">
      <c r="D51" s="27">
        <v>46128</v>
      </c>
      <c r="E51" s="19">
        <v>1595491</v>
      </c>
      <c r="F51" s="19" t="s">
        <v>17</v>
      </c>
      <c r="G51" s="28">
        <v>20329902</v>
      </c>
      <c r="H51" s="19" t="s">
        <v>25</v>
      </c>
      <c r="I51" s="28">
        <v>3</v>
      </c>
      <c r="J51" s="29">
        <v>5.6</v>
      </c>
      <c r="K51" s="29">
        <v>16.8</v>
      </c>
      <c r="L51">
        <f t="shared" si="1"/>
        <v>8</v>
      </c>
    </row>
    <row r="52" spans="4:12">
      <c r="D52" s="27">
        <v>46128</v>
      </c>
      <c r="E52" s="19">
        <v>1595491</v>
      </c>
      <c r="F52" s="19" t="s">
        <v>17</v>
      </c>
      <c r="G52" s="28">
        <v>20316500</v>
      </c>
      <c r="H52" s="19" t="s">
        <v>33</v>
      </c>
      <c r="I52" s="28">
        <v>1</v>
      </c>
      <c r="J52" s="29">
        <v>7.7</v>
      </c>
      <c r="K52" s="29">
        <v>7.7</v>
      </c>
      <c r="L52">
        <f t="shared" si="1"/>
        <v>11</v>
      </c>
    </row>
    <row r="53" spans="4:12">
      <c r="D53" s="27">
        <v>46128</v>
      </c>
      <c r="E53" s="19">
        <v>1595491</v>
      </c>
      <c r="F53" s="19" t="s">
        <v>17</v>
      </c>
      <c r="G53" s="28">
        <v>20320659</v>
      </c>
      <c r="H53" s="19" t="s">
        <v>26</v>
      </c>
      <c r="I53" s="28">
        <v>3</v>
      </c>
      <c r="J53" s="29">
        <v>5.6</v>
      </c>
      <c r="K53" s="29">
        <v>16.8</v>
      </c>
      <c r="L53">
        <f t="shared" si="1"/>
        <v>8</v>
      </c>
    </row>
    <row r="54" spans="4:12">
      <c r="D54" s="27">
        <v>46128</v>
      </c>
      <c r="E54" s="19">
        <v>1595491</v>
      </c>
      <c r="F54" s="19" t="s">
        <v>17</v>
      </c>
      <c r="G54" s="28">
        <v>20316536</v>
      </c>
      <c r="H54" s="19" t="s">
        <v>27</v>
      </c>
      <c r="I54" s="28">
        <v>1</v>
      </c>
      <c r="J54" s="29">
        <v>5.6</v>
      </c>
      <c r="K54" s="29">
        <v>5.6</v>
      </c>
      <c r="L54">
        <f t="shared" si="1"/>
        <v>8</v>
      </c>
    </row>
    <row r="55" spans="4:12">
      <c r="D55" s="27">
        <v>46130</v>
      </c>
      <c r="E55" s="19">
        <v>1596126</v>
      </c>
      <c r="F55" s="19" t="s">
        <v>17</v>
      </c>
      <c r="G55" s="28">
        <v>20318012</v>
      </c>
      <c r="H55" s="19" t="s">
        <v>22</v>
      </c>
      <c r="I55" s="28">
        <v>1</v>
      </c>
      <c r="J55" s="29">
        <v>7.7</v>
      </c>
      <c r="K55" s="29">
        <v>7.7</v>
      </c>
      <c r="L55">
        <f t="shared" si="1"/>
        <v>11</v>
      </c>
    </row>
    <row r="56" spans="4:12">
      <c r="D56" s="27">
        <v>46130</v>
      </c>
      <c r="E56" s="19">
        <v>1596126</v>
      </c>
      <c r="F56" s="19" t="s">
        <v>17</v>
      </c>
      <c r="G56" s="28">
        <v>20318011</v>
      </c>
      <c r="H56" s="19" t="s">
        <v>23</v>
      </c>
      <c r="I56" s="28">
        <v>1</v>
      </c>
      <c r="J56" s="29">
        <v>7.7</v>
      </c>
      <c r="K56" s="29">
        <v>7.7</v>
      </c>
      <c r="L56">
        <f t="shared" si="1"/>
        <v>11</v>
      </c>
    </row>
    <row r="57" spans="4:12">
      <c r="D57" s="27">
        <v>46130</v>
      </c>
      <c r="E57" s="19">
        <v>1596126</v>
      </c>
      <c r="F57" s="19" t="s">
        <v>17</v>
      </c>
      <c r="G57" s="28">
        <v>20320558</v>
      </c>
      <c r="H57" s="19" t="s">
        <v>24</v>
      </c>
      <c r="I57" s="28">
        <v>1</v>
      </c>
      <c r="J57" s="29">
        <v>5.6</v>
      </c>
      <c r="K57" s="29">
        <v>5.6</v>
      </c>
      <c r="L57">
        <f t="shared" si="1"/>
        <v>8</v>
      </c>
    </row>
    <row r="58" spans="4:12">
      <c r="D58" s="27">
        <v>46130</v>
      </c>
      <c r="E58" s="19">
        <v>1596126</v>
      </c>
      <c r="F58" s="19" t="s">
        <v>17</v>
      </c>
      <c r="G58" s="28">
        <v>20329902</v>
      </c>
      <c r="H58" s="19" t="s">
        <v>25</v>
      </c>
      <c r="I58" s="28">
        <v>1</v>
      </c>
      <c r="J58" s="29">
        <v>5.6</v>
      </c>
      <c r="K58" s="29">
        <v>5.6</v>
      </c>
      <c r="L58">
        <f t="shared" si="1"/>
        <v>8</v>
      </c>
    </row>
    <row r="59" spans="4:12">
      <c r="D59" s="27">
        <v>46130</v>
      </c>
      <c r="E59" s="19">
        <v>1596126</v>
      </c>
      <c r="F59" s="19" t="s">
        <v>17</v>
      </c>
      <c r="G59" s="28">
        <v>20320659</v>
      </c>
      <c r="H59" s="19" t="s">
        <v>26</v>
      </c>
      <c r="I59" s="28">
        <v>1</v>
      </c>
      <c r="J59" s="29">
        <v>5.6</v>
      </c>
      <c r="K59" s="29">
        <v>5.6</v>
      </c>
      <c r="L59">
        <f t="shared" si="1"/>
        <v>8</v>
      </c>
    </row>
    <row r="60" spans="4:12">
      <c r="D60" s="27">
        <v>46130</v>
      </c>
      <c r="E60" s="19">
        <v>1596126</v>
      </c>
      <c r="F60" s="19" t="s">
        <v>17</v>
      </c>
      <c r="G60" s="28">
        <v>20316536</v>
      </c>
      <c r="H60" s="19" t="s">
        <v>27</v>
      </c>
      <c r="I60" s="28">
        <v>2</v>
      </c>
      <c r="J60" s="29">
        <v>5.6</v>
      </c>
      <c r="K60" s="29">
        <v>11.2</v>
      </c>
      <c r="L60">
        <f t="shared" si="1"/>
        <v>8</v>
      </c>
    </row>
    <row r="61" spans="4:12">
      <c r="D61" s="27">
        <v>46133</v>
      </c>
      <c r="E61" s="19">
        <v>1596783</v>
      </c>
      <c r="F61" s="19" t="s">
        <v>17</v>
      </c>
      <c r="G61" s="28">
        <v>20318012</v>
      </c>
      <c r="H61" s="19" t="s">
        <v>22</v>
      </c>
      <c r="I61" s="28">
        <v>2</v>
      </c>
      <c r="J61" s="29">
        <v>7.7</v>
      </c>
      <c r="K61" s="29">
        <v>15.4</v>
      </c>
      <c r="L61">
        <f t="shared" si="1"/>
        <v>11</v>
      </c>
    </row>
    <row r="62" spans="4:12">
      <c r="D62" s="27">
        <v>46133</v>
      </c>
      <c r="E62" s="19">
        <v>1596783</v>
      </c>
      <c r="F62" s="19" t="s">
        <v>17</v>
      </c>
      <c r="G62" s="28">
        <v>20318011</v>
      </c>
      <c r="H62" s="19" t="s">
        <v>23</v>
      </c>
      <c r="I62" s="28">
        <v>2</v>
      </c>
      <c r="J62" s="29">
        <v>7.7</v>
      </c>
      <c r="K62" s="29">
        <v>15.4</v>
      </c>
      <c r="L62">
        <f t="shared" si="1"/>
        <v>11</v>
      </c>
    </row>
    <row r="63" spans="4:12">
      <c r="D63" s="27">
        <v>46133</v>
      </c>
      <c r="E63" s="19">
        <v>1596783</v>
      </c>
      <c r="F63" s="19" t="s">
        <v>17</v>
      </c>
      <c r="G63" s="28">
        <v>20332509</v>
      </c>
      <c r="H63" s="19" t="s">
        <v>31</v>
      </c>
      <c r="I63" s="28">
        <v>1</v>
      </c>
      <c r="J63" s="29">
        <v>5.6</v>
      </c>
      <c r="K63" s="29">
        <v>5.6</v>
      </c>
      <c r="L63">
        <f t="shared" si="1"/>
        <v>8</v>
      </c>
    </row>
    <row r="64" spans="4:12">
      <c r="D64" s="27">
        <v>46133</v>
      </c>
      <c r="E64" s="19">
        <v>1596783</v>
      </c>
      <c r="F64" s="19" t="s">
        <v>17</v>
      </c>
      <c r="G64" s="28">
        <v>20320558</v>
      </c>
      <c r="H64" s="19" t="s">
        <v>24</v>
      </c>
      <c r="I64" s="28">
        <v>1</v>
      </c>
      <c r="J64" s="29">
        <v>5.6</v>
      </c>
      <c r="K64" s="29">
        <v>5.6</v>
      </c>
      <c r="L64">
        <f t="shared" si="1"/>
        <v>8</v>
      </c>
    </row>
    <row r="65" spans="4:12">
      <c r="D65" s="27">
        <v>46133</v>
      </c>
      <c r="E65" s="19">
        <v>1596783</v>
      </c>
      <c r="F65" s="19" t="s">
        <v>17</v>
      </c>
      <c r="G65" s="28">
        <v>20332792</v>
      </c>
      <c r="H65" s="19" t="s">
        <v>41</v>
      </c>
      <c r="I65" s="28">
        <v>1</v>
      </c>
      <c r="J65" s="29">
        <v>5.6</v>
      </c>
      <c r="K65" s="29">
        <v>5.6</v>
      </c>
      <c r="L65">
        <f t="shared" si="1"/>
        <v>8</v>
      </c>
    </row>
    <row r="66" spans="4:12">
      <c r="D66" s="27">
        <v>46133</v>
      </c>
      <c r="E66" s="19">
        <v>1596783</v>
      </c>
      <c r="F66" s="19" t="s">
        <v>17</v>
      </c>
      <c r="G66" s="28">
        <v>20316516</v>
      </c>
      <c r="H66" s="19" t="s">
        <v>42</v>
      </c>
      <c r="I66" s="28">
        <v>2</v>
      </c>
      <c r="J66" s="29">
        <v>5.6</v>
      </c>
      <c r="K66" s="29">
        <v>11.2</v>
      </c>
      <c r="L66">
        <f t="shared" si="1"/>
        <v>8</v>
      </c>
    </row>
    <row r="67" spans="4:12">
      <c r="D67" s="27">
        <v>46133</v>
      </c>
      <c r="E67" s="19">
        <v>1596783</v>
      </c>
      <c r="F67" s="19" t="s">
        <v>17</v>
      </c>
      <c r="G67" s="28">
        <v>20347321</v>
      </c>
      <c r="H67" s="19" t="s">
        <v>47</v>
      </c>
      <c r="I67" s="28">
        <v>1</v>
      </c>
      <c r="J67" s="29">
        <v>5.6</v>
      </c>
      <c r="K67" s="29">
        <v>5.6</v>
      </c>
      <c r="L67">
        <f t="shared" si="1"/>
        <v>8</v>
      </c>
    </row>
    <row r="68" spans="4:12">
      <c r="D68" s="27">
        <v>46133</v>
      </c>
      <c r="E68" s="19">
        <v>1596783</v>
      </c>
      <c r="F68" s="19" t="s">
        <v>17</v>
      </c>
      <c r="G68" s="28">
        <v>20332793</v>
      </c>
      <c r="H68" s="19" t="s">
        <v>53</v>
      </c>
      <c r="I68" s="28">
        <v>1</v>
      </c>
      <c r="J68" s="29">
        <v>5.6</v>
      </c>
      <c r="K68" s="29">
        <v>5.6</v>
      </c>
      <c r="L68">
        <f t="shared" si="1"/>
        <v>8</v>
      </c>
    </row>
    <row r="69" spans="4:12">
      <c r="D69" s="27">
        <v>46133</v>
      </c>
      <c r="E69" s="19">
        <v>1596783</v>
      </c>
      <c r="F69" s="19" t="s">
        <v>17</v>
      </c>
      <c r="G69" s="28">
        <v>20320659</v>
      </c>
      <c r="H69" s="19" t="s">
        <v>26</v>
      </c>
      <c r="I69" s="28">
        <v>2</v>
      </c>
      <c r="J69" s="29">
        <v>5.6</v>
      </c>
      <c r="K69" s="29">
        <v>11.2</v>
      </c>
      <c r="L69">
        <f t="shared" si="1"/>
        <v>8</v>
      </c>
    </row>
    <row r="70" spans="4:12">
      <c r="D70" s="27">
        <v>46133</v>
      </c>
      <c r="E70" s="19">
        <v>1596783</v>
      </c>
      <c r="F70" s="19" t="s">
        <v>17</v>
      </c>
      <c r="G70" s="28">
        <v>20316819</v>
      </c>
      <c r="H70" s="19" t="s">
        <v>39</v>
      </c>
      <c r="I70" s="28">
        <v>1</v>
      </c>
      <c r="J70" s="29">
        <v>5.6</v>
      </c>
      <c r="K70" s="29">
        <v>5.6</v>
      </c>
      <c r="L70">
        <f t="shared" si="1"/>
        <v>8</v>
      </c>
    </row>
    <row r="71" spans="4:12">
      <c r="D71" s="27">
        <v>46133</v>
      </c>
      <c r="E71" s="19">
        <v>1596783</v>
      </c>
      <c r="F71" s="19" t="s">
        <v>17</v>
      </c>
      <c r="G71" s="28">
        <v>20327452</v>
      </c>
      <c r="H71" s="19" t="s">
        <v>54</v>
      </c>
      <c r="I71" s="28">
        <v>1</v>
      </c>
      <c r="J71" s="29">
        <v>5.6</v>
      </c>
      <c r="K71" s="29">
        <v>5.6</v>
      </c>
      <c r="L71">
        <f t="shared" si="1"/>
        <v>8</v>
      </c>
    </row>
    <row r="72" spans="4:12">
      <c r="D72" s="27">
        <v>46133</v>
      </c>
      <c r="E72" s="19">
        <v>1596783</v>
      </c>
      <c r="F72" s="19" t="s">
        <v>17</v>
      </c>
      <c r="G72" s="28">
        <v>20316536</v>
      </c>
      <c r="H72" s="19" t="s">
        <v>27</v>
      </c>
      <c r="I72" s="28">
        <v>2</v>
      </c>
      <c r="J72" s="29">
        <v>5.6</v>
      </c>
      <c r="K72" s="29">
        <v>11.2</v>
      </c>
      <c r="L72">
        <f t="shared" si="1"/>
        <v>8</v>
      </c>
    </row>
    <row r="73" spans="4:12">
      <c r="D73" s="27">
        <v>46133</v>
      </c>
      <c r="E73" s="19">
        <v>1596783</v>
      </c>
      <c r="F73" s="19" t="s">
        <v>13</v>
      </c>
      <c r="G73" s="28">
        <v>20316511</v>
      </c>
      <c r="H73" s="19" t="s">
        <v>28</v>
      </c>
      <c r="I73" s="28">
        <v>1</v>
      </c>
      <c r="J73" s="29">
        <v>65.45</v>
      </c>
      <c r="K73" s="29">
        <v>65.45</v>
      </c>
      <c r="L73">
        <f t="shared" si="1"/>
        <v>93.5</v>
      </c>
    </row>
    <row r="74" spans="4:12">
      <c r="D74" s="27">
        <v>46135</v>
      </c>
      <c r="E74" s="19">
        <v>1597566</v>
      </c>
      <c r="F74" s="19" t="s">
        <v>17</v>
      </c>
      <c r="G74" s="28">
        <v>20318012</v>
      </c>
      <c r="H74" s="19" t="s">
        <v>22</v>
      </c>
      <c r="I74" s="28">
        <v>1</v>
      </c>
      <c r="J74" s="29">
        <v>7.7</v>
      </c>
      <c r="K74" s="29">
        <v>7.7</v>
      </c>
      <c r="L74">
        <f t="shared" ref="L74:L90" si="2">J74/0.7</f>
        <v>11</v>
      </c>
    </row>
    <row r="75" spans="4:12">
      <c r="D75" s="27">
        <v>46135</v>
      </c>
      <c r="E75" s="19">
        <v>1597566</v>
      </c>
      <c r="F75" s="19" t="s">
        <v>17</v>
      </c>
      <c r="G75" s="28">
        <v>20316520</v>
      </c>
      <c r="H75" s="19" t="s">
        <v>30</v>
      </c>
      <c r="I75" s="28">
        <v>1</v>
      </c>
      <c r="J75" s="29">
        <v>5.6</v>
      </c>
      <c r="K75" s="29">
        <v>5.6</v>
      </c>
      <c r="L75">
        <f t="shared" si="2"/>
        <v>8</v>
      </c>
    </row>
    <row r="76" spans="4:12">
      <c r="D76" s="27">
        <v>46135</v>
      </c>
      <c r="E76" s="19">
        <v>1597566</v>
      </c>
      <c r="F76" s="19" t="s">
        <v>17</v>
      </c>
      <c r="G76" s="28">
        <v>20329902</v>
      </c>
      <c r="H76" s="19" t="s">
        <v>25</v>
      </c>
      <c r="I76" s="28">
        <v>1</v>
      </c>
      <c r="J76" s="29">
        <v>5.6</v>
      </c>
      <c r="K76" s="29">
        <v>5.6</v>
      </c>
      <c r="L76">
        <f t="shared" si="2"/>
        <v>8</v>
      </c>
    </row>
    <row r="77" spans="4:12">
      <c r="D77" s="27">
        <v>46135</v>
      </c>
      <c r="E77" s="19">
        <v>1597566</v>
      </c>
      <c r="F77" s="19" t="s">
        <v>17</v>
      </c>
      <c r="G77" s="28">
        <v>20320659</v>
      </c>
      <c r="H77" s="19" t="s">
        <v>26</v>
      </c>
      <c r="I77" s="28">
        <v>1</v>
      </c>
      <c r="J77" s="29">
        <v>5.6</v>
      </c>
      <c r="K77" s="29">
        <v>5.6</v>
      </c>
      <c r="L77">
        <f t="shared" si="2"/>
        <v>8</v>
      </c>
    </row>
    <row r="78" spans="4:12">
      <c r="D78" s="27">
        <v>46135</v>
      </c>
      <c r="E78" s="19">
        <v>1597566</v>
      </c>
      <c r="F78" s="19" t="s">
        <v>17</v>
      </c>
      <c r="G78" s="28">
        <v>20316708</v>
      </c>
      <c r="H78" s="19" t="s">
        <v>38</v>
      </c>
      <c r="I78" s="28">
        <v>1</v>
      </c>
      <c r="J78" s="29">
        <v>5.6</v>
      </c>
      <c r="K78" s="29">
        <v>5.6</v>
      </c>
      <c r="L78">
        <f t="shared" si="2"/>
        <v>8</v>
      </c>
    </row>
    <row r="79" spans="4:12">
      <c r="D79" s="27">
        <v>46135</v>
      </c>
      <c r="E79" s="19">
        <v>1597566</v>
      </c>
      <c r="F79" s="19" t="s">
        <v>17</v>
      </c>
      <c r="G79" s="28">
        <v>20316819</v>
      </c>
      <c r="H79" s="19" t="s">
        <v>39</v>
      </c>
      <c r="I79" s="28">
        <v>1</v>
      </c>
      <c r="J79" s="29">
        <v>5.6</v>
      </c>
      <c r="K79" s="29">
        <v>5.6</v>
      </c>
      <c r="L79">
        <f t="shared" si="2"/>
        <v>8</v>
      </c>
    </row>
    <row r="80" spans="4:12">
      <c r="D80" s="27">
        <v>46135</v>
      </c>
      <c r="E80" s="19">
        <v>1597566</v>
      </c>
      <c r="F80" s="19" t="s">
        <v>13</v>
      </c>
      <c r="G80" s="28">
        <v>20316517</v>
      </c>
      <c r="H80" s="19" t="s">
        <v>34</v>
      </c>
      <c r="I80" s="28">
        <v>1</v>
      </c>
      <c r="J80" s="29">
        <v>42.35</v>
      </c>
      <c r="K80" s="29">
        <v>42.35</v>
      </c>
      <c r="L80">
        <f t="shared" si="2"/>
        <v>60.5</v>
      </c>
    </row>
    <row r="81" spans="4:12">
      <c r="D81" s="27">
        <v>46140</v>
      </c>
      <c r="E81" s="19">
        <v>1598888</v>
      </c>
      <c r="F81" s="19" t="s">
        <v>17</v>
      </c>
      <c r="G81" s="28">
        <v>20318012</v>
      </c>
      <c r="H81" s="19" t="s">
        <v>22</v>
      </c>
      <c r="I81" s="28">
        <v>2</v>
      </c>
      <c r="J81" s="29">
        <v>7.7</v>
      </c>
      <c r="K81" s="29">
        <v>15.4</v>
      </c>
      <c r="L81">
        <f t="shared" si="2"/>
        <v>11</v>
      </c>
    </row>
    <row r="82" spans="4:12">
      <c r="D82" s="27">
        <v>46140</v>
      </c>
      <c r="E82" s="19">
        <v>1598888</v>
      </c>
      <c r="F82" s="19" t="s">
        <v>17</v>
      </c>
      <c r="G82" s="28">
        <v>20318011</v>
      </c>
      <c r="H82" s="19" t="s">
        <v>23</v>
      </c>
      <c r="I82" s="28">
        <v>1</v>
      </c>
      <c r="J82" s="29">
        <v>7.7</v>
      </c>
      <c r="K82" s="29">
        <v>7.7</v>
      </c>
      <c r="L82">
        <f t="shared" si="2"/>
        <v>11</v>
      </c>
    </row>
    <row r="83" spans="4:12">
      <c r="D83" s="27">
        <v>46140</v>
      </c>
      <c r="E83" s="19">
        <v>1598888</v>
      </c>
      <c r="F83" s="19" t="s">
        <v>17</v>
      </c>
      <c r="G83" s="28">
        <v>20320558</v>
      </c>
      <c r="H83" s="19" t="s">
        <v>24</v>
      </c>
      <c r="I83" s="28">
        <v>2</v>
      </c>
      <c r="J83" s="29">
        <v>5.6</v>
      </c>
      <c r="K83" s="29">
        <v>11.2</v>
      </c>
      <c r="L83">
        <f t="shared" si="2"/>
        <v>8</v>
      </c>
    </row>
    <row r="84" spans="4:12">
      <c r="D84" s="27">
        <v>46140</v>
      </c>
      <c r="E84" s="19">
        <v>1598888</v>
      </c>
      <c r="F84" s="19" t="s">
        <v>17</v>
      </c>
      <c r="G84" s="28">
        <v>20316516</v>
      </c>
      <c r="H84" s="19" t="s">
        <v>42</v>
      </c>
      <c r="I84" s="28">
        <v>1</v>
      </c>
      <c r="J84" s="29">
        <v>5.6</v>
      </c>
      <c r="K84" s="29">
        <v>5.6</v>
      </c>
      <c r="L84">
        <f t="shared" si="2"/>
        <v>8</v>
      </c>
    </row>
    <row r="85" spans="4:12">
      <c r="D85" s="27">
        <v>46140</v>
      </c>
      <c r="E85" s="19">
        <v>1598888</v>
      </c>
      <c r="F85" s="19" t="s">
        <v>17</v>
      </c>
      <c r="G85" s="28">
        <v>20329902</v>
      </c>
      <c r="H85" s="19" t="s">
        <v>25</v>
      </c>
      <c r="I85" s="28">
        <v>1</v>
      </c>
      <c r="J85" s="29">
        <v>5.6</v>
      </c>
      <c r="K85" s="29">
        <v>5.6</v>
      </c>
      <c r="L85">
        <f t="shared" si="2"/>
        <v>8</v>
      </c>
    </row>
    <row r="86" spans="4:12">
      <c r="D86" s="27">
        <v>46140</v>
      </c>
      <c r="E86" s="19">
        <v>1598888</v>
      </c>
      <c r="F86" s="19" t="s">
        <v>17</v>
      </c>
      <c r="G86" s="28">
        <v>20316500</v>
      </c>
      <c r="H86" s="19" t="s">
        <v>33</v>
      </c>
      <c r="I86" s="28">
        <v>1</v>
      </c>
      <c r="J86" s="29">
        <v>7.7</v>
      </c>
      <c r="K86" s="29">
        <v>7.7</v>
      </c>
      <c r="L86">
        <f t="shared" si="2"/>
        <v>11</v>
      </c>
    </row>
    <row r="87" spans="4:12">
      <c r="D87" s="27">
        <v>46140</v>
      </c>
      <c r="E87" s="19">
        <v>1598888</v>
      </c>
      <c r="F87" s="19" t="s">
        <v>17</v>
      </c>
      <c r="G87" s="28">
        <v>20320659</v>
      </c>
      <c r="H87" s="19" t="s">
        <v>26</v>
      </c>
      <c r="I87" s="28">
        <v>2</v>
      </c>
      <c r="J87" s="29">
        <v>5.6</v>
      </c>
      <c r="K87" s="29">
        <v>11.2</v>
      </c>
      <c r="L87">
        <f t="shared" si="2"/>
        <v>8</v>
      </c>
    </row>
    <row r="88" spans="4:12">
      <c r="D88" s="27">
        <v>46140</v>
      </c>
      <c r="E88" s="19">
        <v>1598888</v>
      </c>
      <c r="F88" s="19" t="s">
        <v>17</v>
      </c>
      <c r="G88" s="28">
        <v>20316536</v>
      </c>
      <c r="H88" s="19" t="s">
        <v>27</v>
      </c>
      <c r="I88" s="28">
        <v>2</v>
      </c>
      <c r="J88" s="29">
        <v>5.6</v>
      </c>
      <c r="K88" s="29">
        <v>11.2</v>
      </c>
      <c r="L88">
        <f t="shared" si="2"/>
        <v>8</v>
      </c>
    </row>
    <row r="89" spans="4:12">
      <c r="D89" s="27">
        <v>46142</v>
      </c>
      <c r="E89" s="19">
        <v>1599738</v>
      </c>
      <c r="F89" s="19" t="s">
        <v>17</v>
      </c>
      <c r="G89" s="28">
        <v>20316536</v>
      </c>
      <c r="H89" s="19" t="s">
        <v>27</v>
      </c>
      <c r="I89" s="28">
        <v>1</v>
      </c>
      <c r="J89" s="29">
        <v>5.6</v>
      </c>
      <c r="K89" s="29">
        <v>5.6</v>
      </c>
      <c r="L89">
        <f t="shared" si="2"/>
        <v>8</v>
      </c>
    </row>
    <row r="90" spans="4:12">
      <c r="D90" s="27">
        <v>46142</v>
      </c>
      <c r="E90" s="19">
        <v>1599738</v>
      </c>
      <c r="F90" s="19" t="s">
        <v>13</v>
      </c>
      <c r="G90" s="28">
        <v>20316517</v>
      </c>
      <c r="H90" s="19" t="s">
        <v>34</v>
      </c>
      <c r="I90" s="28">
        <v>1</v>
      </c>
      <c r="J90" s="29">
        <v>42.35</v>
      </c>
      <c r="K90" s="29">
        <v>42.35</v>
      </c>
      <c r="L90">
        <f t="shared" si="2"/>
        <v>60.5</v>
      </c>
    </row>
    <row r="91" ht="0.05" customHeight="1"/>
  </sheetData>
  <autoFilter xmlns:etc="http://www.wps.cn/officeDocument/2017/etCustomData" ref="A7:K90" etc:filterBottomFollowUsedRange="0">
    <extLst/>
  </autoFilter>
  <mergeCells count="5">
    <mergeCell ref="D8:H8"/>
    <mergeCell ref="C7:C90"/>
    <mergeCell ref="B4:H5"/>
    <mergeCell ref="A7:B9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J48" sqref="J4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55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125</v>
      </c>
      <c r="J8" s="26"/>
      <c r="K8" s="26">
        <v>700</v>
      </c>
    </row>
    <row r="9" spans="1:11">
      <c r="D9" s="27">
        <v>46116</v>
      </c>
      <c r="E9" s="19">
        <v>1592169</v>
      </c>
      <c r="F9" s="19" t="s">
        <v>17</v>
      </c>
      <c r="G9" s="28">
        <v>20316528</v>
      </c>
      <c r="H9" s="19" t="s">
        <v>56</v>
      </c>
      <c r="I9" s="28">
        <v>5</v>
      </c>
      <c r="J9" s="29">
        <v>5.6</v>
      </c>
      <c r="K9" s="29">
        <v>28</v>
      </c>
    </row>
    <row r="10" spans="1:11">
      <c r="D10" s="27">
        <v>46116</v>
      </c>
      <c r="E10" s="19">
        <v>1592169</v>
      </c>
      <c r="F10" s="19" t="s">
        <v>17</v>
      </c>
      <c r="G10" s="28">
        <v>20316526</v>
      </c>
      <c r="H10" s="19" t="s">
        <v>57</v>
      </c>
      <c r="I10" s="28">
        <v>2</v>
      </c>
      <c r="J10" s="29">
        <v>5.6</v>
      </c>
      <c r="K10" s="29">
        <v>11.2</v>
      </c>
    </row>
    <row r="11" spans="1:11">
      <c r="D11" s="27">
        <v>46119</v>
      </c>
      <c r="E11" s="19">
        <v>1592535</v>
      </c>
      <c r="F11" s="19" t="s">
        <v>17</v>
      </c>
      <c r="G11" s="28">
        <v>20316528</v>
      </c>
      <c r="H11" s="19" t="s">
        <v>56</v>
      </c>
      <c r="I11" s="28">
        <v>6</v>
      </c>
      <c r="J11" s="29">
        <v>5.6</v>
      </c>
      <c r="K11" s="29">
        <v>33.6</v>
      </c>
    </row>
    <row r="12" spans="1:11">
      <c r="D12" s="27">
        <v>46119</v>
      </c>
      <c r="E12" s="19">
        <v>1592535</v>
      </c>
      <c r="F12" s="19" t="s">
        <v>17</v>
      </c>
      <c r="G12" s="28">
        <v>20316526</v>
      </c>
      <c r="H12" s="19" t="s">
        <v>57</v>
      </c>
      <c r="I12" s="28">
        <v>4</v>
      </c>
      <c r="J12" s="29">
        <v>5.6</v>
      </c>
      <c r="K12" s="29">
        <v>22.4</v>
      </c>
    </row>
    <row r="13" spans="1:11">
      <c r="D13" s="27">
        <v>46121</v>
      </c>
      <c r="E13" s="19">
        <v>1593324</v>
      </c>
      <c r="F13" s="19" t="s">
        <v>17</v>
      </c>
      <c r="G13" s="28">
        <v>20316528</v>
      </c>
      <c r="H13" s="19" t="s">
        <v>56</v>
      </c>
      <c r="I13" s="28">
        <v>5</v>
      </c>
      <c r="J13" s="29">
        <v>5.6</v>
      </c>
      <c r="K13" s="29">
        <v>28</v>
      </c>
    </row>
    <row r="14" spans="1:11">
      <c r="D14" s="27">
        <v>46121</v>
      </c>
      <c r="E14" s="19">
        <v>1593324</v>
      </c>
      <c r="F14" s="19" t="s">
        <v>17</v>
      </c>
      <c r="G14" s="28">
        <v>20316526</v>
      </c>
      <c r="H14" s="19" t="s">
        <v>57</v>
      </c>
      <c r="I14" s="28">
        <v>2</v>
      </c>
      <c r="J14" s="29">
        <v>5.6</v>
      </c>
      <c r="K14" s="29">
        <v>11.2</v>
      </c>
    </row>
    <row r="15" spans="1:11">
      <c r="D15" s="27">
        <v>46121</v>
      </c>
      <c r="E15" s="19">
        <v>1593324</v>
      </c>
      <c r="F15" s="19" t="s">
        <v>17</v>
      </c>
      <c r="G15" s="28">
        <v>20316598</v>
      </c>
      <c r="H15" s="19" t="s">
        <v>58</v>
      </c>
      <c r="I15" s="28">
        <v>3</v>
      </c>
      <c r="J15" s="29">
        <v>5.6</v>
      </c>
      <c r="K15" s="29">
        <v>16.8</v>
      </c>
    </row>
    <row r="16" spans="1:11">
      <c r="D16" s="27">
        <v>46123</v>
      </c>
      <c r="E16" s="19">
        <v>1594007</v>
      </c>
      <c r="F16" s="19" t="s">
        <v>17</v>
      </c>
      <c r="G16" s="28">
        <v>20316528</v>
      </c>
      <c r="H16" s="19" t="s">
        <v>56</v>
      </c>
      <c r="I16" s="28">
        <v>4</v>
      </c>
      <c r="J16" s="29">
        <v>5.6</v>
      </c>
      <c r="K16" s="29">
        <v>22.4</v>
      </c>
    </row>
    <row r="17" spans="4:11">
      <c r="D17" s="27">
        <v>46123</v>
      </c>
      <c r="E17" s="19">
        <v>1594007</v>
      </c>
      <c r="F17" s="19" t="s">
        <v>17</v>
      </c>
      <c r="G17" s="28">
        <v>20316526</v>
      </c>
      <c r="H17" s="19" t="s">
        <v>57</v>
      </c>
      <c r="I17" s="28">
        <v>2</v>
      </c>
      <c r="J17" s="29">
        <v>5.6</v>
      </c>
      <c r="K17" s="29">
        <v>11.2</v>
      </c>
    </row>
    <row r="18" spans="4:11">
      <c r="D18" s="27">
        <v>46126</v>
      </c>
      <c r="E18" s="19">
        <v>1594714</v>
      </c>
      <c r="F18" s="19" t="s">
        <v>17</v>
      </c>
      <c r="G18" s="28">
        <v>20316528</v>
      </c>
      <c r="H18" s="19" t="s">
        <v>56</v>
      </c>
      <c r="I18" s="28">
        <v>6</v>
      </c>
      <c r="J18" s="29">
        <v>5.6</v>
      </c>
      <c r="K18" s="29">
        <v>33.6</v>
      </c>
    </row>
    <row r="19" spans="4:11">
      <c r="D19" s="27">
        <v>46126</v>
      </c>
      <c r="E19" s="19">
        <v>1594714</v>
      </c>
      <c r="F19" s="19" t="s">
        <v>17</v>
      </c>
      <c r="G19" s="28">
        <v>20316526</v>
      </c>
      <c r="H19" s="19" t="s">
        <v>57</v>
      </c>
      <c r="I19" s="28">
        <v>6</v>
      </c>
      <c r="J19" s="29">
        <v>5.6</v>
      </c>
      <c r="K19" s="29">
        <v>33.6</v>
      </c>
    </row>
    <row r="20" spans="4:11">
      <c r="D20" s="27">
        <v>46126</v>
      </c>
      <c r="E20" s="19">
        <v>1594714</v>
      </c>
      <c r="F20" s="19" t="s">
        <v>17</v>
      </c>
      <c r="G20" s="28">
        <v>20318066</v>
      </c>
      <c r="H20" s="19" t="s">
        <v>40</v>
      </c>
      <c r="I20" s="28">
        <v>1</v>
      </c>
      <c r="J20" s="29">
        <v>5.6</v>
      </c>
      <c r="K20" s="29">
        <v>5.6</v>
      </c>
    </row>
    <row r="21" spans="4:11">
      <c r="D21" s="27">
        <v>46126</v>
      </c>
      <c r="E21" s="19">
        <v>1594714</v>
      </c>
      <c r="F21" s="19" t="s">
        <v>17</v>
      </c>
      <c r="G21" s="28">
        <v>20316532</v>
      </c>
      <c r="H21" s="19" t="s">
        <v>36</v>
      </c>
      <c r="I21" s="28">
        <v>1</v>
      </c>
      <c r="J21" s="29">
        <v>5.6</v>
      </c>
      <c r="K21" s="29">
        <v>5.6</v>
      </c>
    </row>
    <row r="22" spans="4:11">
      <c r="D22" s="27">
        <v>46126</v>
      </c>
      <c r="E22" s="19">
        <v>1594714</v>
      </c>
      <c r="F22" s="19" t="s">
        <v>17</v>
      </c>
      <c r="G22" s="28">
        <v>20316710</v>
      </c>
      <c r="H22" s="19" t="s">
        <v>32</v>
      </c>
      <c r="I22" s="28">
        <v>1</v>
      </c>
      <c r="J22" s="29">
        <v>5.6</v>
      </c>
      <c r="K22" s="29">
        <v>5.6</v>
      </c>
    </row>
    <row r="23" spans="4:11">
      <c r="D23" s="27">
        <v>46126</v>
      </c>
      <c r="E23" s="19">
        <v>1594714</v>
      </c>
      <c r="F23" s="19" t="s">
        <v>17</v>
      </c>
      <c r="G23" s="28">
        <v>20316535</v>
      </c>
      <c r="H23" s="19" t="s">
        <v>59</v>
      </c>
      <c r="I23" s="28">
        <v>2</v>
      </c>
      <c r="J23" s="29">
        <v>5.6</v>
      </c>
      <c r="K23" s="29">
        <v>11.2</v>
      </c>
    </row>
    <row r="24" spans="4:11">
      <c r="D24" s="27">
        <v>46128</v>
      </c>
      <c r="E24" s="19">
        <v>1595492</v>
      </c>
      <c r="F24" s="19" t="s">
        <v>17</v>
      </c>
      <c r="G24" s="28">
        <v>20316528</v>
      </c>
      <c r="H24" s="19" t="s">
        <v>56</v>
      </c>
      <c r="I24" s="28">
        <v>2</v>
      </c>
      <c r="J24" s="29">
        <v>5.6</v>
      </c>
      <c r="K24" s="29">
        <v>11.2</v>
      </c>
    </row>
    <row r="25" spans="4:11">
      <c r="D25" s="27">
        <v>46128</v>
      </c>
      <c r="E25" s="19">
        <v>1595492</v>
      </c>
      <c r="F25" s="19" t="s">
        <v>17</v>
      </c>
      <c r="G25" s="28">
        <v>20316526</v>
      </c>
      <c r="H25" s="19" t="s">
        <v>57</v>
      </c>
      <c r="I25" s="28">
        <v>1</v>
      </c>
      <c r="J25" s="29">
        <v>5.6</v>
      </c>
      <c r="K25" s="29">
        <v>5.6</v>
      </c>
    </row>
    <row r="26" spans="4:11">
      <c r="D26" s="27">
        <v>46128</v>
      </c>
      <c r="E26" s="19">
        <v>1595492</v>
      </c>
      <c r="F26" s="19" t="s">
        <v>17</v>
      </c>
      <c r="G26" s="28">
        <v>20318066</v>
      </c>
      <c r="H26" s="19" t="s">
        <v>40</v>
      </c>
      <c r="I26" s="28">
        <v>1</v>
      </c>
      <c r="J26" s="29">
        <v>5.6</v>
      </c>
      <c r="K26" s="29">
        <v>5.6</v>
      </c>
    </row>
    <row r="27" spans="4:11">
      <c r="D27" s="27">
        <v>46128</v>
      </c>
      <c r="E27" s="19">
        <v>1595492</v>
      </c>
      <c r="F27" s="19" t="s">
        <v>17</v>
      </c>
      <c r="G27" s="28">
        <v>20316532</v>
      </c>
      <c r="H27" s="19" t="s">
        <v>36</v>
      </c>
      <c r="I27" s="28">
        <v>1</v>
      </c>
      <c r="J27" s="29">
        <v>5.6</v>
      </c>
      <c r="K27" s="29">
        <v>5.6</v>
      </c>
    </row>
    <row r="28" spans="4:11">
      <c r="D28" s="27">
        <v>46128</v>
      </c>
      <c r="E28" s="19">
        <v>1595492</v>
      </c>
      <c r="F28" s="19" t="s">
        <v>17</v>
      </c>
      <c r="G28" s="28">
        <v>20394652</v>
      </c>
      <c r="H28" s="19" t="s">
        <v>60</v>
      </c>
      <c r="I28" s="28">
        <v>1</v>
      </c>
      <c r="J28" s="29">
        <v>5.6</v>
      </c>
      <c r="K28" s="29">
        <v>5.6</v>
      </c>
    </row>
    <row r="29" spans="4:11">
      <c r="D29" s="27">
        <v>46128</v>
      </c>
      <c r="E29" s="19">
        <v>1595492</v>
      </c>
      <c r="F29" s="19" t="s">
        <v>17</v>
      </c>
      <c r="G29" s="28">
        <v>20394915</v>
      </c>
      <c r="H29" s="19" t="s">
        <v>61</v>
      </c>
      <c r="I29" s="28">
        <v>1</v>
      </c>
      <c r="J29" s="29">
        <v>5.6</v>
      </c>
      <c r="K29" s="29">
        <v>5.6</v>
      </c>
    </row>
    <row r="30" spans="4:11">
      <c r="D30" s="27">
        <v>46128</v>
      </c>
      <c r="E30" s="19">
        <v>1595492</v>
      </c>
      <c r="F30" s="19" t="s">
        <v>17</v>
      </c>
      <c r="G30" s="28">
        <v>20316524</v>
      </c>
      <c r="H30" s="19" t="s">
        <v>62</v>
      </c>
      <c r="I30" s="28">
        <v>1</v>
      </c>
      <c r="J30" s="29">
        <v>5.6</v>
      </c>
      <c r="K30" s="29">
        <v>5.6</v>
      </c>
    </row>
    <row r="31" spans="4:11">
      <c r="D31" s="27">
        <v>46128</v>
      </c>
      <c r="E31" s="19">
        <v>1595492</v>
      </c>
      <c r="F31" s="19" t="s">
        <v>17</v>
      </c>
      <c r="G31" s="28">
        <v>20316598</v>
      </c>
      <c r="H31" s="19" t="s">
        <v>58</v>
      </c>
      <c r="I31" s="28">
        <v>1</v>
      </c>
      <c r="J31" s="29">
        <v>5.6</v>
      </c>
      <c r="K31" s="29">
        <v>5.6</v>
      </c>
    </row>
    <row r="32" spans="4:11">
      <c r="D32" s="27">
        <v>46133</v>
      </c>
      <c r="E32" s="19">
        <v>1596784</v>
      </c>
      <c r="F32" s="19" t="s">
        <v>17</v>
      </c>
      <c r="G32" s="28">
        <v>20316528</v>
      </c>
      <c r="H32" s="19" t="s">
        <v>56</v>
      </c>
      <c r="I32" s="28">
        <v>6</v>
      </c>
      <c r="J32" s="29">
        <v>5.6</v>
      </c>
      <c r="K32" s="29">
        <v>33.6</v>
      </c>
    </row>
    <row r="33" spans="4:11">
      <c r="D33" s="27">
        <v>46133</v>
      </c>
      <c r="E33" s="19">
        <v>1596784</v>
      </c>
      <c r="F33" s="19" t="s">
        <v>17</v>
      </c>
      <c r="G33" s="28">
        <v>20316526</v>
      </c>
      <c r="H33" s="19" t="s">
        <v>57</v>
      </c>
      <c r="I33" s="28">
        <v>5</v>
      </c>
      <c r="J33" s="29">
        <v>5.6</v>
      </c>
      <c r="K33" s="29">
        <v>28</v>
      </c>
    </row>
    <row r="34" spans="4:11">
      <c r="D34" s="27">
        <v>46133</v>
      </c>
      <c r="E34" s="19">
        <v>1596784</v>
      </c>
      <c r="F34" s="19" t="s">
        <v>17</v>
      </c>
      <c r="G34" s="28">
        <v>20316532</v>
      </c>
      <c r="H34" s="19" t="s">
        <v>36</v>
      </c>
      <c r="I34" s="28">
        <v>2</v>
      </c>
      <c r="J34" s="29">
        <v>5.6</v>
      </c>
      <c r="K34" s="29">
        <v>11.2</v>
      </c>
    </row>
    <row r="35" spans="4:11">
      <c r="D35" s="27">
        <v>46133</v>
      </c>
      <c r="E35" s="19">
        <v>1596784</v>
      </c>
      <c r="F35" s="19" t="s">
        <v>17</v>
      </c>
      <c r="G35" s="28">
        <v>20394652</v>
      </c>
      <c r="H35" s="19" t="s">
        <v>60</v>
      </c>
      <c r="I35" s="28">
        <v>1</v>
      </c>
      <c r="J35" s="29">
        <v>5.6</v>
      </c>
      <c r="K35" s="29">
        <v>5.6</v>
      </c>
    </row>
    <row r="36" spans="4:11">
      <c r="D36" s="27">
        <v>46133</v>
      </c>
      <c r="E36" s="19">
        <v>1596784</v>
      </c>
      <c r="F36" s="19" t="s">
        <v>17</v>
      </c>
      <c r="G36" s="28">
        <v>20394915</v>
      </c>
      <c r="H36" s="19" t="s">
        <v>61</v>
      </c>
      <c r="I36" s="28">
        <v>1</v>
      </c>
      <c r="J36" s="29">
        <v>5.6</v>
      </c>
      <c r="K36" s="29">
        <v>5.6</v>
      </c>
    </row>
    <row r="37" spans="4:11">
      <c r="D37" s="27">
        <v>46135</v>
      </c>
      <c r="E37" s="19">
        <v>1597567</v>
      </c>
      <c r="F37" s="19" t="s">
        <v>17</v>
      </c>
      <c r="G37" s="28">
        <v>20316528</v>
      </c>
      <c r="H37" s="19" t="s">
        <v>56</v>
      </c>
      <c r="I37" s="28">
        <v>5</v>
      </c>
      <c r="J37" s="29">
        <v>5.6</v>
      </c>
      <c r="K37" s="29">
        <v>28</v>
      </c>
    </row>
    <row r="38" spans="4:11">
      <c r="D38" s="27">
        <v>46135</v>
      </c>
      <c r="E38" s="19">
        <v>1597567</v>
      </c>
      <c r="F38" s="19" t="s">
        <v>17</v>
      </c>
      <c r="G38" s="28">
        <v>20316526</v>
      </c>
      <c r="H38" s="19" t="s">
        <v>57</v>
      </c>
      <c r="I38" s="28">
        <v>5</v>
      </c>
      <c r="J38" s="29">
        <v>5.6</v>
      </c>
      <c r="K38" s="29">
        <v>28</v>
      </c>
    </row>
    <row r="39" spans="4:11">
      <c r="D39" s="27">
        <v>46135</v>
      </c>
      <c r="E39" s="19">
        <v>1597567</v>
      </c>
      <c r="F39" s="19" t="s">
        <v>17</v>
      </c>
      <c r="G39" s="28">
        <v>20316598</v>
      </c>
      <c r="H39" s="19" t="s">
        <v>58</v>
      </c>
      <c r="I39" s="28">
        <v>2</v>
      </c>
      <c r="J39" s="29">
        <v>5.6</v>
      </c>
      <c r="K39" s="29">
        <v>11.2</v>
      </c>
    </row>
    <row r="40" spans="4:11">
      <c r="D40" s="27">
        <v>46136</v>
      </c>
      <c r="E40" s="19">
        <v>1597730</v>
      </c>
      <c r="F40" s="19" t="s">
        <v>17</v>
      </c>
      <c r="G40" s="28">
        <v>20394652</v>
      </c>
      <c r="H40" s="19" t="s">
        <v>60</v>
      </c>
      <c r="I40" s="28">
        <v>1</v>
      </c>
      <c r="J40" s="29">
        <v>5.6</v>
      </c>
      <c r="K40" s="29">
        <v>5.6</v>
      </c>
    </row>
    <row r="41" spans="4:11">
      <c r="D41" s="27">
        <v>46140</v>
      </c>
      <c r="E41" s="19">
        <v>1598889</v>
      </c>
      <c r="F41" s="19" t="s">
        <v>17</v>
      </c>
      <c r="G41" s="28">
        <v>20373734</v>
      </c>
      <c r="H41" s="19" t="s">
        <v>63</v>
      </c>
      <c r="I41" s="28">
        <v>1</v>
      </c>
      <c r="J41" s="29">
        <v>5.6</v>
      </c>
      <c r="K41" s="29">
        <v>5.6</v>
      </c>
    </row>
    <row r="42" spans="4:11">
      <c r="D42" s="27">
        <v>46140</v>
      </c>
      <c r="E42" s="19">
        <v>1598889</v>
      </c>
      <c r="F42" s="19" t="s">
        <v>17</v>
      </c>
      <c r="G42" s="28">
        <v>20316528</v>
      </c>
      <c r="H42" s="19" t="s">
        <v>56</v>
      </c>
      <c r="I42" s="28">
        <v>5</v>
      </c>
      <c r="J42" s="29">
        <v>5.6</v>
      </c>
      <c r="K42" s="29">
        <v>28</v>
      </c>
    </row>
    <row r="43" spans="4:11">
      <c r="D43" s="27">
        <v>46140</v>
      </c>
      <c r="E43" s="19">
        <v>1598889</v>
      </c>
      <c r="F43" s="19" t="s">
        <v>17</v>
      </c>
      <c r="G43" s="28">
        <v>20316526</v>
      </c>
      <c r="H43" s="19" t="s">
        <v>57</v>
      </c>
      <c r="I43" s="28">
        <v>5</v>
      </c>
      <c r="J43" s="29">
        <v>5.6</v>
      </c>
      <c r="K43" s="29">
        <v>28</v>
      </c>
    </row>
    <row r="44" spans="4:11">
      <c r="D44" s="27">
        <v>46140</v>
      </c>
      <c r="E44" s="19">
        <v>1598889</v>
      </c>
      <c r="F44" s="19" t="s">
        <v>17</v>
      </c>
      <c r="G44" s="28">
        <v>20354146</v>
      </c>
      <c r="H44" s="19" t="s">
        <v>64</v>
      </c>
      <c r="I44" s="28">
        <v>11</v>
      </c>
      <c r="J44" s="29">
        <v>5.6</v>
      </c>
      <c r="K44" s="29">
        <v>61.6</v>
      </c>
    </row>
    <row r="45" spans="4:11">
      <c r="D45" s="27">
        <v>46140</v>
      </c>
      <c r="E45" s="19">
        <v>1598889</v>
      </c>
      <c r="F45" s="19" t="s">
        <v>17</v>
      </c>
      <c r="G45" s="28">
        <v>20389717</v>
      </c>
      <c r="H45" s="19" t="s">
        <v>65</v>
      </c>
      <c r="I45" s="28">
        <v>1</v>
      </c>
      <c r="J45" s="29">
        <v>5.6</v>
      </c>
      <c r="K45" s="29">
        <v>5.6</v>
      </c>
    </row>
    <row r="46" spans="4:11">
      <c r="D46" s="27">
        <v>46140</v>
      </c>
      <c r="E46" s="19">
        <v>1598889</v>
      </c>
      <c r="F46" s="19" t="s">
        <v>17</v>
      </c>
      <c r="G46" s="28">
        <v>20318066</v>
      </c>
      <c r="H46" s="19" t="s">
        <v>40</v>
      </c>
      <c r="I46" s="28">
        <v>1</v>
      </c>
      <c r="J46" s="29">
        <v>5.6</v>
      </c>
      <c r="K46" s="29">
        <v>5.6</v>
      </c>
    </row>
    <row r="47" spans="4:11">
      <c r="D47" s="27">
        <v>46140</v>
      </c>
      <c r="E47" s="19">
        <v>1598889</v>
      </c>
      <c r="F47" s="19" t="s">
        <v>17</v>
      </c>
      <c r="G47" s="28">
        <v>20394915</v>
      </c>
      <c r="H47" s="19" t="s">
        <v>61</v>
      </c>
      <c r="I47" s="28">
        <v>2</v>
      </c>
      <c r="J47" s="29">
        <v>5.6</v>
      </c>
      <c r="K47" s="29">
        <v>11.2</v>
      </c>
    </row>
    <row r="48" spans="4:11">
      <c r="D48" s="27">
        <v>46140</v>
      </c>
      <c r="E48" s="19">
        <v>1598889</v>
      </c>
      <c r="F48" s="19" t="s">
        <v>17</v>
      </c>
      <c r="G48" s="28">
        <v>20318067</v>
      </c>
      <c r="H48" s="19" t="s">
        <v>66</v>
      </c>
      <c r="I48" s="28">
        <v>2</v>
      </c>
      <c r="J48" s="29">
        <v>5.6</v>
      </c>
      <c r="K48" s="29">
        <v>11.2</v>
      </c>
    </row>
    <row r="49" spans="4:11">
      <c r="D49" s="27">
        <v>46140</v>
      </c>
      <c r="E49" s="19">
        <v>1598894</v>
      </c>
      <c r="F49" s="19" t="s">
        <v>17</v>
      </c>
      <c r="G49" s="28">
        <v>20316532</v>
      </c>
      <c r="H49" s="19" t="s">
        <v>36</v>
      </c>
      <c r="I49" s="28">
        <v>1</v>
      </c>
      <c r="J49" s="29">
        <v>5.6</v>
      </c>
      <c r="K49" s="29">
        <v>5.6</v>
      </c>
    </row>
    <row r="50" spans="4:11">
      <c r="D50" s="27">
        <v>46141</v>
      </c>
      <c r="E50" s="19">
        <v>1599016</v>
      </c>
      <c r="F50" s="19" t="s">
        <v>17</v>
      </c>
      <c r="G50" s="28">
        <v>20394652</v>
      </c>
      <c r="H50" s="19" t="s">
        <v>60</v>
      </c>
      <c r="I50" s="28">
        <v>1</v>
      </c>
      <c r="J50" s="29">
        <v>5.6</v>
      </c>
      <c r="K50" s="29">
        <v>5.6</v>
      </c>
    </row>
    <row r="51" spans="4:11">
      <c r="D51" s="27">
        <v>46142</v>
      </c>
      <c r="E51" s="19">
        <v>1599739</v>
      </c>
      <c r="F51" s="19" t="s">
        <v>17</v>
      </c>
      <c r="G51" s="28">
        <v>20316528</v>
      </c>
      <c r="H51" s="19" t="s">
        <v>56</v>
      </c>
      <c r="I51" s="28">
        <v>4</v>
      </c>
      <c r="J51" s="29">
        <v>5.6</v>
      </c>
      <c r="K51" s="29">
        <v>22.4</v>
      </c>
    </row>
    <row r="52" spans="4:11">
      <c r="D52" s="27">
        <v>46142</v>
      </c>
      <c r="E52" s="19">
        <v>1599739</v>
      </c>
      <c r="F52" s="19" t="s">
        <v>17</v>
      </c>
      <c r="G52" s="28">
        <v>20316526</v>
      </c>
      <c r="H52" s="19" t="s">
        <v>57</v>
      </c>
      <c r="I52" s="28">
        <v>4</v>
      </c>
      <c r="J52" s="29">
        <v>5.6</v>
      </c>
      <c r="K52" s="29">
        <v>22.4</v>
      </c>
    </row>
    <row r="53" ht="0.05" customHeight="1"/>
  </sheetData>
  <autoFilter xmlns:etc="http://www.wps.cn/officeDocument/2017/etCustomData" ref="A7:K52" etc:filterBottomFollowUsedRange="0">
    <extLst/>
  </autoFilter>
  <mergeCells count="5">
    <mergeCell ref="D8:H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67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29</v>
      </c>
      <c r="J8" s="26"/>
      <c r="K8" s="26">
        <v>1780.1</v>
      </c>
    </row>
    <row r="9" spans="1:12">
      <c r="D9" s="27">
        <v>46114</v>
      </c>
      <c r="E9" s="19">
        <v>1591527</v>
      </c>
      <c r="F9" s="19" t="s">
        <v>68</v>
      </c>
      <c r="G9" s="28">
        <v>20316496</v>
      </c>
      <c r="H9" s="19" t="s">
        <v>68</v>
      </c>
      <c r="I9" s="28">
        <v>1</v>
      </c>
      <c r="J9" s="29">
        <v>177.1</v>
      </c>
      <c r="K9" s="29">
        <v>177.1</v>
      </c>
      <c r="L9">
        <f>J9/0.7</f>
        <v>253</v>
      </c>
    </row>
    <row r="10" spans="1:12">
      <c r="D10" s="27">
        <v>46114</v>
      </c>
      <c r="E10" s="19">
        <v>1591527</v>
      </c>
      <c r="F10" s="19" t="s">
        <v>15</v>
      </c>
      <c r="G10" s="28">
        <v>20316627</v>
      </c>
      <c r="H10" s="19" t="s">
        <v>69</v>
      </c>
      <c r="I10" s="28">
        <v>1</v>
      </c>
      <c r="J10" s="29">
        <v>11.55</v>
      </c>
      <c r="K10" s="29">
        <v>11.55</v>
      </c>
      <c r="L10">
        <f t="shared" ref="L10:L30" si="0">J10/0.7</f>
        <v>16.5</v>
      </c>
    </row>
    <row r="11" spans="1:12">
      <c r="D11" s="27">
        <v>46114</v>
      </c>
      <c r="E11" s="19">
        <v>1591527</v>
      </c>
      <c r="F11" s="19" t="s">
        <v>15</v>
      </c>
      <c r="G11" s="28">
        <v>20316798</v>
      </c>
      <c r="H11" s="19" t="s">
        <v>70</v>
      </c>
      <c r="I11" s="28">
        <v>1</v>
      </c>
      <c r="J11" s="29">
        <v>15.4</v>
      </c>
      <c r="K11" s="29">
        <v>15.4</v>
      </c>
      <c r="L11">
        <f t="shared" si="0"/>
        <v>22</v>
      </c>
    </row>
    <row r="12" spans="1:12">
      <c r="D12" s="27">
        <v>46116</v>
      </c>
      <c r="E12" s="19">
        <v>1592170</v>
      </c>
      <c r="F12" s="19" t="s">
        <v>68</v>
      </c>
      <c r="G12" s="28">
        <v>20316496</v>
      </c>
      <c r="H12" s="19" t="s">
        <v>68</v>
      </c>
      <c r="I12" s="28">
        <v>1</v>
      </c>
      <c r="J12" s="29">
        <v>177.1</v>
      </c>
      <c r="K12" s="29">
        <v>177.1</v>
      </c>
      <c r="L12">
        <f t="shared" si="0"/>
        <v>253</v>
      </c>
    </row>
    <row r="13" spans="1:12">
      <c r="D13" s="27">
        <v>46116</v>
      </c>
      <c r="E13" s="19">
        <v>1592170</v>
      </c>
      <c r="F13" s="19" t="s">
        <v>15</v>
      </c>
      <c r="G13" s="28">
        <v>20316627</v>
      </c>
      <c r="H13" s="19" t="s">
        <v>69</v>
      </c>
      <c r="I13" s="28">
        <v>1</v>
      </c>
      <c r="J13" s="29">
        <v>11.55</v>
      </c>
      <c r="K13" s="29">
        <v>11.55</v>
      </c>
      <c r="L13">
        <f t="shared" si="0"/>
        <v>16.5</v>
      </c>
    </row>
    <row r="14" spans="1:12">
      <c r="D14" s="27">
        <v>46116</v>
      </c>
      <c r="E14" s="19">
        <v>1592170</v>
      </c>
      <c r="F14" s="19" t="s">
        <v>15</v>
      </c>
      <c r="G14" s="28">
        <v>20316798</v>
      </c>
      <c r="H14" s="19" t="s">
        <v>70</v>
      </c>
      <c r="I14" s="28">
        <v>1</v>
      </c>
      <c r="J14" s="29">
        <v>15.4</v>
      </c>
      <c r="K14" s="29">
        <v>15.4</v>
      </c>
      <c r="L14">
        <f t="shared" si="0"/>
        <v>22</v>
      </c>
    </row>
    <row r="15" spans="1:12">
      <c r="D15" s="27">
        <v>46119</v>
      </c>
      <c r="E15" s="19">
        <v>1592536</v>
      </c>
      <c r="F15" s="19" t="s">
        <v>68</v>
      </c>
      <c r="G15" s="28">
        <v>20316496</v>
      </c>
      <c r="H15" s="19" t="s">
        <v>68</v>
      </c>
      <c r="I15" s="28">
        <v>1</v>
      </c>
      <c r="J15" s="29">
        <v>177.1</v>
      </c>
      <c r="K15" s="29">
        <v>177.1</v>
      </c>
      <c r="L15">
        <f t="shared" si="0"/>
        <v>253</v>
      </c>
    </row>
    <row r="16" spans="1:12">
      <c r="D16" s="27">
        <v>46119</v>
      </c>
      <c r="E16" s="19">
        <v>1592536</v>
      </c>
      <c r="F16" s="19" t="s">
        <v>15</v>
      </c>
      <c r="G16" s="28">
        <v>20316627</v>
      </c>
      <c r="H16" s="19" t="s">
        <v>69</v>
      </c>
      <c r="I16" s="28">
        <v>1</v>
      </c>
      <c r="J16" s="29">
        <v>11.55</v>
      </c>
      <c r="K16" s="29">
        <v>11.55</v>
      </c>
      <c r="L16">
        <f t="shared" si="0"/>
        <v>16.5</v>
      </c>
    </row>
    <row r="17" spans="4:12">
      <c r="D17" s="27">
        <v>46119</v>
      </c>
      <c r="E17" s="19">
        <v>1592536</v>
      </c>
      <c r="F17" s="19" t="s">
        <v>15</v>
      </c>
      <c r="G17" s="28">
        <v>20316798</v>
      </c>
      <c r="H17" s="19" t="s">
        <v>70</v>
      </c>
      <c r="I17" s="28">
        <v>1</v>
      </c>
      <c r="J17" s="29">
        <v>15.4</v>
      </c>
      <c r="K17" s="29">
        <v>15.4</v>
      </c>
      <c r="L17">
        <f t="shared" si="0"/>
        <v>22</v>
      </c>
    </row>
    <row r="18" spans="4:12">
      <c r="D18" s="27">
        <v>46121</v>
      </c>
      <c r="E18" s="19">
        <v>1593325</v>
      </c>
      <c r="F18" s="19" t="s">
        <v>17</v>
      </c>
      <c r="G18" s="28">
        <v>20316698</v>
      </c>
      <c r="H18" s="19" t="s">
        <v>71</v>
      </c>
      <c r="I18" s="28">
        <v>1</v>
      </c>
      <c r="J18" s="29">
        <v>11.55</v>
      </c>
      <c r="K18" s="29">
        <v>11.55</v>
      </c>
      <c r="L18">
        <f t="shared" si="0"/>
        <v>16.5</v>
      </c>
    </row>
    <row r="19" spans="4:12">
      <c r="D19" s="27">
        <v>46126</v>
      </c>
      <c r="E19" s="19">
        <v>1594715</v>
      </c>
      <c r="F19" s="19" t="s">
        <v>68</v>
      </c>
      <c r="G19" s="28">
        <v>20316496</v>
      </c>
      <c r="H19" s="19" t="s">
        <v>68</v>
      </c>
      <c r="I19" s="28">
        <v>1</v>
      </c>
      <c r="J19" s="29">
        <v>177.1</v>
      </c>
      <c r="K19" s="29">
        <v>177.1</v>
      </c>
      <c r="L19">
        <f t="shared" si="0"/>
        <v>253</v>
      </c>
    </row>
    <row r="20" spans="4:12">
      <c r="D20" s="27">
        <v>46126</v>
      </c>
      <c r="E20" s="19">
        <v>1594715</v>
      </c>
      <c r="F20" s="19" t="s">
        <v>13</v>
      </c>
      <c r="G20" s="28">
        <v>20316584</v>
      </c>
      <c r="H20" s="19" t="s">
        <v>72</v>
      </c>
      <c r="I20" s="28">
        <v>1</v>
      </c>
      <c r="J20" s="29">
        <v>65.45</v>
      </c>
      <c r="K20" s="29">
        <v>65.45</v>
      </c>
      <c r="L20">
        <f t="shared" si="0"/>
        <v>93.5</v>
      </c>
    </row>
    <row r="21" spans="4:12">
      <c r="D21" s="27">
        <v>46126</v>
      </c>
      <c r="E21" s="19">
        <v>1594715</v>
      </c>
      <c r="F21" s="19" t="s">
        <v>15</v>
      </c>
      <c r="G21" s="28">
        <v>20316627</v>
      </c>
      <c r="H21" s="19" t="s">
        <v>69</v>
      </c>
      <c r="I21" s="28">
        <v>1</v>
      </c>
      <c r="J21" s="29">
        <v>11.55</v>
      </c>
      <c r="K21" s="29">
        <v>11.55</v>
      </c>
      <c r="L21">
        <f t="shared" si="0"/>
        <v>16.5</v>
      </c>
    </row>
    <row r="22" spans="4:12">
      <c r="D22" s="27">
        <v>46126</v>
      </c>
      <c r="E22" s="19">
        <v>1594715</v>
      </c>
      <c r="F22" s="19" t="s">
        <v>15</v>
      </c>
      <c r="G22" s="28">
        <v>20316798</v>
      </c>
      <c r="H22" s="19" t="s">
        <v>70</v>
      </c>
      <c r="I22" s="28">
        <v>1</v>
      </c>
      <c r="J22" s="29">
        <v>15.4</v>
      </c>
      <c r="K22" s="29">
        <v>15.4</v>
      </c>
      <c r="L22">
        <f t="shared" si="0"/>
        <v>22</v>
      </c>
    </row>
    <row r="23" spans="4:12">
      <c r="D23" s="27">
        <v>46137</v>
      </c>
      <c r="E23" s="19">
        <v>1598180</v>
      </c>
      <c r="F23" s="19" t="s">
        <v>68</v>
      </c>
      <c r="G23" s="28">
        <v>20316496</v>
      </c>
      <c r="H23" s="19" t="s">
        <v>68</v>
      </c>
      <c r="I23" s="28">
        <v>3</v>
      </c>
      <c r="J23" s="29">
        <v>177.1</v>
      </c>
      <c r="K23" s="29">
        <v>531.3</v>
      </c>
      <c r="L23">
        <f t="shared" si="0"/>
        <v>253</v>
      </c>
    </row>
    <row r="24" spans="4:12">
      <c r="D24" s="27">
        <v>46137</v>
      </c>
      <c r="E24" s="19">
        <v>1598180</v>
      </c>
      <c r="F24" s="19" t="s">
        <v>17</v>
      </c>
      <c r="G24" s="28">
        <v>20316509</v>
      </c>
      <c r="H24" s="19" t="s">
        <v>73</v>
      </c>
      <c r="I24" s="28">
        <v>3</v>
      </c>
      <c r="J24" s="29">
        <v>5.6</v>
      </c>
      <c r="K24" s="29">
        <v>16.8</v>
      </c>
      <c r="L24">
        <f t="shared" si="0"/>
        <v>8</v>
      </c>
    </row>
    <row r="25" spans="4:12">
      <c r="D25" s="27">
        <v>46137</v>
      </c>
      <c r="E25" s="19">
        <v>1598180</v>
      </c>
      <c r="F25" s="19" t="s">
        <v>13</v>
      </c>
      <c r="G25" s="28">
        <v>20316584</v>
      </c>
      <c r="H25" s="19" t="s">
        <v>72</v>
      </c>
      <c r="I25" s="28">
        <v>1</v>
      </c>
      <c r="J25" s="29">
        <v>65.45</v>
      </c>
      <c r="K25" s="29">
        <v>65.45</v>
      </c>
      <c r="L25">
        <f t="shared" si="0"/>
        <v>93.5</v>
      </c>
    </row>
    <row r="26" spans="4:12">
      <c r="D26" s="27">
        <v>46137</v>
      </c>
      <c r="E26" s="19">
        <v>1598180</v>
      </c>
      <c r="F26" s="19" t="s">
        <v>15</v>
      </c>
      <c r="G26" s="28">
        <v>20316627</v>
      </c>
      <c r="H26" s="19" t="s">
        <v>69</v>
      </c>
      <c r="I26" s="28">
        <v>2</v>
      </c>
      <c r="J26" s="29">
        <v>11.55</v>
      </c>
      <c r="K26" s="29">
        <v>23.1</v>
      </c>
      <c r="L26">
        <f t="shared" si="0"/>
        <v>16.5</v>
      </c>
    </row>
    <row r="27" spans="4:12">
      <c r="D27" s="27">
        <v>46137</v>
      </c>
      <c r="E27" s="19">
        <v>1598180</v>
      </c>
      <c r="F27" s="19" t="s">
        <v>15</v>
      </c>
      <c r="G27" s="28">
        <v>20316798</v>
      </c>
      <c r="H27" s="19" t="s">
        <v>70</v>
      </c>
      <c r="I27" s="28">
        <v>3</v>
      </c>
      <c r="J27" s="29">
        <v>15.4</v>
      </c>
      <c r="K27" s="29">
        <v>46.2</v>
      </c>
      <c r="L27">
        <f t="shared" si="0"/>
        <v>22</v>
      </c>
    </row>
    <row r="28" spans="4:12">
      <c r="D28" s="27">
        <v>46142</v>
      </c>
      <c r="E28" s="19">
        <v>1599740</v>
      </c>
      <c r="F28" s="19" t="s">
        <v>68</v>
      </c>
      <c r="G28" s="28">
        <v>20316496</v>
      </c>
      <c r="H28" s="19" t="s">
        <v>68</v>
      </c>
      <c r="I28" s="28">
        <v>1</v>
      </c>
      <c r="J28" s="29">
        <v>177.1</v>
      </c>
      <c r="K28" s="29">
        <v>177.1</v>
      </c>
      <c r="L28">
        <f t="shared" si="0"/>
        <v>253</v>
      </c>
    </row>
    <row r="29" spans="4:12">
      <c r="D29" s="27">
        <v>46142</v>
      </c>
      <c r="E29" s="19">
        <v>1599740</v>
      </c>
      <c r="F29" s="19" t="s">
        <v>15</v>
      </c>
      <c r="G29" s="28">
        <v>20316627</v>
      </c>
      <c r="H29" s="19" t="s">
        <v>69</v>
      </c>
      <c r="I29" s="28">
        <v>1</v>
      </c>
      <c r="J29" s="29">
        <v>11.55</v>
      </c>
      <c r="K29" s="29">
        <v>11.55</v>
      </c>
      <c r="L29">
        <f t="shared" si="0"/>
        <v>16.5</v>
      </c>
    </row>
    <row r="30" spans="4:12">
      <c r="D30" s="27">
        <v>46142</v>
      </c>
      <c r="E30" s="19">
        <v>1599740</v>
      </c>
      <c r="F30" s="19" t="s">
        <v>15</v>
      </c>
      <c r="G30" s="28">
        <v>20316798</v>
      </c>
      <c r="H30" s="19" t="s">
        <v>70</v>
      </c>
      <c r="I30" s="28">
        <v>1</v>
      </c>
      <c r="J30" s="29">
        <v>15.4</v>
      </c>
      <c r="K30" s="29">
        <v>15.4</v>
      </c>
      <c r="L30">
        <f t="shared" si="0"/>
        <v>22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74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41</v>
      </c>
      <c r="J8" s="26"/>
      <c r="K8" s="26">
        <v>831.6</v>
      </c>
    </row>
    <row r="9" spans="1:12">
      <c r="D9" s="27">
        <v>46114</v>
      </c>
      <c r="E9" s="19">
        <v>1591528</v>
      </c>
      <c r="F9" s="19" t="s">
        <v>17</v>
      </c>
      <c r="G9" s="28">
        <v>20318015</v>
      </c>
      <c r="H9" s="19" t="s">
        <v>75</v>
      </c>
      <c r="I9" s="28">
        <v>1</v>
      </c>
      <c r="J9" s="29">
        <v>11.55</v>
      </c>
      <c r="K9" s="29">
        <v>11.55</v>
      </c>
      <c r="L9">
        <f>J9/0.7</f>
        <v>16.5</v>
      </c>
    </row>
    <row r="10" spans="1:12">
      <c r="D10" s="27">
        <v>46114</v>
      </c>
      <c r="E10" s="19">
        <v>1591528</v>
      </c>
      <c r="F10" s="19" t="s">
        <v>13</v>
      </c>
      <c r="G10" s="28">
        <v>20316560</v>
      </c>
      <c r="H10" s="19" t="s">
        <v>76</v>
      </c>
      <c r="I10" s="28">
        <v>3</v>
      </c>
      <c r="J10" s="29">
        <v>23.1</v>
      </c>
      <c r="K10" s="29">
        <v>69.3</v>
      </c>
      <c r="L10">
        <f t="shared" ref="L10:L30" si="0">J10/0.7</f>
        <v>33</v>
      </c>
    </row>
    <row r="11" spans="1:12">
      <c r="D11" s="27">
        <v>46116</v>
      </c>
      <c r="E11" s="19">
        <v>1592171</v>
      </c>
      <c r="F11" s="19" t="s">
        <v>17</v>
      </c>
      <c r="G11" s="28">
        <v>20318015</v>
      </c>
      <c r="H11" s="19" t="s">
        <v>75</v>
      </c>
      <c r="I11" s="28">
        <v>1</v>
      </c>
      <c r="J11" s="29">
        <v>11.55</v>
      </c>
      <c r="K11" s="29">
        <v>11.55</v>
      </c>
      <c r="L11">
        <f t="shared" si="0"/>
        <v>16.5</v>
      </c>
    </row>
    <row r="12" spans="1:12">
      <c r="D12" s="27">
        <v>46116</v>
      </c>
      <c r="E12" s="19">
        <v>1592171</v>
      </c>
      <c r="F12" s="19" t="s">
        <v>13</v>
      </c>
      <c r="G12" s="28">
        <v>20316560</v>
      </c>
      <c r="H12" s="19" t="s">
        <v>76</v>
      </c>
      <c r="I12" s="28">
        <v>2</v>
      </c>
      <c r="J12" s="29">
        <v>23.1</v>
      </c>
      <c r="K12" s="29">
        <v>46.2</v>
      </c>
      <c r="L12">
        <f t="shared" si="0"/>
        <v>33</v>
      </c>
    </row>
    <row r="13" spans="1:12">
      <c r="D13" s="27">
        <v>46119</v>
      </c>
      <c r="E13" s="19">
        <v>1592537</v>
      </c>
      <c r="F13" s="19" t="s">
        <v>13</v>
      </c>
      <c r="G13" s="28">
        <v>20316560</v>
      </c>
      <c r="H13" s="19" t="s">
        <v>76</v>
      </c>
      <c r="I13" s="28">
        <v>3</v>
      </c>
      <c r="J13" s="29">
        <v>23.1</v>
      </c>
      <c r="K13" s="29">
        <v>69.3</v>
      </c>
      <c r="L13">
        <f t="shared" si="0"/>
        <v>33</v>
      </c>
    </row>
    <row r="14" spans="1:12">
      <c r="D14" s="27">
        <v>46121</v>
      </c>
      <c r="E14" s="19">
        <v>1593326</v>
      </c>
      <c r="F14" s="19" t="s">
        <v>17</v>
      </c>
      <c r="G14" s="28">
        <v>20318015</v>
      </c>
      <c r="H14" s="19" t="s">
        <v>75</v>
      </c>
      <c r="I14" s="28">
        <v>1</v>
      </c>
      <c r="J14" s="29">
        <v>11.55</v>
      </c>
      <c r="K14" s="29">
        <v>11.55</v>
      </c>
      <c r="L14">
        <f t="shared" si="0"/>
        <v>16.5</v>
      </c>
    </row>
    <row r="15" spans="1:12">
      <c r="D15" s="27">
        <v>46121</v>
      </c>
      <c r="E15" s="19">
        <v>1593326</v>
      </c>
      <c r="F15" s="19" t="s">
        <v>13</v>
      </c>
      <c r="G15" s="28">
        <v>20316560</v>
      </c>
      <c r="H15" s="19" t="s">
        <v>76</v>
      </c>
      <c r="I15" s="28">
        <v>3</v>
      </c>
      <c r="J15" s="29">
        <v>23.1</v>
      </c>
      <c r="K15" s="29">
        <v>69.3</v>
      </c>
      <c r="L15">
        <f t="shared" si="0"/>
        <v>33</v>
      </c>
    </row>
    <row r="16" spans="1:12">
      <c r="D16" s="27">
        <v>46123</v>
      </c>
      <c r="E16" s="19">
        <v>1594008</v>
      </c>
      <c r="F16" s="19" t="s">
        <v>13</v>
      </c>
      <c r="G16" s="28">
        <v>20316560</v>
      </c>
      <c r="H16" s="19" t="s">
        <v>76</v>
      </c>
      <c r="I16" s="28">
        <v>2</v>
      </c>
      <c r="J16" s="29">
        <v>23.1</v>
      </c>
      <c r="K16" s="29">
        <v>46.2</v>
      </c>
      <c r="L16">
        <f t="shared" si="0"/>
        <v>33</v>
      </c>
    </row>
    <row r="17" spans="4:12">
      <c r="D17" s="27">
        <v>46126</v>
      </c>
      <c r="E17" s="19">
        <v>1594716</v>
      </c>
      <c r="F17" s="19" t="s">
        <v>13</v>
      </c>
      <c r="G17" s="28">
        <v>20316560</v>
      </c>
      <c r="H17" s="19" t="s">
        <v>76</v>
      </c>
      <c r="I17" s="28">
        <v>6</v>
      </c>
      <c r="J17" s="29">
        <v>23.1</v>
      </c>
      <c r="K17" s="29">
        <v>138.6</v>
      </c>
      <c r="L17">
        <f t="shared" si="0"/>
        <v>33</v>
      </c>
    </row>
    <row r="18" spans="4:12">
      <c r="D18" s="27">
        <v>46126</v>
      </c>
      <c r="E18" s="19">
        <v>1594716</v>
      </c>
      <c r="F18" s="19" t="s">
        <v>15</v>
      </c>
      <c r="G18" s="28">
        <v>20316562</v>
      </c>
      <c r="H18" s="19" t="s">
        <v>77</v>
      </c>
      <c r="I18" s="28">
        <v>1</v>
      </c>
      <c r="J18" s="29">
        <v>11.55</v>
      </c>
      <c r="K18" s="29">
        <v>11.55</v>
      </c>
      <c r="L18">
        <f t="shared" si="0"/>
        <v>16.5</v>
      </c>
    </row>
    <row r="19" spans="4:12">
      <c r="D19" s="27">
        <v>46128</v>
      </c>
      <c r="E19" s="19">
        <v>1595493</v>
      </c>
      <c r="F19" s="19" t="s">
        <v>17</v>
      </c>
      <c r="G19" s="28">
        <v>20318015</v>
      </c>
      <c r="H19" s="19" t="s">
        <v>75</v>
      </c>
      <c r="I19" s="28">
        <v>1</v>
      </c>
      <c r="J19" s="29">
        <v>11.55</v>
      </c>
      <c r="K19" s="29">
        <v>11.55</v>
      </c>
      <c r="L19">
        <f t="shared" si="0"/>
        <v>16.5</v>
      </c>
    </row>
    <row r="20" spans="4:12">
      <c r="D20" s="27">
        <v>46128</v>
      </c>
      <c r="E20" s="19">
        <v>1595493</v>
      </c>
      <c r="F20" s="19" t="s">
        <v>13</v>
      </c>
      <c r="G20" s="28">
        <v>20316560</v>
      </c>
      <c r="H20" s="19" t="s">
        <v>76</v>
      </c>
      <c r="I20" s="28">
        <v>3</v>
      </c>
      <c r="J20" s="29">
        <v>23.1</v>
      </c>
      <c r="K20" s="29">
        <v>69.3</v>
      </c>
      <c r="L20">
        <f t="shared" si="0"/>
        <v>33</v>
      </c>
    </row>
    <row r="21" spans="4:12">
      <c r="D21" s="27">
        <v>46130</v>
      </c>
      <c r="E21" s="19">
        <v>1596127</v>
      </c>
      <c r="F21" s="19" t="s">
        <v>13</v>
      </c>
      <c r="G21" s="28">
        <v>20316560</v>
      </c>
      <c r="H21" s="19" t="s">
        <v>76</v>
      </c>
      <c r="I21" s="28">
        <v>1</v>
      </c>
      <c r="J21" s="29">
        <v>23.1</v>
      </c>
      <c r="K21" s="29">
        <v>23.1</v>
      </c>
      <c r="L21">
        <f t="shared" si="0"/>
        <v>33</v>
      </c>
    </row>
    <row r="22" spans="4:12">
      <c r="D22" s="27">
        <v>46133</v>
      </c>
      <c r="E22" s="19">
        <v>1596785</v>
      </c>
      <c r="F22" s="19" t="s">
        <v>17</v>
      </c>
      <c r="G22" s="28">
        <v>20318015</v>
      </c>
      <c r="H22" s="19" t="s">
        <v>75</v>
      </c>
      <c r="I22" s="28">
        <v>1</v>
      </c>
      <c r="J22" s="29">
        <v>11.55</v>
      </c>
      <c r="K22" s="29">
        <v>11.55</v>
      </c>
      <c r="L22">
        <f t="shared" si="0"/>
        <v>16.5</v>
      </c>
    </row>
    <row r="23" spans="4:12">
      <c r="D23" s="27">
        <v>46133</v>
      </c>
      <c r="E23" s="19">
        <v>1596785</v>
      </c>
      <c r="F23" s="19" t="s">
        <v>13</v>
      </c>
      <c r="G23" s="28">
        <v>20316560</v>
      </c>
      <c r="H23" s="19" t="s">
        <v>76</v>
      </c>
      <c r="I23" s="28">
        <v>2</v>
      </c>
      <c r="J23" s="29">
        <v>23.1</v>
      </c>
      <c r="K23" s="29">
        <v>46.2</v>
      </c>
      <c r="L23">
        <f t="shared" si="0"/>
        <v>33</v>
      </c>
    </row>
    <row r="24" spans="4:12">
      <c r="D24" s="27">
        <v>46135</v>
      </c>
      <c r="E24" s="19">
        <v>1597568</v>
      </c>
      <c r="F24" s="19" t="s">
        <v>17</v>
      </c>
      <c r="G24" s="28">
        <v>20318015</v>
      </c>
      <c r="H24" s="19" t="s">
        <v>75</v>
      </c>
      <c r="I24" s="28">
        <v>1</v>
      </c>
      <c r="J24" s="29">
        <v>11.55</v>
      </c>
      <c r="K24" s="29">
        <v>11.55</v>
      </c>
      <c r="L24">
        <f t="shared" si="0"/>
        <v>16.5</v>
      </c>
    </row>
    <row r="25" spans="4:12">
      <c r="D25" s="27">
        <v>46137</v>
      </c>
      <c r="E25" s="19">
        <v>1598181</v>
      </c>
      <c r="F25" s="19" t="s">
        <v>13</v>
      </c>
      <c r="G25" s="28">
        <v>20316560</v>
      </c>
      <c r="H25" s="19" t="s">
        <v>76</v>
      </c>
      <c r="I25" s="28">
        <v>1</v>
      </c>
      <c r="J25" s="29">
        <v>23.1</v>
      </c>
      <c r="K25" s="29">
        <v>23.1</v>
      </c>
      <c r="L25">
        <f t="shared" si="0"/>
        <v>33</v>
      </c>
    </row>
    <row r="26" spans="4:12">
      <c r="D26" s="27">
        <v>46140</v>
      </c>
      <c r="E26" s="19">
        <v>1598880</v>
      </c>
      <c r="F26" s="19" t="s">
        <v>17</v>
      </c>
      <c r="G26" s="28">
        <v>20318015</v>
      </c>
      <c r="H26" s="19" t="s">
        <v>75</v>
      </c>
      <c r="I26" s="28">
        <v>2</v>
      </c>
      <c r="J26" s="29">
        <v>11.55</v>
      </c>
      <c r="K26" s="29">
        <v>23.1</v>
      </c>
      <c r="L26">
        <f t="shared" si="0"/>
        <v>16.5</v>
      </c>
    </row>
    <row r="27" spans="4:12">
      <c r="D27" s="27">
        <v>46140</v>
      </c>
      <c r="E27" s="19">
        <v>1598880</v>
      </c>
      <c r="F27" s="19" t="s">
        <v>13</v>
      </c>
      <c r="G27" s="28">
        <v>20316560</v>
      </c>
      <c r="H27" s="19" t="s">
        <v>76</v>
      </c>
      <c r="I27" s="28">
        <v>3</v>
      </c>
      <c r="J27" s="29">
        <v>23.1</v>
      </c>
      <c r="K27" s="29">
        <v>69.3</v>
      </c>
      <c r="L27">
        <f t="shared" si="0"/>
        <v>33</v>
      </c>
    </row>
    <row r="28" spans="4:12">
      <c r="D28" s="27">
        <v>46140</v>
      </c>
      <c r="E28" s="19">
        <v>1598880</v>
      </c>
      <c r="F28" s="19" t="s">
        <v>15</v>
      </c>
      <c r="G28" s="28">
        <v>20316562</v>
      </c>
      <c r="H28" s="19" t="s">
        <v>77</v>
      </c>
      <c r="I28" s="28">
        <v>1</v>
      </c>
      <c r="J28" s="29">
        <v>11.55</v>
      </c>
      <c r="K28" s="29">
        <v>11.55</v>
      </c>
      <c r="L28">
        <f t="shared" si="0"/>
        <v>16.5</v>
      </c>
    </row>
    <row r="29" spans="4:12">
      <c r="D29" s="27">
        <v>46142</v>
      </c>
      <c r="E29" s="19">
        <v>1599741</v>
      </c>
      <c r="F29" s="19" t="s">
        <v>13</v>
      </c>
      <c r="G29" s="28">
        <v>20316560</v>
      </c>
      <c r="H29" s="19" t="s">
        <v>76</v>
      </c>
      <c r="I29" s="28">
        <v>2</v>
      </c>
      <c r="J29" s="29">
        <v>23.1</v>
      </c>
      <c r="K29" s="29">
        <v>46.2</v>
      </c>
      <c r="L29">
        <f t="shared" si="0"/>
        <v>33</v>
      </c>
    </row>
    <row r="30" ht="0.05" customHeight="1" spans="4:12">
      <c r="L30">
        <f t="shared" si="0"/>
        <v>0</v>
      </c>
    </row>
  </sheetData>
  <autoFilter xmlns:etc="http://www.wps.cn/officeDocument/2017/etCustomData" ref="A7:K30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78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60</v>
      </c>
      <c r="J8" s="26"/>
      <c r="K8" s="26">
        <v>316.4</v>
      </c>
    </row>
    <row r="9" spans="1:12">
      <c r="D9" s="27">
        <v>46116</v>
      </c>
      <c r="E9" s="19">
        <v>1592172</v>
      </c>
      <c r="F9" s="19" t="s">
        <v>17</v>
      </c>
      <c r="G9" s="28">
        <v>20322119</v>
      </c>
      <c r="H9" s="19" t="s">
        <v>79</v>
      </c>
      <c r="I9" s="28">
        <v>1</v>
      </c>
      <c r="J9" s="29">
        <v>11.55</v>
      </c>
      <c r="K9" s="29">
        <v>11.55</v>
      </c>
      <c r="L9">
        <f>J9/0.7</f>
        <v>16.5</v>
      </c>
    </row>
    <row r="10" spans="1:12">
      <c r="D10" s="27">
        <v>46116</v>
      </c>
      <c r="E10" s="19">
        <v>1592172</v>
      </c>
      <c r="F10" s="19" t="s">
        <v>13</v>
      </c>
      <c r="G10" s="28">
        <v>20316548</v>
      </c>
      <c r="H10" s="19" t="s">
        <v>80</v>
      </c>
      <c r="I10" s="28">
        <v>1</v>
      </c>
      <c r="J10" s="29">
        <v>23.1</v>
      </c>
      <c r="K10" s="29">
        <v>23.1</v>
      </c>
      <c r="L10">
        <f t="shared" ref="L10:L36" si="0">J10/0.7</f>
        <v>33</v>
      </c>
    </row>
    <row r="11" spans="1:12">
      <c r="D11" s="27">
        <v>46116</v>
      </c>
      <c r="E11" s="19">
        <v>1592172</v>
      </c>
      <c r="F11" s="19" t="s">
        <v>81</v>
      </c>
      <c r="G11" s="28">
        <v>20317963</v>
      </c>
      <c r="H11" s="19" t="s">
        <v>82</v>
      </c>
      <c r="I11" s="28">
        <v>1</v>
      </c>
      <c r="J11" s="29">
        <v>2.8</v>
      </c>
      <c r="K11" s="29">
        <v>2.8</v>
      </c>
      <c r="L11">
        <f t="shared" si="0"/>
        <v>4</v>
      </c>
    </row>
    <row r="12" spans="1:12">
      <c r="D12" s="27">
        <v>46116</v>
      </c>
      <c r="E12" s="19">
        <v>1592172</v>
      </c>
      <c r="F12" s="19" t="s">
        <v>81</v>
      </c>
      <c r="G12" s="28">
        <v>20316711</v>
      </c>
      <c r="H12" s="19" t="s">
        <v>83</v>
      </c>
      <c r="I12" s="28">
        <v>1</v>
      </c>
      <c r="J12" s="29">
        <v>1.75</v>
      </c>
      <c r="K12" s="29">
        <v>1.75</v>
      </c>
      <c r="L12">
        <f t="shared" si="0"/>
        <v>2.5</v>
      </c>
    </row>
    <row r="13" spans="1:12">
      <c r="D13" s="27">
        <v>46116</v>
      </c>
      <c r="E13" s="19">
        <v>1592172</v>
      </c>
      <c r="F13" s="19" t="s">
        <v>81</v>
      </c>
      <c r="G13" s="28">
        <v>20379232</v>
      </c>
      <c r="H13" s="19" t="s">
        <v>84</v>
      </c>
      <c r="I13" s="28">
        <v>1</v>
      </c>
      <c r="J13" s="29">
        <v>1.75</v>
      </c>
      <c r="K13" s="29">
        <v>1.75</v>
      </c>
      <c r="L13">
        <f t="shared" si="0"/>
        <v>2.5</v>
      </c>
    </row>
    <row r="14" spans="1:12">
      <c r="D14" s="27">
        <v>46123</v>
      </c>
      <c r="E14" s="19">
        <v>1594009</v>
      </c>
      <c r="F14" s="19" t="s">
        <v>17</v>
      </c>
      <c r="G14" s="28">
        <v>20322119</v>
      </c>
      <c r="H14" s="19" t="s">
        <v>79</v>
      </c>
      <c r="I14" s="28">
        <v>1</v>
      </c>
      <c r="J14" s="29">
        <v>11.55</v>
      </c>
      <c r="K14" s="29">
        <v>11.55</v>
      </c>
      <c r="L14">
        <f t="shared" si="0"/>
        <v>16.5</v>
      </c>
    </row>
    <row r="15" spans="1:12">
      <c r="D15" s="27">
        <v>46123</v>
      </c>
      <c r="E15" s="19">
        <v>1594009</v>
      </c>
      <c r="F15" s="19" t="s">
        <v>13</v>
      </c>
      <c r="G15" s="28">
        <v>20316548</v>
      </c>
      <c r="H15" s="19" t="s">
        <v>80</v>
      </c>
      <c r="I15" s="28">
        <v>2</v>
      </c>
      <c r="J15" s="29">
        <v>23.1</v>
      </c>
      <c r="K15" s="29">
        <v>46.2</v>
      </c>
      <c r="L15">
        <f t="shared" si="0"/>
        <v>33</v>
      </c>
    </row>
    <row r="16" spans="1:12">
      <c r="D16" s="27">
        <v>46123</v>
      </c>
      <c r="E16" s="19">
        <v>1594009</v>
      </c>
      <c r="F16" s="19" t="s">
        <v>81</v>
      </c>
      <c r="G16" s="28">
        <v>20317963</v>
      </c>
      <c r="H16" s="19" t="s">
        <v>82</v>
      </c>
      <c r="I16" s="28">
        <v>2</v>
      </c>
      <c r="J16" s="29">
        <v>2.8</v>
      </c>
      <c r="K16" s="29">
        <v>5.6</v>
      </c>
      <c r="L16">
        <f t="shared" si="0"/>
        <v>4</v>
      </c>
    </row>
    <row r="17" spans="4:12">
      <c r="D17" s="27">
        <v>46123</v>
      </c>
      <c r="E17" s="19">
        <v>1594009</v>
      </c>
      <c r="F17" s="19" t="s">
        <v>81</v>
      </c>
      <c r="G17" s="28">
        <v>20316711</v>
      </c>
      <c r="H17" s="19" t="s">
        <v>83</v>
      </c>
      <c r="I17" s="28">
        <v>10</v>
      </c>
      <c r="J17" s="29">
        <v>1.75</v>
      </c>
      <c r="K17" s="29">
        <v>17.5</v>
      </c>
      <c r="L17">
        <f t="shared" si="0"/>
        <v>2.5</v>
      </c>
    </row>
    <row r="18" spans="4:12">
      <c r="D18" s="27">
        <v>46123</v>
      </c>
      <c r="E18" s="19">
        <v>1594009</v>
      </c>
      <c r="F18" s="19" t="s">
        <v>81</v>
      </c>
      <c r="G18" s="28">
        <v>20379232</v>
      </c>
      <c r="H18" s="19" t="s">
        <v>84</v>
      </c>
      <c r="I18" s="28">
        <v>10</v>
      </c>
      <c r="J18" s="29">
        <v>1.75</v>
      </c>
      <c r="K18" s="29">
        <v>17.5</v>
      </c>
      <c r="L18">
        <f t="shared" si="0"/>
        <v>2.5</v>
      </c>
    </row>
    <row r="19" spans="4:12">
      <c r="D19" s="27">
        <v>46130</v>
      </c>
      <c r="E19" s="19">
        <v>1596128</v>
      </c>
      <c r="F19" s="19" t="s">
        <v>17</v>
      </c>
      <c r="G19" s="28">
        <v>20322119</v>
      </c>
      <c r="H19" s="19" t="s">
        <v>79</v>
      </c>
      <c r="I19" s="28">
        <v>1</v>
      </c>
      <c r="J19" s="29">
        <v>11.55</v>
      </c>
      <c r="K19" s="29">
        <v>11.55</v>
      </c>
      <c r="L19">
        <f t="shared" si="0"/>
        <v>16.5</v>
      </c>
    </row>
    <row r="20" spans="4:12">
      <c r="D20" s="27">
        <v>46130</v>
      </c>
      <c r="E20" s="19">
        <v>1596128</v>
      </c>
      <c r="F20" s="19" t="s">
        <v>17</v>
      </c>
      <c r="G20" s="28">
        <v>20355071</v>
      </c>
      <c r="H20" s="19" t="s">
        <v>85</v>
      </c>
      <c r="I20" s="28">
        <v>1</v>
      </c>
      <c r="J20" s="29">
        <v>5.6</v>
      </c>
      <c r="K20" s="29">
        <v>5.6</v>
      </c>
      <c r="L20">
        <f t="shared" si="0"/>
        <v>8</v>
      </c>
    </row>
    <row r="21" spans="4:12">
      <c r="D21" s="27">
        <v>46130</v>
      </c>
      <c r="E21" s="19">
        <v>1596128</v>
      </c>
      <c r="F21" s="19" t="s">
        <v>17</v>
      </c>
      <c r="G21" s="28">
        <v>20355077</v>
      </c>
      <c r="H21" s="19" t="s">
        <v>86</v>
      </c>
      <c r="I21" s="28">
        <v>1</v>
      </c>
      <c r="J21" s="29">
        <v>5.6</v>
      </c>
      <c r="K21" s="29">
        <v>5.6</v>
      </c>
      <c r="L21">
        <f t="shared" si="0"/>
        <v>8</v>
      </c>
    </row>
    <row r="22" spans="4:12">
      <c r="D22" s="27">
        <v>46130</v>
      </c>
      <c r="E22" s="19">
        <v>1596128</v>
      </c>
      <c r="F22" s="19" t="s">
        <v>13</v>
      </c>
      <c r="G22" s="28">
        <v>20316548</v>
      </c>
      <c r="H22" s="19" t="s">
        <v>80</v>
      </c>
      <c r="I22" s="28">
        <v>2</v>
      </c>
      <c r="J22" s="29">
        <v>23.1</v>
      </c>
      <c r="K22" s="29">
        <v>46.2</v>
      </c>
      <c r="L22">
        <f t="shared" si="0"/>
        <v>33</v>
      </c>
    </row>
    <row r="23" spans="4:12">
      <c r="D23" s="27">
        <v>46130</v>
      </c>
      <c r="E23" s="19">
        <v>1596128</v>
      </c>
      <c r="F23" s="19" t="s">
        <v>81</v>
      </c>
      <c r="G23" s="28">
        <v>20317963</v>
      </c>
      <c r="H23" s="19" t="s">
        <v>82</v>
      </c>
      <c r="I23" s="28">
        <v>2</v>
      </c>
      <c r="J23" s="29">
        <v>2.8</v>
      </c>
      <c r="K23" s="29">
        <v>5.6</v>
      </c>
      <c r="L23">
        <f t="shared" si="0"/>
        <v>4</v>
      </c>
    </row>
    <row r="24" spans="4:12">
      <c r="D24" s="27">
        <v>46130</v>
      </c>
      <c r="E24" s="19">
        <v>1596128</v>
      </c>
      <c r="F24" s="19" t="s">
        <v>81</v>
      </c>
      <c r="G24" s="28">
        <v>20316711</v>
      </c>
      <c r="H24" s="19" t="s">
        <v>83</v>
      </c>
      <c r="I24" s="28">
        <v>10</v>
      </c>
      <c r="J24" s="29">
        <v>1.75</v>
      </c>
      <c r="K24" s="29">
        <v>17.5</v>
      </c>
      <c r="L24">
        <f t="shared" si="0"/>
        <v>2.5</v>
      </c>
    </row>
    <row r="25" spans="4:12">
      <c r="D25" s="27">
        <v>46130</v>
      </c>
      <c r="E25" s="19">
        <v>1596128</v>
      </c>
      <c r="F25" s="19" t="s">
        <v>81</v>
      </c>
      <c r="G25" s="28">
        <v>20379232</v>
      </c>
      <c r="H25" s="19" t="s">
        <v>84</v>
      </c>
      <c r="I25" s="28">
        <v>2</v>
      </c>
      <c r="J25" s="29">
        <v>1.75</v>
      </c>
      <c r="K25" s="29">
        <v>3.5</v>
      </c>
      <c r="L25">
        <f t="shared" si="0"/>
        <v>2.5</v>
      </c>
    </row>
    <row r="26" spans="4:12">
      <c r="D26" s="27">
        <v>46137</v>
      </c>
      <c r="E26" s="19">
        <v>1598182</v>
      </c>
      <c r="F26" s="19" t="s">
        <v>17</v>
      </c>
      <c r="G26" s="28">
        <v>20322119</v>
      </c>
      <c r="H26" s="19" t="s">
        <v>79</v>
      </c>
      <c r="I26" s="28">
        <v>1</v>
      </c>
      <c r="J26" s="29">
        <v>11.55</v>
      </c>
      <c r="K26" s="29">
        <v>11.55</v>
      </c>
      <c r="L26">
        <f t="shared" si="0"/>
        <v>16.5</v>
      </c>
    </row>
    <row r="27" spans="4:12">
      <c r="D27" s="27">
        <v>46137</v>
      </c>
      <c r="E27" s="19">
        <v>1598182</v>
      </c>
      <c r="F27" s="19" t="s">
        <v>13</v>
      </c>
      <c r="G27" s="28">
        <v>20316548</v>
      </c>
      <c r="H27" s="19" t="s">
        <v>80</v>
      </c>
      <c r="I27" s="28">
        <v>1</v>
      </c>
      <c r="J27" s="29">
        <v>23.1</v>
      </c>
      <c r="K27" s="29">
        <v>23.1</v>
      </c>
      <c r="L27">
        <f t="shared" si="0"/>
        <v>33</v>
      </c>
    </row>
    <row r="28" spans="4:12">
      <c r="D28" s="27">
        <v>46137</v>
      </c>
      <c r="E28" s="19">
        <v>1598182</v>
      </c>
      <c r="F28" s="19" t="s">
        <v>81</v>
      </c>
      <c r="G28" s="28">
        <v>20317963</v>
      </c>
      <c r="H28" s="19" t="s">
        <v>82</v>
      </c>
      <c r="I28" s="28">
        <v>1</v>
      </c>
      <c r="J28" s="29">
        <v>2.8</v>
      </c>
      <c r="K28" s="29">
        <v>2.8</v>
      </c>
      <c r="L28">
        <f t="shared" si="0"/>
        <v>4</v>
      </c>
    </row>
    <row r="29" spans="4:12">
      <c r="D29" s="27">
        <v>46137</v>
      </c>
      <c r="E29" s="19">
        <v>1598182</v>
      </c>
      <c r="F29" s="19" t="s">
        <v>81</v>
      </c>
      <c r="G29" s="28">
        <v>20316711</v>
      </c>
      <c r="H29" s="19" t="s">
        <v>83</v>
      </c>
      <c r="I29" s="28">
        <v>1</v>
      </c>
      <c r="J29" s="29">
        <v>1.75</v>
      </c>
      <c r="K29" s="29">
        <v>1.75</v>
      </c>
      <c r="L29">
        <f t="shared" si="0"/>
        <v>2.5</v>
      </c>
    </row>
    <row r="30" spans="4:12">
      <c r="D30" s="27">
        <v>46137</v>
      </c>
      <c r="E30" s="19">
        <v>1598182</v>
      </c>
      <c r="F30" s="19" t="s">
        <v>81</v>
      </c>
      <c r="G30" s="28">
        <v>20379232</v>
      </c>
      <c r="H30" s="19" t="s">
        <v>84</v>
      </c>
      <c r="I30" s="28">
        <v>1</v>
      </c>
      <c r="J30" s="29">
        <v>1.75</v>
      </c>
      <c r="K30" s="29">
        <v>1.75</v>
      </c>
      <c r="L30">
        <f t="shared" si="0"/>
        <v>2.5</v>
      </c>
    </row>
    <row r="31" spans="4:12">
      <c r="D31" s="27">
        <v>46140</v>
      </c>
      <c r="E31" s="19">
        <v>1598881</v>
      </c>
      <c r="F31" s="19" t="s">
        <v>17</v>
      </c>
      <c r="G31" s="28">
        <v>20355078</v>
      </c>
      <c r="H31" s="19" t="s">
        <v>87</v>
      </c>
      <c r="I31" s="28">
        <v>1</v>
      </c>
      <c r="J31" s="29">
        <v>5.6</v>
      </c>
      <c r="K31" s="29">
        <v>5.6</v>
      </c>
      <c r="L31">
        <f t="shared" si="0"/>
        <v>8</v>
      </c>
    </row>
    <row r="32" spans="4:12">
      <c r="D32" s="27">
        <v>46140</v>
      </c>
      <c r="E32" s="19">
        <v>1598881</v>
      </c>
      <c r="F32" s="19" t="s">
        <v>17</v>
      </c>
      <c r="G32" s="28">
        <v>20355074</v>
      </c>
      <c r="H32" s="19" t="s">
        <v>88</v>
      </c>
      <c r="I32" s="28">
        <v>1</v>
      </c>
      <c r="J32" s="29">
        <v>5.6</v>
      </c>
      <c r="K32" s="29">
        <v>5.6</v>
      </c>
      <c r="L32">
        <f t="shared" si="0"/>
        <v>8</v>
      </c>
    </row>
    <row r="33" spans="4:12">
      <c r="D33" s="27">
        <v>46140</v>
      </c>
      <c r="E33" s="19">
        <v>1598881</v>
      </c>
      <c r="F33" s="19" t="s">
        <v>13</v>
      </c>
      <c r="G33" s="28">
        <v>20316548</v>
      </c>
      <c r="H33" s="19" t="s">
        <v>80</v>
      </c>
      <c r="I33" s="28">
        <v>1</v>
      </c>
      <c r="J33" s="29">
        <v>23.1</v>
      </c>
      <c r="K33" s="29">
        <v>23.1</v>
      </c>
      <c r="L33">
        <f t="shared" si="0"/>
        <v>33</v>
      </c>
    </row>
    <row r="34" spans="4:12">
      <c r="D34" s="27">
        <v>46140</v>
      </c>
      <c r="E34" s="19">
        <v>1598881</v>
      </c>
      <c r="F34" s="19" t="s">
        <v>81</v>
      </c>
      <c r="G34" s="28">
        <v>20317963</v>
      </c>
      <c r="H34" s="19" t="s">
        <v>82</v>
      </c>
      <c r="I34" s="28">
        <v>1</v>
      </c>
      <c r="J34" s="29">
        <v>2.8</v>
      </c>
      <c r="K34" s="29">
        <v>2.8</v>
      </c>
      <c r="L34">
        <f t="shared" si="0"/>
        <v>4</v>
      </c>
    </row>
    <row r="35" spans="4:12">
      <c r="D35" s="27">
        <v>46140</v>
      </c>
      <c r="E35" s="19">
        <v>1598881</v>
      </c>
      <c r="F35" s="19" t="s">
        <v>81</v>
      </c>
      <c r="G35" s="28">
        <v>20316711</v>
      </c>
      <c r="H35" s="19" t="s">
        <v>83</v>
      </c>
      <c r="I35" s="28">
        <v>1</v>
      </c>
      <c r="J35" s="29">
        <v>1.75</v>
      </c>
      <c r="K35" s="29">
        <v>1.75</v>
      </c>
      <c r="L35">
        <f t="shared" si="0"/>
        <v>2.5</v>
      </c>
    </row>
    <row r="36" spans="4:12">
      <c r="D36" s="27">
        <v>46140</v>
      </c>
      <c r="E36" s="19">
        <v>1598881</v>
      </c>
      <c r="F36" s="19" t="s">
        <v>81</v>
      </c>
      <c r="G36" s="28">
        <v>20379232</v>
      </c>
      <c r="H36" s="19" t="s">
        <v>84</v>
      </c>
      <c r="I36" s="28">
        <v>1</v>
      </c>
      <c r="J36" s="29">
        <v>1.75</v>
      </c>
      <c r="K36" s="29">
        <v>1.75</v>
      </c>
      <c r="L36">
        <f t="shared" si="0"/>
        <v>2.5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89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44</v>
      </c>
      <c r="J8" s="26"/>
      <c r="K8" s="26">
        <v>746.55</v>
      </c>
    </row>
    <row r="9" spans="1:12">
      <c r="D9" s="27">
        <v>46114</v>
      </c>
      <c r="E9" s="19">
        <v>1591529</v>
      </c>
      <c r="F9" s="19" t="s">
        <v>13</v>
      </c>
      <c r="G9" s="28">
        <v>20316568</v>
      </c>
      <c r="H9" s="19" t="s">
        <v>50</v>
      </c>
      <c r="I9" s="28">
        <v>1</v>
      </c>
      <c r="J9" s="29">
        <v>26.95</v>
      </c>
      <c r="K9" s="29">
        <v>26.95</v>
      </c>
      <c r="L9">
        <f>J9/0.7</f>
        <v>38.5</v>
      </c>
    </row>
    <row r="10" spans="1:12">
      <c r="D10" s="27">
        <v>46116</v>
      </c>
      <c r="E10" s="19">
        <v>1592173</v>
      </c>
      <c r="F10" s="19" t="s">
        <v>13</v>
      </c>
      <c r="G10" s="28">
        <v>20316568</v>
      </c>
      <c r="H10" s="19" t="s">
        <v>50</v>
      </c>
      <c r="I10" s="28">
        <v>1</v>
      </c>
      <c r="J10" s="29">
        <v>26.95</v>
      </c>
      <c r="K10" s="29">
        <v>26.95</v>
      </c>
      <c r="L10">
        <f t="shared" ref="L10:L31" si="0">J10/0.7</f>
        <v>38.5</v>
      </c>
    </row>
    <row r="11" spans="1:12">
      <c r="D11" s="27">
        <v>46119</v>
      </c>
      <c r="E11" s="19">
        <v>1592538</v>
      </c>
      <c r="F11" s="19" t="s">
        <v>17</v>
      </c>
      <c r="G11" s="28">
        <v>20316907</v>
      </c>
      <c r="H11" s="19" t="s">
        <v>90</v>
      </c>
      <c r="I11" s="28">
        <v>4</v>
      </c>
      <c r="J11" s="29">
        <v>9.1</v>
      </c>
      <c r="K11" s="29">
        <v>36.4</v>
      </c>
      <c r="L11">
        <f t="shared" si="0"/>
        <v>13</v>
      </c>
    </row>
    <row r="12" spans="1:12">
      <c r="D12" s="27">
        <v>46119</v>
      </c>
      <c r="E12" s="19">
        <v>1592538</v>
      </c>
      <c r="F12" s="19" t="s">
        <v>15</v>
      </c>
      <c r="G12" s="28">
        <v>20316766</v>
      </c>
      <c r="H12" s="19" t="s">
        <v>91</v>
      </c>
      <c r="I12" s="28">
        <v>1</v>
      </c>
      <c r="J12" s="29">
        <v>15.4</v>
      </c>
      <c r="K12" s="29">
        <v>15.4</v>
      </c>
      <c r="L12">
        <f t="shared" si="0"/>
        <v>22</v>
      </c>
    </row>
    <row r="13" spans="1:12">
      <c r="D13" s="27">
        <v>46121</v>
      </c>
      <c r="E13" s="19">
        <v>1593327</v>
      </c>
      <c r="F13" s="19" t="s">
        <v>13</v>
      </c>
      <c r="G13" s="28">
        <v>20316568</v>
      </c>
      <c r="H13" s="19" t="s">
        <v>50</v>
      </c>
      <c r="I13" s="28">
        <v>3</v>
      </c>
      <c r="J13" s="29">
        <v>26.95</v>
      </c>
      <c r="K13" s="29">
        <v>80.85</v>
      </c>
      <c r="L13">
        <f t="shared" si="0"/>
        <v>38.5</v>
      </c>
    </row>
    <row r="14" spans="1:12">
      <c r="D14" s="27">
        <v>46123</v>
      </c>
      <c r="E14" s="19">
        <v>1594010</v>
      </c>
      <c r="F14" s="19" t="s">
        <v>17</v>
      </c>
      <c r="G14" s="28">
        <v>20365695</v>
      </c>
      <c r="H14" s="19" t="s">
        <v>92</v>
      </c>
      <c r="I14" s="28">
        <v>1</v>
      </c>
      <c r="J14" s="29">
        <v>5.6</v>
      </c>
      <c r="K14" s="29">
        <v>5.6</v>
      </c>
      <c r="L14">
        <f t="shared" si="0"/>
        <v>8</v>
      </c>
    </row>
    <row r="15" spans="1:12">
      <c r="D15" s="27">
        <v>46123</v>
      </c>
      <c r="E15" s="19">
        <v>1594010</v>
      </c>
      <c r="F15" s="19" t="s">
        <v>13</v>
      </c>
      <c r="G15" s="28">
        <v>20316568</v>
      </c>
      <c r="H15" s="19" t="s">
        <v>50</v>
      </c>
      <c r="I15" s="28">
        <v>1</v>
      </c>
      <c r="J15" s="29">
        <v>26.95</v>
      </c>
      <c r="K15" s="29">
        <v>26.95</v>
      </c>
      <c r="L15">
        <f t="shared" si="0"/>
        <v>38.5</v>
      </c>
    </row>
    <row r="16" spans="1:12">
      <c r="D16" s="27">
        <v>46123</v>
      </c>
      <c r="E16" s="19">
        <v>1594010</v>
      </c>
      <c r="F16" s="19" t="s">
        <v>15</v>
      </c>
      <c r="G16" s="28">
        <v>20316766</v>
      </c>
      <c r="H16" s="19" t="s">
        <v>91</v>
      </c>
      <c r="I16" s="28">
        <v>1</v>
      </c>
      <c r="J16" s="29">
        <v>15.4</v>
      </c>
      <c r="K16" s="29">
        <v>15.4</v>
      </c>
      <c r="L16">
        <f t="shared" si="0"/>
        <v>22</v>
      </c>
    </row>
    <row r="17" spans="4:12">
      <c r="D17" s="27">
        <v>46126</v>
      </c>
      <c r="E17" s="19">
        <v>1594717</v>
      </c>
      <c r="F17" s="19" t="s">
        <v>17</v>
      </c>
      <c r="G17" s="28">
        <v>20316907</v>
      </c>
      <c r="H17" s="19" t="s">
        <v>90</v>
      </c>
      <c r="I17" s="28">
        <v>4</v>
      </c>
      <c r="J17" s="29">
        <v>9.1</v>
      </c>
      <c r="K17" s="29">
        <v>36.4</v>
      </c>
      <c r="L17">
        <f t="shared" si="0"/>
        <v>13</v>
      </c>
    </row>
    <row r="18" spans="4:12">
      <c r="D18" s="27">
        <v>46126</v>
      </c>
      <c r="E18" s="19">
        <v>1594717</v>
      </c>
      <c r="F18" s="19" t="s">
        <v>13</v>
      </c>
      <c r="G18" s="28">
        <v>20316568</v>
      </c>
      <c r="H18" s="19" t="s">
        <v>50</v>
      </c>
      <c r="I18" s="28">
        <v>3</v>
      </c>
      <c r="J18" s="29">
        <v>26.95</v>
      </c>
      <c r="K18" s="29">
        <v>80.85</v>
      </c>
      <c r="L18">
        <f t="shared" si="0"/>
        <v>38.5</v>
      </c>
    </row>
    <row r="19" spans="4:12">
      <c r="D19" s="27">
        <v>46128</v>
      </c>
      <c r="E19" s="19">
        <v>1595494</v>
      </c>
      <c r="F19" s="19" t="s">
        <v>13</v>
      </c>
      <c r="G19" s="28">
        <v>20316568</v>
      </c>
      <c r="H19" s="19" t="s">
        <v>50</v>
      </c>
      <c r="I19" s="28">
        <v>1</v>
      </c>
      <c r="J19" s="29">
        <v>26.95</v>
      </c>
      <c r="K19" s="29">
        <v>26.95</v>
      </c>
      <c r="L19">
        <f t="shared" si="0"/>
        <v>38.5</v>
      </c>
    </row>
    <row r="20" spans="4:12">
      <c r="D20" s="27">
        <v>46133</v>
      </c>
      <c r="E20" s="19">
        <v>1596786</v>
      </c>
      <c r="F20" s="19" t="s">
        <v>17</v>
      </c>
      <c r="G20" s="28">
        <v>20365695</v>
      </c>
      <c r="H20" s="19" t="s">
        <v>92</v>
      </c>
      <c r="I20" s="28">
        <v>2</v>
      </c>
      <c r="J20" s="29">
        <v>5.6</v>
      </c>
      <c r="K20" s="29">
        <v>11.2</v>
      </c>
      <c r="L20">
        <f t="shared" si="0"/>
        <v>8</v>
      </c>
    </row>
    <row r="21" spans="4:12">
      <c r="D21" s="27">
        <v>46133</v>
      </c>
      <c r="E21" s="19">
        <v>1596786</v>
      </c>
      <c r="F21" s="19" t="s">
        <v>17</v>
      </c>
      <c r="G21" s="28">
        <v>20316907</v>
      </c>
      <c r="H21" s="19" t="s">
        <v>90</v>
      </c>
      <c r="I21" s="28">
        <v>4</v>
      </c>
      <c r="J21" s="29">
        <v>9.1</v>
      </c>
      <c r="K21" s="29">
        <v>36.4</v>
      </c>
      <c r="L21">
        <f t="shared" si="0"/>
        <v>13</v>
      </c>
    </row>
    <row r="22" spans="4:12">
      <c r="D22" s="27">
        <v>46133</v>
      </c>
      <c r="E22" s="19">
        <v>1596786</v>
      </c>
      <c r="F22" s="19" t="s">
        <v>13</v>
      </c>
      <c r="G22" s="28">
        <v>20316568</v>
      </c>
      <c r="H22" s="19" t="s">
        <v>50</v>
      </c>
      <c r="I22" s="28">
        <v>4</v>
      </c>
      <c r="J22" s="29">
        <v>26.95</v>
      </c>
      <c r="K22" s="29">
        <v>107.8</v>
      </c>
      <c r="L22">
        <f t="shared" si="0"/>
        <v>38.5</v>
      </c>
    </row>
    <row r="23" spans="4:12">
      <c r="D23" s="27">
        <v>46133</v>
      </c>
      <c r="E23" s="19">
        <v>1596786</v>
      </c>
      <c r="F23" s="19" t="s">
        <v>15</v>
      </c>
      <c r="G23" s="28">
        <v>20316766</v>
      </c>
      <c r="H23" s="19" t="s">
        <v>91</v>
      </c>
      <c r="I23" s="28">
        <v>1</v>
      </c>
      <c r="J23" s="29">
        <v>15.4</v>
      </c>
      <c r="K23" s="29">
        <v>15.4</v>
      </c>
      <c r="L23">
        <f t="shared" si="0"/>
        <v>22</v>
      </c>
    </row>
    <row r="24" spans="4:12">
      <c r="D24" s="27">
        <v>46135</v>
      </c>
      <c r="E24" s="19">
        <v>1597569</v>
      </c>
      <c r="F24" s="19" t="s">
        <v>13</v>
      </c>
      <c r="G24" s="28">
        <v>20316568</v>
      </c>
      <c r="H24" s="19" t="s">
        <v>50</v>
      </c>
      <c r="I24" s="28">
        <v>1</v>
      </c>
      <c r="J24" s="29">
        <v>26.95</v>
      </c>
      <c r="K24" s="29">
        <v>26.95</v>
      </c>
      <c r="L24">
        <f t="shared" si="0"/>
        <v>38.5</v>
      </c>
    </row>
    <row r="25" spans="4:12">
      <c r="D25" s="27">
        <v>46137</v>
      </c>
      <c r="E25" s="19">
        <v>1598183</v>
      </c>
      <c r="F25" s="19" t="s">
        <v>13</v>
      </c>
      <c r="G25" s="28">
        <v>20316568</v>
      </c>
      <c r="H25" s="19" t="s">
        <v>50</v>
      </c>
      <c r="I25" s="28">
        <v>1</v>
      </c>
      <c r="J25" s="29">
        <v>26.95</v>
      </c>
      <c r="K25" s="29">
        <v>26.95</v>
      </c>
      <c r="L25">
        <f t="shared" si="0"/>
        <v>38.5</v>
      </c>
    </row>
    <row r="26" spans="4:12">
      <c r="D26" s="27">
        <v>46137</v>
      </c>
      <c r="E26" s="19">
        <v>1598183</v>
      </c>
      <c r="F26" s="19" t="s">
        <v>81</v>
      </c>
      <c r="G26" s="28">
        <v>20316600</v>
      </c>
      <c r="H26" s="19" t="s">
        <v>93</v>
      </c>
      <c r="I26" s="28">
        <v>1</v>
      </c>
      <c r="J26" s="29">
        <v>2.8</v>
      </c>
      <c r="K26" s="29">
        <v>2.8</v>
      </c>
      <c r="L26">
        <f t="shared" si="0"/>
        <v>4</v>
      </c>
    </row>
    <row r="27" spans="4:12">
      <c r="D27" s="27">
        <v>46140</v>
      </c>
      <c r="E27" s="19">
        <v>1598882</v>
      </c>
      <c r="F27" s="19" t="s">
        <v>17</v>
      </c>
      <c r="G27" s="28">
        <v>20316907</v>
      </c>
      <c r="H27" s="19" t="s">
        <v>90</v>
      </c>
      <c r="I27" s="28">
        <v>4</v>
      </c>
      <c r="J27" s="29">
        <v>9.1</v>
      </c>
      <c r="K27" s="29">
        <v>36.4</v>
      </c>
      <c r="L27">
        <f t="shared" si="0"/>
        <v>13</v>
      </c>
    </row>
    <row r="28" spans="4:12">
      <c r="D28" s="27">
        <v>46140</v>
      </c>
      <c r="E28" s="19">
        <v>1598882</v>
      </c>
      <c r="F28" s="19" t="s">
        <v>17</v>
      </c>
      <c r="G28" s="28">
        <v>20318043</v>
      </c>
      <c r="H28" s="19" t="s">
        <v>94</v>
      </c>
      <c r="I28" s="28">
        <v>1</v>
      </c>
      <c r="J28" s="29">
        <v>7.7</v>
      </c>
      <c r="K28" s="29">
        <v>7.7</v>
      </c>
      <c r="L28">
        <f t="shared" si="0"/>
        <v>11</v>
      </c>
    </row>
    <row r="29" spans="4:12">
      <c r="D29" s="27">
        <v>46140</v>
      </c>
      <c r="E29" s="19">
        <v>1598882</v>
      </c>
      <c r="F29" s="19" t="s">
        <v>13</v>
      </c>
      <c r="G29" s="28">
        <v>20316568</v>
      </c>
      <c r="H29" s="19" t="s">
        <v>50</v>
      </c>
      <c r="I29" s="28">
        <v>1</v>
      </c>
      <c r="J29" s="29">
        <v>26.95</v>
      </c>
      <c r="K29" s="29">
        <v>26.95</v>
      </c>
      <c r="L29">
        <f t="shared" si="0"/>
        <v>38.5</v>
      </c>
    </row>
    <row r="30" spans="4:12">
      <c r="D30" s="27">
        <v>46140</v>
      </c>
      <c r="E30" s="19">
        <v>1598882</v>
      </c>
      <c r="F30" s="19" t="s">
        <v>15</v>
      </c>
      <c r="G30" s="28">
        <v>20316766</v>
      </c>
      <c r="H30" s="19" t="s">
        <v>91</v>
      </c>
      <c r="I30" s="28">
        <v>1</v>
      </c>
      <c r="J30" s="29">
        <v>15.4</v>
      </c>
      <c r="K30" s="29">
        <v>15.4</v>
      </c>
      <c r="L30">
        <f t="shared" si="0"/>
        <v>22</v>
      </c>
    </row>
    <row r="31" spans="4:12">
      <c r="D31" s="27">
        <v>46142</v>
      </c>
      <c r="E31" s="19">
        <v>1599742</v>
      </c>
      <c r="F31" s="19" t="s">
        <v>13</v>
      </c>
      <c r="G31" s="28">
        <v>20316568</v>
      </c>
      <c r="H31" s="19" t="s">
        <v>50</v>
      </c>
      <c r="I31" s="28">
        <v>2</v>
      </c>
      <c r="J31" s="29">
        <v>26.95</v>
      </c>
      <c r="K31" s="29">
        <v>53.9</v>
      </c>
      <c r="L31">
        <f t="shared" si="0"/>
        <v>38.5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11" t="s">
        <v>2</v>
      </c>
      <c r="B7" s="3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2">
      <c r="D8" s="23" t="s">
        <v>95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106</v>
      </c>
      <c r="J8" s="26"/>
      <c r="K8" s="26">
        <v>1794.8</v>
      </c>
    </row>
    <row r="9" spans="1:12">
      <c r="D9" s="27">
        <v>46114</v>
      </c>
      <c r="E9" s="19">
        <v>1591530</v>
      </c>
      <c r="F9" s="19" t="s">
        <v>68</v>
      </c>
      <c r="G9" s="28">
        <v>20316621</v>
      </c>
      <c r="H9" s="19" t="s">
        <v>96</v>
      </c>
      <c r="I9" s="28">
        <v>1</v>
      </c>
      <c r="J9" s="29">
        <v>80.85</v>
      </c>
      <c r="K9" s="29">
        <v>80.85</v>
      </c>
      <c r="L9">
        <f>J9/0.7</f>
        <v>115.5</v>
      </c>
    </row>
    <row r="10" spans="1:12">
      <c r="D10" s="27">
        <v>46114</v>
      </c>
      <c r="E10" s="19">
        <v>1591530</v>
      </c>
      <c r="F10" s="19" t="s">
        <v>17</v>
      </c>
      <c r="G10" s="28">
        <v>20317957</v>
      </c>
      <c r="H10" s="19" t="s">
        <v>97</v>
      </c>
      <c r="I10" s="28">
        <v>1</v>
      </c>
      <c r="J10" s="29">
        <v>5.6</v>
      </c>
      <c r="K10" s="29">
        <v>5.6</v>
      </c>
      <c r="L10">
        <f t="shared" ref="L10:L41" si="0">J10/0.7</f>
        <v>8</v>
      </c>
    </row>
    <row r="11" spans="1:12">
      <c r="D11" s="27">
        <v>46114</v>
      </c>
      <c r="E11" s="19">
        <v>1591530</v>
      </c>
      <c r="F11" s="19" t="s">
        <v>17</v>
      </c>
      <c r="G11" s="28">
        <v>20316625</v>
      </c>
      <c r="H11" s="19" t="s">
        <v>98</v>
      </c>
      <c r="I11" s="28">
        <v>1</v>
      </c>
      <c r="J11" s="29">
        <v>11.55</v>
      </c>
      <c r="K11" s="29">
        <v>11.55</v>
      </c>
      <c r="L11">
        <f t="shared" si="0"/>
        <v>16.5</v>
      </c>
    </row>
    <row r="12" spans="1:12">
      <c r="D12" s="27">
        <v>46114</v>
      </c>
      <c r="E12" s="19">
        <v>1591530</v>
      </c>
      <c r="F12" s="19" t="s">
        <v>99</v>
      </c>
      <c r="G12" s="28">
        <v>20316714</v>
      </c>
      <c r="H12" s="19" t="s">
        <v>100</v>
      </c>
      <c r="I12" s="28">
        <v>1</v>
      </c>
      <c r="J12" s="29">
        <v>24.5</v>
      </c>
      <c r="K12" s="29">
        <v>24.5</v>
      </c>
      <c r="L12">
        <f t="shared" si="0"/>
        <v>35</v>
      </c>
    </row>
    <row r="13" spans="1:12">
      <c r="D13" s="27">
        <v>46114</v>
      </c>
      <c r="E13" s="19">
        <v>1591530</v>
      </c>
      <c r="F13" s="19" t="s">
        <v>15</v>
      </c>
      <c r="G13" s="28">
        <v>20316701</v>
      </c>
      <c r="H13" s="19" t="s">
        <v>101</v>
      </c>
      <c r="I13" s="28">
        <v>1</v>
      </c>
      <c r="J13" s="29">
        <v>11.55</v>
      </c>
      <c r="K13" s="29">
        <v>11.55</v>
      </c>
      <c r="L13">
        <f t="shared" si="0"/>
        <v>16.5</v>
      </c>
    </row>
    <row r="14" spans="1:12">
      <c r="D14" s="27">
        <v>46114</v>
      </c>
      <c r="E14" s="19">
        <v>1591530</v>
      </c>
      <c r="F14" s="19" t="s">
        <v>15</v>
      </c>
      <c r="G14" s="28">
        <v>20316627</v>
      </c>
      <c r="H14" s="19" t="s">
        <v>69</v>
      </c>
      <c r="I14" s="28">
        <v>1</v>
      </c>
      <c r="J14" s="29">
        <v>11.55</v>
      </c>
      <c r="K14" s="29">
        <v>11.55</v>
      </c>
      <c r="L14">
        <f t="shared" si="0"/>
        <v>16.5</v>
      </c>
    </row>
    <row r="15" spans="1:12">
      <c r="D15" s="27">
        <v>46114</v>
      </c>
      <c r="E15" s="19">
        <v>1591530</v>
      </c>
      <c r="F15" s="19" t="s">
        <v>15</v>
      </c>
      <c r="G15" s="28">
        <v>20316622</v>
      </c>
      <c r="H15" s="19" t="s">
        <v>102</v>
      </c>
      <c r="I15" s="28">
        <v>1</v>
      </c>
      <c r="J15" s="29">
        <v>11.55</v>
      </c>
      <c r="K15" s="29">
        <v>11.55</v>
      </c>
      <c r="L15">
        <f t="shared" si="0"/>
        <v>16.5</v>
      </c>
    </row>
    <row r="16" spans="1:12">
      <c r="D16" s="27">
        <v>46114</v>
      </c>
      <c r="E16" s="19">
        <v>1591530</v>
      </c>
      <c r="F16" s="19" t="s">
        <v>81</v>
      </c>
      <c r="G16" s="28">
        <v>20316563</v>
      </c>
      <c r="H16" s="19" t="s">
        <v>103</v>
      </c>
      <c r="I16" s="28">
        <v>1</v>
      </c>
      <c r="J16" s="29">
        <v>1.75</v>
      </c>
      <c r="K16" s="29">
        <v>1.75</v>
      </c>
      <c r="L16">
        <f t="shared" si="0"/>
        <v>2.5</v>
      </c>
    </row>
    <row r="17" spans="4:12">
      <c r="D17" s="27">
        <v>46116</v>
      </c>
      <c r="E17" s="19">
        <v>1592174</v>
      </c>
      <c r="F17" s="19" t="s">
        <v>68</v>
      </c>
      <c r="G17" s="28">
        <v>20316621</v>
      </c>
      <c r="H17" s="19" t="s">
        <v>96</v>
      </c>
      <c r="I17" s="28">
        <v>1</v>
      </c>
      <c r="J17" s="29">
        <v>80.85</v>
      </c>
      <c r="K17" s="29">
        <v>80.85</v>
      </c>
      <c r="L17">
        <f t="shared" si="0"/>
        <v>115.5</v>
      </c>
    </row>
    <row r="18" spans="4:12">
      <c r="D18" s="27">
        <v>46116</v>
      </c>
      <c r="E18" s="19">
        <v>1592174</v>
      </c>
      <c r="F18" s="19" t="s">
        <v>17</v>
      </c>
      <c r="G18" s="28">
        <v>20316625</v>
      </c>
      <c r="H18" s="19" t="s">
        <v>98</v>
      </c>
      <c r="I18" s="28">
        <v>1</v>
      </c>
      <c r="J18" s="29">
        <v>11.55</v>
      </c>
      <c r="K18" s="29">
        <v>11.55</v>
      </c>
      <c r="L18">
        <f t="shared" si="0"/>
        <v>16.5</v>
      </c>
    </row>
    <row r="19" spans="4:12">
      <c r="D19" s="27">
        <v>46116</v>
      </c>
      <c r="E19" s="19">
        <v>1592174</v>
      </c>
      <c r="F19" s="19" t="s">
        <v>99</v>
      </c>
      <c r="G19" s="28">
        <v>20316714</v>
      </c>
      <c r="H19" s="19" t="s">
        <v>100</v>
      </c>
      <c r="I19" s="28">
        <v>1</v>
      </c>
      <c r="J19" s="29">
        <v>24.5</v>
      </c>
      <c r="K19" s="29">
        <v>24.5</v>
      </c>
      <c r="L19">
        <f t="shared" si="0"/>
        <v>35</v>
      </c>
    </row>
    <row r="20" spans="4:12">
      <c r="D20" s="27">
        <v>46116</v>
      </c>
      <c r="E20" s="19">
        <v>1592174</v>
      </c>
      <c r="F20" s="19" t="s">
        <v>15</v>
      </c>
      <c r="G20" s="28">
        <v>20316627</v>
      </c>
      <c r="H20" s="19" t="s">
        <v>69</v>
      </c>
      <c r="I20" s="28">
        <v>1</v>
      </c>
      <c r="J20" s="29">
        <v>11.55</v>
      </c>
      <c r="K20" s="29">
        <v>11.55</v>
      </c>
      <c r="L20">
        <f t="shared" si="0"/>
        <v>16.5</v>
      </c>
    </row>
    <row r="21" spans="4:12">
      <c r="D21" s="27">
        <v>46116</v>
      </c>
      <c r="E21" s="19">
        <v>1592174</v>
      </c>
      <c r="F21" s="19" t="s">
        <v>15</v>
      </c>
      <c r="G21" s="28">
        <v>20316622</v>
      </c>
      <c r="H21" s="19" t="s">
        <v>102</v>
      </c>
      <c r="I21" s="28">
        <v>1</v>
      </c>
      <c r="J21" s="29">
        <v>11.55</v>
      </c>
      <c r="K21" s="29">
        <v>11.55</v>
      </c>
      <c r="L21">
        <f t="shared" si="0"/>
        <v>16.5</v>
      </c>
    </row>
    <row r="22" spans="4:12">
      <c r="D22" s="27">
        <v>46116</v>
      </c>
      <c r="E22" s="19">
        <v>1592174</v>
      </c>
      <c r="F22" s="19" t="s">
        <v>81</v>
      </c>
      <c r="G22" s="28">
        <v>20316563</v>
      </c>
      <c r="H22" s="19" t="s">
        <v>103</v>
      </c>
      <c r="I22" s="28">
        <v>1</v>
      </c>
      <c r="J22" s="29">
        <v>1.75</v>
      </c>
      <c r="K22" s="29">
        <v>1.75</v>
      </c>
      <c r="L22">
        <f t="shared" si="0"/>
        <v>2.5</v>
      </c>
    </row>
    <row r="23" spans="4:12">
      <c r="D23" s="27">
        <v>46119</v>
      </c>
      <c r="E23" s="19">
        <v>1592539</v>
      </c>
      <c r="F23" s="19" t="s">
        <v>17</v>
      </c>
      <c r="G23" s="28">
        <v>20316532</v>
      </c>
      <c r="H23" s="19" t="s">
        <v>36</v>
      </c>
      <c r="I23" s="28">
        <v>1</v>
      </c>
      <c r="J23" s="29">
        <v>5.6</v>
      </c>
      <c r="K23" s="29">
        <v>5.6</v>
      </c>
      <c r="L23">
        <f t="shared" si="0"/>
        <v>8</v>
      </c>
    </row>
    <row r="24" spans="4:12">
      <c r="D24" s="27">
        <v>46119</v>
      </c>
      <c r="E24" s="19">
        <v>1592539</v>
      </c>
      <c r="F24" s="19" t="s">
        <v>17</v>
      </c>
      <c r="G24" s="28">
        <v>20318226</v>
      </c>
      <c r="H24" s="19" t="s">
        <v>43</v>
      </c>
      <c r="I24" s="28">
        <v>1</v>
      </c>
      <c r="J24" s="29">
        <v>7.7</v>
      </c>
      <c r="K24" s="29">
        <v>7.7</v>
      </c>
      <c r="L24">
        <f t="shared" si="0"/>
        <v>11</v>
      </c>
    </row>
    <row r="25" spans="4:12">
      <c r="D25" s="27">
        <v>46119</v>
      </c>
      <c r="E25" s="19">
        <v>1592539</v>
      </c>
      <c r="F25" s="19" t="s">
        <v>17</v>
      </c>
      <c r="G25" s="28">
        <v>20316625</v>
      </c>
      <c r="H25" s="19" t="s">
        <v>98</v>
      </c>
      <c r="I25" s="28">
        <v>1</v>
      </c>
      <c r="J25" s="29">
        <v>11.55</v>
      </c>
      <c r="K25" s="29">
        <v>11.55</v>
      </c>
      <c r="L25">
        <f t="shared" si="0"/>
        <v>16.5</v>
      </c>
    </row>
    <row r="26" spans="4:12">
      <c r="D26" s="27">
        <v>46119</v>
      </c>
      <c r="E26" s="19">
        <v>1592539</v>
      </c>
      <c r="F26" s="19" t="s">
        <v>99</v>
      </c>
      <c r="G26" s="28">
        <v>20316714</v>
      </c>
      <c r="H26" s="19" t="s">
        <v>100</v>
      </c>
      <c r="I26" s="28">
        <v>1</v>
      </c>
      <c r="J26" s="29">
        <v>24.5</v>
      </c>
      <c r="K26" s="29">
        <v>24.5</v>
      </c>
      <c r="L26">
        <f t="shared" si="0"/>
        <v>35</v>
      </c>
    </row>
    <row r="27" spans="4:12">
      <c r="D27" s="27">
        <v>46119</v>
      </c>
      <c r="E27" s="19">
        <v>1592539</v>
      </c>
      <c r="F27" s="19" t="s">
        <v>15</v>
      </c>
      <c r="G27" s="28">
        <v>20316627</v>
      </c>
      <c r="H27" s="19" t="s">
        <v>69</v>
      </c>
      <c r="I27" s="28">
        <v>1</v>
      </c>
      <c r="J27" s="29">
        <v>11.55</v>
      </c>
      <c r="K27" s="29">
        <v>11.55</v>
      </c>
      <c r="L27">
        <f t="shared" si="0"/>
        <v>16.5</v>
      </c>
    </row>
    <row r="28" spans="4:12">
      <c r="D28" s="27">
        <v>46119</v>
      </c>
      <c r="E28" s="19">
        <v>1592539</v>
      </c>
      <c r="F28" s="19" t="s">
        <v>81</v>
      </c>
      <c r="G28" s="28">
        <v>20316563</v>
      </c>
      <c r="H28" s="19" t="s">
        <v>103</v>
      </c>
      <c r="I28" s="28">
        <v>1</v>
      </c>
      <c r="J28" s="29">
        <v>1.75</v>
      </c>
      <c r="K28" s="29">
        <v>1.75</v>
      </c>
      <c r="L28">
        <f t="shared" si="0"/>
        <v>2.5</v>
      </c>
    </row>
    <row r="29" spans="4:12">
      <c r="D29" s="27">
        <v>46121</v>
      </c>
      <c r="E29" s="19">
        <v>1593328</v>
      </c>
      <c r="F29" s="19" t="s">
        <v>68</v>
      </c>
      <c r="G29" s="28">
        <v>20316621</v>
      </c>
      <c r="H29" s="19" t="s">
        <v>96</v>
      </c>
      <c r="I29" s="28">
        <v>1</v>
      </c>
      <c r="J29" s="29">
        <v>80.85</v>
      </c>
      <c r="K29" s="29">
        <v>80.85</v>
      </c>
      <c r="L29">
        <f t="shared" si="0"/>
        <v>115.5</v>
      </c>
    </row>
    <row r="30" spans="4:12">
      <c r="D30" s="27">
        <v>46121</v>
      </c>
      <c r="E30" s="19">
        <v>1593328</v>
      </c>
      <c r="F30" s="19" t="s">
        <v>68</v>
      </c>
      <c r="G30" s="28">
        <v>20316624</v>
      </c>
      <c r="H30" s="19" t="s">
        <v>104</v>
      </c>
      <c r="I30" s="28">
        <v>1</v>
      </c>
      <c r="J30" s="29">
        <v>80.85</v>
      </c>
      <c r="K30" s="29">
        <v>80.85</v>
      </c>
      <c r="L30">
        <f t="shared" si="0"/>
        <v>115.5</v>
      </c>
    </row>
    <row r="31" spans="4:12">
      <c r="D31" s="27">
        <v>46121</v>
      </c>
      <c r="E31" s="19">
        <v>1593328</v>
      </c>
      <c r="F31" s="19" t="s">
        <v>17</v>
      </c>
      <c r="G31" s="28">
        <v>20318225</v>
      </c>
      <c r="H31" s="19" t="s">
        <v>105</v>
      </c>
      <c r="I31" s="28">
        <v>1</v>
      </c>
      <c r="J31" s="29">
        <v>9.1</v>
      </c>
      <c r="K31" s="29">
        <v>9.1</v>
      </c>
      <c r="L31">
        <f t="shared" si="0"/>
        <v>13</v>
      </c>
    </row>
    <row r="32" spans="4:12">
      <c r="D32" s="27">
        <v>46121</v>
      </c>
      <c r="E32" s="19">
        <v>1593328</v>
      </c>
      <c r="F32" s="19" t="s">
        <v>17</v>
      </c>
      <c r="G32" s="28">
        <v>20316630</v>
      </c>
      <c r="H32" s="19" t="s">
        <v>106</v>
      </c>
      <c r="I32" s="28">
        <v>1</v>
      </c>
      <c r="J32" s="29">
        <v>11.55</v>
      </c>
      <c r="K32" s="29">
        <v>11.55</v>
      </c>
      <c r="L32">
        <f t="shared" si="0"/>
        <v>16.5</v>
      </c>
    </row>
    <row r="33" spans="4:12">
      <c r="D33" s="27">
        <v>46121</v>
      </c>
      <c r="E33" s="19">
        <v>1593328</v>
      </c>
      <c r="F33" s="19" t="s">
        <v>17</v>
      </c>
      <c r="G33" s="28">
        <v>20398287</v>
      </c>
      <c r="H33" s="19" t="s">
        <v>107</v>
      </c>
      <c r="I33" s="28">
        <v>2</v>
      </c>
      <c r="J33" s="29">
        <v>7.7</v>
      </c>
      <c r="K33" s="29">
        <v>15.4</v>
      </c>
      <c r="L33">
        <f t="shared" si="0"/>
        <v>11</v>
      </c>
    </row>
    <row r="34" spans="4:12">
      <c r="D34" s="27">
        <v>46121</v>
      </c>
      <c r="E34" s="19">
        <v>1593328</v>
      </c>
      <c r="F34" s="19" t="s">
        <v>17</v>
      </c>
      <c r="G34" s="28">
        <v>20316698</v>
      </c>
      <c r="H34" s="19" t="s">
        <v>71</v>
      </c>
      <c r="I34" s="28">
        <v>2</v>
      </c>
      <c r="J34" s="29">
        <v>11.55</v>
      </c>
      <c r="K34" s="29">
        <v>23.1</v>
      </c>
      <c r="L34">
        <f t="shared" si="0"/>
        <v>16.5</v>
      </c>
    </row>
    <row r="35" spans="4:12">
      <c r="D35" s="27">
        <v>46121</v>
      </c>
      <c r="E35" s="19">
        <v>1593328</v>
      </c>
      <c r="F35" s="19" t="s">
        <v>17</v>
      </c>
      <c r="G35" s="28">
        <v>20316625</v>
      </c>
      <c r="H35" s="19" t="s">
        <v>98</v>
      </c>
      <c r="I35" s="28">
        <v>2</v>
      </c>
      <c r="J35" s="29">
        <v>11.55</v>
      </c>
      <c r="K35" s="29">
        <v>23.1</v>
      </c>
      <c r="L35">
        <f t="shared" si="0"/>
        <v>16.5</v>
      </c>
    </row>
    <row r="36" spans="4:12">
      <c r="D36" s="27">
        <v>46121</v>
      </c>
      <c r="E36" s="19">
        <v>1593328</v>
      </c>
      <c r="F36" s="19" t="s">
        <v>17</v>
      </c>
      <c r="G36" s="28">
        <v>20380938</v>
      </c>
      <c r="H36" s="19" t="s">
        <v>108</v>
      </c>
      <c r="I36" s="28">
        <v>1</v>
      </c>
      <c r="J36" s="29">
        <v>5.6</v>
      </c>
      <c r="K36" s="29">
        <v>5.6</v>
      </c>
      <c r="L36">
        <f t="shared" si="0"/>
        <v>8</v>
      </c>
    </row>
    <row r="37" spans="4:12">
      <c r="D37" s="27">
        <v>46121</v>
      </c>
      <c r="E37" s="19">
        <v>1593328</v>
      </c>
      <c r="F37" s="19" t="s">
        <v>17</v>
      </c>
      <c r="G37" s="28">
        <v>20318043</v>
      </c>
      <c r="H37" s="19" t="s">
        <v>94</v>
      </c>
      <c r="I37" s="28">
        <v>1</v>
      </c>
      <c r="J37" s="29">
        <v>7.7</v>
      </c>
      <c r="K37" s="29">
        <v>7.7</v>
      </c>
      <c r="L37">
        <f t="shared" si="0"/>
        <v>11</v>
      </c>
    </row>
    <row r="38" spans="4:12">
      <c r="D38" s="27">
        <v>46121</v>
      </c>
      <c r="E38" s="19">
        <v>1593328</v>
      </c>
      <c r="F38" s="19" t="s">
        <v>99</v>
      </c>
      <c r="G38" s="28">
        <v>20316715</v>
      </c>
      <c r="H38" s="19" t="s">
        <v>109</v>
      </c>
      <c r="I38" s="28">
        <v>1</v>
      </c>
      <c r="J38" s="29">
        <v>21</v>
      </c>
      <c r="K38" s="29">
        <v>21</v>
      </c>
      <c r="L38">
        <f t="shared" si="0"/>
        <v>30</v>
      </c>
    </row>
    <row r="39" spans="4:12">
      <c r="D39" s="27">
        <v>46121</v>
      </c>
      <c r="E39" s="19">
        <v>1593328</v>
      </c>
      <c r="F39" s="19" t="s">
        <v>15</v>
      </c>
      <c r="G39" s="28">
        <v>20316627</v>
      </c>
      <c r="H39" s="19" t="s">
        <v>69</v>
      </c>
      <c r="I39" s="28">
        <v>1</v>
      </c>
      <c r="J39" s="29">
        <v>11.55</v>
      </c>
      <c r="K39" s="29">
        <v>11.55</v>
      </c>
      <c r="L39">
        <f t="shared" si="0"/>
        <v>16.5</v>
      </c>
    </row>
    <row r="40" spans="4:12">
      <c r="D40" s="27">
        <v>46121</v>
      </c>
      <c r="E40" s="19">
        <v>1593328</v>
      </c>
      <c r="F40" s="19" t="s">
        <v>15</v>
      </c>
      <c r="G40" s="28">
        <v>20316622</v>
      </c>
      <c r="H40" s="19" t="s">
        <v>102</v>
      </c>
      <c r="I40" s="28">
        <v>1</v>
      </c>
      <c r="J40" s="29">
        <v>11.55</v>
      </c>
      <c r="K40" s="29">
        <v>11.55</v>
      </c>
      <c r="L40">
        <f t="shared" si="0"/>
        <v>16.5</v>
      </c>
    </row>
    <row r="41" spans="4:12">
      <c r="D41" s="27">
        <v>46121</v>
      </c>
      <c r="E41" s="19">
        <v>1593328</v>
      </c>
      <c r="F41" s="19" t="s">
        <v>81</v>
      </c>
      <c r="G41" s="28">
        <v>20316563</v>
      </c>
      <c r="H41" s="19" t="s">
        <v>103</v>
      </c>
      <c r="I41" s="28">
        <v>2</v>
      </c>
      <c r="J41" s="29">
        <v>1.75</v>
      </c>
      <c r="K41" s="29">
        <v>3.5</v>
      </c>
      <c r="L41">
        <f t="shared" si="0"/>
        <v>2.5</v>
      </c>
    </row>
    <row r="42" spans="4:12">
      <c r="D42" s="27">
        <v>46123</v>
      </c>
      <c r="E42" s="19">
        <v>1594011</v>
      </c>
      <c r="F42" s="19" t="s">
        <v>99</v>
      </c>
      <c r="G42" s="28">
        <v>20318570</v>
      </c>
      <c r="H42" s="19" t="s">
        <v>110</v>
      </c>
      <c r="I42" s="28">
        <v>1</v>
      </c>
      <c r="J42" s="29">
        <v>24.5</v>
      </c>
      <c r="K42" s="29">
        <v>24.5</v>
      </c>
      <c r="L42">
        <f t="shared" ref="L42:L73" si="1">J42/0.7</f>
        <v>35</v>
      </c>
    </row>
    <row r="43" spans="4:12">
      <c r="D43" s="27">
        <v>46123</v>
      </c>
      <c r="E43" s="19">
        <v>1594011</v>
      </c>
      <c r="F43" s="19" t="s">
        <v>99</v>
      </c>
      <c r="G43" s="28">
        <v>20316714</v>
      </c>
      <c r="H43" s="19" t="s">
        <v>100</v>
      </c>
      <c r="I43" s="28">
        <v>1</v>
      </c>
      <c r="J43" s="29">
        <v>24.5</v>
      </c>
      <c r="K43" s="29">
        <v>24.5</v>
      </c>
      <c r="L43">
        <f t="shared" si="1"/>
        <v>35</v>
      </c>
    </row>
    <row r="44" spans="4:12">
      <c r="D44" s="27">
        <v>46128</v>
      </c>
      <c r="E44" s="19">
        <v>1595495</v>
      </c>
      <c r="F44" s="19" t="s">
        <v>68</v>
      </c>
      <c r="G44" s="28">
        <v>20316621</v>
      </c>
      <c r="H44" s="19" t="s">
        <v>96</v>
      </c>
      <c r="I44" s="28">
        <v>1</v>
      </c>
      <c r="J44" s="29">
        <v>80.85</v>
      </c>
      <c r="K44" s="29">
        <v>80.85</v>
      </c>
      <c r="L44">
        <f t="shared" si="1"/>
        <v>115.5</v>
      </c>
    </row>
    <row r="45" spans="4:12">
      <c r="D45" s="27">
        <v>46128</v>
      </c>
      <c r="E45" s="19">
        <v>1595495</v>
      </c>
      <c r="F45" s="19" t="s">
        <v>68</v>
      </c>
      <c r="G45" s="28">
        <v>20316624</v>
      </c>
      <c r="H45" s="19" t="s">
        <v>104</v>
      </c>
      <c r="I45" s="28">
        <v>1</v>
      </c>
      <c r="J45" s="29">
        <v>80.85</v>
      </c>
      <c r="K45" s="29">
        <v>80.85</v>
      </c>
      <c r="L45">
        <f t="shared" si="1"/>
        <v>115.5</v>
      </c>
    </row>
    <row r="46" spans="4:12">
      <c r="D46" s="27">
        <v>46128</v>
      </c>
      <c r="E46" s="19">
        <v>1595495</v>
      </c>
      <c r="F46" s="19" t="s">
        <v>17</v>
      </c>
      <c r="G46" s="28">
        <v>20316625</v>
      </c>
      <c r="H46" s="19" t="s">
        <v>98</v>
      </c>
      <c r="I46" s="28">
        <v>2</v>
      </c>
      <c r="J46" s="29">
        <v>11.55</v>
      </c>
      <c r="K46" s="29">
        <v>23.1</v>
      </c>
      <c r="L46">
        <f t="shared" si="1"/>
        <v>16.5</v>
      </c>
    </row>
    <row r="47" spans="4:12">
      <c r="D47" s="27">
        <v>46128</v>
      </c>
      <c r="E47" s="19">
        <v>1595495</v>
      </c>
      <c r="F47" s="19" t="s">
        <v>99</v>
      </c>
      <c r="G47" s="28">
        <v>20316715</v>
      </c>
      <c r="H47" s="19" t="s">
        <v>109</v>
      </c>
      <c r="I47" s="28">
        <v>1</v>
      </c>
      <c r="J47" s="29">
        <v>21</v>
      </c>
      <c r="K47" s="29">
        <v>21</v>
      </c>
      <c r="L47">
        <f t="shared" si="1"/>
        <v>30</v>
      </c>
    </row>
    <row r="48" spans="4:12">
      <c r="D48" s="27">
        <v>46128</v>
      </c>
      <c r="E48" s="19">
        <v>1595495</v>
      </c>
      <c r="F48" s="19" t="s">
        <v>99</v>
      </c>
      <c r="G48" s="28">
        <v>20316714</v>
      </c>
      <c r="H48" s="19" t="s">
        <v>100</v>
      </c>
      <c r="I48" s="28">
        <v>1</v>
      </c>
      <c r="J48" s="29">
        <v>24.5</v>
      </c>
      <c r="K48" s="29">
        <v>24.5</v>
      </c>
      <c r="L48">
        <f t="shared" si="1"/>
        <v>35</v>
      </c>
    </row>
    <row r="49" spans="4:12">
      <c r="D49" s="27">
        <v>46128</v>
      </c>
      <c r="E49" s="19">
        <v>1595495</v>
      </c>
      <c r="F49" s="19" t="s">
        <v>15</v>
      </c>
      <c r="G49" s="28">
        <v>20316627</v>
      </c>
      <c r="H49" s="19" t="s">
        <v>69</v>
      </c>
      <c r="I49" s="28">
        <v>2</v>
      </c>
      <c r="J49" s="29">
        <v>11.55</v>
      </c>
      <c r="K49" s="29">
        <v>23.1</v>
      </c>
      <c r="L49">
        <f t="shared" si="1"/>
        <v>16.5</v>
      </c>
    </row>
    <row r="50" spans="4:12">
      <c r="D50" s="27">
        <v>46128</v>
      </c>
      <c r="E50" s="19">
        <v>1595495</v>
      </c>
      <c r="F50" s="19" t="s">
        <v>15</v>
      </c>
      <c r="G50" s="28">
        <v>20316622</v>
      </c>
      <c r="H50" s="19" t="s">
        <v>102</v>
      </c>
      <c r="I50" s="28">
        <v>1</v>
      </c>
      <c r="J50" s="29">
        <v>11.55</v>
      </c>
      <c r="K50" s="29">
        <v>11.55</v>
      </c>
      <c r="L50">
        <f t="shared" si="1"/>
        <v>16.5</v>
      </c>
    </row>
    <row r="51" spans="4:12">
      <c r="D51" s="27">
        <v>46128</v>
      </c>
      <c r="E51" s="19">
        <v>1595495</v>
      </c>
      <c r="F51" s="19" t="s">
        <v>81</v>
      </c>
      <c r="G51" s="28">
        <v>20316563</v>
      </c>
      <c r="H51" s="19" t="s">
        <v>103</v>
      </c>
      <c r="I51" s="28">
        <v>2</v>
      </c>
      <c r="J51" s="29">
        <v>1.75</v>
      </c>
      <c r="K51" s="29">
        <v>3.5</v>
      </c>
      <c r="L51">
        <f t="shared" si="1"/>
        <v>2.5</v>
      </c>
    </row>
    <row r="52" spans="4:12">
      <c r="D52" s="27">
        <v>46130</v>
      </c>
      <c r="E52" s="19">
        <v>1596129</v>
      </c>
      <c r="F52" s="19" t="s">
        <v>68</v>
      </c>
      <c r="G52" s="28">
        <v>20316624</v>
      </c>
      <c r="H52" s="19" t="s">
        <v>104</v>
      </c>
      <c r="I52" s="28">
        <v>1</v>
      </c>
      <c r="J52" s="29">
        <v>80.85</v>
      </c>
      <c r="K52" s="29">
        <v>80.85</v>
      </c>
      <c r="L52">
        <f t="shared" si="1"/>
        <v>115.5</v>
      </c>
    </row>
    <row r="53" spans="4:12">
      <c r="D53" s="27">
        <v>46130</v>
      </c>
      <c r="E53" s="19">
        <v>1596129</v>
      </c>
      <c r="F53" s="19" t="s">
        <v>17</v>
      </c>
      <c r="G53" s="28">
        <v>20316625</v>
      </c>
      <c r="H53" s="19" t="s">
        <v>98</v>
      </c>
      <c r="I53" s="28">
        <v>1</v>
      </c>
      <c r="J53" s="29">
        <v>11.55</v>
      </c>
      <c r="K53" s="29">
        <v>11.55</v>
      </c>
      <c r="L53">
        <f t="shared" si="1"/>
        <v>16.5</v>
      </c>
    </row>
    <row r="54" spans="4:12">
      <c r="D54" s="27">
        <v>46130</v>
      </c>
      <c r="E54" s="19">
        <v>1596129</v>
      </c>
      <c r="F54" s="19" t="s">
        <v>99</v>
      </c>
      <c r="G54" s="28">
        <v>20316714</v>
      </c>
      <c r="H54" s="19" t="s">
        <v>100</v>
      </c>
      <c r="I54" s="28">
        <v>1</v>
      </c>
      <c r="J54" s="29">
        <v>24.5</v>
      </c>
      <c r="K54" s="29">
        <v>24.5</v>
      </c>
      <c r="L54">
        <f t="shared" si="1"/>
        <v>35</v>
      </c>
    </row>
    <row r="55" spans="4:12">
      <c r="D55" s="27">
        <v>46130</v>
      </c>
      <c r="E55" s="19">
        <v>1596129</v>
      </c>
      <c r="F55" s="19" t="s">
        <v>15</v>
      </c>
      <c r="G55" s="28">
        <v>20316627</v>
      </c>
      <c r="H55" s="19" t="s">
        <v>69</v>
      </c>
      <c r="I55" s="28">
        <v>1</v>
      </c>
      <c r="J55" s="29">
        <v>11.55</v>
      </c>
      <c r="K55" s="29">
        <v>11.55</v>
      </c>
      <c r="L55">
        <f t="shared" si="1"/>
        <v>16.5</v>
      </c>
    </row>
    <row r="56" spans="4:12">
      <c r="D56" s="27">
        <v>46130</v>
      </c>
      <c r="E56" s="19">
        <v>1596129</v>
      </c>
      <c r="F56" s="19" t="s">
        <v>81</v>
      </c>
      <c r="G56" s="28">
        <v>20316563</v>
      </c>
      <c r="H56" s="19" t="s">
        <v>103</v>
      </c>
      <c r="I56" s="28">
        <v>1</v>
      </c>
      <c r="J56" s="29">
        <v>1.75</v>
      </c>
      <c r="K56" s="29">
        <v>1.75</v>
      </c>
      <c r="L56">
        <f t="shared" si="1"/>
        <v>2.5</v>
      </c>
    </row>
    <row r="57" spans="4:12">
      <c r="D57" s="27">
        <v>46133</v>
      </c>
      <c r="E57" s="19">
        <v>1596787</v>
      </c>
      <c r="F57" s="19" t="s">
        <v>68</v>
      </c>
      <c r="G57" s="28">
        <v>20316621</v>
      </c>
      <c r="H57" s="19" t="s">
        <v>96</v>
      </c>
      <c r="I57" s="28">
        <v>1</v>
      </c>
      <c r="J57" s="29">
        <v>80.85</v>
      </c>
      <c r="K57" s="29">
        <v>80.85</v>
      </c>
      <c r="L57">
        <f t="shared" si="1"/>
        <v>115.5</v>
      </c>
    </row>
    <row r="58" spans="4:12">
      <c r="D58" s="27">
        <v>46133</v>
      </c>
      <c r="E58" s="19">
        <v>1596787</v>
      </c>
      <c r="F58" s="19" t="s">
        <v>17</v>
      </c>
      <c r="G58" s="28">
        <v>20316625</v>
      </c>
      <c r="H58" s="19" t="s">
        <v>98</v>
      </c>
      <c r="I58" s="28">
        <v>1</v>
      </c>
      <c r="J58" s="29">
        <v>11.55</v>
      </c>
      <c r="K58" s="29">
        <v>11.55</v>
      </c>
      <c r="L58">
        <f t="shared" si="1"/>
        <v>16.5</v>
      </c>
    </row>
    <row r="59" spans="4:12">
      <c r="D59" s="27">
        <v>46133</v>
      </c>
      <c r="E59" s="19">
        <v>1596787</v>
      </c>
      <c r="F59" s="19" t="s">
        <v>99</v>
      </c>
      <c r="G59" s="28">
        <v>20316714</v>
      </c>
      <c r="H59" s="19" t="s">
        <v>100</v>
      </c>
      <c r="I59" s="28">
        <v>1</v>
      </c>
      <c r="J59" s="29">
        <v>24.5</v>
      </c>
      <c r="K59" s="29">
        <v>24.5</v>
      </c>
      <c r="L59">
        <f t="shared" si="1"/>
        <v>35</v>
      </c>
    </row>
    <row r="60" spans="4:12">
      <c r="D60" s="27">
        <v>46133</v>
      </c>
      <c r="E60" s="19">
        <v>1596787</v>
      </c>
      <c r="F60" s="19" t="s">
        <v>15</v>
      </c>
      <c r="G60" s="28">
        <v>20316627</v>
      </c>
      <c r="H60" s="19" t="s">
        <v>69</v>
      </c>
      <c r="I60" s="28">
        <v>1</v>
      </c>
      <c r="J60" s="29">
        <v>11.55</v>
      </c>
      <c r="K60" s="29">
        <v>11.55</v>
      </c>
      <c r="L60">
        <f t="shared" si="1"/>
        <v>16.5</v>
      </c>
    </row>
    <row r="61" spans="4:12">
      <c r="D61" s="27">
        <v>46133</v>
      </c>
      <c r="E61" s="19">
        <v>1596787</v>
      </c>
      <c r="F61" s="19" t="s">
        <v>15</v>
      </c>
      <c r="G61" s="28">
        <v>20316622</v>
      </c>
      <c r="H61" s="19" t="s">
        <v>102</v>
      </c>
      <c r="I61" s="28">
        <v>1</v>
      </c>
      <c r="J61" s="29">
        <v>11.55</v>
      </c>
      <c r="K61" s="29">
        <v>11.55</v>
      </c>
      <c r="L61">
        <f t="shared" si="1"/>
        <v>16.5</v>
      </c>
    </row>
    <row r="62" spans="4:12">
      <c r="D62" s="27">
        <v>46133</v>
      </c>
      <c r="E62" s="19">
        <v>1596787</v>
      </c>
      <c r="F62" s="19" t="s">
        <v>81</v>
      </c>
      <c r="G62" s="28">
        <v>20316563</v>
      </c>
      <c r="H62" s="19" t="s">
        <v>103</v>
      </c>
      <c r="I62" s="28">
        <v>1</v>
      </c>
      <c r="J62" s="29">
        <v>1.75</v>
      </c>
      <c r="K62" s="29">
        <v>1.75</v>
      </c>
      <c r="L62">
        <f t="shared" si="1"/>
        <v>2.5</v>
      </c>
    </row>
    <row r="63" spans="4:12">
      <c r="D63" s="27">
        <v>46137</v>
      </c>
      <c r="E63" s="19">
        <v>1598184</v>
      </c>
      <c r="F63" s="19" t="s">
        <v>17</v>
      </c>
      <c r="G63" s="28">
        <v>20316629</v>
      </c>
      <c r="H63" s="19" t="s">
        <v>111</v>
      </c>
      <c r="I63" s="28">
        <v>1</v>
      </c>
      <c r="J63" s="29">
        <v>11.55</v>
      </c>
      <c r="K63" s="29">
        <v>11.55</v>
      </c>
      <c r="L63">
        <f t="shared" si="1"/>
        <v>16.5</v>
      </c>
    </row>
    <row r="64" spans="4:12">
      <c r="D64" s="27">
        <v>46137</v>
      </c>
      <c r="E64" s="19">
        <v>1598184</v>
      </c>
      <c r="F64" s="19" t="s">
        <v>17</v>
      </c>
      <c r="G64" s="28">
        <v>20316694</v>
      </c>
      <c r="H64" s="19" t="s">
        <v>112</v>
      </c>
      <c r="I64" s="28">
        <v>2</v>
      </c>
      <c r="J64" s="29">
        <v>11.55</v>
      </c>
      <c r="K64" s="29">
        <v>23.1</v>
      </c>
      <c r="L64">
        <f t="shared" si="1"/>
        <v>16.5</v>
      </c>
    </row>
    <row r="65" spans="4:12">
      <c r="D65" s="27">
        <v>46137</v>
      </c>
      <c r="E65" s="19">
        <v>1598184</v>
      </c>
      <c r="F65" s="19" t="s">
        <v>17</v>
      </c>
      <c r="G65" s="28">
        <v>20318279</v>
      </c>
      <c r="H65" s="19" t="s">
        <v>113</v>
      </c>
      <c r="I65" s="28">
        <v>1</v>
      </c>
      <c r="J65" s="29">
        <v>11.55</v>
      </c>
      <c r="K65" s="29">
        <v>11.55</v>
      </c>
      <c r="L65">
        <f t="shared" si="1"/>
        <v>16.5</v>
      </c>
    </row>
    <row r="66" spans="4:12">
      <c r="D66" s="27">
        <v>46137</v>
      </c>
      <c r="E66" s="19">
        <v>1598184</v>
      </c>
      <c r="F66" s="19" t="s">
        <v>17</v>
      </c>
      <c r="G66" s="28">
        <v>20318045</v>
      </c>
      <c r="H66" s="19" t="s">
        <v>114</v>
      </c>
      <c r="I66" s="28">
        <v>1</v>
      </c>
      <c r="J66" s="29">
        <v>11.55</v>
      </c>
      <c r="K66" s="29">
        <v>11.55</v>
      </c>
      <c r="L66">
        <f t="shared" si="1"/>
        <v>16.5</v>
      </c>
    </row>
    <row r="67" spans="4:12">
      <c r="D67" s="27">
        <v>46137</v>
      </c>
      <c r="E67" s="19">
        <v>1598184</v>
      </c>
      <c r="F67" s="19" t="s">
        <v>17</v>
      </c>
      <c r="G67" s="28">
        <v>20316697</v>
      </c>
      <c r="H67" s="19" t="s">
        <v>115</v>
      </c>
      <c r="I67" s="28">
        <v>1</v>
      </c>
      <c r="J67" s="29">
        <v>5.6</v>
      </c>
      <c r="K67" s="29">
        <v>5.6</v>
      </c>
      <c r="L67">
        <f t="shared" si="1"/>
        <v>8</v>
      </c>
    </row>
    <row r="68" spans="4:12">
      <c r="D68" s="27">
        <v>46137</v>
      </c>
      <c r="E68" s="19">
        <v>1598184</v>
      </c>
      <c r="F68" s="19" t="s">
        <v>17</v>
      </c>
      <c r="G68" s="28">
        <v>20316692</v>
      </c>
      <c r="H68" s="19" t="s">
        <v>116</v>
      </c>
      <c r="I68" s="28">
        <v>2</v>
      </c>
      <c r="J68" s="29">
        <v>9.45</v>
      </c>
      <c r="K68" s="29">
        <v>18.9</v>
      </c>
      <c r="L68">
        <f t="shared" si="1"/>
        <v>13.5</v>
      </c>
    </row>
    <row r="69" spans="4:12">
      <c r="D69" s="27">
        <v>46137</v>
      </c>
      <c r="E69" s="19">
        <v>1598184</v>
      </c>
      <c r="F69" s="19" t="s">
        <v>17</v>
      </c>
      <c r="G69" s="28">
        <v>20318227</v>
      </c>
      <c r="H69" s="19" t="s">
        <v>117</v>
      </c>
      <c r="I69" s="28">
        <v>1</v>
      </c>
      <c r="J69" s="29">
        <v>11.55</v>
      </c>
      <c r="K69" s="29">
        <v>11.55</v>
      </c>
      <c r="L69">
        <f t="shared" si="1"/>
        <v>16.5</v>
      </c>
    </row>
    <row r="70" spans="4:12">
      <c r="D70" s="27">
        <v>46137</v>
      </c>
      <c r="E70" s="19">
        <v>1598184</v>
      </c>
      <c r="F70" s="19" t="s">
        <v>15</v>
      </c>
      <c r="G70" s="28">
        <v>20316700</v>
      </c>
      <c r="H70" s="19" t="s">
        <v>118</v>
      </c>
      <c r="I70" s="28">
        <v>2</v>
      </c>
      <c r="J70" s="29">
        <v>11.55</v>
      </c>
      <c r="K70" s="29">
        <v>23.1</v>
      </c>
      <c r="L70">
        <f t="shared" si="1"/>
        <v>16.5</v>
      </c>
    </row>
    <row r="71" spans="4:12">
      <c r="D71" s="27">
        <v>46137</v>
      </c>
      <c r="E71" s="19">
        <v>1598184</v>
      </c>
      <c r="F71" s="19" t="s">
        <v>15</v>
      </c>
      <c r="G71" s="28">
        <v>20316705</v>
      </c>
      <c r="H71" s="19" t="s">
        <v>119</v>
      </c>
      <c r="I71" s="28">
        <v>1</v>
      </c>
      <c r="J71" s="29">
        <v>15.4</v>
      </c>
      <c r="K71" s="29">
        <v>15.4</v>
      </c>
      <c r="L71">
        <f t="shared" si="1"/>
        <v>22</v>
      </c>
    </row>
    <row r="72" spans="4:12">
      <c r="D72" s="27">
        <v>46137</v>
      </c>
      <c r="E72" s="19">
        <v>1598184</v>
      </c>
      <c r="F72" s="19" t="s">
        <v>81</v>
      </c>
      <c r="G72" s="28">
        <v>20318016</v>
      </c>
      <c r="H72" s="19" t="s">
        <v>120</v>
      </c>
      <c r="I72" s="28">
        <v>1</v>
      </c>
      <c r="J72" s="29">
        <v>1.75</v>
      </c>
      <c r="K72" s="29">
        <v>1.75</v>
      </c>
      <c r="L72">
        <f t="shared" si="1"/>
        <v>2.5</v>
      </c>
    </row>
    <row r="73" spans="4:12">
      <c r="D73" s="27">
        <v>46137</v>
      </c>
      <c r="E73" s="19">
        <v>1598184</v>
      </c>
      <c r="F73" s="19" t="s">
        <v>81</v>
      </c>
      <c r="G73" s="28">
        <v>20336801</v>
      </c>
      <c r="H73" s="19" t="s">
        <v>121</v>
      </c>
      <c r="I73" s="28">
        <v>3</v>
      </c>
      <c r="J73" s="29">
        <v>1.75</v>
      </c>
      <c r="K73" s="29">
        <v>5.25</v>
      </c>
      <c r="L73">
        <f t="shared" si="1"/>
        <v>2.5</v>
      </c>
    </row>
    <row r="74" spans="4:12">
      <c r="D74" s="27">
        <v>46137</v>
      </c>
      <c r="E74" s="19">
        <v>1598184</v>
      </c>
      <c r="F74" s="19" t="s">
        <v>81</v>
      </c>
      <c r="G74" s="28">
        <v>20316712</v>
      </c>
      <c r="H74" s="19" t="s">
        <v>122</v>
      </c>
      <c r="I74" s="28">
        <v>1</v>
      </c>
      <c r="J74" s="29">
        <v>1.75</v>
      </c>
      <c r="K74" s="29">
        <v>1.75</v>
      </c>
      <c r="L74">
        <f>J74/0.7</f>
        <v>2.5</v>
      </c>
    </row>
    <row r="75" spans="4:12">
      <c r="D75" s="27">
        <v>46142</v>
      </c>
      <c r="E75" s="19">
        <v>1599743</v>
      </c>
      <c r="F75" s="19" t="s">
        <v>68</v>
      </c>
      <c r="G75" s="28">
        <v>20316621</v>
      </c>
      <c r="H75" s="19" t="s">
        <v>96</v>
      </c>
      <c r="I75" s="28">
        <v>2</v>
      </c>
      <c r="J75" s="29">
        <v>80.85</v>
      </c>
      <c r="K75" s="29">
        <v>161.7</v>
      </c>
      <c r="L75">
        <f>J75/0.7</f>
        <v>115.5</v>
      </c>
    </row>
    <row r="76" spans="4:12">
      <c r="D76" s="27">
        <v>46142</v>
      </c>
      <c r="E76" s="19">
        <v>1599743</v>
      </c>
      <c r="F76" s="19" t="s">
        <v>17</v>
      </c>
      <c r="G76" s="28">
        <v>20316625</v>
      </c>
      <c r="H76" s="19" t="s">
        <v>98</v>
      </c>
      <c r="I76" s="28">
        <v>2</v>
      </c>
      <c r="J76" s="29">
        <v>11.55</v>
      </c>
      <c r="K76" s="29">
        <v>23.1</v>
      </c>
      <c r="L76">
        <f>J76/0.7</f>
        <v>16.5</v>
      </c>
    </row>
    <row r="77" spans="4:12">
      <c r="D77" s="27">
        <v>46142</v>
      </c>
      <c r="E77" s="19">
        <v>1599743</v>
      </c>
      <c r="F77" s="19" t="s">
        <v>17</v>
      </c>
      <c r="G77" s="28">
        <v>20318043</v>
      </c>
      <c r="H77" s="19" t="s">
        <v>94</v>
      </c>
      <c r="I77" s="28">
        <v>1</v>
      </c>
      <c r="J77" s="29">
        <v>7.7</v>
      </c>
      <c r="K77" s="29">
        <v>7.7</v>
      </c>
      <c r="L77">
        <f>J77/0.7</f>
        <v>11</v>
      </c>
    </row>
    <row r="78" spans="4:12">
      <c r="D78" s="27">
        <v>46142</v>
      </c>
      <c r="E78" s="19">
        <v>1599743</v>
      </c>
      <c r="F78" s="19" t="s">
        <v>17</v>
      </c>
      <c r="G78" s="28">
        <v>20320440</v>
      </c>
      <c r="H78" s="19" t="s">
        <v>123</v>
      </c>
      <c r="I78" s="28">
        <v>1</v>
      </c>
      <c r="J78" s="29">
        <v>11.55</v>
      </c>
      <c r="K78" s="29">
        <v>11.55</v>
      </c>
      <c r="L78">
        <f>J78/0.7</f>
        <v>16.5</v>
      </c>
    </row>
    <row r="79" spans="4:12">
      <c r="D79" s="27">
        <v>46142</v>
      </c>
      <c r="E79" s="19">
        <v>1599743</v>
      </c>
      <c r="F79" s="19" t="s">
        <v>99</v>
      </c>
      <c r="G79" s="28">
        <v>20318570</v>
      </c>
      <c r="H79" s="19" t="s">
        <v>110</v>
      </c>
      <c r="I79" s="28">
        <v>1</v>
      </c>
      <c r="J79" s="29">
        <v>24.5</v>
      </c>
      <c r="K79" s="29">
        <v>24.5</v>
      </c>
      <c r="L79">
        <f>J79/0.7</f>
        <v>35</v>
      </c>
    </row>
    <row r="80" spans="4:12">
      <c r="D80" s="27">
        <v>46142</v>
      </c>
      <c r="E80" s="19">
        <v>1599743</v>
      </c>
      <c r="F80" s="19" t="s">
        <v>15</v>
      </c>
      <c r="G80" s="28">
        <v>20316703</v>
      </c>
      <c r="H80" s="19" t="s">
        <v>124</v>
      </c>
      <c r="I80" s="28">
        <v>1</v>
      </c>
      <c r="J80" s="29">
        <v>11.55</v>
      </c>
      <c r="K80" s="29">
        <v>11.55</v>
      </c>
      <c r="L80">
        <f>J80/0.7</f>
        <v>16.5</v>
      </c>
    </row>
    <row r="81" spans="4:12">
      <c r="D81" s="27">
        <v>46142</v>
      </c>
      <c r="E81" s="19">
        <v>1599743</v>
      </c>
      <c r="F81" s="19" t="s">
        <v>15</v>
      </c>
      <c r="G81" s="28">
        <v>20318309</v>
      </c>
      <c r="H81" s="19" t="s">
        <v>125</v>
      </c>
      <c r="I81" s="28">
        <v>1</v>
      </c>
      <c r="J81" s="29">
        <v>11.55</v>
      </c>
      <c r="K81" s="29">
        <v>11.55</v>
      </c>
      <c r="L81">
        <f>J81/0.7</f>
        <v>16.5</v>
      </c>
    </row>
    <row r="82" spans="4:12">
      <c r="D82" s="27">
        <v>46142</v>
      </c>
      <c r="E82" s="19">
        <v>1599743</v>
      </c>
      <c r="F82" s="19" t="s">
        <v>15</v>
      </c>
      <c r="G82" s="28">
        <v>20316627</v>
      </c>
      <c r="H82" s="19" t="s">
        <v>69</v>
      </c>
      <c r="I82" s="28">
        <v>2</v>
      </c>
      <c r="J82" s="29">
        <v>11.55</v>
      </c>
      <c r="K82" s="29">
        <v>23.1</v>
      </c>
      <c r="L82">
        <f>J82/0.7</f>
        <v>16.5</v>
      </c>
    </row>
    <row r="83" spans="4:12">
      <c r="D83" s="27">
        <v>46142</v>
      </c>
      <c r="E83" s="19">
        <v>1599743</v>
      </c>
      <c r="F83" s="19" t="s">
        <v>15</v>
      </c>
      <c r="G83" s="28">
        <v>20316622</v>
      </c>
      <c r="H83" s="19" t="s">
        <v>102</v>
      </c>
      <c r="I83" s="28">
        <v>2</v>
      </c>
      <c r="J83" s="29">
        <v>11.55</v>
      </c>
      <c r="K83" s="29">
        <v>23.1</v>
      </c>
      <c r="L83">
        <f>J83/0.7</f>
        <v>16.5</v>
      </c>
    </row>
    <row r="84" spans="4:12">
      <c r="D84" s="27">
        <v>46142</v>
      </c>
      <c r="E84" s="19">
        <v>1599743</v>
      </c>
      <c r="F84" s="19" t="s">
        <v>15</v>
      </c>
      <c r="G84" s="28">
        <v>20316626</v>
      </c>
      <c r="H84" s="19" t="s">
        <v>126</v>
      </c>
      <c r="I84" s="28">
        <v>3</v>
      </c>
      <c r="J84" s="29">
        <v>11.55</v>
      </c>
      <c r="K84" s="29">
        <v>34.65</v>
      </c>
      <c r="L84">
        <f>J84/0.7</f>
        <v>16.5</v>
      </c>
    </row>
    <row r="85" spans="4:12">
      <c r="D85" s="27">
        <v>46142</v>
      </c>
      <c r="E85" s="19">
        <v>1599743</v>
      </c>
      <c r="F85" s="19" t="s">
        <v>15</v>
      </c>
      <c r="G85" s="28">
        <v>20353082</v>
      </c>
      <c r="H85" s="19" t="s">
        <v>127</v>
      </c>
      <c r="I85" s="28">
        <v>2</v>
      </c>
      <c r="J85" s="29">
        <v>23.1</v>
      </c>
      <c r="K85" s="29">
        <v>46.2</v>
      </c>
      <c r="L85">
        <f>J85/0.7</f>
        <v>33</v>
      </c>
    </row>
    <row r="86" spans="4:12">
      <c r="D86" s="27">
        <v>46142</v>
      </c>
      <c r="E86" s="19">
        <v>1599743</v>
      </c>
      <c r="F86" s="19" t="s">
        <v>81</v>
      </c>
      <c r="G86" s="28">
        <v>20316563</v>
      </c>
      <c r="H86" s="19" t="s">
        <v>103</v>
      </c>
      <c r="I86" s="28">
        <v>2</v>
      </c>
      <c r="J86" s="29">
        <v>1.75</v>
      </c>
      <c r="K86" s="29">
        <v>3.5</v>
      </c>
      <c r="L86">
        <f>J86/0.7</f>
        <v>2.5</v>
      </c>
    </row>
    <row r="87" spans="4:12">
      <c r="D87" s="27">
        <v>46142</v>
      </c>
      <c r="E87" s="19">
        <v>1599743</v>
      </c>
      <c r="F87" s="19" t="s">
        <v>81</v>
      </c>
      <c r="G87" s="28">
        <v>20316712</v>
      </c>
      <c r="H87" s="19" t="s">
        <v>122</v>
      </c>
      <c r="I87" s="28">
        <v>8</v>
      </c>
      <c r="J87" s="29">
        <v>1.75</v>
      </c>
      <c r="K87" s="29">
        <v>14</v>
      </c>
      <c r="L87">
        <f>J87/0.7</f>
        <v>2.5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8:35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O10" sqref="O10"/>
    </sheetView>
  </sheetViews>
  <sheetFormatPr defaultColWidth="9" defaultRowHeight="13.5"/>
  <cols>
    <col min="1" max="1" width="1.09166666666667" customWidth="1"/>
    <col min="2" max="2" width="0.375" customWidth="1"/>
    <col min="3" max="3" width="13.7083333333333" customWidth="1"/>
    <col min="4" max="4" width="15" customWidth="1"/>
    <col min="5" max="5" width="9.5" customWidth="1"/>
    <col min="6" max="6" width="17" customWidth="1"/>
    <col min="7" max="7" width="12.875" customWidth="1"/>
    <col min="8" max="8" width="15.625" customWidth="1"/>
    <col min="9" max="9" width="13.875" customWidth="1"/>
  </cols>
  <sheetData>
    <row r="1" customFormat="1" ht="25.5" customHeight="1" spans="1:9">
      <c r="A1" s="1" t="s">
        <v>128</v>
      </c>
    </row>
    <row r="2" ht="2" customHeight="1"/>
    <row r="3" customFormat="1" ht="12.75" customHeight="1" spans="1:9">
      <c r="A3" s="2" t="s">
        <v>129</v>
      </c>
    </row>
    <row r="5" ht="2.05" customHeight="1"/>
    <row r="6" customFormat="1" ht="1.95" customHeight="1" spans="1:9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customFormat="1" ht="14.25" spans="1:9">
      <c r="A7" s="4" t="s">
        <v>2</v>
      </c>
      <c r="B7" s="5" t="s">
        <v>2</v>
      </c>
      <c r="C7" s="6" t="s">
        <v>3</v>
      </c>
      <c r="D7" s="4" t="s">
        <v>2</v>
      </c>
      <c r="E7" s="4" t="s">
        <v>2</v>
      </c>
      <c r="F7" s="4" t="s">
        <v>2</v>
      </c>
      <c r="G7" s="4" t="s">
        <v>2</v>
      </c>
      <c r="H7" s="5" t="s">
        <v>2</v>
      </c>
      <c r="I7" s="7">
        <f>I9</f>
        <v>-1.05</v>
      </c>
    </row>
    <row r="8" customFormat="1" spans="1:9">
      <c r="B8" s="8" t="s">
        <v>2</v>
      </c>
      <c r="C8" s="8" t="s">
        <v>130</v>
      </c>
      <c r="D8" s="8" t="s">
        <v>131</v>
      </c>
      <c r="E8" s="8" t="s">
        <v>132</v>
      </c>
      <c r="F8" s="8" t="s">
        <v>133</v>
      </c>
      <c r="G8" s="8" t="s">
        <v>7</v>
      </c>
      <c r="H8" s="8" t="s">
        <v>134</v>
      </c>
      <c r="I8" s="8" t="s">
        <v>135</v>
      </c>
    </row>
    <row r="9" customFormat="1" ht="14.25" spans="1:9">
      <c r="B9" s="8" t="s">
        <v>2</v>
      </c>
      <c r="C9" s="9" t="s">
        <v>78</v>
      </c>
      <c r="D9" s="4" t="s">
        <v>2</v>
      </c>
      <c r="E9" s="4" t="s">
        <v>2</v>
      </c>
      <c r="F9" s="4" t="s">
        <v>2</v>
      </c>
      <c r="G9" s="4" t="s">
        <v>2</v>
      </c>
      <c r="H9" s="8" t="s">
        <v>2</v>
      </c>
      <c r="I9" s="10">
        <f>I10</f>
        <v>-1.05</v>
      </c>
    </row>
    <row r="10" customFormat="1" spans="1:9">
      <c r="B10" s="11" t="s">
        <v>2</v>
      </c>
      <c r="C10" s="12" t="s">
        <v>136</v>
      </c>
      <c r="D10" s="4" t="s">
        <v>2</v>
      </c>
      <c r="E10" s="4" t="s">
        <v>2</v>
      </c>
      <c r="F10" s="4" t="s">
        <v>2</v>
      </c>
      <c r="G10" s="4" t="s">
        <v>2</v>
      </c>
      <c r="H10" s="13" t="s">
        <v>2</v>
      </c>
      <c r="I10" s="14">
        <f>I11</f>
        <v>-1.05</v>
      </c>
    </row>
    <row r="11" customFormat="1" spans="1:9">
      <c r="B11" s="11" t="s">
        <v>2</v>
      </c>
      <c r="C11" s="15">
        <v>3005989625</v>
      </c>
      <c r="D11" s="16">
        <v>46150.3753006134</v>
      </c>
      <c r="E11" s="17" t="s">
        <v>137</v>
      </c>
      <c r="F11" s="18">
        <v>46091.7891374653</v>
      </c>
      <c r="G11" s="19">
        <v>20317963</v>
      </c>
      <c r="H11" s="19" t="s">
        <v>82</v>
      </c>
      <c r="I11" s="20">
        <v>-1.05</v>
      </c>
    </row>
    <row r="12" customFormat="1" spans="1:9">
      <c r="B12" s="11" t="s">
        <v>2</v>
      </c>
      <c r="C12" s="11" t="s">
        <v>2</v>
      </c>
      <c r="D12" s="11" t="s">
        <v>2</v>
      </c>
      <c r="E12" s="11" t="s">
        <v>2</v>
      </c>
      <c r="F12" s="11" t="s">
        <v>2</v>
      </c>
      <c r="G12" s="11" t="s">
        <v>2</v>
      </c>
      <c r="H12" s="11" t="s">
        <v>2</v>
      </c>
      <c r="I12" s="11" t="s">
        <v>2</v>
      </c>
    </row>
    <row r="13" ht="0.05" customHeight="1"/>
    <row r="14" ht="11.6" customHeight="1"/>
  </sheetData>
  <mergeCells count="6">
    <mergeCell ref="A1:H1"/>
    <mergeCell ref="C7:G7"/>
    <mergeCell ref="C9:G9"/>
    <mergeCell ref="C10:G10"/>
    <mergeCell ref="A8:A11"/>
    <mergeCell ref="A3:D4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门诊耳鼻喉</vt:lpstr>
      <vt:lpstr>门诊妇科</vt:lpstr>
      <vt:lpstr>门诊肛肠科</vt:lpstr>
      <vt:lpstr>门诊计划生育</vt:lpstr>
      <vt:lpstr>门诊口腔科</vt:lpstr>
      <vt:lpstr>门诊手术室</vt:lpstr>
      <vt:lpstr>门诊外科</vt:lpstr>
      <vt:lpstr>门诊眼科</vt:lpstr>
      <vt:lpstr>外科（住院处）</vt:lpstr>
      <vt:lpstr>住院处手术室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2026-05-08T00:36:00Z</dcterms:created>
  <dcterms:modified xsi:type="dcterms:W3CDTF">2026-05-12T05:36:01Z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C311BA15C2434A73A934B044B70E4A4A_13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