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 activeTab="5"/>
  </bookViews>
  <sheets>
    <sheet name="妇科门诊" sheetId="1" r:id="rId1"/>
    <sheet name="美容科" sheetId="2" r:id="rId2"/>
    <sheet name="手术室" sheetId="3" r:id="rId3"/>
    <sheet name="外科" sheetId="4" r:id="rId4"/>
    <sheet name="眼科" sheetId="5" r:id="rId5"/>
    <sheet name="外来器械" sheetId="6" r:id="rId6"/>
  </sheets>
  <definedNames>
    <definedName name="_xlnm._FilterDatabase" localSheetId="0" hidden="1">妇科门诊!$A$9:$K$21</definedName>
    <definedName name="_xlnm._FilterDatabase" localSheetId="2" hidden="1">手术室!$A$7:$K$40</definedName>
    <definedName name="_xlnm.Print_Titles" localSheetId="0">妇科门诊!$1:$6</definedName>
    <definedName name="_xlnm.Print_Titles" localSheetId="1">美容科!$1:$6</definedName>
    <definedName name="_xlnm.Print_Titles" localSheetId="2">手术室!$1:$6</definedName>
    <definedName name="_xlnm.Print_Titles" localSheetId="3">外科!$1:$6</definedName>
    <definedName name="_xlnm.Print_Titles" localSheetId="4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<sst xmlns="http://schemas.openxmlformats.org/spreadsheetml/2006/main" count="253" uniqueCount="74">
  <si>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</si>
  <si>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</si>
  <si>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</si>
  <si>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道外区人民医院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</si>
  <si>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</si>
  <si>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</si>
  <si>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</si>
  <si>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</si>
  <si>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</si>
  <si>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</si>
  <si>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</si>
  <si>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</si>
  <si>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</si>
  <si>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</si>
  <si>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长弯-1/z1029</t>
  </si>
  <si>
    <t>宫颈钳-1/z1535</t>
  </si>
  <si>
    <t>取环钩-1/7537</t>
  </si>
  <si>
    <t>额外包(无纺布)</t>
  </si>
  <si>
    <t>取环包-10件/W6050</t>
  </si>
  <si>
    <t>敷料包(纸塑袋)</t>
  </si>
  <si>
    <t>棉球/z1526</t>
  </si>
  <si>
    <t>3号扩棒-1/Z7526</t>
  </si>
  <si>
    <t>4号扩棒-1/Z7526</t>
  </si>
  <si>
    <t>镊子-1/Z7530</t>
  </si>
  <si>
    <t>美容科</t>
  </si>
  <si>
    <t>美容包-3件/Z1526</t>
  </si>
  <si>
    <t>止血钳-4件/Z1526</t>
  </si>
  <si>
    <t>手术室</t>
  </si>
  <si>
    <t>1.0克氏针-1件/z7534</t>
  </si>
  <si>
    <t>1.5克氏针-1件/z7534</t>
  </si>
  <si>
    <t>骨锉-1/Z1535</t>
  </si>
  <si>
    <t>克氏钳-1/z1029</t>
  </si>
  <si>
    <t>止血钳-1/Z1026</t>
  </si>
  <si>
    <t>持物钳罐-2/持物钳放外面W6050</t>
  </si>
  <si>
    <t>电钻-4件/W7050</t>
  </si>
  <si>
    <t>踇外翻-12件/w7050</t>
  </si>
  <si>
    <t>盘1盆2/W9050</t>
  </si>
  <si>
    <t>2.0髓针-1/z7530</t>
  </si>
  <si>
    <t>剥离子-1/Z1026</t>
  </si>
  <si>
    <t>骨凿-1/Z7530</t>
  </si>
  <si>
    <t>刮勺-1/Z7534</t>
  </si>
  <si>
    <t>咬骨钳-1/Z1530</t>
  </si>
  <si>
    <t>组织钳-1/Z1029</t>
  </si>
  <si>
    <t>钻头-3/z7526</t>
  </si>
  <si>
    <t>敷料包</t>
  </si>
  <si>
    <t>S钩-3/w6050</t>
  </si>
  <si>
    <t>鞍钩-1/W7050</t>
  </si>
  <si>
    <t>盆-1 /W6050</t>
  </si>
  <si>
    <t>外伤包-21件/W7050</t>
  </si>
  <si>
    <t>锤子-1件/w6050</t>
  </si>
  <si>
    <t>内六角-1/Z7530</t>
  </si>
  <si>
    <t>外六角-1/Z7530</t>
  </si>
  <si>
    <t>外科</t>
  </si>
  <si>
    <t>刮匙-1/Z7530</t>
  </si>
  <si>
    <t>剪刀-1/Z1029</t>
  </si>
  <si>
    <t>敷料</t>
  </si>
  <si>
    <t>无菌缸-1/Z2530</t>
  </si>
  <si>
    <t>眼科</t>
  </si>
  <si>
    <t>睫毛镊-1/Z7526</t>
  </si>
  <si>
    <t>泪道冲洗针头-1/Z7520</t>
  </si>
  <si>
    <t>手术包-4件/Z1526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</si>
  <si>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</si>
  <si>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</si>
  <si>
    <t>基本类型</t>
  </si>
  <si>
    <t>包编号</t>
  </si>
  <si>
    <t>包数量</t>
  </si>
  <si>
    <t>合计</t>
  </si>
  <si>
    <t>黑龙江久时玖商贸有限责任公司</t>
  </si>
  <si>
    <t>道外人民</t>
  </si>
  <si>
    <t>骨科租赁器械包</t>
  </si>
  <si>
    <t>骨科租赁器械包-带植入物</t>
  </si>
  <si>
    <t>沈文涛-胫骨肿物  1/2</t>
  </si>
  <si>
    <t>沈文涛-胫骨肿物  2/2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</si>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</sst>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3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6" fontId="7" fillId="3" borderId="2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176" fontId="7" fillId="0" borderId="3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0</xdr:row>
      <xdr:rowOff>161925</xdr:rowOff>
    </xdr:from>
    <xdr:to>
      <xdr:col>9</xdr:col>
      <xdr:colOff>861778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321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28575</xdr:rowOff>
    </xdr:from>
    <xdr:to>
      <xdr:col>9</xdr:col>
      <xdr:colOff>833203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0</xdr:rowOff>
    </xdr:from>
    <xdr:to>
      <xdr:col>9</xdr:col>
      <xdr:colOff>728428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180340</xdr:colOff>
      <xdr:row>1</xdr:row>
      <xdr:rowOff>66675</xdr:rowOff>
    </xdr:from>
    <xdr:to>
      <xdr:col>9</xdr:col>
      <xdr:colOff>690328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7311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370840</xdr:colOff>
      <xdr:row>1</xdr:row>
      <xdr:rowOff>19050</xdr:rowOff>
    </xdr:from>
    <xdr:to>
      <xdr:col>9</xdr:col>
      <xdr:colOff>880828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6361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156210</xdr:colOff>
      <xdr:row>1</xdr:row>
      <xdr:rowOff>76200</xdr:rowOff>
    </xdr:from>
    <xdr:to>
      <xdr:col>7</xdr:col>
      <xdr:colOff>666198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912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I38" sqref="I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7.625" customWidth="1"/>
    <col min="10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27" t="s">
        <v>3</v>
      </c>
      <c r="E8" s="21" t="s">
        <v>2</v>
      </c>
      <c r="F8" s="21" t="s">
        <v>2</v>
      </c>
      <c r="G8" s="21" t="s">
        <v>2</v>
      </c>
      <c r="H8" s="21" t="s">
        <v>2</v>
      </c>
      <c r="I8" s="28"/>
      <c r="J8" s="29"/>
      <c r="K8" s="29"/>
    </row>
    <row r="9" spans="2:11">
      <c r="C9" s="4" t="s">
        <v>2</v>
      </c>
      <c r="D9" s="25" t="s">
        <v>4</v>
      </c>
      <c r="E9" s="25" t="s">
        <v>5</v>
      </c>
      <c r="F9" s="25" t="s">
        <v>6</v>
      </c>
      <c r="G9" s="25" t="s">
        <v>7</v>
      </c>
      <c r="H9" s="25" t="s">
        <v>8</v>
      </c>
      <c r="I9" s="25" t="s">
        <v>9</v>
      </c>
      <c r="J9" s="25" t="s">
        <v>10</v>
      </c>
      <c r="K9" s="25" t="s">
        <v>11</v>
      </c>
    </row>
    <row r="10" ht="14.25" spans="2:11">
      <c r="D10" s="20" t="s">
        <v>12</v>
      </c>
      <c r="E10" s="21" t="s">
        <v>2</v>
      </c>
      <c r="F10" s="21" t="s">
        <v>2</v>
      </c>
      <c r="G10" s="21" t="s">
        <v>2</v>
      </c>
      <c r="H10" s="21" t="s">
        <v>2</v>
      </c>
      <c r="I10" s="22">
        <v>43</v>
      </c>
      <c r="J10" s="23"/>
      <c r="K10" s="23">
        <f>SUM(K11:K21)</f>
        <v>143</v>
      </c>
    </row>
    <row r="11" spans="2:11">
      <c r="D11" s="24">
        <v>46055</v>
      </c>
      <c r="E11" s="15">
        <v>1575606</v>
      </c>
      <c r="F11" s="15" t="s">
        <v>13</v>
      </c>
      <c r="G11" s="25">
        <v>20375410</v>
      </c>
      <c r="H11" s="15" t="s">
        <v>14</v>
      </c>
      <c r="I11" s="25">
        <v>2</v>
      </c>
      <c r="J11" s="25">
        <v>3</v>
      </c>
      <c r="K11" s="26">
        <f>J11*I11</f>
        <v>6</v>
      </c>
    </row>
    <row r="12" spans="2:11">
      <c r="D12" s="24">
        <v>46055</v>
      </c>
      <c r="E12" s="15">
        <v>1575606</v>
      </c>
      <c r="F12" s="15" t="s">
        <v>13</v>
      </c>
      <c r="G12" s="25">
        <v>20377399</v>
      </c>
      <c r="H12" s="15" t="s">
        <v>15</v>
      </c>
      <c r="I12" s="25">
        <v>1</v>
      </c>
      <c r="J12" s="25">
        <v>3</v>
      </c>
      <c r="K12" s="26">
        <f t="shared" ref="K12:K21" si="0">J12*I12</f>
        <v>3</v>
      </c>
    </row>
    <row r="13" spans="2:11">
      <c r="D13" s="24">
        <v>46055</v>
      </c>
      <c r="E13" s="15">
        <v>1575606</v>
      </c>
      <c r="F13" s="15" t="s">
        <v>13</v>
      </c>
      <c r="G13" s="25">
        <v>20376327</v>
      </c>
      <c r="H13" s="15" t="s">
        <v>16</v>
      </c>
      <c r="I13" s="25">
        <v>1</v>
      </c>
      <c r="J13" s="25">
        <v>3</v>
      </c>
      <c r="K13" s="26">
        <f t="shared" si="0"/>
        <v>3</v>
      </c>
    </row>
    <row r="14" spans="2:11">
      <c r="D14" s="24">
        <v>46055</v>
      </c>
      <c r="E14" s="15">
        <v>1575606</v>
      </c>
      <c r="F14" s="15" t="s">
        <v>17</v>
      </c>
      <c r="G14" s="25">
        <v>20378353</v>
      </c>
      <c r="H14" s="15" t="s">
        <v>18</v>
      </c>
      <c r="I14" s="25">
        <v>1</v>
      </c>
      <c r="J14" s="25">
        <v>30</v>
      </c>
      <c r="K14" s="26">
        <f t="shared" si="0"/>
        <v>30</v>
      </c>
    </row>
    <row r="15" spans="2:11">
      <c r="D15" s="24">
        <v>46055</v>
      </c>
      <c r="E15" s="15">
        <v>1575606</v>
      </c>
      <c r="F15" s="15" t="s">
        <v>19</v>
      </c>
      <c r="G15" s="25">
        <v>20389048</v>
      </c>
      <c r="H15" s="15" t="s">
        <v>20</v>
      </c>
      <c r="I15" s="25">
        <v>13</v>
      </c>
      <c r="J15" s="25">
        <v>2</v>
      </c>
      <c r="K15" s="26">
        <f t="shared" si="0"/>
        <v>26</v>
      </c>
    </row>
    <row r="16" spans="2:11">
      <c r="D16" s="24">
        <v>46065</v>
      </c>
      <c r="E16" s="15">
        <v>1578444</v>
      </c>
      <c r="F16" s="15" t="s">
        <v>13</v>
      </c>
      <c r="G16" s="25">
        <v>20377401</v>
      </c>
      <c r="H16" s="15" t="s">
        <v>21</v>
      </c>
      <c r="I16" s="25">
        <v>1</v>
      </c>
      <c r="J16" s="25">
        <v>3</v>
      </c>
      <c r="K16" s="26">
        <f t="shared" si="0"/>
        <v>3</v>
      </c>
    </row>
    <row r="17" spans="4:11">
      <c r="D17" s="24">
        <v>46065</v>
      </c>
      <c r="E17" s="15">
        <v>1578444</v>
      </c>
      <c r="F17" s="15" t="s">
        <v>13</v>
      </c>
      <c r="G17" s="25">
        <v>20377402</v>
      </c>
      <c r="H17" s="15" t="s">
        <v>22</v>
      </c>
      <c r="I17" s="25">
        <v>1</v>
      </c>
      <c r="J17" s="25">
        <v>3</v>
      </c>
      <c r="K17" s="26">
        <f t="shared" si="0"/>
        <v>3</v>
      </c>
    </row>
    <row r="18" spans="4:11">
      <c r="D18" s="24">
        <v>46065</v>
      </c>
      <c r="E18" s="15">
        <v>1578444</v>
      </c>
      <c r="F18" s="15" t="s">
        <v>13</v>
      </c>
      <c r="G18" s="25">
        <v>20375410</v>
      </c>
      <c r="H18" s="15" t="s">
        <v>14</v>
      </c>
      <c r="I18" s="25">
        <v>1</v>
      </c>
      <c r="J18" s="25">
        <v>3</v>
      </c>
      <c r="K18" s="26">
        <f t="shared" si="0"/>
        <v>3</v>
      </c>
    </row>
    <row r="19" spans="4:11">
      <c r="D19" s="24">
        <v>46065</v>
      </c>
      <c r="E19" s="15">
        <v>1578444</v>
      </c>
      <c r="F19" s="15" t="s">
        <v>13</v>
      </c>
      <c r="G19" s="25">
        <v>20377399</v>
      </c>
      <c r="H19" s="15" t="s">
        <v>15</v>
      </c>
      <c r="I19" s="25">
        <v>1</v>
      </c>
      <c r="J19" s="25">
        <v>3</v>
      </c>
      <c r="K19" s="26">
        <f t="shared" si="0"/>
        <v>3</v>
      </c>
    </row>
    <row r="20" spans="4:11">
      <c r="D20" s="24">
        <v>46065</v>
      </c>
      <c r="E20" s="15">
        <v>1578444</v>
      </c>
      <c r="F20" s="15" t="s">
        <v>13</v>
      </c>
      <c r="G20" s="25">
        <v>20009656</v>
      </c>
      <c r="H20" s="15" t="s">
        <v>23</v>
      </c>
      <c r="I20" s="25">
        <v>20</v>
      </c>
      <c r="J20" s="25">
        <v>3</v>
      </c>
      <c r="K20" s="26">
        <f t="shared" si="0"/>
        <v>60</v>
      </c>
    </row>
    <row r="21" spans="4:11">
      <c r="D21" s="24">
        <v>46065</v>
      </c>
      <c r="E21" s="15">
        <v>1578444</v>
      </c>
      <c r="F21" s="15" t="s">
        <v>13</v>
      </c>
      <c r="G21" s="25">
        <v>20376327</v>
      </c>
      <c r="H21" s="15" t="s">
        <v>16</v>
      </c>
      <c r="I21" s="25">
        <v>1</v>
      </c>
      <c r="J21" s="25">
        <v>3</v>
      </c>
      <c r="K21" s="26">
        <f t="shared" si="0"/>
        <v>3</v>
      </c>
    </row>
  </sheetData>
  <autoFilter xmlns:etc="http://www.wps.cn/officeDocument/2017/etCustomData" ref="A9:K21" etc:filterBottomFollowUsedRange="0">
    <extLst/>
  </autoFilter>
  <mergeCells count="6">
    <mergeCell ref="D8:H8"/>
    <mergeCell ref="D10:H10"/>
    <mergeCell ref="C9:C21"/>
    <mergeCell ref="B4:H5"/>
    <mergeCell ref="A8:B21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12:34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17" sqref="O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24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7</v>
      </c>
      <c r="J8" s="23"/>
      <c r="K8" s="23">
        <f>SUM(K9:K10)</f>
        <v>66</v>
      </c>
    </row>
    <row r="9" spans="1:11">
      <c r="D9" s="24">
        <v>46065</v>
      </c>
      <c r="E9" s="15">
        <v>1578445</v>
      </c>
      <c r="F9" s="15" t="s">
        <v>13</v>
      </c>
      <c r="G9" s="25">
        <v>20380021</v>
      </c>
      <c r="H9" s="15" t="s">
        <v>25</v>
      </c>
      <c r="I9" s="25">
        <v>6</v>
      </c>
      <c r="J9" s="26">
        <v>9</v>
      </c>
      <c r="K9" s="26">
        <f>I9*J9</f>
        <v>54</v>
      </c>
    </row>
    <row r="10" spans="1:11">
      <c r="D10" s="24">
        <v>46065</v>
      </c>
      <c r="E10" s="15">
        <v>1578445</v>
      </c>
      <c r="F10" s="15" t="s">
        <v>13</v>
      </c>
      <c r="G10" s="25">
        <v>20388282</v>
      </c>
      <c r="H10" s="15" t="s">
        <v>26</v>
      </c>
      <c r="I10" s="25">
        <v>1</v>
      </c>
      <c r="J10" s="26">
        <v>12</v>
      </c>
      <c r="K10" s="26">
        <f>I10*J10</f>
        <v>12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12:34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view="pageBreakPreview" zoomScaleNormal="100" workbookViewId="0">
      <pane ySplit="6" topLeftCell="A7" activePane="bottomLeft" state="frozen"/>
      <selection/>
      <selection pane="bottomLeft" activeCell="I9" sqref="I9:I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27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36</v>
      </c>
      <c r="J8" s="23"/>
      <c r="K8" s="23">
        <f>SUM(K9:K40)</f>
        <v>282.5</v>
      </c>
    </row>
    <row r="9" spans="1:11">
      <c r="D9" s="24">
        <v>46056</v>
      </c>
      <c r="E9" s="15">
        <v>1575959</v>
      </c>
      <c r="F9" s="15" t="s">
        <v>13</v>
      </c>
      <c r="G9" s="25">
        <v>20402774</v>
      </c>
      <c r="H9" s="15" t="s">
        <v>28</v>
      </c>
      <c r="I9" s="25">
        <v>1</v>
      </c>
      <c r="J9" s="26">
        <v>3</v>
      </c>
      <c r="K9" s="26">
        <f>J9*I9</f>
        <v>3</v>
      </c>
    </row>
    <row r="10" spans="1:11">
      <c r="D10" s="24">
        <v>46056</v>
      </c>
      <c r="E10" s="15">
        <v>1575959</v>
      </c>
      <c r="F10" s="15" t="s">
        <v>13</v>
      </c>
      <c r="G10" s="25">
        <v>20411691</v>
      </c>
      <c r="H10" s="15" t="s">
        <v>29</v>
      </c>
      <c r="I10" s="25">
        <v>1</v>
      </c>
      <c r="J10" s="26">
        <v>3</v>
      </c>
      <c r="K10" s="26">
        <f t="shared" ref="K10:K40" si="0">J10*I10</f>
        <v>3</v>
      </c>
    </row>
    <row r="11" spans="1:11">
      <c r="D11" s="24">
        <v>46056</v>
      </c>
      <c r="E11" s="15">
        <v>1575959</v>
      </c>
      <c r="F11" s="15" t="s">
        <v>13</v>
      </c>
      <c r="G11" s="25">
        <v>20405374</v>
      </c>
      <c r="H11" s="15" t="s">
        <v>30</v>
      </c>
      <c r="I11" s="25">
        <v>1</v>
      </c>
      <c r="J11" s="26">
        <v>3</v>
      </c>
      <c r="K11" s="26">
        <f t="shared" si="0"/>
        <v>3</v>
      </c>
    </row>
    <row r="12" spans="1:11">
      <c r="D12" s="24">
        <v>46056</v>
      </c>
      <c r="E12" s="15">
        <v>1575959</v>
      </c>
      <c r="F12" s="15" t="s">
        <v>13</v>
      </c>
      <c r="G12" s="25">
        <v>20375216</v>
      </c>
      <c r="H12" s="15" t="s">
        <v>31</v>
      </c>
      <c r="I12" s="25">
        <v>1</v>
      </c>
      <c r="J12" s="26">
        <v>3</v>
      </c>
      <c r="K12" s="26">
        <f t="shared" si="0"/>
        <v>3</v>
      </c>
    </row>
    <row r="13" spans="1:11">
      <c r="D13" s="24">
        <v>46056</v>
      </c>
      <c r="E13" s="15">
        <v>1575959</v>
      </c>
      <c r="F13" s="15" t="s">
        <v>13</v>
      </c>
      <c r="G13" s="25">
        <v>20376328</v>
      </c>
      <c r="H13" s="15" t="s">
        <v>32</v>
      </c>
      <c r="I13" s="25">
        <v>3</v>
      </c>
      <c r="J13" s="26">
        <v>3</v>
      </c>
      <c r="K13" s="26">
        <f t="shared" si="0"/>
        <v>9</v>
      </c>
    </row>
    <row r="14" spans="1:11">
      <c r="D14" s="24">
        <v>46056</v>
      </c>
      <c r="E14" s="15">
        <v>1575959</v>
      </c>
      <c r="F14" s="15" t="s">
        <v>17</v>
      </c>
      <c r="G14" s="25">
        <v>20328393</v>
      </c>
      <c r="H14" s="15" t="s">
        <v>33</v>
      </c>
      <c r="I14" s="25">
        <v>1</v>
      </c>
      <c r="J14" s="26">
        <v>6</v>
      </c>
      <c r="K14" s="26">
        <f t="shared" si="0"/>
        <v>6</v>
      </c>
    </row>
    <row r="15" spans="1:11">
      <c r="D15" s="24">
        <v>46056</v>
      </c>
      <c r="E15" s="15">
        <v>1575959</v>
      </c>
      <c r="F15" s="15" t="s">
        <v>17</v>
      </c>
      <c r="G15" s="25">
        <v>20375219</v>
      </c>
      <c r="H15" s="15" t="s">
        <v>34</v>
      </c>
      <c r="I15" s="25">
        <v>1</v>
      </c>
      <c r="J15" s="26">
        <v>12</v>
      </c>
      <c r="K15" s="26">
        <f t="shared" si="0"/>
        <v>12</v>
      </c>
    </row>
    <row r="16" spans="1:11">
      <c r="D16" s="24">
        <v>46056</v>
      </c>
      <c r="E16" s="15">
        <v>1575959</v>
      </c>
      <c r="F16" s="15" t="s">
        <v>17</v>
      </c>
      <c r="G16" s="25">
        <v>20375218</v>
      </c>
      <c r="H16" s="15" t="s">
        <v>35</v>
      </c>
      <c r="I16" s="25">
        <v>1</v>
      </c>
      <c r="J16" s="26">
        <f>12*3</f>
        <v>36</v>
      </c>
      <c r="K16" s="26">
        <f t="shared" si="0"/>
        <v>36</v>
      </c>
    </row>
    <row r="17" spans="4:11">
      <c r="D17" s="24">
        <v>46056</v>
      </c>
      <c r="E17" s="15">
        <v>1575959</v>
      </c>
      <c r="F17" s="15" t="s">
        <v>17</v>
      </c>
      <c r="G17" s="25">
        <v>20365379</v>
      </c>
      <c r="H17" s="15" t="s">
        <v>36</v>
      </c>
      <c r="I17" s="25">
        <v>1</v>
      </c>
      <c r="J17" s="26">
        <v>9</v>
      </c>
      <c r="K17" s="26">
        <f t="shared" si="0"/>
        <v>9</v>
      </c>
    </row>
    <row r="18" spans="4:11">
      <c r="D18" s="24">
        <v>46065</v>
      </c>
      <c r="E18" s="15">
        <v>1578446</v>
      </c>
      <c r="F18" s="15" t="s">
        <v>13</v>
      </c>
      <c r="G18" s="25">
        <v>20412595</v>
      </c>
      <c r="H18" s="15" t="s">
        <v>37</v>
      </c>
      <c r="I18" s="25">
        <v>1</v>
      </c>
      <c r="J18" s="26">
        <v>3</v>
      </c>
      <c r="K18" s="26">
        <f t="shared" si="0"/>
        <v>3</v>
      </c>
    </row>
    <row r="19" spans="4:11">
      <c r="D19" s="24">
        <v>46065</v>
      </c>
      <c r="E19" s="15">
        <v>1578446</v>
      </c>
      <c r="F19" s="15" t="s">
        <v>13</v>
      </c>
      <c r="G19" s="25">
        <v>20405376</v>
      </c>
      <c r="H19" s="15" t="s">
        <v>38</v>
      </c>
      <c r="I19" s="25">
        <v>1</v>
      </c>
      <c r="J19" s="26">
        <v>3</v>
      </c>
      <c r="K19" s="26">
        <f t="shared" si="0"/>
        <v>3</v>
      </c>
    </row>
    <row r="20" spans="4:11">
      <c r="D20" s="24">
        <v>46065</v>
      </c>
      <c r="E20" s="15">
        <v>1578446</v>
      </c>
      <c r="F20" s="15" t="s">
        <v>13</v>
      </c>
      <c r="G20" s="25">
        <v>20405374</v>
      </c>
      <c r="H20" s="15" t="s">
        <v>30</v>
      </c>
      <c r="I20" s="25">
        <v>1</v>
      </c>
      <c r="J20" s="26">
        <v>3</v>
      </c>
      <c r="K20" s="26">
        <f t="shared" si="0"/>
        <v>3</v>
      </c>
    </row>
    <row r="21" spans="4:11">
      <c r="D21" s="24">
        <v>46065</v>
      </c>
      <c r="E21" s="15">
        <v>1578446</v>
      </c>
      <c r="F21" s="15" t="s">
        <v>13</v>
      </c>
      <c r="G21" s="25">
        <v>20412593</v>
      </c>
      <c r="H21" s="15" t="s">
        <v>39</v>
      </c>
      <c r="I21" s="25">
        <v>1</v>
      </c>
      <c r="J21" s="26">
        <v>3</v>
      </c>
      <c r="K21" s="26">
        <f t="shared" si="0"/>
        <v>3</v>
      </c>
    </row>
    <row r="22" spans="4:11">
      <c r="D22" s="24">
        <v>46065</v>
      </c>
      <c r="E22" s="15">
        <v>1578446</v>
      </c>
      <c r="F22" s="15" t="s">
        <v>13</v>
      </c>
      <c r="G22" s="25">
        <v>20009626</v>
      </c>
      <c r="H22" s="15" t="s">
        <v>40</v>
      </c>
      <c r="I22" s="25">
        <v>1</v>
      </c>
      <c r="J22" s="26">
        <v>3</v>
      </c>
      <c r="K22" s="26">
        <f t="shared" si="0"/>
        <v>3</v>
      </c>
    </row>
    <row r="23" spans="4:11">
      <c r="D23" s="24">
        <v>46065</v>
      </c>
      <c r="E23" s="15">
        <v>1578446</v>
      </c>
      <c r="F23" s="15" t="s">
        <v>13</v>
      </c>
      <c r="G23" s="25">
        <v>20009572</v>
      </c>
      <c r="H23" s="15" t="s">
        <v>41</v>
      </c>
      <c r="I23" s="25">
        <v>2</v>
      </c>
      <c r="J23" s="26">
        <v>3</v>
      </c>
      <c r="K23" s="26">
        <f t="shared" si="0"/>
        <v>6</v>
      </c>
    </row>
    <row r="24" spans="4:11">
      <c r="D24" s="24">
        <v>46065</v>
      </c>
      <c r="E24" s="15">
        <v>1578446</v>
      </c>
      <c r="F24" s="15" t="s">
        <v>13</v>
      </c>
      <c r="G24" s="25">
        <v>20376328</v>
      </c>
      <c r="H24" s="15" t="s">
        <v>32</v>
      </c>
      <c r="I24" s="25">
        <v>1</v>
      </c>
      <c r="J24" s="26">
        <v>3</v>
      </c>
      <c r="K24" s="26">
        <f t="shared" si="0"/>
        <v>3</v>
      </c>
    </row>
    <row r="25" spans="4:11">
      <c r="D25" s="24">
        <v>46065</v>
      </c>
      <c r="E25" s="15">
        <v>1578446</v>
      </c>
      <c r="F25" s="15" t="s">
        <v>13</v>
      </c>
      <c r="G25" s="25">
        <v>20402772</v>
      </c>
      <c r="H25" s="15" t="s">
        <v>42</v>
      </c>
      <c r="I25" s="25">
        <v>1</v>
      </c>
      <c r="J25" s="26">
        <v>3</v>
      </c>
      <c r="K25" s="26">
        <f t="shared" si="0"/>
        <v>3</v>
      </c>
    </row>
    <row r="26" spans="4:11">
      <c r="D26" s="24">
        <v>46065</v>
      </c>
      <c r="E26" s="15">
        <v>1578446</v>
      </c>
      <c r="F26" s="15" t="s">
        <v>13</v>
      </c>
      <c r="G26" s="25">
        <v>20412594</v>
      </c>
      <c r="H26" s="15" t="s">
        <v>43</v>
      </c>
      <c r="I26" s="25">
        <v>1</v>
      </c>
      <c r="J26" s="26">
        <v>9</v>
      </c>
      <c r="K26" s="26">
        <f t="shared" si="0"/>
        <v>9</v>
      </c>
    </row>
    <row r="27" spans="4:11">
      <c r="D27" s="24">
        <v>46065</v>
      </c>
      <c r="E27" s="15">
        <v>1578446</v>
      </c>
      <c r="F27" s="15" t="s">
        <v>44</v>
      </c>
      <c r="G27" s="25">
        <v>20385060</v>
      </c>
      <c r="H27" s="15" t="s">
        <v>44</v>
      </c>
      <c r="I27" s="25">
        <v>1</v>
      </c>
      <c r="J27" s="26">
        <v>6.5</v>
      </c>
      <c r="K27" s="26">
        <f t="shared" si="0"/>
        <v>6.5</v>
      </c>
    </row>
    <row r="28" spans="4:11">
      <c r="D28" s="24">
        <v>46065</v>
      </c>
      <c r="E28" s="15">
        <v>1578446</v>
      </c>
      <c r="F28" s="15" t="s">
        <v>17</v>
      </c>
      <c r="G28" s="25">
        <v>20412592</v>
      </c>
      <c r="H28" s="15" t="s">
        <v>45</v>
      </c>
      <c r="I28" s="25">
        <v>1</v>
      </c>
      <c r="J28" s="26">
        <v>9</v>
      </c>
      <c r="K28" s="26">
        <f t="shared" si="0"/>
        <v>9</v>
      </c>
    </row>
    <row r="29" spans="4:11">
      <c r="D29" s="24">
        <v>46065</v>
      </c>
      <c r="E29" s="15">
        <v>1578446</v>
      </c>
      <c r="F29" s="15" t="s">
        <v>17</v>
      </c>
      <c r="G29" s="25">
        <v>20328398</v>
      </c>
      <c r="H29" s="15" t="s">
        <v>46</v>
      </c>
      <c r="I29" s="25">
        <v>1</v>
      </c>
      <c r="J29" s="26">
        <v>3</v>
      </c>
      <c r="K29" s="26">
        <f t="shared" si="0"/>
        <v>3</v>
      </c>
    </row>
    <row r="30" spans="4:11">
      <c r="D30" s="24">
        <v>46065</v>
      </c>
      <c r="E30" s="15">
        <v>1578446</v>
      </c>
      <c r="F30" s="15" t="s">
        <v>17</v>
      </c>
      <c r="G30" s="25">
        <v>20328393</v>
      </c>
      <c r="H30" s="15" t="s">
        <v>33</v>
      </c>
      <c r="I30" s="25">
        <v>1</v>
      </c>
      <c r="J30" s="26">
        <v>6</v>
      </c>
      <c r="K30" s="26">
        <f t="shared" si="0"/>
        <v>6</v>
      </c>
    </row>
    <row r="31" spans="4:11">
      <c r="D31" s="24">
        <v>46065</v>
      </c>
      <c r="E31" s="15">
        <v>1578446</v>
      </c>
      <c r="F31" s="15" t="s">
        <v>17</v>
      </c>
      <c r="G31" s="25">
        <v>20407049</v>
      </c>
      <c r="H31" s="15" t="s">
        <v>47</v>
      </c>
      <c r="I31" s="25">
        <v>2</v>
      </c>
      <c r="J31" s="26">
        <v>3</v>
      </c>
      <c r="K31" s="26">
        <f t="shared" si="0"/>
        <v>6</v>
      </c>
    </row>
    <row r="32" spans="4:11">
      <c r="D32" s="24">
        <v>46065</v>
      </c>
      <c r="E32" s="15">
        <v>1578446</v>
      </c>
      <c r="F32" s="15" t="s">
        <v>17</v>
      </c>
      <c r="G32" s="25">
        <v>20014146</v>
      </c>
      <c r="H32" s="15" t="s">
        <v>48</v>
      </c>
      <c r="I32" s="25">
        <v>1</v>
      </c>
      <c r="J32" s="26">
        <f>21*3</f>
        <v>63</v>
      </c>
      <c r="K32" s="26">
        <f t="shared" si="0"/>
        <v>63</v>
      </c>
    </row>
    <row r="33" spans="4:11">
      <c r="D33" s="24">
        <v>46065</v>
      </c>
      <c r="E33" s="15">
        <v>1578466</v>
      </c>
      <c r="F33" s="15" t="s">
        <v>17</v>
      </c>
      <c r="G33" s="25">
        <v>20386338</v>
      </c>
      <c r="H33" s="15" t="s">
        <v>49</v>
      </c>
      <c r="I33" s="25">
        <v>1</v>
      </c>
      <c r="J33" s="26">
        <v>3</v>
      </c>
      <c r="K33" s="26">
        <f t="shared" si="0"/>
        <v>3</v>
      </c>
    </row>
    <row r="34" spans="4:11">
      <c r="D34" s="24">
        <v>46077</v>
      </c>
      <c r="E34" s="15">
        <v>1579784</v>
      </c>
      <c r="F34" s="15" t="s">
        <v>13</v>
      </c>
      <c r="G34" s="25">
        <v>20375216</v>
      </c>
      <c r="H34" s="15" t="s">
        <v>31</v>
      </c>
      <c r="I34" s="25">
        <v>1</v>
      </c>
      <c r="J34" s="26">
        <v>3</v>
      </c>
      <c r="K34" s="26">
        <f t="shared" si="0"/>
        <v>3</v>
      </c>
    </row>
    <row r="35" spans="4:11">
      <c r="D35" s="24">
        <v>46077</v>
      </c>
      <c r="E35" s="15">
        <v>1579784</v>
      </c>
      <c r="F35" s="15" t="s">
        <v>13</v>
      </c>
      <c r="G35" s="25">
        <v>20413276</v>
      </c>
      <c r="H35" s="15" t="s">
        <v>50</v>
      </c>
      <c r="I35" s="25">
        <v>1</v>
      </c>
      <c r="J35" s="26">
        <v>3</v>
      </c>
      <c r="K35" s="26">
        <f t="shared" si="0"/>
        <v>3</v>
      </c>
    </row>
    <row r="36" spans="4:11">
      <c r="D36" s="24">
        <v>46077</v>
      </c>
      <c r="E36" s="15">
        <v>1579784</v>
      </c>
      <c r="F36" s="15" t="s">
        <v>13</v>
      </c>
      <c r="G36" s="25">
        <v>20413277</v>
      </c>
      <c r="H36" s="15" t="s">
        <v>51</v>
      </c>
      <c r="I36" s="25">
        <v>1</v>
      </c>
      <c r="J36" s="26">
        <v>3</v>
      </c>
      <c r="K36" s="26">
        <f t="shared" si="0"/>
        <v>3</v>
      </c>
    </row>
    <row r="37" spans="4:11">
      <c r="D37" s="24">
        <v>46077</v>
      </c>
      <c r="E37" s="15">
        <v>1579784</v>
      </c>
      <c r="F37" s="15" t="s">
        <v>17</v>
      </c>
      <c r="G37" s="25">
        <v>20328393</v>
      </c>
      <c r="H37" s="15" t="s">
        <v>33</v>
      </c>
      <c r="I37" s="25">
        <v>1</v>
      </c>
      <c r="J37" s="26">
        <v>6</v>
      </c>
      <c r="K37" s="26">
        <f t="shared" si="0"/>
        <v>6</v>
      </c>
    </row>
    <row r="38" spans="4:11">
      <c r="D38" s="24">
        <v>46077</v>
      </c>
      <c r="E38" s="15">
        <v>1579784</v>
      </c>
      <c r="F38" s="15" t="s">
        <v>17</v>
      </c>
      <c r="G38" s="25">
        <v>20375219</v>
      </c>
      <c r="H38" s="15" t="s">
        <v>34</v>
      </c>
      <c r="I38" s="25">
        <v>1</v>
      </c>
      <c r="J38" s="26">
        <v>12</v>
      </c>
      <c r="K38" s="26">
        <f t="shared" si="0"/>
        <v>12</v>
      </c>
    </row>
    <row r="39" spans="4:11">
      <c r="D39" s="24">
        <v>46077</v>
      </c>
      <c r="E39" s="15">
        <v>1579784</v>
      </c>
      <c r="F39" s="15" t="s">
        <v>17</v>
      </c>
      <c r="G39" s="25">
        <v>20375218</v>
      </c>
      <c r="H39" s="15" t="s">
        <v>35</v>
      </c>
      <c r="I39" s="25">
        <v>1</v>
      </c>
      <c r="J39" s="26">
        <f>12*3</f>
        <v>36</v>
      </c>
      <c r="K39" s="26">
        <f t="shared" si="0"/>
        <v>36</v>
      </c>
    </row>
    <row r="40" spans="4:11">
      <c r="D40" s="24">
        <v>46077</v>
      </c>
      <c r="E40" s="15">
        <v>1579784</v>
      </c>
      <c r="F40" s="15" t="s">
        <v>17</v>
      </c>
      <c r="G40" s="25">
        <v>20407049</v>
      </c>
      <c r="H40" s="15" t="s">
        <v>47</v>
      </c>
      <c r="I40" s="25">
        <v>1</v>
      </c>
      <c r="J40" s="26">
        <v>3</v>
      </c>
      <c r="K40" s="26">
        <f t="shared" si="0"/>
        <v>3</v>
      </c>
    </row>
    <row r="41" ht="0.05" customHeight="1"/>
  </sheetData>
  <autoFilter xmlns:etc="http://www.wps.cn/officeDocument/2017/etCustomData" ref="A7:K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12:34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52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30</v>
      </c>
      <c r="J8" s="23"/>
      <c r="K8" s="23">
        <f>SUM(K9:K15)</f>
        <v>93.5</v>
      </c>
    </row>
    <row r="9" spans="1:11">
      <c r="D9" s="24">
        <v>46055</v>
      </c>
      <c r="E9" s="15">
        <v>1575607</v>
      </c>
      <c r="F9" s="15" t="s">
        <v>13</v>
      </c>
      <c r="G9" s="25">
        <v>20009627</v>
      </c>
      <c r="H9" s="15" t="s">
        <v>53</v>
      </c>
      <c r="I9" s="25">
        <v>1</v>
      </c>
      <c r="J9" s="26">
        <v>3</v>
      </c>
      <c r="K9" s="26">
        <f>J9*I9</f>
        <v>3</v>
      </c>
    </row>
    <row r="10" spans="1:11">
      <c r="D10" s="24">
        <v>46055</v>
      </c>
      <c r="E10" s="15">
        <v>1575607</v>
      </c>
      <c r="F10" s="15" t="s">
        <v>13</v>
      </c>
      <c r="G10" s="25">
        <v>20009655</v>
      </c>
      <c r="H10" s="15" t="s">
        <v>54</v>
      </c>
      <c r="I10" s="25">
        <v>6</v>
      </c>
      <c r="J10" s="26">
        <v>3</v>
      </c>
      <c r="K10" s="26">
        <f t="shared" ref="K10:K15" si="0">J10*I10</f>
        <v>18</v>
      </c>
    </row>
    <row r="11" spans="1:11">
      <c r="D11" s="24">
        <v>46055</v>
      </c>
      <c r="E11" s="15">
        <v>1575607</v>
      </c>
      <c r="F11" s="15" t="s">
        <v>13</v>
      </c>
      <c r="G11" s="25">
        <v>20376328</v>
      </c>
      <c r="H11" s="15" t="s">
        <v>32</v>
      </c>
      <c r="I11" s="25">
        <v>14</v>
      </c>
      <c r="J11" s="26">
        <v>3</v>
      </c>
      <c r="K11" s="26">
        <f t="shared" si="0"/>
        <v>42</v>
      </c>
    </row>
    <row r="12" spans="1:11">
      <c r="D12" s="24">
        <v>46055</v>
      </c>
      <c r="E12" s="15">
        <v>1575607</v>
      </c>
      <c r="F12" s="15" t="s">
        <v>44</v>
      </c>
      <c r="G12" s="25">
        <v>20377117</v>
      </c>
      <c r="H12" s="15" t="s">
        <v>55</v>
      </c>
      <c r="I12" s="25">
        <v>1</v>
      </c>
      <c r="J12" s="26">
        <v>6.5</v>
      </c>
      <c r="K12" s="26">
        <f t="shared" si="0"/>
        <v>6.5</v>
      </c>
    </row>
    <row r="13" spans="1:11">
      <c r="D13" s="24">
        <v>46065</v>
      </c>
      <c r="E13" s="15">
        <v>1578447</v>
      </c>
      <c r="F13" s="15" t="s">
        <v>13</v>
      </c>
      <c r="G13" s="25">
        <v>20009655</v>
      </c>
      <c r="H13" s="15" t="s">
        <v>54</v>
      </c>
      <c r="I13" s="25">
        <v>1</v>
      </c>
      <c r="J13" s="26">
        <v>3</v>
      </c>
      <c r="K13" s="26">
        <f t="shared" si="0"/>
        <v>3</v>
      </c>
    </row>
    <row r="14" spans="1:11">
      <c r="D14" s="24">
        <v>46065</v>
      </c>
      <c r="E14" s="15">
        <v>1578447</v>
      </c>
      <c r="F14" s="15" t="s">
        <v>13</v>
      </c>
      <c r="G14" s="25">
        <v>20009566</v>
      </c>
      <c r="H14" s="15" t="s">
        <v>56</v>
      </c>
      <c r="I14" s="25">
        <v>3</v>
      </c>
      <c r="J14" s="26">
        <v>3</v>
      </c>
      <c r="K14" s="26">
        <f t="shared" si="0"/>
        <v>9</v>
      </c>
    </row>
    <row r="15" spans="1:11">
      <c r="D15" s="24">
        <v>46065</v>
      </c>
      <c r="E15" s="15">
        <v>1578447</v>
      </c>
      <c r="F15" s="15" t="s">
        <v>13</v>
      </c>
      <c r="G15" s="25">
        <v>20376328</v>
      </c>
      <c r="H15" s="15" t="s">
        <v>32</v>
      </c>
      <c r="I15" s="25">
        <v>4</v>
      </c>
      <c r="J15" s="26">
        <v>3</v>
      </c>
      <c r="K15" s="26">
        <f t="shared" si="0"/>
        <v>12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12:34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Q19" sqref="Q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57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8</v>
      </c>
      <c r="J8" s="23"/>
      <c r="K8" s="23">
        <f>SUM(K9:K11)</f>
        <v>33</v>
      </c>
    </row>
    <row r="9" spans="1:11">
      <c r="D9" s="24">
        <v>46065</v>
      </c>
      <c r="E9" s="15">
        <v>1578448</v>
      </c>
      <c r="F9" s="15" t="s">
        <v>13</v>
      </c>
      <c r="G9" s="25">
        <v>20009653</v>
      </c>
      <c r="H9" s="15" t="s">
        <v>58</v>
      </c>
      <c r="I9" s="25">
        <v>2</v>
      </c>
      <c r="J9" s="26">
        <v>3</v>
      </c>
      <c r="K9" s="26">
        <f>J9*I9</f>
        <v>6</v>
      </c>
    </row>
    <row r="10" spans="1:11">
      <c r="D10" s="24">
        <v>46065</v>
      </c>
      <c r="E10" s="15">
        <v>1578448</v>
      </c>
      <c r="F10" s="15" t="s">
        <v>13</v>
      </c>
      <c r="G10" s="25">
        <v>20009654</v>
      </c>
      <c r="H10" s="15" t="s">
        <v>59</v>
      </c>
      <c r="I10" s="25">
        <v>5</v>
      </c>
      <c r="J10" s="26">
        <v>3</v>
      </c>
      <c r="K10" s="26">
        <f>J10*I10</f>
        <v>15</v>
      </c>
    </row>
    <row r="11" spans="1:11">
      <c r="D11" s="24">
        <v>46065</v>
      </c>
      <c r="E11" s="15">
        <v>1578448</v>
      </c>
      <c r="F11" s="15" t="s">
        <v>13</v>
      </c>
      <c r="G11" s="25">
        <v>20391501</v>
      </c>
      <c r="H11" s="15" t="s">
        <v>60</v>
      </c>
      <c r="I11" s="25">
        <v>1</v>
      </c>
      <c r="J11" s="26">
        <v>12</v>
      </c>
      <c r="K11" s="26">
        <f>J11*I11</f>
        <v>12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12:34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view="pageBreakPreview" zoomScaleNormal="100" topLeftCell="D8" workbookViewId="0">
      <selection activeCell="N35" sqref="N35"/>
    </sheetView>
  </sheetViews>
  <sheetFormatPr defaultColWidth="9" defaultRowHeight="13.5"/>
  <cols>
    <col min="1" max="1" width="10.5" customWidth="1"/>
    <col min="2" max="2" width="9.8" customWidth="1"/>
    <col min="3" max="3" width="9.4" customWidth="1"/>
    <col min="4" max="4" width="15.4333333333333" customWidth="1"/>
    <col min="5" max="5" width="10.75" customWidth="1"/>
    <col min="6" max="6" width="22.375" customWidth="1"/>
    <col min="7" max="7" width="10.625" customWidth="1"/>
    <col min="8" max="8" width="10.4" customWidth="1"/>
    <col min="9" max="9" width="11.8416666666667" customWidth="1"/>
  </cols>
  <sheetData>
    <row r="1" customFormat="1" spans="1:9">
      <c r="A1" s="1" t="s">
        <v>61</v>
      </c>
    </row>
    <row r="2" ht="23.05" customHeight="1"/>
    <row r="3" ht="2" customHeight="1"/>
    <row r="4" customFormat="1" ht="15.2" customHeight="1" spans="1:9">
      <c r="A4" s="2" t="s">
        <v>62</v>
      </c>
    </row>
    <row r="6" ht="2.05" customHeight="1"/>
    <row r="7" customFormat="1" ht="1.9" customHeight="1" spans="1:9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</row>
    <row r="11" ht="2.95" customHeight="1"/>
    <row r="12" customFormat="1" spans="1:9">
      <c r="A12" s="4" t="s">
        <v>4</v>
      </c>
      <c r="B12" s="4" t="s">
        <v>5</v>
      </c>
      <c r="C12" s="4" t="s">
        <v>63</v>
      </c>
      <c r="D12" s="4" t="s">
        <v>6</v>
      </c>
      <c r="E12" s="4" t="s">
        <v>64</v>
      </c>
      <c r="F12" s="4" t="s">
        <v>8</v>
      </c>
      <c r="G12" s="5" t="s">
        <v>65</v>
      </c>
      <c r="H12" s="5" t="s">
        <v>10</v>
      </c>
      <c r="I12" s="5" t="s">
        <v>66</v>
      </c>
    </row>
    <row r="13" customFormat="1" ht="15" spans="1:9">
      <c r="A13" s="6" t="s">
        <v>67</v>
      </c>
      <c r="B13" s="7" t="s">
        <v>2</v>
      </c>
      <c r="C13" s="7" t="s">
        <v>2</v>
      </c>
      <c r="D13" s="7" t="s">
        <v>2</v>
      </c>
      <c r="E13" s="7" t="s">
        <v>2</v>
      </c>
      <c r="F13" s="6" t="s">
        <v>2</v>
      </c>
      <c r="G13" s="8"/>
      <c r="H13" s="6" t="s">
        <v>2</v>
      </c>
      <c r="I13" s="9"/>
    </row>
    <row r="14" customFormat="1" ht="14.25" spans="1:9">
      <c r="A14" s="10" t="s">
        <v>68</v>
      </c>
      <c r="B14" s="7" t="s">
        <v>2</v>
      </c>
      <c r="C14" s="7" t="s">
        <v>2</v>
      </c>
      <c r="D14" s="7" t="s">
        <v>2</v>
      </c>
      <c r="E14" s="7" t="s">
        <v>2</v>
      </c>
      <c r="F14" s="10" t="s">
        <v>2</v>
      </c>
      <c r="G14" s="11">
        <v>2</v>
      </c>
      <c r="H14" s="10" t="s">
        <v>2</v>
      </c>
      <c r="I14" s="12">
        <f>I15+I16</f>
        <v>282</v>
      </c>
    </row>
    <row r="15" customFormat="1" ht="24.75" spans="1:9">
      <c r="A15" s="13">
        <v>46063</v>
      </c>
      <c r="B15" s="14">
        <v>1577782</v>
      </c>
      <c r="C15" s="14" t="s">
        <v>69</v>
      </c>
      <c r="D15" s="15" t="s">
        <v>70</v>
      </c>
      <c r="E15" s="14">
        <v>20412358</v>
      </c>
      <c r="F15" s="15" t="s">
        <v>71</v>
      </c>
      <c r="G15" s="16">
        <v>1</v>
      </c>
      <c r="H15" s="17">
        <f>128.5-2.5</f>
        <v>126</v>
      </c>
      <c r="I15" s="17">
        <f>H15*G15</f>
        <v>126</v>
      </c>
    </row>
    <row r="16" customFormat="1" ht="24.75" spans="1:9">
      <c r="A16" s="13">
        <v>46063</v>
      </c>
      <c r="B16" s="14">
        <v>1577782</v>
      </c>
      <c r="C16" s="14" t="s">
        <v>69</v>
      </c>
      <c r="D16" s="15" t="s">
        <v>70</v>
      </c>
      <c r="E16" s="14">
        <v>20412359</v>
      </c>
      <c r="F16" s="15" t="s">
        <v>72</v>
      </c>
      <c r="G16" s="16">
        <v>1</v>
      </c>
      <c r="H16" s="17">
        <f>158.5-2.5</f>
        <v>156</v>
      </c>
      <c r="I16" s="17">
        <f>H16*G16</f>
        <v>156</v>
      </c>
    </row>
    <row r="35" spans="14:14">
      <c r="N35" t="s">
        <v>73</v>
      </c>
    </row>
  </sheetData>
  <mergeCells count="5">
    <mergeCell ref="A13:E13"/>
    <mergeCell ref="A14:E14"/>
    <mergeCell ref="G9:G10"/>
    <mergeCell ref="A1:F2"/>
    <mergeCell ref="A4:F5"/>
  </mergeCells>
  <pageMargins left="0.25" right="0.25" top="0.75" bottom="0.75" header="0.298611111111111" footer="0.298611111111111"/>
  <pageSetup paperSize="9" scale="8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妇科门诊</vt:lpstr>
      <vt:lpstr>美容科</vt:lpstr>
      <vt:lpstr>手术室</vt:lpstr>
      <vt:lpstr>外科</vt:lpstr>
      <vt:lpstr>眼科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2026-03-02T04:35:00Z</dcterms:created>
  <dcterms:modified xsi:type="dcterms:W3CDTF">2026-03-11T05:00:33Z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54B14B2CA6AB4133A0A2B690A46052A7_13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