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妇科门诊" sheetId="1" r:id="rId1"/>
    <sheet name="手术室" sheetId="2" r:id="rId2"/>
    <sheet name="外科门诊" sheetId="3" r:id="rId3"/>
    <sheet name="中西医结合" sheetId="4" r:id="rId4"/>
  </sheets>
  <definedNames>
    <definedName name="_xlnm._FilterDatabase" localSheetId="0" hidden="1">妇科门诊!$A$9:$K$95</definedName>
    <definedName name="_xlnm._FilterDatabase" localSheetId="1" hidden="1">手术室!$A$7:$K$43</definedName>
    <definedName name="_xlnm._FilterDatabase" localSheetId="2" hidden="1">外科门诊!$A$7:$K$39</definedName>
    <definedName name="_xlnm.Print_Titles" localSheetId="0">妇科门诊!$1:$6</definedName>
    <definedName name="_xlnm.Print_Titles" localSheetId="1">手术室!$1:$6</definedName>
    <definedName name="_xlnm.Print_Titles" localSheetId="2">外科门诊!$1:$6</definedName>
    <definedName name="_xlnm.Print_Titles" localSheetId="3">中西医结合!$1:$6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<sst xmlns="http://schemas.openxmlformats.org/spreadsheetml/2006/main" count="410" uniqueCount="84">
  <si>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</si>
  <si>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2026/2/4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</si>
  <si>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</si>
  <si>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太平人民医院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</si>
  <si>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</si>
  <si>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</si>
  <si>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</si>
  <si>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</si>
  <si>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</si>
  <si>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</si>
  <si>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</si>
  <si>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</si>
  <si>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</si>
  <si>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额外包(纸塑袋)</t>
  </si>
  <si>
    <t>取环钩-1/z7537</t>
  </si>
  <si>
    <t>取环器-1/z1535</t>
  </si>
  <si>
    <t>探针1窥器1宫颈钳1/z2044</t>
  </si>
  <si>
    <t>吸头5号6号7号-3件/z7534</t>
  </si>
  <si>
    <t>止血钳-1/z1029</t>
  </si>
  <si>
    <t>额外包(低温等离子)</t>
  </si>
  <si>
    <t>窥器-1/Z1526</t>
  </si>
  <si>
    <t>取环钳（低温）-1件/z1560</t>
  </si>
  <si>
    <t>水管-1/Z3040</t>
  </si>
  <si>
    <t>拆线剪1止血钳1/Z1530</t>
  </si>
  <si>
    <t>刮勺-1/z7534</t>
  </si>
  <si>
    <t>活检钳1宫颈钳1镊子1/z2032</t>
  </si>
  <si>
    <t>剪刀 高温-1/z1029</t>
  </si>
  <si>
    <t>剪刀1窥器1宫颈钳1/z2044</t>
  </si>
  <si>
    <t>拉钩2宫颈钳1/z2032</t>
  </si>
  <si>
    <t>吸头6号.7号.8号-3件/z7534</t>
  </si>
  <si>
    <t>单包装包(老肯低温)</t>
  </si>
  <si>
    <t>治疗镜头3件 盒1/W9050</t>
  </si>
  <si>
    <t>止血钳1扩棒1取环勾1/Z1537</t>
  </si>
  <si>
    <t>舌钳1开口器1/z1526</t>
  </si>
  <si>
    <t>组织钳（艾利斯）-1/Z1029</t>
  </si>
  <si>
    <t>镊子-1/z7534</t>
  </si>
  <si>
    <t>吸头5号.6号.7号-3件/z7534</t>
  </si>
  <si>
    <t>宫颈钳-1/z1535</t>
  </si>
  <si>
    <t>扩棒6.5  7.5  8.5-3件/Z1026</t>
  </si>
  <si>
    <t>配件-2/Z7520</t>
  </si>
  <si>
    <t>30度治疗镜-3件/Z2060</t>
  </si>
  <si>
    <t>冷切宫腔镜-3件（盒1）/W9050</t>
  </si>
  <si>
    <t>持针器1剪刀1止血钳1/Z1530</t>
  </si>
  <si>
    <t>活检钳（低温）-1件/Z1535</t>
  </si>
  <si>
    <t>配件-2件（盒1）/W9050</t>
  </si>
  <si>
    <t>铂康检查镜12度-3件（盒1）/z2060</t>
  </si>
  <si>
    <t>铂康检查镜30度-2件（盒1）/z2060</t>
  </si>
  <si>
    <t>检查镜头3件 盒1/W12050</t>
  </si>
  <si>
    <t>拆线剪1止血钳中1止血钳小1/z1530</t>
  </si>
  <si>
    <t>吸头7号8号-2件/z7534</t>
  </si>
  <si>
    <t>中引针头-1/z7520</t>
  </si>
  <si>
    <t>手术室</t>
  </si>
  <si>
    <t>器械包</t>
  </si>
  <si>
    <t>腔镜器械</t>
  </si>
  <si>
    <t>卵圆钳-1/z1535</t>
  </si>
  <si>
    <t>止血钳-4/z1530</t>
  </si>
  <si>
    <t>组织钳（艾丽斯）-2/z1526</t>
  </si>
  <si>
    <t>额外包(无纺布)</t>
  </si>
  <si>
    <t>拉钩-2/w6050</t>
  </si>
  <si>
    <t>圆盘2盆2（同型号盆分开）/w9050</t>
  </si>
  <si>
    <t>开腹包</t>
  </si>
  <si>
    <t>小清创包</t>
  </si>
  <si>
    <t>弯盘-1/z2032</t>
  </si>
  <si>
    <t>直角钳-2/z1530</t>
  </si>
  <si>
    <t>止血钳 中-3/z1530</t>
  </si>
  <si>
    <t>器械包(ZSD)</t>
  </si>
  <si>
    <t>肛肠包</t>
  </si>
  <si>
    <t>小S拉钩-1/W6050</t>
  </si>
  <si>
    <t>全齿钳-2/Z1535</t>
  </si>
  <si>
    <t>探针-1/z7534</t>
  </si>
  <si>
    <t>清创包</t>
  </si>
  <si>
    <t>胃包</t>
  </si>
  <si>
    <t>克氏钳-1/z1029</t>
  </si>
  <si>
    <t>平镊-1/z7534</t>
  </si>
  <si>
    <t>小S钩-2/W7050</t>
  </si>
  <si>
    <t>双头剥离子-1/z7530</t>
  </si>
  <si>
    <t>外科门诊</t>
  </si>
  <si>
    <t>大镊子-1/z7534</t>
  </si>
  <si>
    <t>骨科包</t>
  </si>
  <si>
    <t>缝合包</t>
  </si>
  <si>
    <t>止血钳直-1/Z1029</t>
  </si>
  <si>
    <t>皮肤拉钩-2/Z7530</t>
  </si>
  <si>
    <t>中西医结合</t>
  </si>
  <si>
    <t>指甲钳-1/Z1020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</si>
</sst>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250825</xdr:colOff>
      <xdr:row>1</xdr:row>
      <xdr:rowOff>0</xdr:rowOff>
    </xdr:from>
    <xdr:to>
      <xdr:col>10</xdr:col>
      <xdr:colOff>760813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1280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19050</xdr:rowOff>
    </xdr:from>
    <xdr:to>
      <xdr:col>9</xdr:col>
      <xdr:colOff>757003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4654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0</xdr:row>
      <xdr:rowOff>161925</xdr:rowOff>
    </xdr:from>
    <xdr:to>
      <xdr:col>9</xdr:col>
      <xdr:colOff>861778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445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189865</xdr:colOff>
      <xdr:row>1</xdr:row>
      <xdr:rowOff>95250</xdr:rowOff>
    </xdr:from>
    <xdr:to>
      <xdr:col>9</xdr:col>
      <xdr:colOff>699853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82640" y="2667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I10" sqref="I10"/>
    </sheetView>
  </sheetViews>
  <sheetFormatPr defaultColWidth="9" defaultRowHeight="13.5"/>
  <cols>
    <col min="1" max="2" width="0.225" customWidth="1"/>
    <col min="3" max="3" width="0.433333333333333" customWidth="1"/>
    <col min="4" max="4" width="10.125" customWidth="1"/>
    <col min="5" max="5" width="9.625" customWidth="1"/>
    <col min="6" max="6" width="18.5" customWidth="1"/>
    <col min="7" max="7" width="9.36666666666667" customWidth="1"/>
    <col min="8" max="8" width="34.125" customWidth="1"/>
    <col min="9" max="9" width="7.25" customWidth="1"/>
    <col min="10" max="10" width="13.5" customWidth="1"/>
    <col min="11" max="11" width="14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7"/>
      <c r="J8" s="18"/>
      <c r="K8" s="18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156</v>
      </c>
      <c r="J10" s="10"/>
      <c r="K10" s="10">
        <f>SUM(K11:K95)</f>
        <v>1829.165</v>
      </c>
    </row>
    <row r="11" spans="2:11">
      <c r="D11" s="11">
        <v>46038</v>
      </c>
      <c r="E11" s="12">
        <v>1571178</v>
      </c>
      <c r="F11" s="12" t="s">
        <v>13</v>
      </c>
      <c r="G11" s="13">
        <v>20333307</v>
      </c>
      <c r="H11" s="12" t="s">
        <v>14</v>
      </c>
      <c r="I11" s="13">
        <v>2</v>
      </c>
      <c r="J11" s="14">
        <v>6</v>
      </c>
      <c r="K11" s="14">
        <f>J11*I11</f>
        <v>12</v>
      </c>
    </row>
    <row r="12" spans="2:11">
      <c r="D12" s="11">
        <v>46038</v>
      </c>
      <c r="E12" s="12">
        <v>1571178</v>
      </c>
      <c r="F12" s="12" t="s">
        <v>13</v>
      </c>
      <c r="G12" s="13">
        <v>20333309</v>
      </c>
      <c r="H12" s="12" t="s">
        <v>15</v>
      </c>
      <c r="I12" s="13">
        <v>2</v>
      </c>
      <c r="J12" s="14">
        <v>8.3</v>
      </c>
      <c r="K12" s="14">
        <f t="shared" ref="K12:K43" si="0">J12*I12</f>
        <v>16.6</v>
      </c>
    </row>
    <row r="13" spans="2:11">
      <c r="D13" s="11">
        <v>46038</v>
      </c>
      <c r="E13" s="12">
        <v>1571178</v>
      </c>
      <c r="F13" s="12" t="s">
        <v>13</v>
      </c>
      <c r="G13" s="13">
        <v>20333295</v>
      </c>
      <c r="H13" s="12" t="s">
        <v>16</v>
      </c>
      <c r="I13" s="13">
        <v>5</v>
      </c>
      <c r="J13" s="14">
        <v>8.91</v>
      </c>
      <c r="K13" s="14">
        <f t="shared" si="0"/>
        <v>44.55</v>
      </c>
    </row>
    <row r="14" spans="2:11">
      <c r="D14" s="11">
        <v>46038</v>
      </c>
      <c r="E14" s="12">
        <v>1571178</v>
      </c>
      <c r="F14" s="12" t="s">
        <v>13</v>
      </c>
      <c r="G14" s="13">
        <v>20343799</v>
      </c>
      <c r="H14" s="12" t="s">
        <v>17</v>
      </c>
      <c r="I14" s="13">
        <v>1</v>
      </c>
      <c r="J14" s="14">
        <v>8.91</v>
      </c>
      <c r="K14" s="14">
        <f t="shared" si="0"/>
        <v>8.91</v>
      </c>
    </row>
    <row r="15" spans="2:11">
      <c r="D15" s="11">
        <v>46038</v>
      </c>
      <c r="E15" s="12">
        <v>1571178</v>
      </c>
      <c r="F15" s="12" t="s">
        <v>13</v>
      </c>
      <c r="G15" s="13">
        <v>20333313</v>
      </c>
      <c r="H15" s="12" t="s">
        <v>18</v>
      </c>
      <c r="I15" s="13">
        <v>3</v>
      </c>
      <c r="J15" s="14">
        <v>6</v>
      </c>
      <c r="K15" s="14">
        <f t="shared" si="0"/>
        <v>18</v>
      </c>
    </row>
    <row r="16" spans="2:11">
      <c r="D16" s="11">
        <v>46039</v>
      </c>
      <c r="E16" s="12">
        <v>1571350</v>
      </c>
      <c r="F16" s="12" t="s">
        <v>19</v>
      </c>
      <c r="G16" s="13">
        <v>20409354</v>
      </c>
      <c r="H16" s="12" t="s">
        <v>20</v>
      </c>
      <c r="I16" s="13">
        <v>1</v>
      </c>
      <c r="J16" s="14">
        <v>18.8</v>
      </c>
      <c r="K16" s="14">
        <f t="shared" si="0"/>
        <v>18.8</v>
      </c>
    </row>
    <row r="17" spans="4:11">
      <c r="D17" s="11">
        <v>46041</v>
      </c>
      <c r="E17" s="12">
        <v>1571675</v>
      </c>
      <c r="F17" s="12" t="s">
        <v>19</v>
      </c>
      <c r="G17" s="13">
        <v>20384503</v>
      </c>
      <c r="H17" s="12" t="s">
        <v>21</v>
      </c>
      <c r="I17" s="13">
        <v>1</v>
      </c>
      <c r="J17" s="14">
        <v>18.8</v>
      </c>
      <c r="K17" s="14">
        <f t="shared" si="0"/>
        <v>18.8</v>
      </c>
    </row>
    <row r="18" spans="4:11">
      <c r="D18" s="11">
        <v>46041</v>
      </c>
      <c r="E18" s="12">
        <v>1571675</v>
      </c>
      <c r="F18" s="12" t="s">
        <v>19</v>
      </c>
      <c r="G18" s="13">
        <v>20383782</v>
      </c>
      <c r="H18" s="12" t="s">
        <v>22</v>
      </c>
      <c r="I18" s="13">
        <v>2</v>
      </c>
      <c r="J18" s="14">
        <v>26.3</v>
      </c>
      <c r="K18" s="14">
        <f t="shared" si="0"/>
        <v>52.6</v>
      </c>
    </row>
    <row r="19" spans="4:11">
      <c r="D19" s="11">
        <v>46041</v>
      </c>
      <c r="E19" s="12">
        <v>1571719</v>
      </c>
      <c r="F19" s="12" t="s">
        <v>13</v>
      </c>
      <c r="G19" s="13">
        <v>20363284</v>
      </c>
      <c r="H19" s="12" t="s">
        <v>23</v>
      </c>
      <c r="I19" s="13">
        <v>1</v>
      </c>
      <c r="J19" s="14">
        <v>8.91</v>
      </c>
      <c r="K19" s="14">
        <f t="shared" si="0"/>
        <v>8.91</v>
      </c>
    </row>
    <row r="20" spans="4:11">
      <c r="D20" s="11">
        <v>46041</v>
      </c>
      <c r="E20" s="12">
        <v>1571719</v>
      </c>
      <c r="F20" s="12" t="s">
        <v>13</v>
      </c>
      <c r="G20" s="13">
        <v>20333311</v>
      </c>
      <c r="H20" s="12" t="s">
        <v>24</v>
      </c>
      <c r="I20" s="13">
        <v>1</v>
      </c>
      <c r="J20" s="14">
        <v>6</v>
      </c>
      <c r="K20" s="14">
        <f t="shared" si="0"/>
        <v>6</v>
      </c>
    </row>
    <row r="21" spans="4:11">
      <c r="D21" s="11">
        <v>46041</v>
      </c>
      <c r="E21" s="12">
        <v>1571719</v>
      </c>
      <c r="F21" s="12" t="s">
        <v>13</v>
      </c>
      <c r="G21" s="13">
        <v>20333302</v>
      </c>
      <c r="H21" s="12" t="s">
        <v>25</v>
      </c>
      <c r="I21" s="13">
        <v>1</v>
      </c>
      <c r="J21" s="14">
        <v>8.91</v>
      </c>
      <c r="K21" s="14">
        <f t="shared" si="0"/>
        <v>8.91</v>
      </c>
    </row>
    <row r="22" spans="4:11">
      <c r="D22" s="11">
        <v>46041</v>
      </c>
      <c r="E22" s="12">
        <v>1571719</v>
      </c>
      <c r="F22" s="12" t="s">
        <v>13</v>
      </c>
      <c r="G22" s="13">
        <v>20333310</v>
      </c>
      <c r="H22" s="12" t="s">
        <v>26</v>
      </c>
      <c r="I22" s="13">
        <v>1</v>
      </c>
      <c r="J22" s="14">
        <v>6</v>
      </c>
      <c r="K22" s="14">
        <f t="shared" si="0"/>
        <v>6</v>
      </c>
    </row>
    <row r="23" spans="4:11">
      <c r="D23" s="11">
        <v>46041</v>
      </c>
      <c r="E23" s="12">
        <v>1571719</v>
      </c>
      <c r="F23" s="12" t="s">
        <v>13</v>
      </c>
      <c r="G23" s="13">
        <v>20333294</v>
      </c>
      <c r="H23" s="12" t="s">
        <v>27</v>
      </c>
      <c r="I23" s="13">
        <v>1</v>
      </c>
      <c r="J23" s="14">
        <v>8.91</v>
      </c>
      <c r="K23" s="14">
        <f t="shared" si="0"/>
        <v>8.91</v>
      </c>
    </row>
    <row r="24" spans="4:11">
      <c r="D24" s="11">
        <v>46041</v>
      </c>
      <c r="E24" s="12">
        <v>1571719</v>
      </c>
      <c r="F24" s="12" t="s">
        <v>13</v>
      </c>
      <c r="G24" s="13">
        <v>20340606</v>
      </c>
      <c r="H24" s="12" t="s">
        <v>28</v>
      </c>
      <c r="I24" s="13">
        <v>1</v>
      </c>
      <c r="J24" s="14">
        <v>8.91</v>
      </c>
      <c r="K24" s="14">
        <f t="shared" si="0"/>
        <v>8.91</v>
      </c>
    </row>
    <row r="25" spans="4:11">
      <c r="D25" s="11">
        <v>46041</v>
      </c>
      <c r="E25" s="12">
        <v>1571719</v>
      </c>
      <c r="F25" s="12" t="s">
        <v>13</v>
      </c>
      <c r="G25" s="13">
        <v>20333309</v>
      </c>
      <c r="H25" s="12" t="s">
        <v>15</v>
      </c>
      <c r="I25" s="13">
        <v>2</v>
      </c>
      <c r="J25" s="14">
        <v>8.3</v>
      </c>
      <c r="K25" s="14">
        <f t="shared" si="0"/>
        <v>16.6</v>
      </c>
    </row>
    <row r="26" spans="4:11">
      <c r="D26" s="11">
        <v>46041</v>
      </c>
      <c r="E26" s="12">
        <v>1571719</v>
      </c>
      <c r="F26" s="12" t="s">
        <v>13</v>
      </c>
      <c r="G26" s="13">
        <v>20333295</v>
      </c>
      <c r="H26" s="12" t="s">
        <v>16</v>
      </c>
      <c r="I26" s="13">
        <v>6</v>
      </c>
      <c r="J26" s="14">
        <v>8.91</v>
      </c>
      <c r="K26" s="14">
        <f t="shared" si="0"/>
        <v>53.46</v>
      </c>
    </row>
    <row r="27" spans="4:11">
      <c r="D27" s="11">
        <v>46041</v>
      </c>
      <c r="E27" s="12">
        <v>1571719</v>
      </c>
      <c r="F27" s="12" t="s">
        <v>13</v>
      </c>
      <c r="G27" s="13">
        <v>20343799</v>
      </c>
      <c r="H27" s="12" t="s">
        <v>17</v>
      </c>
      <c r="I27" s="13">
        <v>3</v>
      </c>
      <c r="J27" s="14">
        <v>8.91</v>
      </c>
      <c r="K27" s="14">
        <f t="shared" si="0"/>
        <v>26.73</v>
      </c>
    </row>
    <row r="28" spans="4:11">
      <c r="D28" s="11">
        <v>46041</v>
      </c>
      <c r="E28" s="12">
        <v>1571719</v>
      </c>
      <c r="F28" s="12" t="s">
        <v>13</v>
      </c>
      <c r="G28" s="13">
        <v>20345453</v>
      </c>
      <c r="H28" s="12" t="s">
        <v>29</v>
      </c>
      <c r="I28" s="13">
        <v>1</v>
      </c>
      <c r="J28" s="14">
        <v>8.91</v>
      </c>
      <c r="K28" s="14">
        <f t="shared" si="0"/>
        <v>8.91</v>
      </c>
    </row>
    <row r="29" spans="4:11">
      <c r="D29" s="11">
        <v>46042</v>
      </c>
      <c r="E29" s="12">
        <v>1571846</v>
      </c>
      <c r="F29" s="12" t="s">
        <v>30</v>
      </c>
      <c r="G29" s="13">
        <v>20383779</v>
      </c>
      <c r="H29" s="12" t="s">
        <v>31</v>
      </c>
      <c r="I29" s="13">
        <v>1</v>
      </c>
      <c r="J29" s="14">
        <v>49.5</v>
      </c>
      <c r="K29" s="14">
        <f t="shared" si="0"/>
        <v>49.5</v>
      </c>
    </row>
    <row r="30" spans="4:11">
      <c r="D30" s="11">
        <v>46043</v>
      </c>
      <c r="E30" s="12">
        <v>1572474</v>
      </c>
      <c r="F30" s="12" t="s">
        <v>13</v>
      </c>
      <c r="G30" s="13">
        <v>20333311</v>
      </c>
      <c r="H30" s="12" t="s">
        <v>24</v>
      </c>
      <c r="I30" s="13">
        <v>1</v>
      </c>
      <c r="J30" s="14">
        <v>6</v>
      </c>
      <c r="K30" s="14">
        <f t="shared" si="0"/>
        <v>6</v>
      </c>
    </row>
    <row r="31" spans="4:11">
      <c r="D31" s="11">
        <v>46043</v>
      </c>
      <c r="E31" s="12">
        <v>1572474</v>
      </c>
      <c r="F31" s="12" t="s">
        <v>13</v>
      </c>
      <c r="G31" s="13">
        <v>20333294</v>
      </c>
      <c r="H31" s="12" t="s">
        <v>27</v>
      </c>
      <c r="I31" s="13">
        <v>1</v>
      </c>
      <c r="J31" s="14">
        <v>8.91</v>
      </c>
      <c r="K31" s="14">
        <f t="shared" si="0"/>
        <v>8.91</v>
      </c>
    </row>
    <row r="32" spans="4:11">
      <c r="D32" s="11">
        <v>46043</v>
      </c>
      <c r="E32" s="12">
        <v>1572474</v>
      </c>
      <c r="F32" s="12" t="s">
        <v>13</v>
      </c>
      <c r="G32" s="13">
        <v>20333307</v>
      </c>
      <c r="H32" s="12" t="s">
        <v>14</v>
      </c>
      <c r="I32" s="13">
        <v>2</v>
      </c>
      <c r="J32" s="14">
        <v>6</v>
      </c>
      <c r="K32" s="14">
        <f t="shared" si="0"/>
        <v>12</v>
      </c>
    </row>
    <row r="33" spans="4:11">
      <c r="D33" s="11">
        <v>46043</v>
      </c>
      <c r="E33" s="12">
        <v>1572474</v>
      </c>
      <c r="F33" s="12" t="s">
        <v>13</v>
      </c>
      <c r="G33" s="13">
        <v>20333309</v>
      </c>
      <c r="H33" s="12" t="s">
        <v>15</v>
      </c>
      <c r="I33" s="13">
        <v>1</v>
      </c>
      <c r="J33" s="14">
        <v>8.3</v>
      </c>
      <c r="K33" s="14">
        <f t="shared" si="0"/>
        <v>8.3</v>
      </c>
    </row>
    <row r="34" spans="4:11">
      <c r="D34" s="11">
        <v>46043</v>
      </c>
      <c r="E34" s="12">
        <v>1572474</v>
      </c>
      <c r="F34" s="12" t="s">
        <v>13</v>
      </c>
      <c r="G34" s="13">
        <v>20333295</v>
      </c>
      <c r="H34" s="12" t="s">
        <v>16</v>
      </c>
      <c r="I34" s="13">
        <v>4</v>
      </c>
      <c r="J34" s="14">
        <v>8.91</v>
      </c>
      <c r="K34" s="14">
        <f t="shared" si="0"/>
        <v>35.64</v>
      </c>
    </row>
    <row r="35" spans="4:11">
      <c r="D35" s="11">
        <v>46043</v>
      </c>
      <c r="E35" s="12">
        <v>1572474</v>
      </c>
      <c r="F35" s="12" t="s">
        <v>13</v>
      </c>
      <c r="G35" s="13">
        <v>20343799</v>
      </c>
      <c r="H35" s="12" t="s">
        <v>17</v>
      </c>
      <c r="I35" s="13">
        <v>2</v>
      </c>
      <c r="J35" s="14">
        <v>8.91</v>
      </c>
      <c r="K35" s="14">
        <f t="shared" si="0"/>
        <v>17.82</v>
      </c>
    </row>
    <row r="36" spans="4:11">
      <c r="D36" s="11">
        <v>46043</v>
      </c>
      <c r="E36" s="12">
        <v>1572474</v>
      </c>
      <c r="F36" s="12" t="s">
        <v>13</v>
      </c>
      <c r="G36" s="13">
        <v>20371376</v>
      </c>
      <c r="H36" s="12" t="s">
        <v>32</v>
      </c>
      <c r="I36" s="13">
        <v>1</v>
      </c>
      <c r="J36" s="14">
        <v>8.91</v>
      </c>
      <c r="K36" s="14">
        <f t="shared" si="0"/>
        <v>8.91</v>
      </c>
    </row>
    <row r="37" spans="4:11">
      <c r="D37" s="11">
        <v>46045</v>
      </c>
      <c r="E37" s="12">
        <v>1573149</v>
      </c>
      <c r="F37" s="12" t="s">
        <v>13</v>
      </c>
      <c r="G37" s="13">
        <v>20333302</v>
      </c>
      <c r="H37" s="12" t="s">
        <v>25</v>
      </c>
      <c r="I37" s="13">
        <v>1</v>
      </c>
      <c r="J37" s="14">
        <v>8.91</v>
      </c>
      <c r="K37" s="14">
        <f t="shared" si="0"/>
        <v>8.91</v>
      </c>
    </row>
    <row r="38" spans="4:11">
      <c r="D38" s="11">
        <v>46045</v>
      </c>
      <c r="E38" s="12">
        <v>1573149</v>
      </c>
      <c r="F38" s="12" t="s">
        <v>13</v>
      </c>
      <c r="G38" s="13">
        <v>20365614</v>
      </c>
      <c r="H38" s="12" t="s">
        <v>20</v>
      </c>
      <c r="I38" s="13">
        <v>1</v>
      </c>
      <c r="J38" s="14">
        <v>8.3</v>
      </c>
      <c r="K38" s="14">
        <f t="shared" si="0"/>
        <v>8.3</v>
      </c>
    </row>
    <row r="39" spans="4:11">
      <c r="D39" s="11">
        <v>46045</v>
      </c>
      <c r="E39" s="12">
        <v>1573149</v>
      </c>
      <c r="F39" s="12" t="s">
        <v>13</v>
      </c>
      <c r="G39" s="13">
        <v>20333307</v>
      </c>
      <c r="H39" s="12" t="s">
        <v>14</v>
      </c>
      <c r="I39" s="13">
        <v>3</v>
      </c>
      <c r="J39" s="14">
        <v>6</v>
      </c>
      <c r="K39" s="14">
        <f t="shared" si="0"/>
        <v>18</v>
      </c>
    </row>
    <row r="40" spans="4:11">
      <c r="D40" s="11">
        <v>46045</v>
      </c>
      <c r="E40" s="12">
        <v>1573149</v>
      </c>
      <c r="F40" s="12" t="s">
        <v>13</v>
      </c>
      <c r="G40" s="13">
        <v>20333309</v>
      </c>
      <c r="H40" s="12" t="s">
        <v>15</v>
      </c>
      <c r="I40" s="13">
        <v>3</v>
      </c>
      <c r="J40" s="14">
        <v>8.3</v>
      </c>
      <c r="K40" s="14">
        <f t="shared" si="0"/>
        <v>24.9</v>
      </c>
    </row>
    <row r="41" spans="4:11">
      <c r="D41" s="11">
        <v>46045</v>
      </c>
      <c r="E41" s="12">
        <v>1573149</v>
      </c>
      <c r="F41" s="12" t="s">
        <v>13</v>
      </c>
      <c r="G41" s="13">
        <v>20333293</v>
      </c>
      <c r="H41" s="12" t="s">
        <v>33</v>
      </c>
      <c r="I41" s="13">
        <v>1</v>
      </c>
      <c r="J41" s="14">
        <v>8.91</v>
      </c>
      <c r="K41" s="14">
        <f t="shared" si="0"/>
        <v>8.91</v>
      </c>
    </row>
    <row r="42" spans="4:11">
      <c r="D42" s="11">
        <v>46045</v>
      </c>
      <c r="E42" s="12">
        <v>1573149</v>
      </c>
      <c r="F42" s="12" t="s">
        <v>13</v>
      </c>
      <c r="G42" s="13">
        <v>20333295</v>
      </c>
      <c r="H42" s="12" t="s">
        <v>16</v>
      </c>
      <c r="I42" s="13">
        <v>4</v>
      </c>
      <c r="J42" s="14">
        <v>8.91</v>
      </c>
      <c r="K42" s="14">
        <f t="shared" si="0"/>
        <v>35.64</v>
      </c>
    </row>
    <row r="43" spans="4:11">
      <c r="D43" s="11">
        <v>46045</v>
      </c>
      <c r="E43" s="12">
        <v>1573149</v>
      </c>
      <c r="F43" s="12" t="s">
        <v>13</v>
      </c>
      <c r="G43" s="13">
        <v>20333313</v>
      </c>
      <c r="H43" s="12" t="s">
        <v>18</v>
      </c>
      <c r="I43" s="13">
        <v>1</v>
      </c>
      <c r="J43" s="14">
        <v>6</v>
      </c>
      <c r="K43" s="14">
        <f t="shared" si="0"/>
        <v>6</v>
      </c>
    </row>
    <row r="44" spans="4:11">
      <c r="D44" s="11">
        <v>46045</v>
      </c>
      <c r="E44" s="12">
        <v>1573149</v>
      </c>
      <c r="F44" s="12" t="s">
        <v>13</v>
      </c>
      <c r="G44" s="13">
        <v>20363289</v>
      </c>
      <c r="H44" s="12" t="s">
        <v>34</v>
      </c>
      <c r="I44" s="13">
        <v>1</v>
      </c>
      <c r="J44" s="14">
        <v>6</v>
      </c>
      <c r="K44" s="14">
        <f t="shared" ref="K44:K75" si="1">J44*I44</f>
        <v>6</v>
      </c>
    </row>
    <row r="45" spans="4:11">
      <c r="D45" s="11">
        <v>46048</v>
      </c>
      <c r="E45" s="12">
        <v>1573600</v>
      </c>
      <c r="F45" s="12" t="s">
        <v>13</v>
      </c>
      <c r="G45" s="13">
        <v>20333311</v>
      </c>
      <c r="H45" s="12" t="s">
        <v>24</v>
      </c>
      <c r="I45" s="13">
        <v>1</v>
      </c>
      <c r="J45" s="14">
        <v>6</v>
      </c>
      <c r="K45" s="14">
        <f t="shared" si="1"/>
        <v>6</v>
      </c>
    </row>
    <row r="46" spans="4:11">
      <c r="D46" s="11">
        <v>46048</v>
      </c>
      <c r="E46" s="12">
        <v>1573600</v>
      </c>
      <c r="F46" s="12" t="s">
        <v>13</v>
      </c>
      <c r="G46" s="13">
        <v>20333294</v>
      </c>
      <c r="H46" s="12" t="s">
        <v>27</v>
      </c>
      <c r="I46" s="13">
        <v>1</v>
      </c>
      <c r="J46" s="14">
        <v>8.91</v>
      </c>
      <c r="K46" s="14">
        <f t="shared" si="1"/>
        <v>8.91</v>
      </c>
    </row>
    <row r="47" spans="4:11">
      <c r="D47" s="11">
        <v>46048</v>
      </c>
      <c r="E47" s="12">
        <v>1573600</v>
      </c>
      <c r="F47" s="12" t="s">
        <v>13</v>
      </c>
      <c r="G47" s="13">
        <v>20333545</v>
      </c>
      <c r="H47" s="12" t="s">
        <v>35</v>
      </c>
      <c r="I47" s="13">
        <v>1</v>
      </c>
      <c r="J47" s="14">
        <v>6</v>
      </c>
      <c r="K47" s="14">
        <f t="shared" si="1"/>
        <v>6</v>
      </c>
    </row>
    <row r="48" spans="4:11">
      <c r="D48" s="11">
        <v>46048</v>
      </c>
      <c r="E48" s="12">
        <v>1573600</v>
      </c>
      <c r="F48" s="12" t="s">
        <v>13</v>
      </c>
      <c r="G48" s="13">
        <v>20333309</v>
      </c>
      <c r="H48" s="12" t="s">
        <v>15</v>
      </c>
      <c r="I48" s="13">
        <v>1</v>
      </c>
      <c r="J48" s="14">
        <v>8.3</v>
      </c>
      <c r="K48" s="14">
        <f t="shared" si="1"/>
        <v>8.3</v>
      </c>
    </row>
    <row r="49" spans="4:11">
      <c r="D49" s="11">
        <v>46048</v>
      </c>
      <c r="E49" s="12">
        <v>1573600</v>
      </c>
      <c r="F49" s="12" t="s">
        <v>13</v>
      </c>
      <c r="G49" s="13">
        <v>20333295</v>
      </c>
      <c r="H49" s="12" t="s">
        <v>16</v>
      </c>
      <c r="I49" s="13">
        <v>4</v>
      </c>
      <c r="J49" s="14">
        <v>8.91</v>
      </c>
      <c r="K49" s="14">
        <f t="shared" si="1"/>
        <v>35.64</v>
      </c>
    </row>
    <row r="50" spans="4:11">
      <c r="D50" s="11">
        <v>46048</v>
      </c>
      <c r="E50" s="12">
        <v>1573600</v>
      </c>
      <c r="F50" s="12" t="s">
        <v>13</v>
      </c>
      <c r="G50" s="13">
        <v>20371099</v>
      </c>
      <c r="H50" s="12" t="s">
        <v>36</v>
      </c>
      <c r="I50" s="13">
        <v>1</v>
      </c>
      <c r="J50" s="14">
        <v>8.91</v>
      </c>
      <c r="K50" s="14">
        <f t="shared" si="1"/>
        <v>8.91</v>
      </c>
    </row>
    <row r="51" spans="4:11">
      <c r="D51" s="11">
        <v>46048</v>
      </c>
      <c r="E51" s="12">
        <v>1573600</v>
      </c>
      <c r="F51" s="12" t="s">
        <v>13</v>
      </c>
      <c r="G51" s="13">
        <v>20345453</v>
      </c>
      <c r="H51" s="12" t="s">
        <v>29</v>
      </c>
      <c r="I51" s="13">
        <v>1</v>
      </c>
      <c r="J51" s="14">
        <v>8.91</v>
      </c>
      <c r="K51" s="14">
        <f t="shared" si="1"/>
        <v>8.91</v>
      </c>
    </row>
    <row r="52" spans="4:11">
      <c r="D52" s="11">
        <v>46048</v>
      </c>
      <c r="E52" s="12">
        <v>1573600</v>
      </c>
      <c r="F52" s="12" t="s">
        <v>13</v>
      </c>
      <c r="G52" s="13">
        <v>20333313</v>
      </c>
      <c r="H52" s="12" t="s">
        <v>18</v>
      </c>
      <c r="I52" s="13">
        <v>1</v>
      </c>
      <c r="J52" s="14">
        <v>6</v>
      </c>
      <c r="K52" s="14">
        <f t="shared" si="1"/>
        <v>6</v>
      </c>
    </row>
    <row r="53" spans="4:11">
      <c r="D53" s="11">
        <v>46050</v>
      </c>
      <c r="E53" s="12">
        <v>1574310</v>
      </c>
      <c r="F53" s="12" t="s">
        <v>13</v>
      </c>
      <c r="G53" s="13">
        <v>20333306</v>
      </c>
      <c r="H53" s="12" t="s">
        <v>37</v>
      </c>
      <c r="I53" s="13">
        <v>2</v>
      </c>
      <c r="J53" s="14">
        <v>8.3</v>
      </c>
      <c r="K53" s="14">
        <f t="shared" si="1"/>
        <v>16.6</v>
      </c>
    </row>
    <row r="54" spans="4:11">
      <c r="D54" s="11">
        <v>46050</v>
      </c>
      <c r="E54" s="12">
        <v>1574310</v>
      </c>
      <c r="F54" s="12" t="s">
        <v>13</v>
      </c>
      <c r="G54" s="13">
        <v>20410925</v>
      </c>
      <c r="H54" s="12" t="s">
        <v>38</v>
      </c>
      <c r="I54" s="13">
        <v>1</v>
      </c>
      <c r="J54" s="14">
        <v>8.91</v>
      </c>
      <c r="K54" s="14">
        <f t="shared" si="1"/>
        <v>8.91</v>
      </c>
    </row>
    <row r="55" spans="4:11">
      <c r="D55" s="11">
        <v>46050</v>
      </c>
      <c r="E55" s="12">
        <v>1574310</v>
      </c>
      <c r="F55" s="12" t="s">
        <v>13</v>
      </c>
      <c r="G55" s="13">
        <v>20333307</v>
      </c>
      <c r="H55" s="12" t="s">
        <v>14</v>
      </c>
      <c r="I55" s="13">
        <v>6</v>
      </c>
      <c r="J55" s="14">
        <v>6</v>
      </c>
      <c r="K55" s="14">
        <f t="shared" si="1"/>
        <v>36</v>
      </c>
    </row>
    <row r="56" spans="4:11">
      <c r="D56" s="11">
        <v>46050</v>
      </c>
      <c r="E56" s="12">
        <v>1574310</v>
      </c>
      <c r="F56" s="12" t="s">
        <v>13</v>
      </c>
      <c r="G56" s="13">
        <v>20333309</v>
      </c>
      <c r="H56" s="12" t="s">
        <v>15</v>
      </c>
      <c r="I56" s="13">
        <v>2</v>
      </c>
      <c r="J56" s="14">
        <v>8.3</v>
      </c>
      <c r="K56" s="14">
        <f t="shared" si="1"/>
        <v>16.6</v>
      </c>
    </row>
    <row r="57" spans="4:11">
      <c r="D57" s="11">
        <v>46050</v>
      </c>
      <c r="E57" s="12">
        <v>1574310</v>
      </c>
      <c r="F57" s="12" t="s">
        <v>13</v>
      </c>
      <c r="G57" s="13">
        <v>20333295</v>
      </c>
      <c r="H57" s="12" t="s">
        <v>16</v>
      </c>
      <c r="I57" s="13">
        <v>7</v>
      </c>
      <c r="J57" s="14">
        <v>8.91</v>
      </c>
      <c r="K57" s="14">
        <f t="shared" si="1"/>
        <v>62.37</v>
      </c>
    </row>
    <row r="58" spans="4:11">
      <c r="D58" s="11">
        <v>46050</v>
      </c>
      <c r="E58" s="12">
        <v>1574310</v>
      </c>
      <c r="F58" s="12" t="s">
        <v>13</v>
      </c>
      <c r="G58" s="13">
        <v>20343799</v>
      </c>
      <c r="H58" s="12" t="s">
        <v>17</v>
      </c>
      <c r="I58" s="13">
        <v>1</v>
      </c>
      <c r="J58" s="14">
        <v>8.91</v>
      </c>
      <c r="K58" s="14">
        <f t="shared" si="1"/>
        <v>8.91</v>
      </c>
    </row>
    <row r="59" spans="4:11">
      <c r="D59" s="11">
        <v>46050</v>
      </c>
      <c r="E59" s="12">
        <v>1574310</v>
      </c>
      <c r="F59" s="12" t="s">
        <v>13</v>
      </c>
      <c r="G59" s="13">
        <v>20333313</v>
      </c>
      <c r="H59" s="12" t="s">
        <v>18</v>
      </c>
      <c r="I59" s="13">
        <v>1</v>
      </c>
      <c r="J59" s="14">
        <v>6</v>
      </c>
      <c r="K59" s="14">
        <f t="shared" si="1"/>
        <v>6</v>
      </c>
    </row>
    <row r="60" spans="4:11">
      <c r="D60" s="11">
        <v>46050</v>
      </c>
      <c r="E60" s="12">
        <v>1574310</v>
      </c>
      <c r="F60" s="12" t="s">
        <v>13</v>
      </c>
      <c r="G60" s="13">
        <v>20363289</v>
      </c>
      <c r="H60" s="12" t="s">
        <v>34</v>
      </c>
      <c r="I60" s="13">
        <v>1</v>
      </c>
      <c r="J60" s="14">
        <v>6</v>
      </c>
      <c r="K60" s="14">
        <f t="shared" si="1"/>
        <v>6</v>
      </c>
    </row>
    <row r="61" spans="4:11">
      <c r="D61" s="11">
        <v>46050</v>
      </c>
      <c r="E61" s="12">
        <v>1574473</v>
      </c>
      <c r="F61" s="12" t="s">
        <v>19</v>
      </c>
      <c r="G61" s="13">
        <v>20409354</v>
      </c>
      <c r="H61" s="12" t="s">
        <v>20</v>
      </c>
      <c r="I61" s="13">
        <v>1</v>
      </c>
      <c r="J61" s="14">
        <v>18.8</v>
      </c>
      <c r="K61" s="14">
        <f t="shared" si="1"/>
        <v>18.8</v>
      </c>
    </row>
    <row r="62" spans="4:11">
      <c r="D62" s="11">
        <v>46050</v>
      </c>
      <c r="E62" s="12">
        <v>1574473</v>
      </c>
      <c r="F62" s="12" t="s">
        <v>19</v>
      </c>
      <c r="G62" s="13">
        <v>20383781</v>
      </c>
      <c r="H62" s="12" t="s">
        <v>39</v>
      </c>
      <c r="I62" s="13">
        <v>1</v>
      </c>
      <c r="J62" s="14">
        <v>33</v>
      </c>
      <c r="K62" s="14">
        <f t="shared" si="1"/>
        <v>33</v>
      </c>
    </row>
    <row r="63" spans="4:11">
      <c r="D63" s="11">
        <v>46050</v>
      </c>
      <c r="E63" s="12">
        <v>1574473</v>
      </c>
      <c r="F63" s="12" t="s">
        <v>19</v>
      </c>
      <c r="G63" s="13">
        <v>20384503</v>
      </c>
      <c r="H63" s="12" t="s">
        <v>21</v>
      </c>
      <c r="I63" s="13">
        <v>1</v>
      </c>
      <c r="J63" s="14">
        <v>18.8</v>
      </c>
      <c r="K63" s="14">
        <f t="shared" si="1"/>
        <v>18.8</v>
      </c>
    </row>
    <row r="64" spans="4:11">
      <c r="D64" s="11">
        <v>46050</v>
      </c>
      <c r="E64" s="12">
        <v>1574473</v>
      </c>
      <c r="F64" s="12" t="s">
        <v>19</v>
      </c>
      <c r="G64" s="13">
        <v>20383782</v>
      </c>
      <c r="H64" s="12" t="s">
        <v>22</v>
      </c>
      <c r="I64" s="13">
        <v>1</v>
      </c>
      <c r="J64" s="14">
        <v>26.3</v>
      </c>
      <c r="K64" s="14">
        <f t="shared" si="1"/>
        <v>26.3</v>
      </c>
    </row>
    <row r="65" spans="4:11">
      <c r="D65" s="11">
        <v>46050</v>
      </c>
      <c r="E65" s="12">
        <v>1574473</v>
      </c>
      <c r="F65" s="12" t="s">
        <v>30</v>
      </c>
      <c r="G65" s="13">
        <v>20407320</v>
      </c>
      <c r="H65" s="12" t="s">
        <v>40</v>
      </c>
      <c r="I65" s="13">
        <v>1</v>
      </c>
      <c r="J65" s="14">
        <v>49.5</v>
      </c>
      <c r="K65" s="14">
        <f t="shared" si="1"/>
        <v>49.5</v>
      </c>
    </row>
    <row r="66" spans="4:11">
      <c r="D66" s="11">
        <v>46050</v>
      </c>
      <c r="E66" s="12">
        <v>1574473</v>
      </c>
      <c r="F66" s="12" t="s">
        <v>30</v>
      </c>
      <c r="G66" s="13">
        <v>20410929</v>
      </c>
      <c r="H66" s="12" t="s">
        <v>41</v>
      </c>
      <c r="I66" s="13">
        <v>1</v>
      </c>
      <c r="J66" s="14">
        <v>49.5</v>
      </c>
      <c r="K66" s="14">
        <f t="shared" si="1"/>
        <v>49.5</v>
      </c>
    </row>
    <row r="67" spans="4:11">
      <c r="D67" s="11">
        <v>46055</v>
      </c>
      <c r="E67" s="12">
        <v>1575526</v>
      </c>
      <c r="F67" s="12" t="s">
        <v>13</v>
      </c>
      <c r="G67" s="13">
        <v>20363286</v>
      </c>
      <c r="H67" s="12" t="s">
        <v>42</v>
      </c>
      <c r="I67" s="13">
        <v>1</v>
      </c>
      <c r="J67" s="14">
        <v>8.91</v>
      </c>
      <c r="K67" s="14">
        <f t="shared" si="1"/>
        <v>8.91</v>
      </c>
    </row>
    <row r="68" spans="4:11">
      <c r="D68" s="11">
        <v>46055</v>
      </c>
      <c r="E68" s="12">
        <v>1575526</v>
      </c>
      <c r="F68" s="12" t="s">
        <v>13</v>
      </c>
      <c r="G68" s="13">
        <v>20333294</v>
      </c>
      <c r="H68" s="12" t="s">
        <v>27</v>
      </c>
      <c r="I68" s="13">
        <v>2</v>
      </c>
      <c r="J68" s="14">
        <v>8.91</v>
      </c>
      <c r="K68" s="14">
        <f t="shared" si="1"/>
        <v>17.82</v>
      </c>
    </row>
    <row r="69" spans="4:11">
      <c r="D69" s="11">
        <v>46055</v>
      </c>
      <c r="E69" s="12">
        <v>1575526</v>
      </c>
      <c r="F69" s="12" t="s">
        <v>13</v>
      </c>
      <c r="G69" s="13">
        <v>20410925</v>
      </c>
      <c r="H69" s="12" t="s">
        <v>38</v>
      </c>
      <c r="I69" s="13">
        <v>1</v>
      </c>
      <c r="J69" s="14">
        <v>8.91</v>
      </c>
      <c r="K69" s="14">
        <f t="shared" si="1"/>
        <v>8.91</v>
      </c>
    </row>
    <row r="70" spans="4:11">
      <c r="D70" s="11">
        <v>46055</v>
      </c>
      <c r="E70" s="12">
        <v>1575526</v>
      </c>
      <c r="F70" s="12" t="s">
        <v>13</v>
      </c>
      <c r="G70" s="13">
        <v>20340606</v>
      </c>
      <c r="H70" s="12" t="s">
        <v>28</v>
      </c>
      <c r="I70" s="13">
        <v>2</v>
      </c>
      <c r="J70" s="14">
        <v>8.91</v>
      </c>
      <c r="K70" s="14">
        <f t="shared" si="1"/>
        <v>17.82</v>
      </c>
    </row>
    <row r="71" spans="4:11">
      <c r="D71" s="11">
        <v>46055</v>
      </c>
      <c r="E71" s="12">
        <v>1575526</v>
      </c>
      <c r="F71" s="12" t="s">
        <v>13</v>
      </c>
      <c r="G71" s="13">
        <v>20333307</v>
      </c>
      <c r="H71" s="12" t="s">
        <v>14</v>
      </c>
      <c r="I71" s="13">
        <v>1</v>
      </c>
      <c r="J71" s="14">
        <v>6</v>
      </c>
      <c r="K71" s="14">
        <f t="shared" si="1"/>
        <v>6</v>
      </c>
    </row>
    <row r="72" spans="4:11">
      <c r="D72" s="11">
        <v>46055</v>
      </c>
      <c r="E72" s="12">
        <v>1575526</v>
      </c>
      <c r="F72" s="12" t="s">
        <v>13</v>
      </c>
      <c r="G72" s="13">
        <v>20333309</v>
      </c>
      <c r="H72" s="12" t="s">
        <v>15</v>
      </c>
      <c r="I72" s="13">
        <v>4</v>
      </c>
      <c r="J72" s="14">
        <v>8.3</v>
      </c>
      <c r="K72" s="14">
        <f t="shared" si="1"/>
        <v>33.2</v>
      </c>
    </row>
    <row r="73" spans="4:11">
      <c r="D73" s="11">
        <v>46055</v>
      </c>
      <c r="E73" s="12">
        <v>1575526</v>
      </c>
      <c r="F73" s="12" t="s">
        <v>13</v>
      </c>
      <c r="G73" s="13">
        <v>20333295</v>
      </c>
      <c r="H73" s="12" t="s">
        <v>16</v>
      </c>
      <c r="I73" s="13">
        <v>7</v>
      </c>
      <c r="J73" s="14">
        <v>8.91</v>
      </c>
      <c r="K73" s="14">
        <f t="shared" si="1"/>
        <v>62.37</v>
      </c>
    </row>
    <row r="74" spans="4:11">
      <c r="D74" s="11">
        <v>46055</v>
      </c>
      <c r="E74" s="12">
        <v>1575526</v>
      </c>
      <c r="F74" s="12" t="s">
        <v>13</v>
      </c>
      <c r="G74" s="13">
        <v>20371099</v>
      </c>
      <c r="H74" s="12" t="s">
        <v>36</v>
      </c>
      <c r="I74" s="13">
        <v>2</v>
      </c>
      <c r="J74" s="14">
        <v>8.91</v>
      </c>
      <c r="K74" s="14">
        <f t="shared" si="1"/>
        <v>17.82</v>
      </c>
    </row>
    <row r="75" spans="4:11">
      <c r="D75" s="11">
        <v>46055</v>
      </c>
      <c r="E75" s="12">
        <v>1575526</v>
      </c>
      <c r="F75" s="12" t="s">
        <v>13</v>
      </c>
      <c r="G75" s="13">
        <v>20333313</v>
      </c>
      <c r="H75" s="12" t="s">
        <v>18</v>
      </c>
      <c r="I75" s="13">
        <v>4</v>
      </c>
      <c r="J75" s="14">
        <v>6</v>
      </c>
      <c r="K75" s="14">
        <f t="shared" si="1"/>
        <v>24</v>
      </c>
    </row>
    <row r="76" spans="4:11">
      <c r="D76" s="11">
        <v>46055</v>
      </c>
      <c r="E76" s="12">
        <v>1575554</v>
      </c>
      <c r="F76" s="12" t="s">
        <v>19</v>
      </c>
      <c r="G76" s="13">
        <v>20393402</v>
      </c>
      <c r="H76" s="12" t="s">
        <v>43</v>
      </c>
      <c r="I76" s="13">
        <v>2</v>
      </c>
      <c r="J76" s="14">
        <v>18.8</v>
      </c>
      <c r="K76" s="14">
        <f t="shared" ref="K76:K95" si="2">J76*I76</f>
        <v>37.6</v>
      </c>
    </row>
    <row r="77" spans="4:11">
      <c r="D77" s="11">
        <v>46055</v>
      </c>
      <c r="E77" s="12">
        <v>1575554</v>
      </c>
      <c r="F77" s="12" t="s">
        <v>19</v>
      </c>
      <c r="G77" s="13">
        <v>20411423</v>
      </c>
      <c r="H77" s="12" t="s">
        <v>44</v>
      </c>
      <c r="I77" s="13">
        <v>1</v>
      </c>
      <c r="J77" s="14">
        <v>33</v>
      </c>
      <c r="K77" s="14">
        <f t="shared" si="2"/>
        <v>33</v>
      </c>
    </row>
    <row r="78" spans="4:11">
      <c r="D78" s="11">
        <v>46055</v>
      </c>
      <c r="E78" s="12">
        <v>1575554</v>
      </c>
      <c r="F78" s="12" t="s">
        <v>19</v>
      </c>
      <c r="G78" s="13">
        <v>20384503</v>
      </c>
      <c r="H78" s="12" t="s">
        <v>21</v>
      </c>
      <c r="I78" s="13">
        <v>1</v>
      </c>
      <c r="J78" s="14">
        <v>18.8</v>
      </c>
      <c r="K78" s="14">
        <f t="shared" si="2"/>
        <v>18.8</v>
      </c>
    </row>
    <row r="79" spans="4:11">
      <c r="D79" s="11">
        <v>46055</v>
      </c>
      <c r="E79" s="12">
        <v>1575554</v>
      </c>
      <c r="F79" s="12" t="s">
        <v>19</v>
      </c>
      <c r="G79" s="13">
        <v>20383782</v>
      </c>
      <c r="H79" s="12" t="s">
        <v>22</v>
      </c>
      <c r="I79" s="13">
        <v>1</v>
      </c>
      <c r="J79" s="14">
        <v>26.3</v>
      </c>
      <c r="K79" s="14">
        <f t="shared" si="2"/>
        <v>26.3</v>
      </c>
    </row>
    <row r="80" ht="25.5" spans="4:11">
      <c r="D80" s="11">
        <v>46055</v>
      </c>
      <c r="E80" s="12">
        <v>1575554</v>
      </c>
      <c r="F80" s="12" t="s">
        <v>30</v>
      </c>
      <c r="G80" s="13">
        <v>20392179</v>
      </c>
      <c r="H80" s="12" t="s">
        <v>45</v>
      </c>
      <c r="I80" s="13">
        <v>1</v>
      </c>
      <c r="J80" s="14">
        <v>49.5</v>
      </c>
      <c r="K80" s="14">
        <f t="shared" si="2"/>
        <v>49.5</v>
      </c>
    </row>
    <row r="81" ht="25.5" spans="4:11">
      <c r="D81" s="11">
        <v>46055</v>
      </c>
      <c r="E81" s="12">
        <v>1575554</v>
      </c>
      <c r="F81" s="12" t="s">
        <v>30</v>
      </c>
      <c r="G81" s="13">
        <v>20392171</v>
      </c>
      <c r="H81" s="12" t="s">
        <v>46</v>
      </c>
      <c r="I81" s="13">
        <v>1</v>
      </c>
      <c r="J81" s="14">
        <v>33</v>
      </c>
      <c r="K81" s="14">
        <f t="shared" si="2"/>
        <v>33</v>
      </c>
    </row>
    <row r="82" spans="4:11">
      <c r="D82" s="11">
        <v>46055</v>
      </c>
      <c r="E82" s="12">
        <v>1575554</v>
      </c>
      <c r="F82" s="12" t="s">
        <v>30</v>
      </c>
      <c r="G82" s="13">
        <v>20410929</v>
      </c>
      <c r="H82" s="12" t="s">
        <v>41</v>
      </c>
      <c r="I82" s="13">
        <v>1</v>
      </c>
      <c r="J82" s="14">
        <v>49.5</v>
      </c>
      <c r="K82" s="14">
        <f t="shared" si="2"/>
        <v>49.5</v>
      </c>
    </row>
    <row r="83" spans="4:11">
      <c r="D83" s="11">
        <v>46056</v>
      </c>
      <c r="E83" s="12">
        <v>1575701</v>
      </c>
      <c r="F83" s="12" t="s">
        <v>19</v>
      </c>
      <c r="G83" s="13">
        <v>20383782</v>
      </c>
      <c r="H83" s="12" t="s">
        <v>22</v>
      </c>
      <c r="I83" s="13">
        <v>1</v>
      </c>
      <c r="J83" s="14">
        <v>26.3</v>
      </c>
      <c r="K83" s="14">
        <f t="shared" si="2"/>
        <v>26.3</v>
      </c>
    </row>
    <row r="84" spans="4:11">
      <c r="D84" s="11">
        <v>46057</v>
      </c>
      <c r="E84" s="12">
        <v>1576177</v>
      </c>
      <c r="F84" s="12" t="s">
        <v>19</v>
      </c>
      <c r="G84" s="13">
        <v>20384503</v>
      </c>
      <c r="H84" s="12" t="s">
        <v>21</v>
      </c>
      <c r="I84" s="13">
        <v>1</v>
      </c>
      <c r="J84" s="14">
        <v>18.8</v>
      </c>
      <c r="K84" s="14">
        <f t="shared" si="2"/>
        <v>18.8</v>
      </c>
    </row>
    <row r="85" spans="4:11">
      <c r="D85" s="11">
        <v>46057</v>
      </c>
      <c r="E85" s="12">
        <v>1576177</v>
      </c>
      <c r="F85" s="12" t="s">
        <v>19</v>
      </c>
      <c r="G85" s="13">
        <v>20383782</v>
      </c>
      <c r="H85" s="12" t="s">
        <v>22</v>
      </c>
      <c r="I85" s="13">
        <v>2</v>
      </c>
      <c r="J85" s="14">
        <v>26.3</v>
      </c>
      <c r="K85" s="14">
        <f t="shared" si="2"/>
        <v>52.6</v>
      </c>
    </row>
    <row r="86" spans="4:11">
      <c r="D86" s="11">
        <v>46057</v>
      </c>
      <c r="E86" s="12">
        <v>1576177</v>
      </c>
      <c r="F86" s="12" t="s">
        <v>30</v>
      </c>
      <c r="G86" s="13">
        <v>20383780</v>
      </c>
      <c r="H86" s="12" t="s">
        <v>47</v>
      </c>
      <c r="I86" s="13">
        <v>1</v>
      </c>
      <c r="J86" s="14">
        <v>49.5</v>
      </c>
      <c r="K86" s="14">
        <f t="shared" si="2"/>
        <v>49.5</v>
      </c>
    </row>
    <row r="87" spans="4:11">
      <c r="D87" s="11">
        <v>46057</v>
      </c>
      <c r="E87" s="12">
        <v>1576177</v>
      </c>
      <c r="F87" s="12" t="s">
        <v>30</v>
      </c>
      <c r="G87" s="13">
        <v>20383779</v>
      </c>
      <c r="H87" s="12" t="s">
        <v>31</v>
      </c>
      <c r="I87" s="13">
        <v>1</v>
      </c>
      <c r="J87" s="14">
        <v>49.5</v>
      </c>
      <c r="K87" s="14">
        <f t="shared" si="2"/>
        <v>49.5</v>
      </c>
    </row>
    <row r="88" ht="25.5" spans="4:11">
      <c r="D88" s="11">
        <v>46057</v>
      </c>
      <c r="E88" s="12">
        <v>1576248</v>
      </c>
      <c r="F88" s="12" t="s">
        <v>13</v>
      </c>
      <c r="G88" s="13">
        <v>20333333</v>
      </c>
      <c r="H88" s="12" t="s">
        <v>48</v>
      </c>
      <c r="I88" s="13">
        <v>1</v>
      </c>
      <c r="J88" s="14">
        <v>8.91</v>
      </c>
      <c r="K88" s="14">
        <f t="shared" si="2"/>
        <v>8.91</v>
      </c>
    </row>
    <row r="89" spans="4:11">
      <c r="D89" s="11">
        <v>46057</v>
      </c>
      <c r="E89" s="12">
        <v>1576248</v>
      </c>
      <c r="F89" s="12" t="s">
        <v>13</v>
      </c>
      <c r="G89" s="13">
        <v>20333307</v>
      </c>
      <c r="H89" s="12" t="s">
        <v>14</v>
      </c>
      <c r="I89" s="13">
        <v>1</v>
      </c>
      <c r="J89" s="14">
        <v>6</v>
      </c>
      <c r="K89" s="14">
        <f t="shared" si="2"/>
        <v>6</v>
      </c>
    </row>
    <row r="90" spans="4:11">
      <c r="D90" s="11">
        <v>46057</v>
      </c>
      <c r="E90" s="12">
        <v>1576248</v>
      </c>
      <c r="F90" s="12" t="s">
        <v>13</v>
      </c>
      <c r="G90" s="13">
        <v>20333309</v>
      </c>
      <c r="H90" s="12" t="s">
        <v>15</v>
      </c>
      <c r="I90" s="13">
        <v>1</v>
      </c>
      <c r="J90" s="14">
        <v>8.3</v>
      </c>
      <c r="K90" s="14">
        <f t="shared" si="2"/>
        <v>8.3</v>
      </c>
    </row>
    <row r="91" spans="4:11">
      <c r="D91" s="11">
        <v>46057</v>
      </c>
      <c r="E91" s="12">
        <v>1576248</v>
      </c>
      <c r="F91" s="12" t="s">
        <v>13</v>
      </c>
      <c r="G91" s="13">
        <v>20333295</v>
      </c>
      <c r="H91" s="12" t="s">
        <v>16</v>
      </c>
      <c r="I91" s="13">
        <v>7</v>
      </c>
      <c r="J91" s="14">
        <v>8.91</v>
      </c>
      <c r="K91" s="14">
        <f t="shared" si="2"/>
        <v>62.37</v>
      </c>
    </row>
    <row r="92" spans="4:11">
      <c r="D92" s="11">
        <v>46057</v>
      </c>
      <c r="E92" s="12">
        <v>1576248</v>
      </c>
      <c r="F92" s="12" t="s">
        <v>13</v>
      </c>
      <c r="G92" s="13">
        <v>20344881</v>
      </c>
      <c r="H92" s="12" t="s">
        <v>49</v>
      </c>
      <c r="I92" s="13">
        <v>1</v>
      </c>
      <c r="J92" s="14">
        <v>10.125</v>
      </c>
      <c r="K92" s="14">
        <f t="shared" si="2"/>
        <v>10.125</v>
      </c>
    </row>
    <row r="93" spans="4:11">
      <c r="D93" s="11">
        <v>46057</v>
      </c>
      <c r="E93" s="12">
        <v>1576248</v>
      </c>
      <c r="F93" s="12" t="s">
        <v>13</v>
      </c>
      <c r="G93" s="13">
        <v>20333313</v>
      </c>
      <c r="H93" s="12" t="s">
        <v>18</v>
      </c>
      <c r="I93" s="13">
        <v>4</v>
      </c>
      <c r="J93" s="14">
        <v>6</v>
      </c>
      <c r="K93" s="14">
        <f t="shared" si="2"/>
        <v>24</v>
      </c>
    </row>
    <row r="94" spans="4:11">
      <c r="D94" s="11">
        <v>46057</v>
      </c>
      <c r="E94" s="12">
        <v>1576248</v>
      </c>
      <c r="F94" s="12" t="s">
        <v>13</v>
      </c>
      <c r="G94" s="13">
        <v>20371376</v>
      </c>
      <c r="H94" s="12" t="s">
        <v>32</v>
      </c>
      <c r="I94" s="13">
        <v>1</v>
      </c>
      <c r="J94" s="14">
        <v>8.91</v>
      </c>
      <c r="K94" s="14">
        <f t="shared" si="2"/>
        <v>8.91</v>
      </c>
    </row>
    <row r="95" spans="4:11">
      <c r="D95" s="11">
        <v>46057</v>
      </c>
      <c r="E95" s="12">
        <v>1576248</v>
      </c>
      <c r="F95" s="12" t="s">
        <v>13</v>
      </c>
      <c r="G95" s="13">
        <v>20333317</v>
      </c>
      <c r="H95" s="12" t="s">
        <v>50</v>
      </c>
      <c r="I95" s="13">
        <v>1</v>
      </c>
      <c r="J95" s="14">
        <v>6</v>
      </c>
      <c r="K95" s="14">
        <f t="shared" si="2"/>
        <v>6</v>
      </c>
    </row>
    <row r="96" ht="0.05" customHeight="1"/>
  </sheetData>
  <autoFilter xmlns:etc="http://www.wps.cn/officeDocument/2017/etCustomData" ref="A9:K95" etc:filterBottomFollowUsedRange="0">
    <extLst/>
  </autoFilter>
  <mergeCells count="6">
    <mergeCell ref="D8:H8"/>
    <mergeCell ref="D10:H10"/>
    <mergeCell ref="C9:C95"/>
    <mergeCell ref="B4:H5"/>
    <mergeCell ref="A8:B95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&amp;"-,Regular"2026年2月5日 13:50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13" activePane="bottomLeft" state="frozen"/>
      <selection/>
      <selection pane="bottomLeft" activeCell="L29" sqref="L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10.125" customWidth="1"/>
    <col min="6" max="6" width="14.95" customWidth="1"/>
    <col min="7" max="7" width="9.36666666666667" customWidth="1"/>
    <col min="8" max="8" width="31.25" customWidth="1"/>
    <col min="9" max="9" width="8.125" customWidth="1"/>
    <col min="10" max="10" width="12.5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45</v>
      </c>
      <c r="J8" s="10"/>
      <c r="K8" s="10">
        <f>SUM(K9:K43)</f>
        <v>1322.88</v>
      </c>
    </row>
    <row r="9" spans="1:11">
      <c r="D9" s="11">
        <v>46041</v>
      </c>
      <c r="E9" s="12">
        <v>1571720</v>
      </c>
      <c r="F9" s="12" t="s">
        <v>52</v>
      </c>
      <c r="G9" s="13">
        <v>20333419</v>
      </c>
      <c r="H9" s="12" t="s">
        <v>53</v>
      </c>
      <c r="I9" s="13">
        <v>1</v>
      </c>
      <c r="J9" s="14">
        <v>119.625</v>
      </c>
      <c r="K9" s="14">
        <f>J9*I9</f>
        <v>119.625</v>
      </c>
    </row>
    <row r="10" spans="1:11">
      <c r="D10" s="11">
        <v>46041</v>
      </c>
      <c r="E10" s="12">
        <v>1571720</v>
      </c>
      <c r="F10" s="12" t="s">
        <v>13</v>
      </c>
      <c r="G10" s="13">
        <v>20333310</v>
      </c>
      <c r="H10" s="12" t="s">
        <v>26</v>
      </c>
      <c r="I10" s="13">
        <v>1</v>
      </c>
      <c r="J10" s="14">
        <v>6</v>
      </c>
      <c r="K10" s="14">
        <f t="shared" ref="K10:K43" si="0">J10*I10</f>
        <v>6</v>
      </c>
    </row>
    <row r="11" spans="1:11">
      <c r="D11" s="11">
        <v>46041</v>
      </c>
      <c r="E11" s="12">
        <v>1571720</v>
      </c>
      <c r="F11" s="12" t="s">
        <v>13</v>
      </c>
      <c r="G11" s="13">
        <v>20333312</v>
      </c>
      <c r="H11" s="12" t="s">
        <v>54</v>
      </c>
      <c r="I11" s="13">
        <v>2</v>
      </c>
      <c r="J11" s="14">
        <v>8.3</v>
      </c>
      <c r="K11" s="14">
        <f t="shared" si="0"/>
        <v>16.6</v>
      </c>
    </row>
    <row r="12" spans="1:11">
      <c r="D12" s="11">
        <v>46041</v>
      </c>
      <c r="E12" s="12">
        <v>1571720</v>
      </c>
      <c r="F12" s="12" t="s">
        <v>13</v>
      </c>
      <c r="G12" s="13">
        <v>20338064</v>
      </c>
      <c r="H12" s="12" t="s">
        <v>55</v>
      </c>
      <c r="I12" s="13">
        <v>1</v>
      </c>
      <c r="J12" s="14">
        <v>16.5</v>
      </c>
      <c r="K12" s="14">
        <f t="shared" si="0"/>
        <v>16.5</v>
      </c>
    </row>
    <row r="13" spans="1:11">
      <c r="D13" s="11">
        <v>46041</v>
      </c>
      <c r="E13" s="12">
        <v>1571720</v>
      </c>
      <c r="F13" s="12" t="s">
        <v>13</v>
      </c>
      <c r="G13" s="13">
        <v>20334072</v>
      </c>
      <c r="H13" s="12" t="s">
        <v>56</v>
      </c>
      <c r="I13" s="13">
        <v>1</v>
      </c>
      <c r="J13" s="14">
        <v>8.91</v>
      </c>
      <c r="K13" s="14">
        <f t="shared" si="0"/>
        <v>8.91</v>
      </c>
    </row>
    <row r="14" customHeight="1" spans="1:11">
      <c r="D14" s="11">
        <v>46041</v>
      </c>
      <c r="E14" s="12">
        <v>1571720</v>
      </c>
      <c r="F14" s="12" t="s">
        <v>57</v>
      </c>
      <c r="G14" s="13">
        <v>20333792</v>
      </c>
      <c r="H14" s="12" t="s">
        <v>58</v>
      </c>
      <c r="I14" s="13">
        <v>1</v>
      </c>
      <c r="J14" s="14">
        <v>8.91</v>
      </c>
      <c r="K14" s="14">
        <f t="shared" si="0"/>
        <v>8.91</v>
      </c>
    </row>
    <row r="15" customHeight="1" spans="1:11">
      <c r="D15" s="11">
        <v>46041</v>
      </c>
      <c r="E15" s="12">
        <v>1571720</v>
      </c>
      <c r="F15" s="12" t="s">
        <v>57</v>
      </c>
      <c r="G15" s="13">
        <v>20333477</v>
      </c>
      <c r="H15" s="12" t="s">
        <v>59</v>
      </c>
      <c r="I15" s="13">
        <v>2</v>
      </c>
      <c r="J15" s="14">
        <v>16.5</v>
      </c>
      <c r="K15" s="14">
        <f t="shared" si="0"/>
        <v>33</v>
      </c>
    </row>
    <row r="16" customHeight="1" spans="1:11">
      <c r="D16" s="11">
        <v>46043</v>
      </c>
      <c r="E16" s="12">
        <v>1572416</v>
      </c>
      <c r="F16" s="12" t="s">
        <v>52</v>
      </c>
      <c r="G16" s="13">
        <v>20333422</v>
      </c>
      <c r="H16" s="12" t="s">
        <v>60</v>
      </c>
      <c r="I16" s="13">
        <v>1</v>
      </c>
      <c r="J16" s="14">
        <v>119.625</v>
      </c>
      <c r="K16" s="14">
        <f t="shared" si="0"/>
        <v>119.625</v>
      </c>
    </row>
    <row r="17" customHeight="1" spans="4:11">
      <c r="D17" s="11">
        <v>46043</v>
      </c>
      <c r="E17" s="12">
        <v>1572416</v>
      </c>
      <c r="F17" s="12" t="s">
        <v>52</v>
      </c>
      <c r="G17" s="13">
        <v>20334663</v>
      </c>
      <c r="H17" s="12" t="s">
        <v>61</v>
      </c>
      <c r="I17" s="13">
        <v>1</v>
      </c>
      <c r="J17" s="14">
        <v>57.75</v>
      </c>
      <c r="K17" s="14">
        <f t="shared" si="0"/>
        <v>57.75</v>
      </c>
    </row>
    <row r="18" customHeight="1" spans="4:11">
      <c r="D18" s="11">
        <v>46043</v>
      </c>
      <c r="E18" s="12">
        <v>1572416</v>
      </c>
      <c r="F18" s="12" t="s">
        <v>13</v>
      </c>
      <c r="G18" s="13">
        <v>20333312</v>
      </c>
      <c r="H18" s="12" t="s">
        <v>54</v>
      </c>
      <c r="I18" s="13">
        <v>3</v>
      </c>
      <c r="J18" s="14">
        <v>8.3</v>
      </c>
      <c r="K18" s="14">
        <f t="shared" si="0"/>
        <v>24.9</v>
      </c>
    </row>
    <row r="19" customHeight="1" spans="4:11">
      <c r="D19" s="11">
        <v>46043</v>
      </c>
      <c r="E19" s="12">
        <v>1572416</v>
      </c>
      <c r="F19" s="12" t="s">
        <v>13</v>
      </c>
      <c r="G19" s="13">
        <v>20333334</v>
      </c>
      <c r="H19" s="12" t="s">
        <v>62</v>
      </c>
      <c r="I19" s="13">
        <v>2</v>
      </c>
      <c r="J19" s="14">
        <v>9.8</v>
      </c>
      <c r="K19" s="14">
        <f t="shared" si="0"/>
        <v>19.6</v>
      </c>
    </row>
    <row r="20" customHeight="1" spans="4:11">
      <c r="D20" s="11">
        <v>46043</v>
      </c>
      <c r="E20" s="12">
        <v>1572416</v>
      </c>
      <c r="F20" s="12" t="s">
        <v>13</v>
      </c>
      <c r="G20" s="13">
        <v>20335782</v>
      </c>
      <c r="H20" s="12" t="s">
        <v>63</v>
      </c>
      <c r="I20" s="13">
        <v>1</v>
      </c>
      <c r="J20" s="14">
        <v>8.91</v>
      </c>
      <c r="K20" s="14">
        <f t="shared" si="0"/>
        <v>8.91</v>
      </c>
    </row>
    <row r="21" customHeight="1" spans="4:11">
      <c r="D21" s="11">
        <v>46043</v>
      </c>
      <c r="E21" s="12">
        <v>1572416</v>
      </c>
      <c r="F21" s="12" t="s">
        <v>13</v>
      </c>
      <c r="G21" s="13">
        <v>20333304</v>
      </c>
      <c r="H21" s="12" t="s">
        <v>64</v>
      </c>
      <c r="I21" s="13">
        <v>1</v>
      </c>
      <c r="J21" s="14">
        <v>8.91</v>
      </c>
      <c r="K21" s="14">
        <f t="shared" si="0"/>
        <v>8.91</v>
      </c>
    </row>
    <row r="22" customHeight="1" spans="4:11">
      <c r="D22" s="11">
        <v>46043</v>
      </c>
      <c r="E22" s="12">
        <v>1572416</v>
      </c>
      <c r="F22" s="12" t="s">
        <v>13</v>
      </c>
      <c r="G22" s="13">
        <v>20334072</v>
      </c>
      <c r="H22" s="12" t="s">
        <v>56</v>
      </c>
      <c r="I22" s="13">
        <v>1</v>
      </c>
      <c r="J22" s="14">
        <v>8.91</v>
      </c>
      <c r="K22" s="14">
        <f t="shared" si="0"/>
        <v>8.91</v>
      </c>
    </row>
    <row r="23" customHeight="1" spans="4:11">
      <c r="D23" s="11">
        <v>46043</v>
      </c>
      <c r="E23" s="12">
        <v>1572416</v>
      </c>
      <c r="F23" s="12" t="s">
        <v>65</v>
      </c>
      <c r="G23" s="13">
        <v>20333421</v>
      </c>
      <c r="H23" s="12" t="s">
        <v>66</v>
      </c>
      <c r="I23" s="13">
        <v>1</v>
      </c>
      <c r="J23" s="14">
        <v>57.75</v>
      </c>
      <c r="K23" s="14">
        <f t="shared" si="0"/>
        <v>57.75</v>
      </c>
    </row>
    <row r="24" customHeight="1" spans="4:11">
      <c r="D24" s="11">
        <v>46043</v>
      </c>
      <c r="E24" s="12">
        <v>1572416</v>
      </c>
      <c r="F24" s="12" t="s">
        <v>57</v>
      </c>
      <c r="G24" s="13">
        <v>20403002</v>
      </c>
      <c r="H24" s="12" t="s">
        <v>67</v>
      </c>
      <c r="I24" s="13">
        <v>1</v>
      </c>
      <c r="J24" s="14">
        <v>8.91</v>
      </c>
      <c r="K24" s="14">
        <f t="shared" si="0"/>
        <v>8.91</v>
      </c>
    </row>
    <row r="25" customHeight="1" spans="4:11">
      <c r="D25" s="11">
        <v>46043</v>
      </c>
      <c r="E25" s="12">
        <v>1572416</v>
      </c>
      <c r="F25" s="12" t="s">
        <v>57</v>
      </c>
      <c r="G25" s="13">
        <v>20333477</v>
      </c>
      <c r="H25" s="12" t="s">
        <v>59</v>
      </c>
      <c r="I25" s="13">
        <v>1</v>
      </c>
      <c r="J25" s="14">
        <v>16.5</v>
      </c>
      <c r="K25" s="14">
        <f t="shared" si="0"/>
        <v>16.5</v>
      </c>
    </row>
    <row r="26" customHeight="1" spans="4:11">
      <c r="D26" s="11">
        <v>46048</v>
      </c>
      <c r="E26" s="12">
        <v>1573601</v>
      </c>
      <c r="F26" s="12" t="s">
        <v>13</v>
      </c>
      <c r="G26" s="13">
        <v>20366819</v>
      </c>
      <c r="H26" s="12" t="s">
        <v>68</v>
      </c>
      <c r="I26" s="13">
        <v>1</v>
      </c>
      <c r="J26" s="14">
        <v>8.91</v>
      </c>
      <c r="K26" s="14">
        <f t="shared" si="0"/>
        <v>8.91</v>
      </c>
    </row>
    <row r="27" customHeight="1" spans="4:11">
      <c r="D27" s="11">
        <v>46048</v>
      </c>
      <c r="E27" s="12">
        <v>1573601</v>
      </c>
      <c r="F27" s="12" t="s">
        <v>13</v>
      </c>
      <c r="G27" s="13">
        <v>20333434</v>
      </c>
      <c r="H27" s="12" t="s">
        <v>69</v>
      </c>
      <c r="I27" s="13">
        <v>1</v>
      </c>
      <c r="J27" s="14">
        <v>6</v>
      </c>
      <c r="K27" s="14">
        <f t="shared" si="0"/>
        <v>6</v>
      </c>
    </row>
    <row r="28" customHeight="1" spans="4:11">
      <c r="D28" s="11">
        <v>46048</v>
      </c>
      <c r="E28" s="12">
        <v>1573601</v>
      </c>
      <c r="F28" s="12" t="s">
        <v>13</v>
      </c>
      <c r="G28" s="13">
        <v>20333334</v>
      </c>
      <c r="H28" s="12" t="s">
        <v>62</v>
      </c>
      <c r="I28" s="13">
        <v>1</v>
      </c>
      <c r="J28" s="14">
        <v>9.8</v>
      </c>
      <c r="K28" s="14">
        <f t="shared" si="0"/>
        <v>9.8</v>
      </c>
    </row>
    <row r="29" customHeight="1" spans="4:11">
      <c r="D29" s="11">
        <v>46048</v>
      </c>
      <c r="E29" s="12">
        <v>1573601</v>
      </c>
      <c r="F29" s="12" t="s">
        <v>65</v>
      </c>
      <c r="G29" s="13">
        <v>20333421</v>
      </c>
      <c r="H29" s="12" t="s">
        <v>66</v>
      </c>
      <c r="I29" s="13">
        <v>1</v>
      </c>
      <c r="J29" s="14">
        <v>57.75</v>
      </c>
      <c r="K29" s="14">
        <f t="shared" si="0"/>
        <v>57.75</v>
      </c>
    </row>
    <row r="30" customHeight="1" spans="4:11">
      <c r="D30" s="11">
        <v>46050</v>
      </c>
      <c r="E30" s="12">
        <v>1574311</v>
      </c>
      <c r="F30" s="12" t="s">
        <v>52</v>
      </c>
      <c r="G30" s="13">
        <v>20333880</v>
      </c>
      <c r="H30" s="12" t="s">
        <v>70</v>
      </c>
      <c r="I30" s="13">
        <v>1</v>
      </c>
      <c r="J30" s="14">
        <v>66</v>
      </c>
      <c r="K30" s="14">
        <f t="shared" si="0"/>
        <v>66</v>
      </c>
    </row>
    <row r="31" customHeight="1" spans="4:11">
      <c r="D31" s="11">
        <v>46050</v>
      </c>
      <c r="E31" s="12">
        <v>1574311</v>
      </c>
      <c r="F31" s="12" t="s">
        <v>13</v>
      </c>
      <c r="G31" s="13">
        <v>20333434</v>
      </c>
      <c r="H31" s="12" t="s">
        <v>69</v>
      </c>
      <c r="I31" s="13">
        <v>1</v>
      </c>
      <c r="J31" s="14">
        <v>6</v>
      </c>
      <c r="K31" s="14">
        <f t="shared" si="0"/>
        <v>6</v>
      </c>
    </row>
    <row r="32" customHeight="1" spans="4:11">
      <c r="D32" s="11">
        <v>46050</v>
      </c>
      <c r="E32" s="12">
        <v>1574311</v>
      </c>
      <c r="F32" s="12" t="s">
        <v>57</v>
      </c>
      <c r="G32" s="13">
        <v>20333477</v>
      </c>
      <c r="H32" s="12" t="s">
        <v>59</v>
      </c>
      <c r="I32" s="13">
        <v>1</v>
      </c>
      <c r="J32" s="14">
        <v>16.5</v>
      </c>
      <c r="K32" s="14">
        <f t="shared" si="0"/>
        <v>16.5</v>
      </c>
    </row>
    <row r="33" customHeight="1" spans="4:11">
      <c r="D33" s="11">
        <v>46055</v>
      </c>
      <c r="E33" s="12">
        <v>1575527</v>
      </c>
      <c r="F33" s="12" t="s">
        <v>52</v>
      </c>
      <c r="G33" s="13">
        <v>20335606</v>
      </c>
      <c r="H33" s="12" t="s">
        <v>71</v>
      </c>
      <c r="I33" s="13">
        <v>2</v>
      </c>
      <c r="J33" s="14">
        <v>206.25</v>
      </c>
      <c r="K33" s="14">
        <f t="shared" si="0"/>
        <v>412.5</v>
      </c>
    </row>
    <row r="34" customHeight="1" spans="4:11">
      <c r="D34" s="11">
        <v>46055</v>
      </c>
      <c r="E34" s="12">
        <v>1575527</v>
      </c>
      <c r="F34" s="12" t="s">
        <v>13</v>
      </c>
      <c r="G34" s="13">
        <v>20333310</v>
      </c>
      <c r="H34" s="12" t="s">
        <v>26</v>
      </c>
      <c r="I34" s="13">
        <v>1</v>
      </c>
      <c r="J34" s="14">
        <v>6</v>
      </c>
      <c r="K34" s="14">
        <f t="shared" si="0"/>
        <v>6</v>
      </c>
    </row>
    <row r="35" customHeight="1" spans="4:11">
      <c r="D35" s="11">
        <v>46055</v>
      </c>
      <c r="E35" s="12">
        <v>1575527</v>
      </c>
      <c r="F35" s="12" t="s">
        <v>13</v>
      </c>
      <c r="G35" s="13">
        <v>20011159</v>
      </c>
      <c r="H35" s="12" t="s">
        <v>72</v>
      </c>
      <c r="I35" s="13">
        <v>1</v>
      </c>
      <c r="J35" s="14">
        <v>6</v>
      </c>
      <c r="K35" s="14">
        <f t="shared" si="0"/>
        <v>6</v>
      </c>
    </row>
    <row r="36" customHeight="1" spans="4:11">
      <c r="D36" s="11">
        <v>46055</v>
      </c>
      <c r="E36" s="12">
        <v>1575527</v>
      </c>
      <c r="F36" s="12" t="s">
        <v>13</v>
      </c>
      <c r="G36" s="13">
        <v>20333312</v>
      </c>
      <c r="H36" s="12" t="s">
        <v>54</v>
      </c>
      <c r="I36" s="13">
        <v>3</v>
      </c>
      <c r="J36" s="14">
        <v>8.3</v>
      </c>
      <c r="K36" s="14">
        <f t="shared" si="0"/>
        <v>24.9</v>
      </c>
    </row>
    <row r="37" customHeight="1" spans="4:11">
      <c r="D37" s="11">
        <v>46055</v>
      </c>
      <c r="E37" s="12">
        <v>1575527</v>
      </c>
      <c r="F37" s="12" t="s">
        <v>13</v>
      </c>
      <c r="G37" s="13">
        <v>20333395</v>
      </c>
      <c r="H37" s="12" t="s">
        <v>73</v>
      </c>
      <c r="I37" s="13">
        <v>1</v>
      </c>
      <c r="J37" s="14">
        <v>6</v>
      </c>
      <c r="K37" s="14">
        <f t="shared" si="0"/>
        <v>6</v>
      </c>
    </row>
    <row r="38" customHeight="1" spans="4:11">
      <c r="D38" s="11">
        <v>46055</v>
      </c>
      <c r="E38" s="12">
        <v>1575527</v>
      </c>
      <c r="F38" s="12" t="s">
        <v>57</v>
      </c>
      <c r="G38" s="13">
        <v>20360743</v>
      </c>
      <c r="H38" s="12" t="s">
        <v>74</v>
      </c>
      <c r="I38" s="13">
        <v>1</v>
      </c>
      <c r="J38" s="14">
        <v>8.91</v>
      </c>
      <c r="K38" s="14">
        <f t="shared" si="0"/>
        <v>8.91</v>
      </c>
    </row>
    <row r="39" customHeight="1" spans="4:11">
      <c r="D39" s="11">
        <v>46055</v>
      </c>
      <c r="E39" s="12">
        <v>1575527</v>
      </c>
      <c r="F39" s="12" t="s">
        <v>57</v>
      </c>
      <c r="G39" s="13">
        <v>20333477</v>
      </c>
      <c r="H39" s="12" t="s">
        <v>59</v>
      </c>
      <c r="I39" s="13">
        <v>3</v>
      </c>
      <c r="J39" s="14">
        <v>16.5</v>
      </c>
      <c r="K39" s="14">
        <f t="shared" si="0"/>
        <v>49.5</v>
      </c>
    </row>
    <row r="40" customHeight="1" spans="4:11">
      <c r="D40" s="11">
        <v>46057</v>
      </c>
      <c r="E40" s="12">
        <v>1576249</v>
      </c>
      <c r="F40" s="12" t="s">
        <v>52</v>
      </c>
      <c r="G40" s="13">
        <v>20333880</v>
      </c>
      <c r="H40" s="12" t="s">
        <v>70</v>
      </c>
      <c r="I40" s="13">
        <v>1</v>
      </c>
      <c r="J40" s="14">
        <v>66</v>
      </c>
      <c r="K40" s="14">
        <f t="shared" si="0"/>
        <v>66</v>
      </c>
    </row>
    <row r="41" customHeight="1" spans="4:11">
      <c r="D41" s="11">
        <v>46057</v>
      </c>
      <c r="E41" s="12">
        <v>1576249</v>
      </c>
      <c r="F41" s="12" t="s">
        <v>13</v>
      </c>
      <c r="G41" s="13">
        <v>20333312</v>
      </c>
      <c r="H41" s="12" t="s">
        <v>54</v>
      </c>
      <c r="I41" s="13">
        <v>1</v>
      </c>
      <c r="J41" s="14">
        <v>8.3</v>
      </c>
      <c r="K41" s="14">
        <f t="shared" si="0"/>
        <v>8.3</v>
      </c>
    </row>
    <row r="42" customHeight="1" spans="4:11">
      <c r="D42" s="11">
        <v>46057</v>
      </c>
      <c r="E42" s="12">
        <v>1576249</v>
      </c>
      <c r="F42" s="12" t="s">
        <v>13</v>
      </c>
      <c r="G42" s="13">
        <v>20012494</v>
      </c>
      <c r="H42" s="12" t="s">
        <v>75</v>
      </c>
      <c r="I42" s="13">
        <v>1</v>
      </c>
      <c r="J42" s="14">
        <v>6</v>
      </c>
      <c r="K42" s="14">
        <f t="shared" si="0"/>
        <v>6</v>
      </c>
    </row>
    <row r="43" customHeight="1" spans="4:11">
      <c r="D43" s="11">
        <v>46057</v>
      </c>
      <c r="E43" s="12">
        <v>1576249</v>
      </c>
      <c r="F43" s="12" t="s">
        <v>57</v>
      </c>
      <c r="G43" s="13">
        <v>20333477</v>
      </c>
      <c r="H43" s="12" t="s">
        <v>59</v>
      </c>
      <c r="I43" s="13">
        <v>1</v>
      </c>
      <c r="J43" s="14">
        <v>16.5</v>
      </c>
      <c r="K43" s="14">
        <f t="shared" si="0"/>
        <v>16.5</v>
      </c>
    </row>
    <row r="44" customHeight="1"/>
    <row r="45" customHeight="1"/>
  </sheetData>
  <autoFilter xmlns:etc="http://www.wps.cn/officeDocument/2017/etCustomData" ref="A7:K43" etc:filterBottomFollowUsedRange="0">
    <extLst/>
  </autoFilter>
  <mergeCells count="5">
    <mergeCell ref="D8:H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&amp;"-,Regular"2026年2月5日 13:50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15" t="s">
        <v>10</v>
      </c>
      <c r="K7" s="6" t="s">
        <v>11</v>
      </c>
    </row>
    <row r="8" ht="14.25" spans="1:11">
      <c r="D8" s="7" t="s">
        <v>76</v>
      </c>
      <c r="E8" s="8" t="s">
        <v>2</v>
      </c>
      <c r="F8" s="8" t="s">
        <v>2</v>
      </c>
      <c r="G8" s="8" t="s">
        <v>2</v>
      </c>
      <c r="H8" s="8" t="s">
        <v>2</v>
      </c>
      <c r="I8" s="9">
        <v>59</v>
      </c>
      <c r="J8" s="10"/>
      <c r="K8" s="10">
        <v>871.125</v>
      </c>
    </row>
    <row r="9" spans="1:11">
      <c r="D9" s="11">
        <v>46038</v>
      </c>
      <c r="E9" s="12">
        <v>1571179</v>
      </c>
      <c r="F9" s="12" t="s">
        <v>13</v>
      </c>
      <c r="G9" s="13">
        <v>20333389</v>
      </c>
      <c r="H9" s="12" t="s">
        <v>77</v>
      </c>
      <c r="I9" s="13">
        <v>1</v>
      </c>
      <c r="J9" s="14">
        <v>6</v>
      </c>
      <c r="K9" s="14">
        <f>J9*I9</f>
        <v>6</v>
      </c>
    </row>
    <row r="10" spans="1:11">
      <c r="D10" s="11">
        <v>46038</v>
      </c>
      <c r="E10" s="12">
        <v>1571179</v>
      </c>
      <c r="F10" s="12" t="s">
        <v>13</v>
      </c>
      <c r="G10" s="13">
        <v>20333313</v>
      </c>
      <c r="H10" s="12" t="s">
        <v>18</v>
      </c>
      <c r="I10" s="13">
        <v>2</v>
      </c>
      <c r="J10" s="14">
        <v>6</v>
      </c>
      <c r="K10" s="14">
        <f t="shared" ref="K10:K39" si="0">J10*I10</f>
        <v>12</v>
      </c>
    </row>
    <row r="11" spans="1:11">
      <c r="D11" s="11">
        <v>46038</v>
      </c>
      <c r="E11" s="12">
        <v>1571179</v>
      </c>
      <c r="F11" s="12" t="s">
        <v>65</v>
      </c>
      <c r="G11" s="13">
        <v>20333641</v>
      </c>
      <c r="H11" s="12" t="s">
        <v>78</v>
      </c>
      <c r="I11" s="13">
        <v>2</v>
      </c>
      <c r="J11" s="14">
        <v>24.75</v>
      </c>
      <c r="K11" s="14">
        <f t="shared" si="0"/>
        <v>49.5</v>
      </c>
    </row>
    <row r="12" spans="1:11">
      <c r="D12" s="11">
        <v>46041</v>
      </c>
      <c r="E12" s="12">
        <v>1571721</v>
      </c>
      <c r="F12" s="12" t="s">
        <v>13</v>
      </c>
      <c r="G12" s="13">
        <v>20333389</v>
      </c>
      <c r="H12" s="12" t="s">
        <v>77</v>
      </c>
      <c r="I12" s="13">
        <v>1</v>
      </c>
      <c r="J12" s="14">
        <v>6</v>
      </c>
      <c r="K12" s="14">
        <f t="shared" si="0"/>
        <v>6</v>
      </c>
    </row>
    <row r="13" spans="1:11">
      <c r="D13" s="11">
        <v>46041</v>
      </c>
      <c r="E13" s="12">
        <v>1571721</v>
      </c>
      <c r="F13" s="12" t="s">
        <v>65</v>
      </c>
      <c r="G13" s="13">
        <v>20333640</v>
      </c>
      <c r="H13" s="12" t="s">
        <v>79</v>
      </c>
      <c r="I13" s="13">
        <v>1</v>
      </c>
      <c r="J13" s="14">
        <v>16.5</v>
      </c>
      <c r="K13" s="14">
        <f t="shared" si="0"/>
        <v>16.5</v>
      </c>
    </row>
    <row r="14" spans="1:11">
      <c r="D14" s="11">
        <v>46041</v>
      </c>
      <c r="E14" s="12">
        <v>1571721</v>
      </c>
      <c r="F14" s="12" t="s">
        <v>65</v>
      </c>
      <c r="G14" s="13">
        <v>20333641</v>
      </c>
      <c r="H14" s="12" t="s">
        <v>78</v>
      </c>
      <c r="I14" s="13">
        <v>3</v>
      </c>
      <c r="J14" s="14">
        <v>24.75</v>
      </c>
      <c r="K14" s="14">
        <f t="shared" si="0"/>
        <v>74.25</v>
      </c>
    </row>
    <row r="15" spans="1:11">
      <c r="D15" s="11">
        <v>46045</v>
      </c>
      <c r="E15" s="12">
        <v>1573150</v>
      </c>
      <c r="F15" s="12" t="s">
        <v>13</v>
      </c>
      <c r="G15" s="13">
        <v>20333545</v>
      </c>
      <c r="H15" s="12" t="s">
        <v>35</v>
      </c>
      <c r="I15" s="13">
        <v>5</v>
      </c>
      <c r="J15" s="14">
        <v>6</v>
      </c>
      <c r="K15" s="14">
        <f t="shared" si="0"/>
        <v>30</v>
      </c>
    </row>
    <row r="16" spans="1:11">
      <c r="D16" s="11">
        <v>46045</v>
      </c>
      <c r="E16" s="12">
        <v>1573150</v>
      </c>
      <c r="F16" s="12" t="s">
        <v>13</v>
      </c>
      <c r="G16" s="13">
        <v>20407621</v>
      </c>
      <c r="H16" s="12" t="s">
        <v>18</v>
      </c>
      <c r="I16" s="13">
        <v>2</v>
      </c>
      <c r="J16" s="14">
        <v>6</v>
      </c>
      <c r="K16" s="14">
        <f t="shared" si="0"/>
        <v>12</v>
      </c>
    </row>
    <row r="17" spans="4:11">
      <c r="D17" s="11">
        <v>46045</v>
      </c>
      <c r="E17" s="12">
        <v>1573150</v>
      </c>
      <c r="F17" s="12" t="s">
        <v>13</v>
      </c>
      <c r="G17" s="13">
        <v>20333393</v>
      </c>
      <c r="H17" s="12" t="s">
        <v>80</v>
      </c>
      <c r="I17" s="13">
        <v>1</v>
      </c>
      <c r="J17" s="14">
        <v>6</v>
      </c>
      <c r="K17" s="14">
        <f t="shared" si="0"/>
        <v>6</v>
      </c>
    </row>
    <row r="18" spans="4:11">
      <c r="D18" s="11">
        <v>46045</v>
      </c>
      <c r="E18" s="12">
        <v>1573150</v>
      </c>
      <c r="F18" s="12" t="s">
        <v>65</v>
      </c>
      <c r="G18" s="13">
        <v>20333640</v>
      </c>
      <c r="H18" s="12" t="s">
        <v>79</v>
      </c>
      <c r="I18" s="13">
        <v>2</v>
      </c>
      <c r="J18" s="14">
        <v>16.5</v>
      </c>
      <c r="K18" s="14">
        <f t="shared" si="0"/>
        <v>33</v>
      </c>
    </row>
    <row r="19" spans="4:11">
      <c r="D19" s="11">
        <v>46045</v>
      </c>
      <c r="E19" s="12">
        <v>1573150</v>
      </c>
      <c r="F19" s="12" t="s">
        <v>65</v>
      </c>
      <c r="G19" s="13">
        <v>20333641</v>
      </c>
      <c r="H19" s="12" t="s">
        <v>78</v>
      </c>
      <c r="I19" s="13">
        <v>7</v>
      </c>
      <c r="J19" s="14">
        <v>24.75</v>
      </c>
      <c r="K19" s="14">
        <f t="shared" si="0"/>
        <v>173.25</v>
      </c>
    </row>
    <row r="20" spans="4:11">
      <c r="D20" s="11">
        <v>46048</v>
      </c>
      <c r="E20" s="12">
        <v>1573602</v>
      </c>
      <c r="F20" s="12" t="s">
        <v>13</v>
      </c>
      <c r="G20" s="13">
        <v>20333389</v>
      </c>
      <c r="H20" s="12" t="s">
        <v>77</v>
      </c>
      <c r="I20" s="13">
        <v>1</v>
      </c>
      <c r="J20" s="14">
        <v>6</v>
      </c>
      <c r="K20" s="14">
        <f t="shared" si="0"/>
        <v>6</v>
      </c>
    </row>
    <row r="21" spans="4:11">
      <c r="D21" s="11">
        <v>46048</v>
      </c>
      <c r="E21" s="12">
        <v>1573602</v>
      </c>
      <c r="F21" s="12" t="s">
        <v>13</v>
      </c>
      <c r="G21" s="13">
        <v>20333478</v>
      </c>
      <c r="H21" s="12" t="s">
        <v>81</v>
      </c>
      <c r="I21" s="13">
        <v>1</v>
      </c>
      <c r="J21" s="14">
        <v>10.125</v>
      </c>
      <c r="K21" s="14">
        <f t="shared" si="0"/>
        <v>10.125</v>
      </c>
    </row>
    <row r="22" spans="4:11">
      <c r="D22" s="11">
        <v>46048</v>
      </c>
      <c r="E22" s="12">
        <v>1573602</v>
      </c>
      <c r="F22" s="12" t="s">
        <v>13</v>
      </c>
      <c r="G22" s="13">
        <v>20407621</v>
      </c>
      <c r="H22" s="12" t="s">
        <v>18</v>
      </c>
      <c r="I22" s="13">
        <v>1</v>
      </c>
      <c r="J22" s="14">
        <v>6</v>
      </c>
      <c r="K22" s="14">
        <f t="shared" si="0"/>
        <v>6</v>
      </c>
    </row>
    <row r="23" spans="4:11">
      <c r="D23" s="11">
        <v>46048</v>
      </c>
      <c r="E23" s="12">
        <v>1573602</v>
      </c>
      <c r="F23" s="12" t="s">
        <v>65</v>
      </c>
      <c r="G23" s="13">
        <v>20333641</v>
      </c>
      <c r="H23" s="12" t="s">
        <v>78</v>
      </c>
      <c r="I23" s="13">
        <v>1</v>
      </c>
      <c r="J23" s="14">
        <v>24.75</v>
      </c>
      <c r="K23" s="14">
        <f t="shared" si="0"/>
        <v>24.75</v>
      </c>
    </row>
    <row r="24" spans="4:11">
      <c r="D24" s="11">
        <v>46050</v>
      </c>
      <c r="E24" s="12">
        <v>1574312</v>
      </c>
      <c r="F24" s="12" t="s">
        <v>13</v>
      </c>
      <c r="G24" s="13">
        <v>20333545</v>
      </c>
      <c r="H24" s="12" t="s">
        <v>35</v>
      </c>
      <c r="I24" s="13">
        <v>2</v>
      </c>
      <c r="J24" s="14">
        <v>6</v>
      </c>
      <c r="K24" s="14">
        <f t="shared" si="0"/>
        <v>12</v>
      </c>
    </row>
    <row r="25" spans="4:11">
      <c r="D25" s="11">
        <v>46050</v>
      </c>
      <c r="E25" s="12">
        <v>1574312</v>
      </c>
      <c r="F25" s="12" t="s">
        <v>13</v>
      </c>
      <c r="G25" s="13">
        <v>20333313</v>
      </c>
      <c r="H25" s="12" t="s">
        <v>18</v>
      </c>
      <c r="I25" s="13">
        <v>1</v>
      </c>
      <c r="J25" s="14">
        <v>6</v>
      </c>
      <c r="K25" s="14">
        <f t="shared" si="0"/>
        <v>6</v>
      </c>
    </row>
    <row r="26" spans="4:11">
      <c r="D26" s="11">
        <v>46050</v>
      </c>
      <c r="E26" s="12">
        <v>1574312</v>
      </c>
      <c r="F26" s="12" t="s">
        <v>65</v>
      </c>
      <c r="G26" s="13">
        <v>20333640</v>
      </c>
      <c r="H26" s="12" t="s">
        <v>79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46050</v>
      </c>
      <c r="E27" s="12">
        <v>1574312</v>
      </c>
      <c r="F27" s="12" t="s">
        <v>65</v>
      </c>
      <c r="G27" s="13">
        <v>20333641</v>
      </c>
      <c r="H27" s="12" t="s">
        <v>78</v>
      </c>
      <c r="I27" s="13">
        <v>2</v>
      </c>
      <c r="J27" s="14">
        <v>24.75</v>
      </c>
      <c r="K27" s="14">
        <f t="shared" si="0"/>
        <v>49.5</v>
      </c>
    </row>
    <row r="28" spans="4:11">
      <c r="D28" s="11">
        <v>46052</v>
      </c>
      <c r="E28" s="12">
        <v>1575036</v>
      </c>
      <c r="F28" s="12" t="s">
        <v>13</v>
      </c>
      <c r="G28" s="13">
        <v>20333311</v>
      </c>
      <c r="H28" s="12" t="s">
        <v>24</v>
      </c>
      <c r="I28" s="13">
        <v>1</v>
      </c>
      <c r="J28" s="14">
        <v>6</v>
      </c>
      <c r="K28" s="14">
        <f t="shared" si="0"/>
        <v>6</v>
      </c>
    </row>
    <row r="29" spans="4:11">
      <c r="D29" s="11">
        <v>46052</v>
      </c>
      <c r="E29" s="12">
        <v>1575036</v>
      </c>
      <c r="F29" s="12" t="s">
        <v>13</v>
      </c>
      <c r="G29" s="13">
        <v>20333545</v>
      </c>
      <c r="H29" s="12" t="s">
        <v>35</v>
      </c>
      <c r="I29" s="13">
        <v>3</v>
      </c>
      <c r="J29" s="14">
        <v>6</v>
      </c>
      <c r="K29" s="14">
        <f t="shared" si="0"/>
        <v>18</v>
      </c>
    </row>
    <row r="30" spans="4:11">
      <c r="D30" s="11">
        <v>46052</v>
      </c>
      <c r="E30" s="12">
        <v>1575036</v>
      </c>
      <c r="F30" s="12" t="s">
        <v>65</v>
      </c>
      <c r="G30" s="13">
        <v>20333641</v>
      </c>
      <c r="H30" s="12" t="s">
        <v>78</v>
      </c>
      <c r="I30" s="13">
        <v>6</v>
      </c>
      <c r="J30" s="14">
        <v>24.75</v>
      </c>
      <c r="K30" s="14">
        <f t="shared" si="0"/>
        <v>148.5</v>
      </c>
    </row>
    <row r="31" spans="4:11">
      <c r="D31" s="11">
        <v>46055</v>
      </c>
      <c r="E31" s="12">
        <v>1575528</v>
      </c>
      <c r="F31" s="12" t="s">
        <v>13</v>
      </c>
      <c r="G31" s="13">
        <v>20333545</v>
      </c>
      <c r="H31" s="12" t="s">
        <v>35</v>
      </c>
      <c r="I31" s="13">
        <v>1</v>
      </c>
      <c r="J31" s="14">
        <v>6</v>
      </c>
      <c r="K31" s="14">
        <f t="shared" si="0"/>
        <v>6</v>
      </c>
    </row>
    <row r="32" spans="4:11">
      <c r="D32" s="11">
        <v>46055</v>
      </c>
      <c r="E32" s="12">
        <v>1575528</v>
      </c>
      <c r="F32" s="12" t="s">
        <v>13</v>
      </c>
      <c r="G32" s="13">
        <v>20333313</v>
      </c>
      <c r="H32" s="12" t="s">
        <v>18</v>
      </c>
      <c r="I32" s="13">
        <v>2</v>
      </c>
      <c r="J32" s="14">
        <v>6</v>
      </c>
      <c r="K32" s="14">
        <f t="shared" si="0"/>
        <v>12</v>
      </c>
    </row>
    <row r="33" spans="4:11">
      <c r="D33" s="11">
        <v>46055</v>
      </c>
      <c r="E33" s="12">
        <v>1575528</v>
      </c>
      <c r="F33" s="12" t="s">
        <v>65</v>
      </c>
      <c r="G33" s="13">
        <v>20333640</v>
      </c>
      <c r="H33" s="12" t="s">
        <v>79</v>
      </c>
      <c r="I33" s="13">
        <v>1</v>
      </c>
      <c r="J33" s="14">
        <v>16.5</v>
      </c>
      <c r="K33" s="14">
        <f t="shared" si="0"/>
        <v>16.5</v>
      </c>
    </row>
    <row r="34" spans="4:11">
      <c r="D34" s="11">
        <v>46055</v>
      </c>
      <c r="E34" s="12">
        <v>1575528</v>
      </c>
      <c r="F34" s="12" t="s">
        <v>65</v>
      </c>
      <c r="G34" s="13">
        <v>20333641</v>
      </c>
      <c r="H34" s="12" t="s">
        <v>78</v>
      </c>
      <c r="I34" s="13">
        <v>2</v>
      </c>
      <c r="J34" s="14">
        <v>24.75</v>
      </c>
      <c r="K34" s="14">
        <f t="shared" si="0"/>
        <v>49.5</v>
      </c>
    </row>
    <row r="35" spans="4:11">
      <c r="D35" s="11">
        <v>46057</v>
      </c>
      <c r="E35" s="12">
        <v>1576250</v>
      </c>
      <c r="F35" s="12" t="s">
        <v>13</v>
      </c>
      <c r="G35" s="13">
        <v>20333389</v>
      </c>
      <c r="H35" s="12" t="s">
        <v>77</v>
      </c>
      <c r="I35" s="13">
        <v>2</v>
      </c>
      <c r="J35" s="14">
        <v>6</v>
      </c>
      <c r="K35" s="14">
        <f t="shared" si="0"/>
        <v>12</v>
      </c>
    </row>
    <row r="36" spans="4:11">
      <c r="D36" s="11">
        <v>46057</v>
      </c>
      <c r="E36" s="12">
        <v>1576250</v>
      </c>
      <c r="F36" s="12" t="s">
        <v>13</v>
      </c>
      <c r="G36" s="13">
        <v>20333313</v>
      </c>
      <c r="H36" s="12" t="s">
        <v>18</v>
      </c>
      <c r="I36" s="13">
        <v>1</v>
      </c>
      <c r="J36" s="14">
        <v>6</v>
      </c>
      <c r="K36" s="14">
        <f t="shared" si="0"/>
        <v>6</v>
      </c>
    </row>
    <row r="37" spans="4:11">
      <c r="D37" s="11">
        <v>46057</v>
      </c>
      <c r="E37" s="12">
        <v>1576250</v>
      </c>
      <c r="F37" s="12" t="s">
        <v>13</v>
      </c>
      <c r="G37" s="13">
        <v>20333393</v>
      </c>
      <c r="H37" s="12" t="s">
        <v>80</v>
      </c>
      <c r="I37" s="13">
        <v>1</v>
      </c>
      <c r="J37" s="14">
        <v>6</v>
      </c>
      <c r="K37" s="14">
        <f t="shared" si="0"/>
        <v>6</v>
      </c>
    </row>
    <row r="38" spans="4:11">
      <c r="D38" s="11">
        <v>46057</v>
      </c>
      <c r="E38" s="12">
        <v>1576250</v>
      </c>
      <c r="F38" s="12" t="s">
        <v>65</v>
      </c>
      <c r="G38" s="13">
        <v>20333640</v>
      </c>
      <c r="H38" s="12" t="s">
        <v>79</v>
      </c>
      <c r="I38" s="13">
        <v>1</v>
      </c>
      <c r="J38" s="14">
        <v>16.5</v>
      </c>
      <c r="K38" s="14">
        <f t="shared" si="0"/>
        <v>16.5</v>
      </c>
    </row>
    <row r="39" spans="4:11">
      <c r="D39" s="11">
        <v>46057</v>
      </c>
      <c r="E39" s="12">
        <v>1576250</v>
      </c>
      <c r="F39" s="12" t="s">
        <v>65</v>
      </c>
      <c r="G39" s="13">
        <v>20333641</v>
      </c>
      <c r="H39" s="12" t="s">
        <v>78</v>
      </c>
      <c r="I39" s="13">
        <v>1</v>
      </c>
      <c r="J39" s="14">
        <v>24.75</v>
      </c>
      <c r="K39" s="14">
        <f t="shared" si="0"/>
        <v>24.75</v>
      </c>
    </row>
  </sheetData>
  <autoFilter xmlns:etc="http://www.wps.cn/officeDocument/2017/etCustomData" ref="A7:K39" etc:filterBottomFollowUsedRange="0">
    <extLst/>
  </autoFilter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&amp;"-,Regular"2026年2月5日 13:50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2" sqref="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114</v>
      </c>
    </row>
    <row r="9" spans="1:11">
      <c r="D9" s="11">
        <v>46038</v>
      </c>
      <c r="E9" s="12">
        <v>1571180</v>
      </c>
      <c r="F9" s="12" t="s">
        <v>13</v>
      </c>
      <c r="G9" s="13">
        <v>20333310</v>
      </c>
      <c r="H9" s="12" t="s">
        <v>26</v>
      </c>
      <c r="I9" s="13">
        <v>1</v>
      </c>
      <c r="J9" s="14">
        <v>6</v>
      </c>
      <c r="K9" s="14">
        <v>6</v>
      </c>
    </row>
    <row r="10" spans="1:11">
      <c r="D10" s="11">
        <v>46038</v>
      </c>
      <c r="E10" s="12">
        <v>1571180</v>
      </c>
      <c r="F10" s="12" t="s">
        <v>13</v>
      </c>
      <c r="G10" s="13">
        <v>20333313</v>
      </c>
      <c r="H10" s="12" t="s">
        <v>18</v>
      </c>
      <c r="I10" s="13">
        <v>1</v>
      </c>
      <c r="J10" s="14">
        <v>6</v>
      </c>
      <c r="K10" s="14">
        <v>6</v>
      </c>
    </row>
    <row r="11" spans="1:11">
      <c r="D11" s="11">
        <v>46041</v>
      </c>
      <c r="E11" s="12">
        <v>1571722</v>
      </c>
      <c r="F11" s="12" t="s">
        <v>13</v>
      </c>
      <c r="G11" s="13">
        <v>20333313</v>
      </c>
      <c r="H11" s="12" t="s">
        <v>18</v>
      </c>
      <c r="I11" s="13">
        <v>2</v>
      </c>
      <c r="J11" s="14">
        <v>6</v>
      </c>
      <c r="K11" s="14">
        <v>12</v>
      </c>
    </row>
    <row r="12" spans="1:11">
      <c r="D12" s="11">
        <v>46045</v>
      </c>
      <c r="E12" s="12">
        <v>1573151</v>
      </c>
      <c r="F12" s="12" t="s">
        <v>13</v>
      </c>
      <c r="G12" s="13">
        <v>20333310</v>
      </c>
      <c r="H12" s="12" t="s">
        <v>26</v>
      </c>
      <c r="I12" s="13">
        <v>3</v>
      </c>
      <c r="J12" s="14">
        <v>6</v>
      </c>
      <c r="K12" s="14">
        <v>18</v>
      </c>
    </row>
    <row r="13" spans="1:11">
      <c r="D13" s="11">
        <v>46045</v>
      </c>
      <c r="E13" s="12">
        <v>1573151</v>
      </c>
      <c r="F13" s="12" t="s">
        <v>13</v>
      </c>
      <c r="G13" s="13">
        <v>20333313</v>
      </c>
      <c r="H13" s="12" t="s">
        <v>18</v>
      </c>
      <c r="I13" s="13">
        <v>3</v>
      </c>
      <c r="J13" s="14">
        <v>6</v>
      </c>
      <c r="K13" s="14">
        <v>18</v>
      </c>
    </row>
    <row r="14" spans="1:11">
      <c r="D14" s="11">
        <v>46050</v>
      </c>
      <c r="E14" s="12">
        <v>1574313</v>
      </c>
      <c r="F14" s="12" t="s">
        <v>13</v>
      </c>
      <c r="G14" s="13">
        <v>20333313</v>
      </c>
      <c r="H14" s="12" t="s">
        <v>18</v>
      </c>
      <c r="I14" s="13">
        <v>2</v>
      </c>
      <c r="J14" s="14">
        <v>6</v>
      </c>
      <c r="K14" s="14">
        <v>12</v>
      </c>
    </row>
    <row r="15" spans="1:11">
      <c r="D15" s="11">
        <v>46050</v>
      </c>
      <c r="E15" s="12">
        <v>1574313</v>
      </c>
      <c r="F15" s="12" t="s">
        <v>13</v>
      </c>
      <c r="G15" s="13">
        <v>20410922</v>
      </c>
      <c r="H15" s="12" t="s">
        <v>83</v>
      </c>
      <c r="I15" s="13">
        <v>1</v>
      </c>
      <c r="J15" s="14">
        <v>6</v>
      </c>
      <c r="K15" s="14">
        <v>6</v>
      </c>
    </row>
    <row r="16" spans="1:11">
      <c r="D16" s="11">
        <v>46052</v>
      </c>
      <c r="E16" s="12">
        <v>1575037</v>
      </c>
      <c r="F16" s="12" t="s">
        <v>13</v>
      </c>
      <c r="G16" s="13">
        <v>20333313</v>
      </c>
      <c r="H16" s="12" t="s">
        <v>18</v>
      </c>
      <c r="I16" s="13">
        <v>3</v>
      </c>
      <c r="J16" s="14">
        <v>6</v>
      </c>
      <c r="K16" s="14">
        <v>18</v>
      </c>
    </row>
    <row r="17" spans="4:11">
      <c r="D17" s="11">
        <v>46055</v>
      </c>
      <c r="E17" s="12">
        <v>1575529</v>
      </c>
      <c r="F17" s="12" t="s">
        <v>13</v>
      </c>
      <c r="G17" s="13">
        <v>20333310</v>
      </c>
      <c r="H17" s="12" t="s">
        <v>26</v>
      </c>
      <c r="I17" s="13">
        <v>1</v>
      </c>
      <c r="J17" s="14">
        <v>6</v>
      </c>
      <c r="K17" s="14">
        <v>6</v>
      </c>
    </row>
    <row r="18" spans="4:11">
      <c r="D18" s="11">
        <v>46055</v>
      </c>
      <c r="E18" s="12">
        <v>1575529</v>
      </c>
      <c r="F18" s="12" t="s">
        <v>13</v>
      </c>
      <c r="G18" s="13">
        <v>20333545</v>
      </c>
      <c r="H18" s="12" t="s">
        <v>35</v>
      </c>
      <c r="I18" s="13">
        <v>1</v>
      </c>
      <c r="J18" s="14">
        <v>6</v>
      </c>
      <c r="K18" s="14">
        <v>6</v>
      </c>
    </row>
    <row r="19" spans="4:11">
      <c r="D19" s="11">
        <v>46055</v>
      </c>
      <c r="E19" s="12">
        <v>1575529</v>
      </c>
      <c r="F19" s="12" t="s">
        <v>13</v>
      </c>
      <c r="G19" s="13">
        <v>20333313</v>
      </c>
      <c r="H19" s="12" t="s">
        <v>18</v>
      </c>
      <c r="I19" s="13">
        <v>1</v>
      </c>
      <c r="J19" s="14">
        <v>6</v>
      </c>
      <c r="K19" s="14">
        <v>6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&amp;"-,Regular"2026年2月5日 13:50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妇科门诊</vt:lpstr>
      <vt:lpstr>手术室</vt:lpstr>
      <vt:lpstr>外科门诊</vt:lpstr>
      <vt:lpstr>中西医结合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2026-02-05T05:51:00Z</dcterms:created>
  <dcterms:modified xsi:type="dcterms:W3CDTF">2026-02-05T07:52:56Z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6F08134110AB4781BF88F81AB5DE3CFC_13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