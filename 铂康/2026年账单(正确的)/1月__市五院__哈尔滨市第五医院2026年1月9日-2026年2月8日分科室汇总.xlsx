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10" windowHeight="10920" activeTab="1"/>
  </bookViews>
  <sheets>
    <sheet name="手术二区" sheetId="14" r:id="rId1"/>
    <sheet name="手术一区" sheetId="16" r:id="rId2"/>
  </sheets>
  <externalReferences>
    <externalReference r:id="rId3"/>
  </externalReferences>
  <definedNames>
    <definedName name="_xlnm._FilterDatabase" localSheetId="0" hidden="1">手术二区!$A$2:$XES$69</definedName>
    <definedName name="_xlnm._FilterDatabase" localSheetId="1" hidden="1">手术一区!$A$2:$XFA$156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<sst xmlns="http://schemas.openxmlformats.org/spreadsheetml/2006/main" count="235" uniqueCount="219">
  <si>
    <t>哈尔滨市第五医院2026年1月9日-2026年2月8日器械数量及费用汇总（手术二区）</t>
  </si>
  <si>
    <t>序号</t>
  </si>
  <si>
    <t>包名称</t>
  </si>
  <si>
    <t>包内器械数量（把）</t>
  </si>
  <si>
    <t>数量（包）</t>
  </si>
  <si>
    <t>单价（元/包）</t>
  </si>
  <si>
    <t>合计金额（元）</t>
  </si>
  <si>
    <t>持物钳罐-2件/W605060</t>
  </si>
  <si>
    <t>持针器-1/Z1026</t>
  </si>
  <si>
    <t>尺-1/W605060</t>
  </si>
  <si>
    <t>尺-1/Z7530</t>
  </si>
  <si>
    <t>锤子-1/双z1535</t>
  </si>
  <si>
    <t>大烧伤</t>
  </si>
  <si>
    <t>弹钩-2/W6050</t>
  </si>
  <si>
    <t>刀柄-1/z7526</t>
  </si>
  <si>
    <t>地巾</t>
  </si>
  <si>
    <t>电动取皮机-6件 筐1/W12050</t>
  </si>
  <si>
    <t>方盘-1/W9050</t>
  </si>
  <si>
    <t>缝合包</t>
  </si>
  <si>
    <t>肛肠包</t>
  </si>
  <si>
    <t>肛肠探针-1/Z7520</t>
  </si>
  <si>
    <t>肱骨复位器-2/W5050</t>
  </si>
  <si>
    <t>钩镊-1/Z7526</t>
  </si>
  <si>
    <t>骨锉-1/W605060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</si>
  <si>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</si>
  <si>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</si>
  <si>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</si>
  <si>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</si>
  <si>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</si>
  <si>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</si>
  <si>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</si>
  <si>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</si>
  <si>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解剖剪刀-1/Z1029</t>
  </si>
  <si>
    <t>巾钳子-1/Z1026</t>
  </si>
  <si>
    <t>旧轧皮机（1号）-2件盒1/W9050</t>
  </si>
  <si>
    <t>旧轧皮机（2号）-1件盒1/W12050</t>
  </si>
  <si>
    <t>克氏钳-1/双z1029</t>
  </si>
  <si>
    <t>慢创包</t>
  </si>
  <si>
    <t>美容持针器-1/Z1026</t>
  </si>
  <si>
    <t>门诊整形.</t>
  </si>
  <si>
    <t>门诊整形包</t>
  </si>
  <si>
    <t>切开包-10件</t>
  </si>
  <si>
    <t>驱血带</t>
  </si>
  <si>
    <t>手科包</t>
  </si>
  <si>
    <t>手科剥离质-1/Z7530</t>
  </si>
  <si>
    <t>手科骨锉-1/Z7526</t>
  </si>
  <si>
    <t>手科爪鞍钩-1 /Z7526</t>
  </si>
  <si>
    <t>手科爪钩-2/Z1535</t>
  </si>
  <si>
    <t>头皮夹钳-1/Z1530</t>
  </si>
  <si>
    <t>弯盘1小碗1/W9050</t>
  </si>
  <si>
    <t>碗盆-2/W9050</t>
  </si>
  <si>
    <t>显微器械-6件</t>
  </si>
  <si>
    <t>线锯-1/Z1026</t>
  </si>
  <si>
    <t>小烧伤</t>
  </si>
  <si>
    <t>小弯止血钳-4/Z1530</t>
  </si>
  <si>
    <t>小止血钳-2/z1026</t>
  </si>
  <si>
    <t>新轧皮机1号-2件（盒1）</t>
  </si>
  <si>
    <t>新轧皮机2号-2件（盒1）</t>
  </si>
  <si>
    <t>轧皮机（一）/W12050</t>
  </si>
  <si>
    <t>咬钉器-1手柄-2/W6050</t>
  </si>
  <si>
    <t>咬骨剪-1/Z2032</t>
  </si>
  <si>
    <t>咬骨钳-1/Z2032</t>
  </si>
  <si>
    <t>咬丝器-1/Z双2032</t>
  </si>
  <si>
    <t>咬丝器1持针器1/W6050</t>
  </si>
  <si>
    <t>凿子-3/双z1029</t>
  </si>
  <si>
    <t>扎皮机-2件/W905060</t>
  </si>
  <si>
    <t>扎皮机板-2件/z2025</t>
  </si>
  <si>
    <t>整形包</t>
  </si>
  <si>
    <t>植皮刀片-1/Z7520</t>
  </si>
  <si>
    <t>止血钳-4/Z1530</t>
  </si>
  <si>
    <t>止血钳大-2/Z1535</t>
  </si>
  <si>
    <t>中心持骨器-2/w6050</t>
  </si>
  <si>
    <t>组织钳-1/Z1026</t>
  </si>
  <si>
    <t>合计</t>
  </si>
  <si>
    <t>哈尔滨市第五医院2026年1月9日-2026年2月8日器械数量及费用汇总（手术一区）</t>
  </si>
  <si>
    <t>263机器人-9件（高温）</t>
  </si>
  <si>
    <t>264机器人-8件（高温）</t>
  </si>
  <si>
    <t>40001机器人-8件（高温）</t>
  </si>
  <si>
    <t>AR水管-2件/双/Z1530</t>
  </si>
  <si>
    <t>DMD5号镜头-3件</t>
  </si>
  <si>
    <t>DMD6号镜头-1件</t>
  </si>
  <si>
    <t>DMD6号水管-2件/W505060</t>
  </si>
  <si>
    <t>UBE拇外翻线-1/双/Z2530</t>
  </si>
  <si>
    <t>UBE踇外翻线-1/双/Z2530</t>
  </si>
  <si>
    <t>鞍钩-2/W405060</t>
  </si>
  <si>
    <t>半月板钩-6/W605060</t>
  </si>
  <si>
    <t>保险刀片-1/Z7530</t>
  </si>
  <si>
    <t>闭合包</t>
  </si>
  <si>
    <t>博进骨动力-带盒10件/W1205060</t>
  </si>
  <si>
    <t>博进骨动力-带盒9件/W1205060</t>
  </si>
  <si>
    <t>叉勾-7/W605060</t>
  </si>
  <si>
    <t>叉钩-5件/W605060</t>
  </si>
  <si>
    <t>产科手术器械包</t>
  </si>
  <si>
    <t>超声骨动力系统</t>
  </si>
  <si>
    <t>尺桡复位器-2/W405060</t>
  </si>
  <si>
    <t>穿刺针（带芯）-2/Z7520</t>
  </si>
  <si>
    <t>锤子1凿子1剥离质1/W605060</t>
  </si>
  <si>
    <t>打孔器-1/W605060</t>
  </si>
  <si>
    <t>大盆-1/w1205060</t>
  </si>
  <si>
    <t>弹钩-2/W605060</t>
  </si>
  <si>
    <t>德美2号刨刀-1/双/Z2550</t>
  </si>
  <si>
    <t>德美4K1号刨刀-1/W6050</t>
  </si>
  <si>
    <t>德美4K刨刀（1号）-1/W905060</t>
  </si>
  <si>
    <t>德美4K刨刀（2号）-1/W905060</t>
  </si>
  <si>
    <t>德美4K刨刀（3号）-1/W905060</t>
  </si>
  <si>
    <t>德美德3号镜头3件/W705060</t>
  </si>
  <si>
    <t>德美德4号镜头3件/W705060</t>
  </si>
  <si>
    <t>德美德光源-1/Z2550</t>
  </si>
  <si>
    <t>德美德光源2号-1/W905060</t>
  </si>
  <si>
    <t>德美德光源3号-1/W705060</t>
  </si>
  <si>
    <t>德美德光源4号-1/W705060</t>
  </si>
  <si>
    <t>德美德镜头-1/双Z1550</t>
  </si>
  <si>
    <t>德美德镜头2号-1/双Z1550</t>
  </si>
  <si>
    <t>德美德刨刀-1/Z2550</t>
  </si>
  <si>
    <t>德美德水管（红）-2/Z1535</t>
  </si>
  <si>
    <t>德美德水管-2/Z1026</t>
  </si>
  <si>
    <t>德美刨刀3号-1/双Z2550</t>
  </si>
  <si>
    <t>德美膝器械11件盒1（二）</t>
  </si>
  <si>
    <t>德美膝器械11件盒1（四）</t>
  </si>
  <si>
    <t>德美膝器械11件盒1（一）</t>
  </si>
  <si>
    <t>德美膝器械12件盒1（三）</t>
  </si>
  <si>
    <t>德美膝器械12件盒1（四）</t>
  </si>
  <si>
    <t>德美新1水管-2/W605060</t>
  </si>
  <si>
    <t>德美新1水管-2/双/Z1526</t>
  </si>
  <si>
    <t>德美新2水管-2件/Z1530</t>
  </si>
  <si>
    <t>德美新3水管 -2件/Z2530</t>
  </si>
  <si>
    <t>骶棘拉钩-2/W605060</t>
  </si>
  <si>
    <t>动力转换器-1/Z1526</t>
  </si>
  <si>
    <t>妇产科布袋/ W6050</t>
  </si>
  <si>
    <t>骨把持器1钢板折弯器2/W605060</t>
  </si>
  <si>
    <t>骨电钻-3件/W705060</t>
  </si>
  <si>
    <t>骨动力-带盒10件</t>
  </si>
  <si>
    <t>骨动力-带盒9件</t>
  </si>
  <si>
    <t>骨二高川勃（伊）万能取-64/W9060</t>
  </si>
  <si>
    <t>骨二李琛万能取-49件</t>
  </si>
  <si>
    <t>机器人套筒125-190-1件/Z7534</t>
  </si>
  <si>
    <t>机器人套筒-2/W405060</t>
  </si>
  <si>
    <t>肌钩-2/W5050</t>
  </si>
  <si>
    <t>脊柱常备器械</t>
  </si>
  <si>
    <t>脊柱常备器械髓核少1</t>
  </si>
  <si>
    <t>脊柱加件-6件/W605060</t>
  </si>
  <si>
    <t>甲状腺加件-4件/w505060</t>
  </si>
  <si>
    <t>甲状腺拉钩-2/W505060</t>
  </si>
  <si>
    <t>尖嘴复位器-2/W605060</t>
  </si>
  <si>
    <t>肩钩-1/W505060</t>
  </si>
  <si>
    <t>肩袖缝合枪-1/W605060</t>
  </si>
  <si>
    <t>剪切钳-1/W505060</t>
  </si>
  <si>
    <t>胫腓骨拉勾-2/W605060</t>
  </si>
  <si>
    <t>椎间孔镜（三）</t>
  </si>
  <si>
    <t>镜骨九（1）</t>
  </si>
  <si>
    <t>镜骨九（2）</t>
  </si>
  <si>
    <t>镜骨九（3）</t>
  </si>
  <si>
    <t>旧水管-3件/W605060</t>
  </si>
  <si>
    <t>鞠超杰缝合钩导丝-1</t>
  </si>
  <si>
    <t>鞠超杰镜头-1件/W9050</t>
  </si>
  <si>
    <t>开颅包</t>
  </si>
  <si>
    <t>克氏钳-1/W405060</t>
  </si>
  <si>
    <t>阑尾加件（阑1，扣2）/W505060</t>
  </si>
  <si>
    <t>刘断钉取（蓝)-51件（盒1）</t>
  </si>
  <si>
    <t>米氏钳-2/W605060</t>
  </si>
  <si>
    <t>脑外专用包</t>
  </si>
  <si>
    <t>聂断钉取（红）-55件，盒1</t>
  </si>
  <si>
    <t>盘1碗2/w9050</t>
  </si>
  <si>
    <t>平镊-1/Z7530</t>
  </si>
  <si>
    <t>取针钳-1/W505060</t>
  </si>
  <si>
    <t>取针咬骨钳-1件/W505060</t>
  </si>
  <si>
    <t>上肢包</t>
  </si>
  <si>
    <t>上肢加件-3/W605060</t>
  </si>
  <si>
    <t>上肢止血带</t>
  </si>
  <si>
    <t>深钩-2/W605060</t>
  </si>
  <si>
    <t>神外-内镜通道-4/双Z1526</t>
  </si>
  <si>
    <t>施乐辉肩镜器械</t>
  </si>
  <si>
    <t>史赛克3.2克氏针钻-带盒4件</t>
  </si>
  <si>
    <t>史赛克摆锯-4（带盒5件）</t>
  </si>
  <si>
    <t>史赛克多功能锯钻-7（带盒8件）</t>
  </si>
  <si>
    <t>史赛克锯片-1/Z1020</t>
  </si>
  <si>
    <t>史赛克磨头-1/Z7520</t>
  </si>
  <si>
    <t>史赛克磨钻-9件 筐1/W1205060</t>
  </si>
  <si>
    <t>史赛克一号-4（带筐5件）EO</t>
  </si>
  <si>
    <t>手科加件3件(小剪1组剪1挫1)/Z1030</t>
  </si>
  <si>
    <t>手科小凿子-1件/W5050</t>
  </si>
  <si>
    <t>手科咬骨钳1 刮勺1/W505060</t>
  </si>
  <si>
    <t>手科爪鞍钩-4件/W505060</t>
  </si>
  <si>
    <t>手刷盒/w9050</t>
  </si>
  <si>
    <t>手套</t>
  </si>
  <si>
    <t>手外B 显微器械-5（带盒6件）</t>
  </si>
  <si>
    <t>刷手服</t>
  </si>
  <si>
    <t>外3扳手-2件/W5050</t>
  </si>
  <si>
    <t>外科包</t>
  </si>
  <si>
    <t>外科超声刀线-1/Z2545</t>
  </si>
  <si>
    <t>腕新镜头30度-1/W6050</t>
  </si>
  <si>
    <t>胃肠包</t>
  </si>
  <si>
    <t>蚊式2 中弯2/Z1530</t>
  </si>
  <si>
    <t>五官电钻-1</t>
  </si>
  <si>
    <t>西山UBE线/W505060</t>
  </si>
  <si>
    <t>吸引器头1芯1/Z7530</t>
  </si>
  <si>
    <t>洗毛盒</t>
  </si>
  <si>
    <t>洗手巾/W12050</t>
  </si>
  <si>
    <t>下肢包</t>
  </si>
  <si>
    <t>下肢止血带</t>
  </si>
  <si>
    <t>小布袋/w6050</t>
  </si>
  <si>
    <t>新史赛克手控加件-1</t>
  </si>
  <si>
    <t>新膝镜（二）-10件/W9050</t>
  </si>
  <si>
    <t>新膝镜（一）-10件/W9050</t>
  </si>
  <si>
    <t>新腰备</t>
  </si>
  <si>
    <t>胸骨磨钻-带盒13件</t>
  </si>
  <si>
    <t>胸骨磨钻头6.0-1/Z7526</t>
  </si>
  <si>
    <t>腰间盘镜（二）</t>
  </si>
  <si>
    <t>咬骨剪子1刮勺1/W605060</t>
  </si>
  <si>
    <t>咬骨钳1刮勺1/W605060</t>
  </si>
  <si>
    <t>咬丝器-1/W6050</t>
  </si>
  <si>
    <t>鹰嘴咬骨钳1刮勺1/W605060</t>
  </si>
  <si>
    <t>凿子-3/W605060</t>
  </si>
  <si>
    <t>赵德来取50件</t>
  </si>
  <si>
    <t>蜘蛛臂1号</t>
  </si>
  <si>
    <t>蜘蛛臂2号</t>
  </si>
  <si>
    <t>止血带</t>
  </si>
  <si>
    <t>中直钳-2/Z1530</t>
  </si>
  <si>
    <t>抓线钳-1/W4550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</si>
</sst>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Microsoft YaHe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&#32852;&#24819;&#29790;&#22825;\Downloads\InstrumentVolume (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InstrumentVolume"/>
    </sheetNames>
    <sheetDataSet>
      <sheetData sheetId="0" refreshError="1">
        <row r="1">
          <cell r="F1" t="str">
            <v>名</v>
          </cell>
          <cell r="G1" t="str">
            <v>和</v>
          </cell>
        </row>
        <row r="2">
          <cell r="F2" t="str">
            <v>（烧三）肖啸钻头-2/Z7520</v>
          </cell>
          <cell r="G2">
            <v>4</v>
          </cell>
        </row>
        <row r="3">
          <cell r="F3" t="str">
            <v>持物钳罐-2件/W605060</v>
          </cell>
          <cell r="G3">
            <v>308</v>
          </cell>
        </row>
        <row r="4">
          <cell r="F4" t="str">
            <v>持针器-1/Z1026</v>
          </cell>
          <cell r="G4">
            <v>11</v>
          </cell>
        </row>
        <row r="5">
          <cell r="F5" t="str">
            <v>尺-1/W605060</v>
          </cell>
          <cell r="G5">
            <v>19</v>
          </cell>
        </row>
        <row r="6">
          <cell r="F6" t="str">
            <v>尺-1/Z7530</v>
          </cell>
          <cell r="G6">
            <v>5</v>
          </cell>
        </row>
        <row r="7">
          <cell r="F7" t="str">
            <v>锤子-1/双z1535</v>
          </cell>
          <cell r="G7">
            <v>8</v>
          </cell>
        </row>
        <row r="8">
          <cell r="F8" t="str">
            <v>大烧伤</v>
          </cell>
          <cell r="G8">
            <v>192</v>
          </cell>
        </row>
        <row r="9">
          <cell r="F9" t="str">
            <v>弹钩-2/W6050</v>
          </cell>
          <cell r="G9">
            <v>24</v>
          </cell>
        </row>
        <row r="10">
          <cell r="F10" t="str">
            <v>刀柄-1/z7526</v>
          </cell>
          <cell r="G10">
            <v>9</v>
          </cell>
        </row>
        <row r="11">
          <cell r="F11" t="str">
            <v>地巾</v>
          </cell>
          <cell r="G11">
            <v>0</v>
          </cell>
        </row>
        <row r="12">
          <cell r="F12" t="str">
            <v>电动取皮机-6件 筐1/W12050</v>
          </cell>
          <cell r="G12">
            <v>126</v>
          </cell>
        </row>
        <row r="13">
          <cell r="F13" t="str">
            <v>电钻-3/W705060</v>
          </cell>
          <cell r="G13">
            <v>171</v>
          </cell>
        </row>
        <row r="14">
          <cell r="F14" t="str">
            <v>电钻-4/W705060</v>
          </cell>
          <cell r="G14">
            <v>200</v>
          </cell>
        </row>
        <row r="15">
          <cell r="F15" t="str">
            <v>方盘-1/W9050</v>
          </cell>
          <cell r="G15">
            <v>65</v>
          </cell>
        </row>
        <row r="16">
          <cell r="F16" t="str">
            <v>缝合包</v>
          </cell>
          <cell r="G16">
            <v>6800</v>
          </cell>
        </row>
        <row r="17">
          <cell r="F17" t="str">
            <v>肛肠包</v>
          </cell>
          <cell r="G17">
            <v>38</v>
          </cell>
        </row>
        <row r="18">
          <cell r="F18" t="str">
            <v>肛肠探针-1/Z7520</v>
          </cell>
          <cell r="G18">
            <v>1</v>
          </cell>
        </row>
        <row r="19">
          <cell r="F19" t="str">
            <v>肱骨复位器-2/W5050</v>
          </cell>
          <cell r="G19">
            <v>2</v>
          </cell>
        </row>
        <row r="20">
          <cell r="F20" t="str">
            <v>钩镊-1/Z7526</v>
          </cell>
          <cell r="G20">
            <v>7</v>
          </cell>
        </row>
        <row r="21">
          <cell r="F21" t="str">
            <v>骨锉-1/W605060</v>
          </cell>
          <cell r="G21">
            <v>5</v>
          </cell>
        </row>
        <row r="22">
          <cell r="F22" t="str">
            <v>骨电钻-2件</v>
          </cell>
          <cell r="G22">
            <v>62</v>
          </cell>
        </row>
        <row r="23">
          <cell r="F23" t="str">
            <v>骨电钻-3件/W705060</v>
          </cell>
          <cell r="G23">
            <v>3</v>
          </cell>
        </row>
        <row r="24">
          <cell r="F24" t="str">
            <v>骨科剥离质-1/Z7534</v>
          </cell>
          <cell r="G24">
            <v>14</v>
          </cell>
        </row>
        <row r="25">
          <cell r="F25" t="str">
            <v>骨一薛岩撑开器-1/Z1526</v>
          </cell>
          <cell r="G25">
            <v>9</v>
          </cell>
        </row>
        <row r="26">
          <cell r="F26" t="str">
            <v>骨一薛岩医生器械-4件/双Z2025</v>
          </cell>
          <cell r="G26">
            <v>4</v>
          </cell>
        </row>
        <row r="27">
          <cell r="F27" t="str">
            <v>固指板-1/W7050</v>
          </cell>
          <cell r="G27">
            <v>11</v>
          </cell>
        </row>
        <row r="28">
          <cell r="F28" t="str">
            <v>刮勺-1/Z7526</v>
          </cell>
          <cell r="G28">
            <v>29</v>
          </cell>
        </row>
        <row r="29">
          <cell r="F29" t="str">
            <v>滚轴(植皮刀)-1件/W6050</v>
          </cell>
          <cell r="G29">
            <v>13</v>
          </cell>
        </row>
        <row r="30">
          <cell r="F30" t="str">
            <v>肌钩-2/Z1026</v>
          </cell>
          <cell r="G30">
            <v>116</v>
          </cell>
        </row>
        <row r="31">
          <cell r="F31" t="str">
            <v>尖嘴复位器-1/Z1535</v>
          </cell>
          <cell r="G31">
            <v>8</v>
          </cell>
        </row>
        <row r="32">
          <cell r="F32" t="str">
            <v>剪刀-1/Z1530</v>
          </cell>
          <cell r="G32">
            <v>21</v>
          </cell>
        </row>
        <row r="33">
          <cell r="F33" t="str">
            <v>剪刀小-1/Z1026</v>
          </cell>
          <cell r="G33">
            <v>20</v>
          </cell>
        </row>
        <row r="34">
          <cell r="F34" t="str">
            <v>解剖剪刀-1/Z1029</v>
          </cell>
          <cell r="G34">
            <v>2</v>
          </cell>
        </row>
        <row r="35">
          <cell r="F35" t="str">
            <v>巾钳子-1/Z1026</v>
          </cell>
          <cell r="G35">
            <v>5</v>
          </cell>
        </row>
        <row r="36">
          <cell r="F36" t="str">
            <v>旧轧皮机（1号）-2件盒1/W9050</v>
          </cell>
          <cell r="G36">
            <v>6</v>
          </cell>
        </row>
        <row r="37">
          <cell r="F37" t="str">
            <v>旧轧皮机（2号）-1件盒1/W12050</v>
          </cell>
          <cell r="G37">
            <v>4</v>
          </cell>
        </row>
        <row r="38">
          <cell r="F38" t="str">
            <v>克氏钳-1/双z1029</v>
          </cell>
          <cell r="G38">
            <v>24</v>
          </cell>
        </row>
        <row r="39">
          <cell r="F39" t="str">
            <v>慢创包</v>
          </cell>
          <cell r="G39">
            <v>81</v>
          </cell>
        </row>
        <row r="40">
          <cell r="F40" t="str">
            <v>美容持针器-1/Z1026</v>
          </cell>
          <cell r="G40">
            <v>2</v>
          </cell>
        </row>
        <row r="41">
          <cell r="F41" t="str">
            <v>门诊整形.</v>
          </cell>
          <cell r="G41">
            <v>648</v>
          </cell>
        </row>
        <row r="42">
          <cell r="F42" t="str">
            <v>门诊整形包</v>
          </cell>
          <cell r="G42">
            <v>192</v>
          </cell>
        </row>
        <row r="43">
          <cell r="F43" t="str">
            <v>聂广辰专用剪刀-1/Z1029</v>
          </cell>
          <cell r="G43">
            <v>11</v>
          </cell>
        </row>
        <row r="44">
          <cell r="F44" t="str">
            <v>切开包-10件</v>
          </cell>
          <cell r="G44">
            <v>390</v>
          </cell>
        </row>
        <row r="45">
          <cell r="F45" t="str">
            <v>驱血带</v>
          </cell>
          <cell r="G45">
            <v>0</v>
          </cell>
        </row>
        <row r="46">
          <cell r="F46" t="str">
            <v>手科包</v>
          </cell>
          <cell r="G46">
            <v>560</v>
          </cell>
        </row>
        <row r="47">
          <cell r="F47" t="str">
            <v>手科剥离质-1/Z7530</v>
          </cell>
          <cell r="G47">
            <v>20</v>
          </cell>
        </row>
        <row r="48">
          <cell r="F48" t="str">
            <v>手科骨锉-1/Z7526</v>
          </cell>
          <cell r="G48">
            <v>5</v>
          </cell>
        </row>
        <row r="49">
          <cell r="F49" t="str">
            <v>手科爪鞍钩-1 /Z7526</v>
          </cell>
          <cell r="G49">
            <v>20</v>
          </cell>
        </row>
        <row r="50">
          <cell r="F50" t="str">
            <v>手科爪钩-2/Z1535</v>
          </cell>
          <cell r="G50">
            <v>56</v>
          </cell>
        </row>
        <row r="51">
          <cell r="F51" t="str">
            <v>头皮夹钳-1/Z1530</v>
          </cell>
          <cell r="G51">
            <v>1</v>
          </cell>
        </row>
        <row r="52">
          <cell r="F52" t="str">
            <v>弯盘1小碗1/W9050</v>
          </cell>
          <cell r="G52">
            <v>32</v>
          </cell>
        </row>
        <row r="53">
          <cell r="F53" t="str">
            <v>碗盆-2/W9050</v>
          </cell>
          <cell r="G53">
            <v>2</v>
          </cell>
        </row>
        <row r="54">
          <cell r="F54" t="str">
            <v>显微器械-6件</v>
          </cell>
          <cell r="G54">
            <v>6</v>
          </cell>
        </row>
        <row r="55">
          <cell r="F55" t="str">
            <v>线锯-1/Z1026</v>
          </cell>
          <cell r="G55">
            <v>20</v>
          </cell>
        </row>
        <row r="56">
          <cell r="F56" t="str">
            <v>小烧伤</v>
          </cell>
          <cell r="G56">
            <v>270</v>
          </cell>
        </row>
        <row r="57">
          <cell r="F57" t="str">
            <v>小弯止血钳-4/Z1530</v>
          </cell>
          <cell r="G57">
            <v>8</v>
          </cell>
        </row>
        <row r="58">
          <cell r="F58" t="str">
            <v>小止血钳-2/z1026</v>
          </cell>
          <cell r="G58">
            <v>12</v>
          </cell>
        </row>
        <row r="59">
          <cell r="F59" t="str">
            <v>肖啸钻头-1/Z7520</v>
          </cell>
          <cell r="G59">
            <v>2</v>
          </cell>
        </row>
        <row r="60">
          <cell r="F60" t="str">
            <v>肖啸钻头-3/Z7520</v>
          </cell>
          <cell r="G60">
            <v>9</v>
          </cell>
        </row>
        <row r="61">
          <cell r="F61" t="str">
            <v>新轧皮机1号-2件（盒1）</v>
          </cell>
          <cell r="G61">
            <v>3</v>
          </cell>
        </row>
        <row r="62">
          <cell r="F62" t="str">
            <v>新轧皮机2号-2件（盒1）</v>
          </cell>
          <cell r="G62">
            <v>3</v>
          </cell>
        </row>
        <row r="63">
          <cell r="F63" t="str">
            <v>薛岩手科凿子-5/Z6050</v>
          </cell>
          <cell r="G63">
            <v>10</v>
          </cell>
        </row>
        <row r="64">
          <cell r="F64" t="str">
            <v>轧皮机（一）/W12050</v>
          </cell>
          <cell r="G64">
            <v>3</v>
          </cell>
        </row>
        <row r="65">
          <cell r="F65" t="str">
            <v>咬钉器-1手柄-2/W6050</v>
          </cell>
          <cell r="G65">
            <v>3</v>
          </cell>
        </row>
        <row r="66">
          <cell r="F66" t="str">
            <v>咬骨剪-1/Z2032</v>
          </cell>
          <cell r="G66">
            <v>4</v>
          </cell>
        </row>
        <row r="67">
          <cell r="F67" t="str">
            <v>咬骨钳-1/Z2032</v>
          </cell>
          <cell r="G67">
            <v>104</v>
          </cell>
        </row>
        <row r="68">
          <cell r="F68" t="str">
            <v>咬丝器-1/Z双2032</v>
          </cell>
          <cell r="G68">
            <v>44</v>
          </cell>
        </row>
        <row r="69">
          <cell r="F69" t="str">
            <v>咬丝器1持针器1/W6050</v>
          </cell>
          <cell r="G69">
            <v>136</v>
          </cell>
        </row>
        <row r="70">
          <cell r="F70" t="str">
            <v>凿子-3/双z1029</v>
          </cell>
          <cell r="G70">
            <v>21</v>
          </cell>
        </row>
        <row r="71">
          <cell r="F71" t="str">
            <v>扎皮机-2件/W905060</v>
          </cell>
          <cell r="G71">
            <v>3</v>
          </cell>
        </row>
        <row r="72">
          <cell r="F72" t="str">
            <v>扎皮机板-2件/z2025</v>
          </cell>
          <cell r="G72">
            <v>10</v>
          </cell>
        </row>
        <row r="73">
          <cell r="F73" t="str">
            <v>整形包</v>
          </cell>
          <cell r="G73">
            <v>64</v>
          </cell>
        </row>
        <row r="74">
          <cell r="F74" t="str">
            <v>植皮刀片-1/Z7520</v>
          </cell>
          <cell r="G74">
            <v>20</v>
          </cell>
        </row>
        <row r="75">
          <cell r="F75" t="str">
            <v>止血钳-4/Z1530</v>
          </cell>
          <cell r="G75">
            <v>124</v>
          </cell>
        </row>
        <row r="76">
          <cell r="F76" t="str">
            <v>止血钳大-2/Z1535</v>
          </cell>
          <cell r="G76">
            <v>14</v>
          </cell>
        </row>
        <row r="77">
          <cell r="F77" t="str">
            <v>中心持骨器-2/w6050</v>
          </cell>
          <cell r="G77">
            <v>2</v>
          </cell>
        </row>
        <row r="78">
          <cell r="F78" t="str">
            <v>组织钳-1/Z1026</v>
          </cell>
          <cell r="G78">
            <v>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P69"/>
  <sheetViews>
    <sheetView view="pageBreakPreview" zoomScaleNormal="100" topLeftCell="A64" workbookViewId="0">
      <selection activeCell="A69" sqref="A69:E69"/>
    </sheetView>
  </sheetViews>
  <sheetFormatPr defaultColWidth="9" defaultRowHeight="14"/>
  <cols>
    <col min="1" max="1" width="7.5" style="3" customWidth="1"/>
    <col min="2" max="2" width="33.3727272727273" style="4" customWidth="1"/>
    <col min="3" max="3" width="19.1272727272727" style="3" customWidth="1"/>
    <col min="4" max="4" width="13" style="3" customWidth="1"/>
    <col min="5" max="5" width="13.7545454545455" style="3" customWidth="1"/>
    <col min="6" max="6" width="14.4545454545455" style="3" customWidth="1"/>
    <col min="7" max="16255" width="9" style="1"/>
    <col min="16295" max="16384" width="9" style="5"/>
  </cols>
  <sheetData>
    <row r="1" s="1" customFormat="1" ht="20" spans="1:6">
      <c r="A1" s="6" t="s">
        <v>0</v>
      </c>
      <c r="B1" s="7"/>
      <c r="C1" s="6"/>
      <c r="D1" s="6"/>
      <c r="E1" s="6"/>
      <c r="F1" s="6"/>
    </row>
    <row r="2" s="2" customFormat="1" ht="16.5" customHeight="1" spans="1: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16368">
      <c r="A3" s="8">
        <v>1</v>
      </c>
      <c r="B3" s="9" t="s">
        <v>7</v>
      </c>
      <c r="C3" s="8">
        <f>VLOOKUP(B3,[1]Sheet1!$F:$G,2,FALSE)</f>
        <v>308</v>
      </c>
      <c r="D3" s="8">
        <v>154</v>
      </c>
      <c r="E3" s="8">
        <v>16.5</v>
      </c>
      <c r="F3" s="8">
        <v>2541</v>
      </c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</row>
    <row r="4" s="1" customFormat="1" ht="16.5" spans="1:16368">
      <c r="A4" s="8">
        <v>2</v>
      </c>
      <c r="B4" s="9" t="s">
        <v>8</v>
      </c>
      <c r="C4" s="8">
        <f>VLOOKUP(B4,[1]Sheet1!$F:$G,2,FALSE)</f>
        <v>11</v>
      </c>
      <c r="D4" s="8">
        <v>11</v>
      </c>
      <c r="E4" s="8">
        <v>8</v>
      </c>
      <c r="F4" s="8">
        <v>88</v>
      </c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  <c r="XEL4" s="5"/>
      <c r="XEM4" s="5"/>
      <c r="XEN4" s="5"/>
    </row>
    <row r="5" s="1" customFormat="1" ht="16.5" spans="1:16368">
      <c r="A5" s="8">
        <v>3</v>
      </c>
      <c r="B5" s="9" t="s">
        <v>9</v>
      </c>
      <c r="C5" s="8">
        <f>VLOOKUP(B5,[1]Sheet1!$F:$G,2,FALSE)</f>
        <v>19</v>
      </c>
      <c r="D5" s="8">
        <v>19</v>
      </c>
      <c r="E5" s="8">
        <v>16.5</v>
      </c>
      <c r="F5" s="8">
        <v>313.5</v>
      </c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  <c r="XEL5" s="5"/>
      <c r="XEM5" s="5"/>
      <c r="XEN5" s="5"/>
    </row>
    <row r="6" s="1" customFormat="1" ht="16.5" spans="1:16368">
      <c r="A6" s="8">
        <v>4</v>
      </c>
      <c r="B6" s="9" t="s">
        <v>10</v>
      </c>
      <c r="C6" s="8">
        <f>VLOOKUP(B6,[1]Sheet1!$F:$G,2,FALSE)</f>
        <v>5</v>
      </c>
      <c r="D6" s="8">
        <v>5</v>
      </c>
      <c r="E6" s="8">
        <v>16.5</v>
      </c>
      <c r="F6" s="8">
        <v>82.5</v>
      </c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  <c r="XEL6" s="5"/>
      <c r="XEM6" s="5"/>
      <c r="XEN6" s="5"/>
    </row>
    <row r="7" s="1" customFormat="1" ht="16.5" spans="1:16368">
      <c r="A7" s="8">
        <v>5</v>
      </c>
      <c r="B7" s="9" t="s">
        <v>11</v>
      </c>
      <c r="C7" s="8">
        <f>VLOOKUP(B7,[1]Sheet1!$F:$G,2,FALSE)</f>
        <v>8</v>
      </c>
      <c r="D7" s="8">
        <v>8</v>
      </c>
      <c r="E7" s="8">
        <v>16.5</v>
      </c>
      <c r="F7" s="8">
        <v>132</v>
      </c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  <c r="XEL7" s="5"/>
      <c r="XEM7" s="5"/>
      <c r="XEN7" s="5"/>
    </row>
    <row r="8" s="1" customFormat="1" ht="16.5" spans="1:16368">
      <c r="A8" s="8">
        <v>6</v>
      </c>
      <c r="B8" s="9" t="s">
        <v>12</v>
      </c>
      <c r="C8" s="8">
        <f>VLOOKUP(B8,[1]Sheet1!$F:$G,2,FALSE)</f>
        <v>192</v>
      </c>
      <c r="D8" s="8">
        <v>4</v>
      </c>
      <c r="E8" s="8">
        <v>264</v>
      </c>
      <c r="F8" s="8">
        <v>1056</v>
      </c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  <c r="XEL8" s="5"/>
      <c r="XEM8" s="5"/>
      <c r="XEN8" s="5"/>
    </row>
    <row r="9" s="1" customFormat="1" ht="16.5" spans="1:16368">
      <c r="A9" s="8">
        <v>7</v>
      </c>
      <c r="B9" s="9" t="s">
        <v>13</v>
      </c>
      <c r="C9" s="8">
        <f>VLOOKUP(B9,[1]Sheet1!$F:$G,2,FALSE)</f>
        <v>24</v>
      </c>
      <c r="D9" s="8">
        <v>12</v>
      </c>
      <c r="E9" s="8">
        <v>16.5</v>
      </c>
      <c r="F9" s="8">
        <v>198</v>
      </c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</row>
    <row r="10" s="1" customFormat="1" ht="16.5" spans="1:16368">
      <c r="A10" s="8">
        <v>8</v>
      </c>
      <c r="B10" s="9" t="s">
        <v>14</v>
      </c>
      <c r="C10" s="8">
        <f>VLOOKUP(B10,[1]Sheet1!$F:$G,2,FALSE)</f>
        <v>9</v>
      </c>
      <c r="D10" s="8">
        <v>9</v>
      </c>
      <c r="E10" s="8">
        <v>8</v>
      </c>
      <c r="F10" s="8">
        <v>72</v>
      </c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</row>
    <row r="11" s="1" customFormat="1" ht="16.5" spans="1:16368">
      <c r="A11" s="8">
        <v>9</v>
      </c>
      <c r="B11" s="9" t="s">
        <v>15</v>
      </c>
      <c r="C11" s="8">
        <f>VLOOKUP(B11,[1]Sheet1!$F:$G,2,FALSE)</f>
        <v>0</v>
      </c>
      <c r="D11" s="8">
        <v>20</v>
      </c>
      <c r="E11" s="8">
        <v>15</v>
      </c>
      <c r="F11" s="8">
        <v>300</v>
      </c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</row>
    <row r="12" s="1" customFormat="1" ht="16.5" spans="1:16368">
      <c r="A12" s="8">
        <v>10</v>
      </c>
      <c r="B12" s="9" t="s">
        <v>16</v>
      </c>
      <c r="C12" s="8">
        <f>VLOOKUP(B12,[1]Sheet1!$F:$G,2,FALSE)</f>
        <v>126</v>
      </c>
      <c r="D12" s="8">
        <v>18</v>
      </c>
      <c r="E12" s="8">
        <v>38.5</v>
      </c>
      <c r="F12" s="8">
        <v>693</v>
      </c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</row>
    <row r="13" s="1" customFormat="1" ht="16.5" spans="1:16368">
      <c r="A13" s="8">
        <v>11</v>
      </c>
      <c r="B13" s="9" t="s">
        <v>17</v>
      </c>
      <c r="C13" s="8">
        <f>VLOOKUP(B13,[1]Sheet1!$F:$G,2,FALSE)</f>
        <v>65</v>
      </c>
      <c r="D13" s="8">
        <v>65</v>
      </c>
      <c r="E13" s="8">
        <v>16.5</v>
      </c>
      <c r="F13" s="8">
        <v>1072.5</v>
      </c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</row>
    <row r="14" s="1" customFormat="1" ht="16.5" spans="1:16368">
      <c r="A14" s="8">
        <v>12</v>
      </c>
      <c r="B14" s="9" t="s">
        <v>18</v>
      </c>
      <c r="C14" s="8">
        <f>VLOOKUP(B14,[1]Sheet1!$F:$G,2,FALSE)</f>
        <v>6800</v>
      </c>
      <c r="D14" s="8">
        <v>425</v>
      </c>
      <c r="E14" s="8">
        <v>88</v>
      </c>
      <c r="F14" s="8">
        <v>37400</v>
      </c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</row>
    <row r="15" s="1" customFormat="1" ht="16.5" spans="1:16368">
      <c r="A15" s="8">
        <v>13</v>
      </c>
      <c r="B15" s="9" t="s">
        <v>19</v>
      </c>
      <c r="C15" s="8">
        <f>VLOOKUP(B15,[1]Sheet1!$F:$G,2,FALSE)</f>
        <v>38</v>
      </c>
      <c r="D15" s="8">
        <v>2</v>
      </c>
      <c r="E15" s="8">
        <v>104.5</v>
      </c>
      <c r="F15" s="8">
        <v>209</v>
      </c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</row>
    <row r="16" s="1" customFormat="1" ht="16.5" spans="1:16368">
      <c r="A16" s="8">
        <v>14</v>
      </c>
      <c r="B16" s="9" t="s">
        <v>20</v>
      </c>
      <c r="C16" s="8">
        <f>VLOOKUP(B16,[1]Sheet1!$F:$G,2,FALSE)</f>
        <v>1</v>
      </c>
      <c r="D16" s="8">
        <v>1</v>
      </c>
      <c r="E16" s="8">
        <v>8</v>
      </c>
      <c r="F16" s="8">
        <v>8</v>
      </c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</row>
    <row r="17" s="1" customFormat="1" ht="16.5" spans="1:16368">
      <c r="A17" s="8">
        <v>15</v>
      </c>
      <c r="B17" s="9" t="s">
        <v>21</v>
      </c>
      <c r="C17" s="8">
        <f>VLOOKUP(B17,[1]Sheet1!$F:$G,2,FALSE)</f>
        <v>2</v>
      </c>
      <c r="D17" s="8">
        <v>1</v>
      </c>
      <c r="E17" s="8">
        <v>16.5</v>
      </c>
      <c r="F17" s="8">
        <v>16.5</v>
      </c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</row>
    <row r="18" s="1" customFormat="1" ht="16.5" spans="1:16368">
      <c r="A18" s="8">
        <v>16</v>
      </c>
      <c r="B18" s="9" t="s">
        <v>22</v>
      </c>
      <c r="C18" s="8">
        <f>VLOOKUP(B18,[1]Sheet1!$F:$G,2,FALSE)</f>
        <v>7</v>
      </c>
      <c r="D18" s="8">
        <v>7</v>
      </c>
      <c r="E18" s="8">
        <v>8</v>
      </c>
      <c r="F18" s="8">
        <v>56</v>
      </c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</row>
    <row r="19" s="1" customFormat="1" ht="16.5" spans="1:16368">
      <c r="A19" s="8">
        <v>17</v>
      </c>
      <c r="B19" s="9" t="s">
        <v>23</v>
      </c>
      <c r="C19" s="8">
        <f>VLOOKUP(B19,[1]Sheet1!$F:$G,2,FALSE)</f>
        <v>5</v>
      </c>
      <c r="D19" s="8">
        <v>5</v>
      </c>
      <c r="E19" s="8">
        <v>16.5</v>
      </c>
      <c r="F19" s="8">
        <v>82.5</v>
      </c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</row>
    <row r="20" s="1" customFormat="1" ht="16.5" spans="1:16368">
      <c r="A20" s="8">
        <v>18</v>
      </c>
      <c r="B20" s="9" t="s">
        <v>24</v>
      </c>
      <c r="C20" s="8">
        <f>VLOOKUP(B20,[1]Sheet1!$F:$G,2,FALSE)</f>
        <v>14</v>
      </c>
      <c r="D20" s="8">
        <v>14</v>
      </c>
      <c r="E20" s="8">
        <v>8</v>
      </c>
      <c r="F20" s="8">
        <v>112</v>
      </c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</row>
    <row r="21" s="1" customFormat="1" ht="16.5" spans="1:16368">
      <c r="A21" s="8">
        <v>19</v>
      </c>
      <c r="B21" s="9" t="s">
        <v>25</v>
      </c>
      <c r="C21" s="8">
        <f>VLOOKUP(B21,[1]Sheet1!$F:$G,2,FALSE)</f>
        <v>11</v>
      </c>
      <c r="D21" s="8">
        <v>11</v>
      </c>
      <c r="E21" s="8">
        <v>16.5</v>
      </c>
      <c r="F21" s="8">
        <v>181.5</v>
      </c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</row>
    <row r="22" s="1" customFormat="1" ht="16.5" spans="1:16368">
      <c r="A22" s="8">
        <v>20</v>
      </c>
      <c r="B22" s="9" t="s">
        <v>26</v>
      </c>
      <c r="C22" s="8">
        <f>VLOOKUP(B22,[1]Sheet1!$F:$G,2,FALSE)</f>
        <v>29</v>
      </c>
      <c r="D22" s="8">
        <v>29</v>
      </c>
      <c r="E22" s="8">
        <v>8</v>
      </c>
      <c r="F22" s="8">
        <v>232</v>
      </c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</row>
    <row r="23" s="1" customFormat="1" ht="16.5" spans="1:16368">
      <c r="A23" s="8">
        <v>21</v>
      </c>
      <c r="B23" s="9" t="s">
        <v>27</v>
      </c>
      <c r="C23" s="8">
        <f>VLOOKUP(B23,[1]Sheet1!$F:$G,2,FALSE)</f>
        <v>13</v>
      </c>
      <c r="D23" s="8">
        <v>13</v>
      </c>
      <c r="E23" s="8">
        <v>16.5</v>
      </c>
      <c r="F23" s="8">
        <v>214.5</v>
      </c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</row>
    <row r="24" s="1" customFormat="1" ht="16.5" spans="1:16368">
      <c r="A24" s="8">
        <v>22</v>
      </c>
      <c r="B24" s="9" t="s">
        <v>28</v>
      </c>
      <c r="C24" s="8">
        <f>VLOOKUP(B24,[1]Sheet1!$F:$G,2,FALSE)</f>
        <v>116</v>
      </c>
      <c r="D24" s="8">
        <v>58</v>
      </c>
      <c r="E24" s="8">
        <v>13.5</v>
      </c>
      <c r="F24" s="8">
        <v>783</v>
      </c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</row>
    <row r="25" s="1" customFormat="1" ht="16.5" spans="1:16368">
      <c r="A25" s="8">
        <v>23</v>
      </c>
      <c r="B25" s="9" t="s">
        <v>29</v>
      </c>
      <c r="C25" s="8">
        <f>VLOOKUP(B25,[1]Sheet1!$F:$G,2,FALSE)</f>
        <v>8</v>
      </c>
      <c r="D25" s="8">
        <v>8</v>
      </c>
      <c r="E25" s="8">
        <v>11</v>
      </c>
      <c r="F25" s="8">
        <v>88</v>
      </c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</row>
    <row r="26" s="1" customFormat="1" ht="16.5" spans="1:16368">
      <c r="A26" s="8">
        <v>24</v>
      </c>
      <c r="B26" s="9" t="s">
        <v>30</v>
      </c>
      <c r="C26" s="8">
        <f>VLOOKUP(B26,[1]Sheet1!$F:$G,2,FALSE)</f>
        <v>21</v>
      </c>
      <c r="D26" s="8">
        <v>21</v>
      </c>
      <c r="E26" s="8">
        <v>11</v>
      </c>
      <c r="F26" s="8">
        <v>231</v>
      </c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</row>
    <row r="27" s="1" customFormat="1" ht="16.5" spans="1:16368">
      <c r="A27" s="8">
        <v>25</v>
      </c>
      <c r="B27" s="9" t="s">
        <v>31</v>
      </c>
      <c r="C27" s="8">
        <f>VLOOKUP(B27,[1]Sheet1!$F:$G,2,FALSE)</f>
        <v>20</v>
      </c>
      <c r="D27" s="8">
        <v>20</v>
      </c>
      <c r="E27" s="8">
        <v>8</v>
      </c>
      <c r="F27" s="8">
        <v>160</v>
      </c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  <c r="XEM27" s="5"/>
      <c r="XEN27" s="5"/>
    </row>
    <row r="28" s="1" customFormat="1" ht="16.5" spans="1:16368">
      <c r="A28" s="8">
        <v>26</v>
      </c>
      <c r="B28" s="9" t="s">
        <v>32</v>
      </c>
      <c r="C28" s="8">
        <f>VLOOKUP(B28,[1]Sheet1!$F:$G,2,FALSE)</f>
        <v>2</v>
      </c>
      <c r="D28" s="8">
        <v>2</v>
      </c>
      <c r="E28" s="8">
        <v>8</v>
      </c>
      <c r="F28" s="8">
        <v>16</v>
      </c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</row>
    <row r="29" s="1" customFormat="1" ht="16.5" spans="1:16370">
      <c r="A29" s="8">
        <v>27</v>
      </c>
      <c r="B29" s="10" t="s">
        <v>33</v>
      </c>
      <c r="C29" s="8">
        <f>VLOOKUP(B29,[1]Sheet1!$F:$G,2,FALSE)</f>
        <v>5</v>
      </c>
      <c r="D29" s="8">
        <v>5</v>
      </c>
      <c r="E29" s="8">
        <v>8</v>
      </c>
      <c r="F29" s="8">
        <v>40</v>
      </c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11"/>
      <c r="XBL29" s="11"/>
      <c r="XBM29" s="11"/>
      <c r="XBN29" s="11"/>
      <c r="XBO29" s="11"/>
      <c r="XBP29" s="11"/>
      <c r="XBQ29" s="11"/>
      <c r="XBR29" s="11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</row>
    <row r="30" s="1" customFormat="1" ht="16.5" spans="1:16368">
      <c r="A30" s="8">
        <v>28</v>
      </c>
      <c r="B30" s="9" t="s">
        <v>34</v>
      </c>
      <c r="C30" s="8">
        <f>VLOOKUP(B30,[1]Sheet1!$F:$G,2,FALSE)</f>
        <v>6</v>
      </c>
      <c r="D30" s="8">
        <v>2</v>
      </c>
      <c r="E30" s="8">
        <v>16.5</v>
      </c>
      <c r="F30" s="8">
        <v>33</v>
      </c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  <c r="XEL30" s="5"/>
      <c r="XEM30" s="5"/>
      <c r="XEN30" s="5"/>
    </row>
    <row r="31" s="1" customFormat="1" ht="16.5" spans="1:16368">
      <c r="A31" s="8">
        <v>29</v>
      </c>
      <c r="B31" s="9" t="s">
        <v>35</v>
      </c>
      <c r="C31" s="8">
        <f>VLOOKUP(B31,[1]Sheet1!$F:$G,2,FALSE)</f>
        <v>4</v>
      </c>
      <c r="D31" s="8">
        <v>2</v>
      </c>
      <c r="E31" s="8">
        <v>16.5</v>
      </c>
      <c r="F31" s="8">
        <v>33</v>
      </c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  <c r="XEL31" s="5"/>
      <c r="XEM31" s="5"/>
      <c r="XEN31" s="5"/>
    </row>
    <row r="32" s="1" customFormat="1" ht="16.5" spans="1:16368">
      <c r="A32" s="8">
        <v>30</v>
      </c>
      <c r="B32" s="9" t="s">
        <v>36</v>
      </c>
      <c r="C32" s="8">
        <f>VLOOKUP(B32,[1]Sheet1!$F:$G,2,FALSE)</f>
        <v>24</v>
      </c>
      <c r="D32" s="8">
        <v>24</v>
      </c>
      <c r="E32" s="8">
        <v>13.5</v>
      </c>
      <c r="F32" s="8">
        <v>324</v>
      </c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</row>
    <row r="33" s="1" customFormat="1" ht="16.5" spans="1:16368">
      <c r="A33" s="8">
        <v>31</v>
      </c>
      <c r="B33" s="9" t="s">
        <v>37</v>
      </c>
      <c r="C33" s="8">
        <f>VLOOKUP(B33,[1]Sheet1!$F:$G,2,FALSE)</f>
        <v>81</v>
      </c>
      <c r="D33" s="8">
        <v>3</v>
      </c>
      <c r="E33" s="8">
        <v>148.5</v>
      </c>
      <c r="F33" s="8">
        <v>445.5</v>
      </c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  <c r="XEL33" s="5"/>
      <c r="XEM33" s="5"/>
      <c r="XEN33" s="5"/>
    </row>
    <row r="34" s="1" customFormat="1" ht="16.5" spans="1:16368">
      <c r="A34" s="8">
        <v>32</v>
      </c>
      <c r="B34" s="9" t="s">
        <v>38</v>
      </c>
      <c r="C34" s="8">
        <f>VLOOKUP(B34,[1]Sheet1!$F:$G,2,FALSE)</f>
        <v>2</v>
      </c>
      <c r="D34" s="8">
        <v>2</v>
      </c>
      <c r="E34" s="8">
        <v>8</v>
      </c>
      <c r="F34" s="8">
        <v>16</v>
      </c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  <c r="XEL34" s="5"/>
      <c r="XEM34" s="5"/>
      <c r="XEN34" s="5"/>
    </row>
    <row r="35" s="1" customFormat="1" ht="16.5" spans="1:16368">
      <c r="A35" s="8">
        <v>33</v>
      </c>
      <c r="B35" s="9" t="s">
        <v>39</v>
      </c>
      <c r="C35" s="8">
        <f>VLOOKUP(B35,[1]Sheet1!$F:$G,2,FALSE)</f>
        <v>648</v>
      </c>
      <c r="D35" s="8">
        <v>54</v>
      </c>
      <c r="E35" s="8">
        <v>66</v>
      </c>
      <c r="F35" s="8">
        <v>3564</v>
      </c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  <c r="XEL35" s="5"/>
      <c r="XEM35" s="5"/>
      <c r="XEN35" s="5"/>
    </row>
    <row r="36" s="1" customFormat="1" ht="16.5" spans="1:16368">
      <c r="A36" s="8">
        <v>34</v>
      </c>
      <c r="B36" s="9" t="s">
        <v>40</v>
      </c>
      <c r="C36" s="8">
        <f>VLOOKUP(B36,[1]Sheet1!$F:$G,2,FALSE)</f>
        <v>192</v>
      </c>
      <c r="D36" s="8">
        <v>12</v>
      </c>
      <c r="E36" s="8">
        <v>88</v>
      </c>
      <c r="F36" s="8">
        <v>1056</v>
      </c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  <c r="XEL36" s="5"/>
      <c r="XEM36" s="5"/>
      <c r="XEN36" s="5"/>
    </row>
    <row r="37" s="1" customFormat="1" ht="16.5" spans="1:16368">
      <c r="A37" s="8">
        <v>35</v>
      </c>
      <c r="B37" s="9" t="s">
        <v>41</v>
      </c>
      <c r="C37" s="8">
        <f>VLOOKUP(B37,[1]Sheet1!$F:$G,2,FALSE)</f>
        <v>390</v>
      </c>
      <c r="D37" s="8">
        <v>39</v>
      </c>
      <c r="E37" s="8">
        <v>55</v>
      </c>
      <c r="F37" s="8">
        <v>2145</v>
      </c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  <c r="XEL37" s="5"/>
      <c r="XEM37" s="5"/>
      <c r="XEN37" s="5"/>
    </row>
    <row r="38" s="1" customFormat="1" ht="16.5" spans="1:16368">
      <c r="A38" s="8">
        <v>36</v>
      </c>
      <c r="B38" s="9" t="s">
        <v>42</v>
      </c>
      <c r="C38" s="8">
        <f>VLOOKUP(B38,[1]Sheet1!$F:$G,2,FALSE)</f>
        <v>0</v>
      </c>
      <c r="D38" s="8">
        <v>21</v>
      </c>
      <c r="E38" s="8">
        <v>2.5</v>
      </c>
      <c r="F38" s="8">
        <v>52.5</v>
      </c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  <c r="XEL38" s="5"/>
      <c r="XEM38" s="5"/>
      <c r="XEN38" s="5"/>
    </row>
    <row r="39" s="1" customFormat="1" ht="16.5" spans="1:16368">
      <c r="A39" s="8">
        <v>37</v>
      </c>
      <c r="B39" s="9" t="s">
        <v>43</v>
      </c>
      <c r="C39" s="8">
        <f>VLOOKUP(B39,[1]Sheet1!$F:$G,2,FALSE)</f>
        <v>560</v>
      </c>
      <c r="D39" s="8">
        <v>20</v>
      </c>
      <c r="E39" s="8">
        <v>154</v>
      </c>
      <c r="F39" s="8">
        <v>3080</v>
      </c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  <c r="XEL39" s="5"/>
      <c r="XEM39" s="5"/>
      <c r="XEN39" s="5"/>
    </row>
    <row r="40" s="1" customFormat="1" ht="16.5" spans="1:16368">
      <c r="A40" s="8">
        <v>38</v>
      </c>
      <c r="B40" s="9" t="s">
        <v>44</v>
      </c>
      <c r="C40" s="8">
        <f>VLOOKUP(B40,[1]Sheet1!$F:$G,2,FALSE)</f>
        <v>20</v>
      </c>
      <c r="D40" s="8">
        <v>20</v>
      </c>
      <c r="E40" s="8">
        <v>8</v>
      </c>
      <c r="F40" s="8">
        <v>160</v>
      </c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  <c r="XEL40" s="5"/>
      <c r="XEM40" s="5"/>
      <c r="XEN40" s="5"/>
    </row>
    <row r="41" s="1" customFormat="1" ht="16.5" spans="1:16368">
      <c r="A41" s="8">
        <v>39</v>
      </c>
      <c r="B41" s="9" t="s">
        <v>45</v>
      </c>
      <c r="C41" s="8">
        <f>VLOOKUP(B41,[1]Sheet1!$F:$G,2,FALSE)</f>
        <v>5</v>
      </c>
      <c r="D41" s="8">
        <v>5</v>
      </c>
      <c r="E41" s="8">
        <v>8</v>
      </c>
      <c r="F41" s="8">
        <v>40</v>
      </c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  <c r="XEL41" s="5"/>
      <c r="XEM41" s="5"/>
      <c r="XEN41" s="5"/>
    </row>
    <row r="42" s="1" customFormat="1" ht="16.5" spans="1:16368">
      <c r="A42" s="8">
        <v>40</v>
      </c>
      <c r="B42" s="9" t="s">
        <v>46</v>
      </c>
      <c r="C42" s="8">
        <f>VLOOKUP(B42,[1]Sheet1!$F:$G,2,FALSE)</f>
        <v>20</v>
      </c>
      <c r="D42" s="8">
        <v>20</v>
      </c>
      <c r="E42" s="8">
        <v>8</v>
      </c>
      <c r="F42" s="8">
        <v>160</v>
      </c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</row>
    <row r="43" s="1" customFormat="1" ht="16.5" customHeight="1" spans="1:16368">
      <c r="A43" s="8">
        <v>41</v>
      </c>
      <c r="B43" s="9" t="s">
        <v>47</v>
      </c>
      <c r="C43" s="8">
        <f>VLOOKUP(B43,[1]Sheet1!$F:$G,2,FALSE)</f>
        <v>56</v>
      </c>
      <c r="D43" s="8">
        <v>28</v>
      </c>
      <c r="E43" s="8">
        <v>16.5</v>
      </c>
      <c r="F43" s="8">
        <v>462</v>
      </c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</row>
    <row r="44" s="1" customFormat="1" ht="16.5" customHeight="1" spans="1:16368">
      <c r="A44" s="8">
        <v>42</v>
      </c>
      <c r="B44" s="9" t="s">
        <v>48</v>
      </c>
      <c r="C44" s="8">
        <f>VLOOKUP(B44,[1]Sheet1!$F:$G,2,FALSE)</f>
        <v>1</v>
      </c>
      <c r="D44" s="8">
        <v>1</v>
      </c>
      <c r="E44" s="8">
        <v>11</v>
      </c>
      <c r="F44" s="8">
        <v>11</v>
      </c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  <c r="XEL44" s="5"/>
      <c r="XEM44" s="5"/>
      <c r="XEN44" s="5"/>
    </row>
    <row r="45" s="1" customFormat="1" ht="16.5" customHeight="1" spans="1:16368">
      <c r="A45" s="8">
        <v>43</v>
      </c>
      <c r="B45" s="9" t="s">
        <v>49</v>
      </c>
      <c r="C45" s="8">
        <f>VLOOKUP(B45,[1]Sheet1!$F:$G,2,FALSE)</f>
        <v>32</v>
      </c>
      <c r="D45" s="8">
        <v>16</v>
      </c>
      <c r="E45" s="8">
        <v>16.5</v>
      </c>
      <c r="F45" s="8">
        <v>264</v>
      </c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</row>
    <row r="46" s="1" customFormat="1" ht="16.5" customHeight="1" spans="1:16368">
      <c r="A46" s="8">
        <v>44</v>
      </c>
      <c r="B46" s="9" t="s">
        <v>50</v>
      </c>
      <c r="C46" s="8">
        <f>VLOOKUP(B46,[1]Sheet1!$F:$G,2,FALSE)</f>
        <v>2</v>
      </c>
      <c r="D46" s="8">
        <v>1</v>
      </c>
      <c r="E46" s="8">
        <v>16.5</v>
      </c>
      <c r="F46" s="8">
        <v>16.5</v>
      </c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</row>
    <row r="47" s="1" customFormat="1" ht="16.5" customHeight="1" spans="1:16368">
      <c r="A47" s="8">
        <v>45</v>
      </c>
      <c r="B47" s="9" t="s">
        <v>51</v>
      </c>
      <c r="C47" s="8">
        <f>VLOOKUP(B47,[1]Sheet1!$F:$G,2,FALSE)</f>
        <v>6</v>
      </c>
      <c r="D47" s="8">
        <v>1</v>
      </c>
      <c r="E47" s="8">
        <v>33</v>
      </c>
      <c r="F47" s="8">
        <v>33</v>
      </c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</row>
    <row r="48" s="1" customFormat="1" ht="16.5" customHeight="1" spans="1:16368">
      <c r="A48" s="8">
        <v>46</v>
      </c>
      <c r="B48" s="9" t="s">
        <v>52</v>
      </c>
      <c r="C48" s="8">
        <f>VLOOKUP(B48,[1]Sheet1!$F:$G,2,FALSE)</f>
        <v>20</v>
      </c>
      <c r="D48" s="8">
        <v>20</v>
      </c>
      <c r="E48" s="8">
        <v>8</v>
      </c>
      <c r="F48" s="8">
        <v>160</v>
      </c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</row>
    <row r="49" ht="16.5" customHeight="1" spans="1:6">
      <c r="A49" s="8">
        <v>47</v>
      </c>
      <c r="B49" s="9" t="s">
        <v>53</v>
      </c>
      <c r="C49" s="8">
        <f>VLOOKUP(B49,[1]Sheet1!$F:$G,2,FALSE)</f>
        <v>270</v>
      </c>
      <c r="D49" s="8">
        <v>9</v>
      </c>
      <c r="E49" s="8">
        <v>165</v>
      </c>
      <c r="F49" s="8">
        <v>1485</v>
      </c>
    </row>
    <row r="50" ht="16.5" customHeight="1" spans="1:6">
      <c r="A50" s="8">
        <v>48</v>
      </c>
      <c r="B50" s="9" t="s">
        <v>54</v>
      </c>
      <c r="C50" s="8">
        <f>VLOOKUP(B50,[1]Sheet1!$F:$G,2,FALSE)</f>
        <v>8</v>
      </c>
      <c r="D50" s="8">
        <v>2</v>
      </c>
      <c r="E50" s="8">
        <v>22</v>
      </c>
      <c r="F50" s="8">
        <v>44</v>
      </c>
    </row>
    <row r="51" ht="16.5" customHeight="1" spans="1:6">
      <c r="A51" s="8">
        <v>49</v>
      </c>
      <c r="B51" s="9" t="s">
        <v>55</v>
      </c>
      <c r="C51" s="8">
        <f>VLOOKUP(B51,[1]Sheet1!$F:$G,2,FALSE)</f>
        <v>12</v>
      </c>
      <c r="D51" s="8">
        <v>6</v>
      </c>
      <c r="E51" s="8">
        <v>13.5</v>
      </c>
      <c r="F51" s="8">
        <v>81</v>
      </c>
    </row>
    <row r="52" ht="16.5" customHeight="1" spans="1:6">
      <c r="A52" s="8">
        <v>50</v>
      </c>
      <c r="B52" s="9" t="s">
        <v>56</v>
      </c>
      <c r="C52" s="8">
        <f>VLOOKUP(B52,[1]Sheet1!$F:$G,2,FALSE)</f>
        <v>3</v>
      </c>
      <c r="D52" s="8">
        <v>1</v>
      </c>
      <c r="E52" s="8">
        <v>16.5</v>
      </c>
      <c r="F52" s="8">
        <v>16.5</v>
      </c>
    </row>
    <row r="53" ht="16.5" spans="1:6">
      <c r="A53" s="8">
        <v>51</v>
      </c>
      <c r="B53" s="9" t="s">
        <v>57</v>
      </c>
      <c r="C53" s="8">
        <f>VLOOKUP(B53,[1]Sheet1!$F:$G,2,FALSE)</f>
        <v>3</v>
      </c>
      <c r="D53" s="8">
        <v>1</v>
      </c>
      <c r="E53" s="8">
        <v>16.5</v>
      </c>
      <c r="F53" s="8">
        <v>16.5</v>
      </c>
    </row>
    <row r="54" ht="16.5" spans="1:6">
      <c r="A54" s="8">
        <v>52</v>
      </c>
      <c r="B54" s="9" t="s">
        <v>58</v>
      </c>
      <c r="C54" s="8">
        <f>VLOOKUP(B54,[1]Sheet1!$F:$G,2,FALSE)</f>
        <v>3</v>
      </c>
      <c r="D54" s="8">
        <v>1</v>
      </c>
      <c r="E54" s="8">
        <v>16.5</v>
      </c>
      <c r="F54" s="8">
        <v>16.5</v>
      </c>
    </row>
    <row r="55" ht="16.5" spans="1:6">
      <c r="A55" s="8">
        <v>53</v>
      </c>
      <c r="B55" s="9" t="s">
        <v>59</v>
      </c>
      <c r="C55" s="8">
        <f>VLOOKUP(B55,[1]Sheet1!$F:$G,2,FALSE)</f>
        <v>3</v>
      </c>
      <c r="D55" s="8">
        <v>1</v>
      </c>
      <c r="E55" s="8">
        <v>16.5</v>
      </c>
      <c r="F55" s="8">
        <v>16.5</v>
      </c>
    </row>
    <row r="56" ht="16.5" spans="1:6">
      <c r="A56" s="8">
        <v>54</v>
      </c>
      <c r="B56" s="9" t="s">
        <v>60</v>
      </c>
      <c r="C56" s="8">
        <f>VLOOKUP(B56,[1]Sheet1!$F:$G,2,FALSE)</f>
        <v>4</v>
      </c>
      <c r="D56" s="8">
        <v>4</v>
      </c>
      <c r="E56" s="8">
        <v>13</v>
      </c>
      <c r="F56" s="8">
        <v>52</v>
      </c>
    </row>
    <row r="57" ht="16.5" spans="1:6">
      <c r="A57" s="8">
        <v>55</v>
      </c>
      <c r="B57" s="9" t="s">
        <v>61</v>
      </c>
      <c r="C57" s="8">
        <f>VLOOKUP(B57,[1]Sheet1!$F:$G,2,FALSE)</f>
        <v>104</v>
      </c>
      <c r="D57" s="8">
        <v>104</v>
      </c>
      <c r="E57" s="8">
        <v>13</v>
      </c>
      <c r="F57" s="8">
        <v>1352</v>
      </c>
    </row>
    <row r="58" ht="16.5" spans="1:6">
      <c r="A58" s="8">
        <v>56</v>
      </c>
      <c r="B58" s="9" t="s">
        <v>62</v>
      </c>
      <c r="C58" s="8">
        <f>VLOOKUP(B58,[1]Sheet1!$F:$G,2,FALSE)</f>
        <v>44</v>
      </c>
      <c r="D58" s="8">
        <v>44</v>
      </c>
      <c r="E58" s="8">
        <v>16.5</v>
      </c>
      <c r="F58" s="8">
        <v>726</v>
      </c>
    </row>
    <row r="59" ht="16.5" spans="1:6">
      <c r="A59" s="8">
        <v>57</v>
      </c>
      <c r="B59" s="9" t="s">
        <v>63</v>
      </c>
      <c r="C59" s="8">
        <f>VLOOKUP(B59,[1]Sheet1!$F:$G,2,FALSE)</f>
        <v>136</v>
      </c>
      <c r="D59" s="8">
        <v>68</v>
      </c>
      <c r="E59" s="8">
        <v>16.5</v>
      </c>
      <c r="F59" s="8">
        <v>1122</v>
      </c>
    </row>
    <row r="60" ht="16.5" spans="1:6">
      <c r="A60" s="8">
        <v>58</v>
      </c>
      <c r="B60" s="9" t="s">
        <v>64</v>
      </c>
      <c r="C60" s="8">
        <f>VLOOKUP(B60,[1]Sheet1!$F:$G,2,FALSE)</f>
        <v>21</v>
      </c>
      <c r="D60" s="8">
        <v>7</v>
      </c>
      <c r="E60" s="8">
        <v>16.5</v>
      </c>
      <c r="F60" s="8">
        <v>115.5</v>
      </c>
    </row>
    <row r="61" ht="16.5" spans="1:6">
      <c r="A61" s="8">
        <v>59</v>
      </c>
      <c r="B61" s="9" t="s">
        <v>65</v>
      </c>
      <c r="C61" s="8">
        <f>VLOOKUP(B61,[1]Sheet1!$F:$G,2,FALSE)</f>
        <v>3</v>
      </c>
      <c r="D61" s="8">
        <v>1</v>
      </c>
      <c r="E61" s="8">
        <v>16.5</v>
      </c>
      <c r="F61" s="8">
        <v>16.5</v>
      </c>
    </row>
    <row r="62" ht="16.5" spans="1:6">
      <c r="A62" s="8">
        <v>60</v>
      </c>
      <c r="B62" s="9" t="s">
        <v>66</v>
      </c>
      <c r="C62" s="8">
        <f>VLOOKUP(B62,[1]Sheet1!$F:$G,2,FALSE)</f>
        <v>10</v>
      </c>
      <c r="D62" s="8">
        <v>5</v>
      </c>
      <c r="E62" s="8">
        <v>16.5</v>
      </c>
      <c r="F62" s="8">
        <v>82.5</v>
      </c>
    </row>
    <row r="63" ht="16.5" spans="1:6">
      <c r="A63" s="8">
        <v>61</v>
      </c>
      <c r="B63" s="9" t="s">
        <v>67</v>
      </c>
      <c r="C63" s="8">
        <f>VLOOKUP(B63,[1]Sheet1!$F:$G,2,FALSE)</f>
        <v>64</v>
      </c>
      <c r="D63" s="8">
        <v>2</v>
      </c>
      <c r="E63" s="8">
        <v>176</v>
      </c>
      <c r="F63" s="8">
        <v>352</v>
      </c>
    </row>
    <row r="64" ht="16.5" spans="1:6">
      <c r="A64" s="8">
        <v>62</v>
      </c>
      <c r="B64" s="9" t="s">
        <v>68</v>
      </c>
      <c r="C64" s="8">
        <f>VLOOKUP(B64,[1]Sheet1!$F:$G,2,FALSE)</f>
        <v>20</v>
      </c>
      <c r="D64" s="8">
        <v>20</v>
      </c>
      <c r="E64" s="8">
        <v>8</v>
      </c>
      <c r="F64" s="8">
        <v>160</v>
      </c>
    </row>
    <row r="65" ht="16.5" spans="1:6">
      <c r="A65" s="8">
        <v>63</v>
      </c>
      <c r="B65" s="9" t="s">
        <v>69</v>
      </c>
      <c r="C65" s="8">
        <f>VLOOKUP(B65,[1]Sheet1!$F:$G,2,FALSE)</f>
        <v>124</v>
      </c>
      <c r="D65" s="8">
        <v>31</v>
      </c>
      <c r="E65" s="8">
        <v>22</v>
      </c>
      <c r="F65" s="8">
        <v>682</v>
      </c>
    </row>
    <row r="66" ht="16.5" spans="1:6">
      <c r="A66" s="8">
        <v>64</v>
      </c>
      <c r="B66" s="9" t="s">
        <v>70</v>
      </c>
      <c r="C66" s="8">
        <f>VLOOKUP(B66,[1]Sheet1!$F:$G,2,FALSE)</f>
        <v>14</v>
      </c>
      <c r="D66" s="8">
        <v>7</v>
      </c>
      <c r="E66" s="8">
        <v>16.5</v>
      </c>
      <c r="F66" s="8">
        <v>115.5</v>
      </c>
    </row>
    <row r="67" ht="16.5" spans="1:6">
      <c r="A67" s="8">
        <v>65</v>
      </c>
      <c r="B67" s="9" t="s">
        <v>71</v>
      </c>
      <c r="C67" s="8">
        <f>VLOOKUP(B67,[1]Sheet1!$F:$G,2,FALSE)</f>
        <v>2</v>
      </c>
      <c r="D67" s="8">
        <v>1</v>
      </c>
      <c r="E67" s="8">
        <v>16.5</v>
      </c>
      <c r="F67" s="8">
        <v>16.5</v>
      </c>
    </row>
    <row r="68" ht="16.5" spans="1:6">
      <c r="A68" s="8">
        <v>66</v>
      </c>
      <c r="B68" s="9" t="s">
        <v>72</v>
      </c>
      <c r="C68" s="8">
        <f>VLOOKUP(B68,[1]Sheet1!$F:$G,2,FALSE)</f>
        <v>4</v>
      </c>
      <c r="D68" s="8">
        <v>4</v>
      </c>
      <c r="E68" s="8">
        <v>8</v>
      </c>
      <c r="F68" s="8">
        <v>32</v>
      </c>
    </row>
    <row r="69" ht="16.5" spans="1:6">
      <c r="A69" s="15" t="s">
        <v>73</v>
      </c>
      <c r="B69" s="16"/>
      <c r="C69" s="16"/>
      <c r="D69" s="16"/>
      <c r="E69" s="17"/>
      <c r="F69" s="8">
        <f>SUM(F3:F68)</f>
        <v>64934.5</v>
      </c>
    </row>
  </sheetData>
  <autoFilter xmlns:etc="http://www.wps.cn/officeDocument/2017/etCustomData" ref="A2:XES69" etc:filterBottomFollowUsedRange="0">
    <extLst/>
  </autoFilter>
  <mergeCells count="2">
    <mergeCell ref="A1:F1"/>
    <mergeCell ref="A69:E69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57"/>
  <sheetViews>
    <sheetView tabSelected="1" workbookViewId="0">
      <selection activeCell="F146" sqref="F146"/>
    </sheetView>
  </sheetViews>
  <sheetFormatPr defaultColWidth="9" defaultRowHeight="14"/>
  <cols>
    <col min="1" max="1" width="7.5" style="3" customWidth="1"/>
    <col min="2" max="2" width="33.3727272727273" style="4" customWidth="1"/>
    <col min="3" max="3" width="19.1272727272727" style="3" customWidth="1"/>
    <col min="4" max="4" width="13" style="3" customWidth="1"/>
    <col min="5" max="5" width="13.7545454545455" style="3" customWidth="1"/>
    <col min="6" max="6" width="14.4545454545455" style="3" customWidth="1"/>
    <col min="7" max="16252" width="9" style="1"/>
    <col min="16292" max="16384" width="9" style="5"/>
  </cols>
  <sheetData>
    <row r="1" s="1" customFormat="1" ht="20" spans="1:6">
      <c r="A1" s="6" t="s">
        <v>74</v>
      </c>
      <c r="B1" s="7"/>
      <c r="C1" s="6"/>
      <c r="D1" s="6"/>
      <c r="E1" s="6"/>
      <c r="F1" s="6"/>
    </row>
    <row r="2" s="2" customFormat="1" ht="16.5" customHeight="1" spans="1:6">
      <c r="A2" s="8"/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16365">
      <c r="A3" s="8">
        <v>1</v>
      </c>
      <c r="B3" s="9" t="s">
        <v>75</v>
      </c>
      <c r="C3" s="8">
        <v>140</v>
      </c>
      <c r="D3" s="8">
        <v>14</v>
      </c>
      <c r="E3" s="8">
        <v>55</v>
      </c>
      <c r="F3" s="8">
        <f>D3*E3</f>
        <v>770</v>
      </c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</row>
    <row r="4" s="1" customFormat="1" ht="16.5" spans="1:16365">
      <c r="A4" s="8">
        <v>2</v>
      </c>
      <c r="B4" s="9" t="s">
        <v>76</v>
      </c>
      <c r="C4" s="8">
        <v>135</v>
      </c>
      <c r="D4" s="8">
        <v>15</v>
      </c>
      <c r="E4" s="8">
        <v>49.5</v>
      </c>
      <c r="F4" s="8">
        <f t="shared" ref="F4:F35" si="0">D4*E4</f>
        <v>742.5</v>
      </c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  <c r="XEH4" s="5"/>
      <c r="XEI4" s="5"/>
      <c r="XEJ4" s="5"/>
      <c r="XEK4" s="5"/>
    </row>
    <row r="5" s="1" customFormat="1" ht="16.5" spans="1:16365">
      <c r="A5" s="8">
        <v>3</v>
      </c>
      <c r="B5" s="9" t="s">
        <v>77</v>
      </c>
      <c r="C5" s="8">
        <v>117</v>
      </c>
      <c r="D5" s="8">
        <v>13</v>
      </c>
      <c r="E5" s="8">
        <v>49.5</v>
      </c>
      <c r="F5" s="8">
        <f t="shared" si="0"/>
        <v>643.5</v>
      </c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  <c r="XEH5" s="5"/>
      <c r="XEI5" s="5"/>
      <c r="XEJ5" s="5"/>
      <c r="XEK5" s="5"/>
    </row>
    <row r="6" s="1" customFormat="1" ht="16.5" spans="1:16365">
      <c r="A6" s="8">
        <v>4</v>
      </c>
      <c r="B6" s="9" t="s">
        <v>78</v>
      </c>
      <c r="C6" s="8">
        <v>4</v>
      </c>
      <c r="D6" s="8">
        <v>2</v>
      </c>
      <c r="E6" s="8">
        <v>22</v>
      </c>
      <c r="F6" s="8">
        <f t="shared" si="0"/>
        <v>44</v>
      </c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  <c r="XEH6" s="5"/>
      <c r="XEI6" s="5"/>
      <c r="XEJ6" s="5"/>
      <c r="XEK6" s="5"/>
    </row>
    <row r="7" s="1" customFormat="1" ht="16.5" spans="1:16365">
      <c r="A7" s="8">
        <v>5</v>
      </c>
      <c r="B7" s="9" t="s">
        <v>79</v>
      </c>
      <c r="C7" s="8">
        <v>16</v>
      </c>
      <c r="D7" s="8">
        <v>1</v>
      </c>
      <c r="E7" s="8">
        <v>66</v>
      </c>
      <c r="F7" s="8">
        <f t="shared" si="0"/>
        <v>66</v>
      </c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  <c r="XEH7" s="5"/>
      <c r="XEI7" s="5"/>
      <c r="XEJ7" s="5"/>
      <c r="XEK7" s="5"/>
    </row>
    <row r="8" s="1" customFormat="1" ht="16.5" spans="1:16365">
      <c r="A8" s="8">
        <v>6</v>
      </c>
      <c r="B8" s="9" t="s">
        <v>80</v>
      </c>
      <c r="C8" s="8">
        <v>8</v>
      </c>
      <c r="D8" s="8">
        <v>1</v>
      </c>
      <c r="E8" s="8">
        <v>35</v>
      </c>
      <c r="F8" s="8">
        <f t="shared" si="0"/>
        <v>35</v>
      </c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  <c r="XEH8" s="5"/>
      <c r="XEI8" s="5"/>
      <c r="XEJ8" s="5"/>
      <c r="XEK8" s="5"/>
    </row>
    <row r="9" s="1" customFormat="1" ht="16.5" spans="1:16365">
      <c r="A9" s="8">
        <v>7</v>
      </c>
      <c r="B9" s="9" t="s">
        <v>81</v>
      </c>
      <c r="C9" s="8">
        <v>8</v>
      </c>
      <c r="D9" s="8">
        <v>1</v>
      </c>
      <c r="E9" s="8">
        <v>35</v>
      </c>
      <c r="F9" s="8">
        <f t="shared" si="0"/>
        <v>35</v>
      </c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</row>
    <row r="10" s="1" customFormat="1" ht="16.5" spans="1:16365">
      <c r="A10" s="8">
        <v>8</v>
      </c>
      <c r="B10" s="9" t="s">
        <v>82</v>
      </c>
      <c r="C10" s="8">
        <v>2</v>
      </c>
      <c r="D10" s="8">
        <v>2</v>
      </c>
      <c r="E10" s="8">
        <v>35</v>
      </c>
      <c r="F10" s="8">
        <f t="shared" si="0"/>
        <v>70</v>
      </c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</row>
    <row r="11" s="1" customFormat="1" ht="16.5" spans="1:16365">
      <c r="A11" s="8">
        <v>9</v>
      </c>
      <c r="B11" s="9" t="s">
        <v>83</v>
      </c>
      <c r="C11" s="8">
        <v>3</v>
      </c>
      <c r="D11" s="8">
        <v>3</v>
      </c>
      <c r="E11" s="8">
        <v>35</v>
      </c>
      <c r="F11" s="8">
        <f t="shared" si="0"/>
        <v>105</v>
      </c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</row>
    <row r="12" s="1" customFormat="1" ht="16.5" spans="1:16365">
      <c r="A12" s="8">
        <v>10</v>
      </c>
      <c r="B12" s="9" t="s">
        <v>84</v>
      </c>
      <c r="C12" s="8">
        <v>2</v>
      </c>
      <c r="D12" s="8">
        <v>1</v>
      </c>
      <c r="E12" s="8">
        <v>16.5</v>
      </c>
      <c r="F12" s="8">
        <f t="shared" si="0"/>
        <v>16.5</v>
      </c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</row>
    <row r="13" s="1" customFormat="1" ht="16.5" spans="1:16365">
      <c r="A13" s="8">
        <v>11</v>
      </c>
      <c r="B13" s="9" t="s">
        <v>85</v>
      </c>
      <c r="C13" s="8">
        <v>6</v>
      </c>
      <c r="D13" s="8">
        <v>1</v>
      </c>
      <c r="E13" s="8">
        <v>33</v>
      </c>
      <c r="F13" s="8">
        <f t="shared" si="0"/>
        <v>33</v>
      </c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</row>
    <row r="14" s="1" customFormat="1" ht="16.5" spans="1:16365">
      <c r="A14" s="8">
        <v>12</v>
      </c>
      <c r="B14" s="9" t="s">
        <v>86</v>
      </c>
      <c r="C14" s="8">
        <v>6</v>
      </c>
      <c r="D14" s="8">
        <v>6</v>
      </c>
      <c r="E14" s="8">
        <v>8</v>
      </c>
      <c r="F14" s="8">
        <f t="shared" si="0"/>
        <v>48</v>
      </c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</row>
    <row r="15" s="1" customFormat="1" ht="16.5" spans="1:16365">
      <c r="A15" s="8">
        <v>13</v>
      </c>
      <c r="B15" s="9" t="s">
        <v>87</v>
      </c>
      <c r="C15" s="8">
        <v>340</v>
      </c>
      <c r="D15" s="8">
        <v>34</v>
      </c>
      <c r="E15" s="8">
        <v>55</v>
      </c>
      <c r="F15" s="8">
        <f t="shared" si="0"/>
        <v>1870</v>
      </c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</row>
    <row r="16" s="1" customFormat="1" ht="16.5" spans="1:16365">
      <c r="A16" s="8">
        <v>14</v>
      </c>
      <c r="B16" s="9" t="s">
        <v>88</v>
      </c>
      <c r="C16" s="8">
        <v>40</v>
      </c>
      <c r="D16" s="8">
        <v>4</v>
      </c>
      <c r="E16" s="8">
        <v>55</v>
      </c>
      <c r="F16" s="8">
        <f t="shared" si="0"/>
        <v>220</v>
      </c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</row>
    <row r="17" s="1" customFormat="1" ht="16.5" spans="1:16365">
      <c r="A17" s="8">
        <v>15</v>
      </c>
      <c r="B17" s="9" t="s">
        <v>89</v>
      </c>
      <c r="C17" s="8">
        <v>45</v>
      </c>
      <c r="D17" s="8">
        <v>5</v>
      </c>
      <c r="E17" s="8">
        <v>49.5</v>
      </c>
      <c r="F17" s="8">
        <f t="shared" si="0"/>
        <v>247.5</v>
      </c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</row>
    <row r="18" s="1" customFormat="1" ht="16.5" spans="1:16365">
      <c r="A18" s="8">
        <v>16</v>
      </c>
      <c r="B18" s="9" t="s">
        <v>90</v>
      </c>
      <c r="C18" s="8">
        <v>14</v>
      </c>
      <c r="D18" s="8">
        <v>2</v>
      </c>
      <c r="E18" s="8">
        <v>38.5</v>
      </c>
      <c r="F18" s="8">
        <f t="shared" si="0"/>
        <v>77</v>
      </c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</row>
    <row r="19" s="1" customFormat="1" ht="16.5" spans="1:16365">
      <c r="A19" s="8">
        <v>17</v>
      </c>
      <c r="B19" s="9" t="s">
        <v>91</v>
      </c>
      <c r="C19" s="8">
        <v>5</v>
      </c>
      <c r="D19" s="8">
        <v>1</v>
      </c>
      <c r="E19" s="8">
        <v>27.5</v>
      </c>
      <c r="F19" s="8">
        <f t="shared" si="0"/>
        <v>27.5</v>
      </c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</row>
    <row r="20" s="1" customFormat="1" ht="16.5" spans="1:16365">
      <c r="A20" s="8">
        <v>18</v>
      </c>
      <c r="B20" s="9" t="s">
        <v>92</v>
      </c>
      <c r="C20" s="8">
        <v>228</v>
      </c>
      <c r="D20" s="8">
        <v>6</v>
      </c>
      <c r="E20" s="8">
        <v>209</v>
      </c>
      <c r="F20" s="8">
        <f t="shared" si="0"/>
        <v>1254</v>
      </c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</row>
    <row r="21" s="1" customFormat="1" ht="16.5" spans="1:16365">
      <c r="A21" s="8">
        <v>19</v>
      </c>
      <c r="B21" s="9" t="s">
        <v>93</v>
      </c>
      <c r="C21" s="8">
        <v>54</v>
      </c>
      <c r="D21" s="8">
        <v>6</v>
      </c>
      <c r="E21" s="8">
        <v>49.5</v>
      </c>
      <c r="F21" s="8">
        <f t="shared" si="0"/>
        <v>297</v>
      </c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</row>
    <row r="22" s="1" customFormat="1" ht="16.5" spans="1:16365">
      <c r="A22" s="8">
        <v>20</v>
      </c>
      <c r="B22" s="9" t="s">
        <v>7</v>
      </c>
      <c r="C22" s="8">
        <v>670</v>
      </c>
      <c r="D22" s="8">
        <v>335</v>
      </c>
      <c r="E22" s="8">
        <v>16.5</v>
      </c>
      <c r="F22" s="8">
        <f t="shared" si="0"/>
        <v>5527.5</v>
      </c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</row>
    <row r="23" s="1" customFormat="1" ht="16.5" spans="1:16365">
      <c r="A23" s="8">
        <v>21</v>
      </c>
      <c r="B23" s="9" t="s">
        <v>94</v>
      </c>
      <c r="C23" s="8">
        <v>4</v>
      </c>
      <c r="D23" s="8">
        <v>2</v>
      </c>
      <c r="E23" s="8">
        <v>16.5</v>
      </c>
      <c r="F23" s="8">
        <f t="shared" si="0"/>
        <v>33</v>
      </c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</row>
    <row r="24" s="1" customFormat="1" ht="16.5" spans="1:16365">
      <c r="A24" s="8">
        <v>22</v>
      </c>
      <c r="B24" s="9" t="s">
        <v>95</v>
      </c>
      <c r="C24" s="8">
        <v>18</v>
      </c>
      <c r="D24" s="8">
        <v>9</v>
      </c>
      <c r="E24" s="8">
        <v>13.5</v>
      </c>
      <c r="F24" s="8">
        <f t="shared" si="0"/>
        <v>121.5</v>
      </c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</row>
    <row r="25" s="1" customFormat="1" ht="16.5" spans="1:16365">
      <c r="A25" s="8">
        <v>23</v>
      </c>
      <c r="B25" s="9" t="s">
        <v>96</v>
      </c>
      <c r="C25" s="8">
        <v>48</v>
      </c>
      <c r="D25" s="8">
        <v>16</v>
      </c>
      <c r="E25" s="8">
        <v>16.5</v>
      </c>
      <c r="F25" s="8">
        <f t="shared" si="0"/>
        <v>264</v>
      </c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</row>
    <row r="26" s="1" customFormat="1" ht="16.5" spans="1:16365">
      <c r="A26" s="8">
        <v>24</v>
      </c>
      <c r="B26" s="9" t="s">
        <v>97</v>
      </c>
      <c r="C26" s="8">
        <v>1</v>
      </c>
      <c r="D26" s="8">
        <v>1</v>
      </c>
      <c r="E26" s="8">
        <v>16.5</v>
      </c>
      <c r="F26" s="8">
        <f t="shared" si="0"/>
        <v>16.5</v>
      </c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</row>
    <row r="27" s="1" customFormat="1" ht="16.5" spans="1:16365">
      <c r="A27" s="8">
        <v>25</v>
      </c>
      <c r="B27" s="9" t="s">
        <v>98</v>
      </c>
      <c r="C27" s="8">
        <v>60</v>
      </c>
      <c r="D27" s="8">
        <v>60</v>
      </c>
      <c r="E27" s="8">
        <v>16.5</v>
      </c>
      <c r="F27" s="8">
        <f t="shared" si="0"/>
        <v>990</v>
      </c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</row>
    <row r="28" s="1" customFormat="1" ht="16.5" spans="1:16365">
      <c r="A28" s="8">
        <v>26</v>
      </c>
      <c r="B28" s="9" t="s">
        <v>99</v>
      </c>
      <c r="C28" s="8">
        <v>22</v>
      </c>
      <c r="D28" s="8">
        <v>22</v>
      </c>
      <c r="E28" s="8">
        <v>16.5</v>
      </c>
      <c r="F28" s="8">
        <f t="shared" si="0"/>
        <v>363</v>
      </c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</row>
    <row r="29" s="1" customFormat="1" ht="16.5" spans="1:16367">
      <c r="A29" s="8">
        <v>27</v>
      </c>
      <c r="B29" s="10" t="s">
        <v>100</v>
      </c>
      <c r="C29" s="8">
        <v>3</v>
      </c>
      <c r="D29" s="8">
        <v>3</v>
      </c>
      <c r="E29" s="8">
        <v>35</v>
      </c>
      <c r="F29" s="8">
        <f t="shared" si="0"/>
        <v>105</v>
      </c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11"/>
      <c r="XBL29" s="11"/>
      <c r="XBM29" s="11"/>
      <c r="XBN29" s="11"/>
      <c r="XBO29" s="11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</row>
    <row r="30" s="1" customFormat="1" ht="16.5" spans="1:16365">
      <c r="A30" s="8">
        <v>28</v>
      </c>
      <c r="B30" s="9" t="s">
        <v>101</v>
      </c>
      <c r="C30" s="8">
        <v>4</v>
      </c>
      <c r="D30" s="8">
        <v>4</v>
      </c>
      <c r="E30" s="8">
        <v>16.5</v>
      </c>
      <c r="F30" s="8">
        <f t="shared" si="0"/>
        <v>66</v>
      </c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  <c r="XEH30" s="5"/>
      <c r="XEI30" s="5"/>
      <c r="XEJ30" s="5"/>
      <c r="XEK30" s="5"/>
    </row>
    <row r="31" s="1" customFormat="1" ht="16.5" spans="1:16365">
      <c r="A31" s="8">
        <v>29</v>
      </c>
      <c r="B31" s="9" t="s">
        <v>102</v>
      </c>
      <c r="C31" s="8">
        <v>6</v>
      </c>
      <c r="D31" s="8">
        <v>6</v>
      </c>
      <c r="E31" s="8">
        <v>16.5</v>
      </c>
      <c r="F31" s="8">
        <f t="shared" si="0"/>
        <v>99</v>
      </c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  <c r="XEH31" s="5"/>
      <c r="XEI31" s="5"/>
      <c r="XEJ31" s="5"/>
      <c r="XEK31" s="5"/>
    </row>
    <row r="32" s="1" customFormat="1" ht="16.5" spans="1:16365">
      <c r="A32" s="8">
        <v>30</v>
      </c>
      <c r="B32" s="9" t="s">
        <v>103</v>
      </c>
      <c r="C32" s="8">
        <v>4</v>
      </c>
      <c r="D32" s="8">
        <v>4</v>
      </c>
      <c r="E32" s="8">
        <v>16.5</v>
      </c>
      <c r="F32" s="8">
        <f t="shared" si="0"/>
        <v>66</v>
      </c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</row>
    <row r="33" s="1" customFormat="1" ht="16.5" spans="1:16365">
      <c r="A33" s="8">
        <v>31</v>
      </c>
      <c r="B33" s="9" t="s">
        <v>104</v>
      </c>
      <c r="C33" s="8">
        <v>4</v>
      </c>
      <c r="D33" s="8">
        <v>4</v>
      </c>
      <c r="E33" s="8">
        <v>16.5</v>
      </c>
      <c r="F33" s="8">
        <f t="shared" si="0"/>
        <v>66</v>
      </c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  <c r="XEH33" s="5"/>
      <c r="XEI33" s="5"/>
      <c r="XEJ33" s="5"/>
      <c r="XEK33" s="5"/>
    </row>
    <row r="34" s="1" customFormat="1" ht="16.5" spans="1:16365">
      <c r="A34" s="8">
        <v>32</v>
      </c>
      <c r="B34" s="9" t="s">
        <v>105</v>
      </c>
      <c r="C34" s="8">
        <v>12</v>
      </c>
      <c r="D34" s="8">
        <v>1</v>
      </c>
      <c r="E34" s="8">
        <v>66</v>
      </c>
      <c r="F34" s="8">
        <f t="shared" si="0"/>
        <v>66</v>
      </c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  <c r="XEH34" s="5"/>
      <c r="XEI34" s="5"/>
      <c r="XEJ34" s="5"/>
      <c r="XEK34" s="5"/>
    </row>
    <row r="35" s="1" customFormat="1" ht="16.5" spans="1:16365">
      <c r="A35" s="8">
        <v>33</v>
      </c>
      <c r="B35" s="9" t="s">
        <v>106</v>
      </c>
      <c r="C35" s="8">
        <v>12</v>
      </c>
      <c r="D35" s="8">
        <v>1</v>
      </c>
      <c r="E35" s="8">
        <v>66</v>
      </c>
      <c r="F35" s="8">
        <f t="shared" si="0"/>
        <v>66</v>
      </c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  <c r="XEH35" s="5"/>
      <c r="XEI35" s="5"/>
      <c r="XEJ35" s="5"/>
      <c r="XEK35" s="5"/>
    </row>
    <row r="36" s="1" customFormat="1" ht="16.5" spans="1:16365">
      <c r="A36" s="8">
        <v>34</v>
      </c>
      <c r="B36" s="9" t="s">
        <v>107</v>
      </c>
      <c r="C36" s="8">
        <v>2</v>
      </c>
      <c r="D36" s="8">
        <v>1</v>
      </c>
      <c r="E36" s="8">
        <v>35</v>
      </c>
      <c r="F36" s="8">
        <f t="shared" ref="F36:F67" si="1">D36*E36</f>
        <v>35</v>
      </c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  <c r="XEH36" s="5"/>
      <c r="XEI36" s="5"/>
      <c r="XEJ36" s="5"/>
      <c r="XEK36" s="5"/>
    </row>
    <row r="37" s="1" customFormat="1" ht="16.5" spans="1:16365">
      <c r="A37" s="8">
        <v>35</v>
      </c>
      <c r="B37" s="9" t="s">
        <v>108</v>
      </c>
      <c r="C37" s="8">
        <v>1</v>
      </c>
      <c r="D37" s="8">
        <v>1</v>
      </c>
      <c r="E37" s="8">
        <v>35</v>
      </c>
      <c r="F37" s="8">
        <f t="shared" si="1"/>
        <v>35</v>
      </c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  <c r="XEH37" s="5"/>
      <c r="XEI37" s="5"/>
      <c r="XEJ37" s="5"/>
      <c r="XEK37" s="5"/>
    </row>
    <row r="38" s="1" customFormat="1" ht="16.5" spans="1:16365">
      <c r="A38" s="8">
        <v>36</v>
      </c>
      <c r="B38" s="9" t="s">
        <v>109</v>
      </c>
      <c r="C38" s="8">
        <v>1</v>
      </c>
      <c r="D38" s="8">
        <v>1</v>
      </c>
      <c r="E38" s="8">
        <v>35</v>
      </c>
      <c r="F38" s="8">
        <f t="shared" si="1"/>
        <v>35</v>
      </c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  <c r="XEE38" s="5"/>
      <c r="XEF38" s="5"/>
      <c r="XEG38" s="5"/>
      <c r="XEH38" s="5"/>
      <c r="XEI38" s="5"/>
      <c r="XEJ38" s="5"/>
      <c r="XEK38" s="5"/>
    </row>
    <row r="39" s="1" customFormat="1" ht="16.5" spans="1:16365">
      <c r="A39" s="8">
        <v>37</v>
      </c>
      <c r="B39" s="9" t="s">
        <v>110</v>
      </c>
      <c r="C39" s="8">
        <v>2</v>
      </c>
      <c r="D39" s="8">
        <v>1</v>
      </c>
      <c r="E39" s="8">
        <v>35</v>
      </c>
      <c r="F39" s="8">
        <f t="shared" si="1"/>
        <v>35</v>
      </c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  <c r="XEE39" s="5"/>
      <c r="XEF39" s="5"/>
      <c r="XEG39" s="5"/>
      <c r="XEH39" s="5"/>
      <c r="XEI39" s="5"/>
      <c r="XEJ39" s="5"/>
      <c r="XEK39" s="5"/>
    </row>
    <row r="40" s="1" customFormat="1" ht="16.5" spans="1:16365">
      <c r="A40" s="8">
        <v>38</v>
      </c>
      <c r="B40" s="9" t="s">
        <v>111</v>
      </c>
      <c r="C40" s="8">
        <v>4</v>
      </c>
      <c r="D40" s="8">
        <v>1</v>
      </c>
      <c r="E40" s="8">
        <v>35</v>
      </c>
      <c r="F40" s="8">
        <f t="shared" si="1"/>
        <v>35</v>
      </c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  <c r="XEE40" s="5"/>
      <c r="XEF40" s="5"/>
      <c r="XEG40" s="5"/>
      <c r="XEH40" s="5"/>
      <c r="XEI40" s="5"/>
      <c r="XEJ40" s="5"/>
      <c r="XEK40" s="5"/>
    </row>
    <row r="41" s="1" customFormat="1" ht="16.5" spans="1:16365">
      <c r="A41" s="8">
        <v>39</v>
      </c>
      <c r="B41" s="9" t="s">
        <v>112</v>
      </c>
      <c r="C41" s="8">
        <v>1</v>
      </c>
      <c r="D41" s="8">
        <v>1</v>
      </c>
      <c r="E41" s="8">
        <v>35</v>
      </c>
      <c r="F41" s="8">
        <f t="shared" si="1"/>
        <v>35</v>
      </c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  <c r="XEE41" s="5"/>
      <c r="XEF41" s="5"/>
      <c r="XEG41" s="5"/>
      <c r="XEH41" s="5"/>
      <c r="XEI41" s="5"/>
      <c r="XEJ41" s="5"/>
      <c r="XEK41" s="5"/>
    </row>
    <row r="42" s="1" customFormat="1" ht="16.5" spans="1:16365">
      <c r="A42" s="8">
        <v>40</v>
      </c>
      <c r="B42" s="9" t="s">
        <v>113</v>
      </c>
      <c r="C42" s="8">
        <v>7</v>
      </c>
      <c r="D42" s="8">
        <v>1</v>
      </c>
      <c r="E42" s="8">
        <v>30</v>
      </c>
      <c r="F42" s="8">
        <f t="shared" si="1"/>
        <v>30</v>
      </c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</row>
    <row r="43" s="1" customFormat="1" ht="16.5" customHeight="1" spans="1:16365">
      <c r="A43" s="8">
        <v>41</v>
      </c>
      <c r="B43" s="9" t="s">
        <v>114</v>
      </c>
      <c r="C43" s="8">
        <v>2</v>
      </c>
      <c r="D43" s="8">
        <v>1</v>
      </c>
      <c r="E43" s="8">
        <v>44</v>
      </c>
      <c r="F43" s="8">
        <f t="shared" si="1"/>
        <v>44</v>
      </c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</row>
    <row r="44" s="1" customFormat="1" ht="16.5" customHeight="1" spans="1:16365">
      <c r="A44" s="8">
        <v>42</v>
      </c>
      <c r="B44" s="9" t="s">
        <v>115</v>
      </c>
      <c r="C44" s="8">
        <v>8</v>
      </c>
      <c r="D44" s="8">
        <v>1</v>
      </c>
      <c r="E44" s="8">
        <v>44</v>
      </c>
      <c r="F44" s="8">
        <f t="shared" si="1"/>
        <v>44</v>
      </c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  <c r="XEE44" s="5"/>
      <c r="XEF44" s="5"/>
      <c r="XEG44" s="5"/>
      <c r="XEH44" s="5"/>
      <c r="XEI44" s="5"/>
      <c r="XEJ44" s="5"/>
      <c r="XEK44" s="5"/>
    </row>
    <row r="45" s="1" customFormat="1" ht="16.5" customHeight="1" spans="1:16365">
      <c r="A45" s="8">
        <v>43</v>
      </c>
      <c r="B45" s="9" t="s">
        <v>116</v>
      </c>
      <c r="C45" s="8">
        <v>6</v>
      </c>
      <c r="D45" s="8">
        <v>6</v>
      </c>
      <c r="E45" s="8">
        <v>16.5</v>
      </c>
      <c r="F45" s="8">
        <f t="shared" si="1"/>
        <v>99</v>
      </c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</row>
    <row r="46" s="1" customFormat="1" ht="16.5" customHeight="1" spans="1:16365">
      <c r="A46" s="8">
        <v>44</v>
      </c>
      <c r="B46" s="9" t="s">
        <v>117</v>
      </c>
      <c r="C46" s="8">
        <v>120</v>
      </c>
      <c r="D46" s="8">
        <v>10</v>
      </c>
      <c r="E46" s="8">
        <v>66</v>
      </c>
      <c r="F46" s="8">
        <f t="shared" si="1"/>
        <v>660</v>
      </c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</row>
    <row r="47" s="1" customFormat="1" ht="16.5" customHeight="1" spans="1:16365">
      <c r="A47" s="8">
        <v>45</v>
      </c>
      <c r="B47" s="9" t="s">
        <v>118</v>
      </c>
      <c r="C47" s="8">
        <v>24</v>
      </c>
      <c r="D47" s="8">
        <v>2</v>
      </c>
      <c r="E47" s="8">
        <v>66</v>
      </c>
      <c r="F47" s="8">
        <f t="shared" si="1"/>
        <v>132</v>
      </c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</row>
    <row r="48" s="1" customFormat="1" ht="16.5" customHeight="1" spans="1:16365">
      <c r="A48" s="8">
        <v>46</v>
      </c>
      <c r="B48" s="9" t="s">
        <v>119</v>
      </c>
      <c r="C48" s="8">
        <v>108</v>
      </c>
      <c r="D48" s="8">
        <v>9</v>
      </c>
      <c r="E48" s="8">
        <v>66</v>
      </c>
      <c r="F48" s="8">
        <f t="shared" si="1"/>
        <v>594</v>
      </c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</row>
    <row r="49" s="1" customFormat="1" ht="16.5" customHeight="1" spans="1:16381">
      <c r="A49" s="8">
        <v>47</v>
      </c>
      <c r="B49" s="9" t="s">
        <v>120</v>
      </c>
      <c r="C49" s="8">
        <v>143</v>
      </c>
      <c r="D49" s="8">
        <v>11</v>
      </c>
      <c r="E49" s="8">
        <v>71.5</v>
      </c>
      <c r="F49" s="8">
        <f t="shared" si="1"/>
        <v>786.5</v>
      </c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  <c r="XEU49" s="5"/>
      <c r="XEV49" s="5"/>
      <c r="XEW49" s="5"/>
      <c r="XEX49" s="5"/>
      <c r="XEY49" s="5"/>
      <c r="XEZ49" s="5"/>
      <c r="XFA49" s="5"/>
    </row>
    <row r="50" s="1" customFormat="1" ht="16.5" customHeight="1" spans="1:16381">
      <c r="A50" s="8">
        <v>48</v>
      </c>
      <c r="B50" s="9" t="s">
        <v>121</v>
      </c>
      <c r="C50" s="8">
        <v>143</v>
      </c>
      <c r="D50" s="8">
        <v>11</v>
      </c>
      <c r="E50" s="8">
        <v>71.5</v>
      </c>
      <c r="F50" s="8">
        <f t="shared" si="1"/>
        <v>786.5</v>
      </c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  <c r="XES50" s="5"/>
      <c r="XET50" s="5"/>
      <c r="XEU50" s="5"/>
      <c r="XEV50" s="5"/>
      <c r="XEW50" s="5"/>
      <c r="XEX50" s="5"/>
      <c r="XEY50" s="5"/>
      <c r="XEZ50" s="5"/>
      <c r="XFA50" s="5"/>
    </row>
    <row r="51" s="1" customFormat="1" ht="16.5" customHeight="1" spans="1:16381">
      <c r="A51" s="8">
        <v>49</v>
      </c>
      <c r="B51" s="9" t="s">
        <v>122</v>
      </c>
      <c r="C51" s="8">
        <v>2</v>
      </c>
      <c r="D51" s="8">
        <v>1</v>
      </c>
      <c r="E51" s="8">
        <v>16.5</v>
      </c>
      <c r="F51" s="8">
        <f t="shared" si="1"/>
        <v>16.5</v>
      </c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  <c r="XEU51" s="5"/>
      <c r="XEV51" s="5"/>
      <c r="XEW51" s="5"/>
      <c r="XEX51" s="5"/>
      <c r="XEY51" s="5"/>
      <c r="XEZ51" s="5"/>
      <c r="XFA51" s="5"/>
    </row>
    <row r="52" s="1" customFormat="1" ht="16.5" customHeight="1" spans="1:16381">
      <c r="A52" s="8">
        <v>50</v>
      </c>
      <c r="B52" s="9" t="s">
        <v>123</v>
      </c>
      <c r="C52" s="8">
        <v>4</v>
      </c>
      <c r="D52" s="8">
        <v>2</v>
      </c>
      <c r="E52" s="8">
        <v>16.5</v>
      </c>
      <c r="F52" s="8">
        <f t="shared" si="1"/>
        <v>33</v>
      </c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  <c r="XEU52" s="5"/>
      <c r="XEV52" s="5"/>
      <c r="XEW52" s="5"/>
      <c r="XEX52" s="5"/>
      <c r="XEY52" s="5"/>
      <c r="XEZ52" s="5"/>
      <c r="XFA52" s="5"/>
    </row>
    <row r="53" s="1" customFormat="1" ht="16.5" spans="1:16381">
      <c r="A53" s="8">
        <v>51</v>
      </c>
      <c r="B53" s="9" t="s">
        <v>124</v>
      </c>
      <c r="C53" s="8">
        <v>6</v>
      </c>
      <c r="D53" s="8">
        <v>3</v>
      </c>
      <c r="E53" s="8">
        <v>16.5</v>
      </c>
      <c r="F53" s="8">
        <f t="shared" si="1"/>
        <v>49.5</v>
      </c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  <c r="XEU53" s="5"/>
      <c r="XEV53" s="5"/>
      <c r="XEW53" s="5"/>
      <c r="XEX53" s="5"/>
      <c r="XEY53" s="5"/>
      <c r="XEZ53" s="5"/>
      <c r="XFA53" s="5"/>
    </row>
    <row r="54" s="1" customFormat="1" ht="16.5" spans="1:16381">
      <c r="A54" s="8">
        <v>52</v>
      </c>
      <c r="B54" s="9" t="s">
        <v>125</v>
      </c>
      <c r="C54" s="8">
        <v>6</v>
      </c>
      <c r="D54" s="8">
        <v>3</v>
      </c>
      <c r="E54" s="8">
        <v>16.5</v>
      </c>
      <c r="F54" s="8">
        <f t="shared" si="1"/>
        <v>49.5</v>
      </c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  <c r="XEU54" s="5"/>
      <c r="XEV54" s="5"/>
      <c r="XEW54" s="5"/>
      <c r="XEX54" s="5"/>
      <c r="XEY54" s="5"/>
      <c r="XEZ54" s="5"/>
      <c r="XFA54" s="5"/>
    </row>
    <row r="55" s="1" customFormat="1" ht="16.5" spans="1:16381">
      <c r="A55" s="8">
        <v>53</v>
      </c>
      <c r="B55" s="9" t="s">
        <v>126</v>
      </c>
      <c r="C55" s="8">
        <v>4</v>
      </c>
      <c r="D55" s="8">
        <v>2</v>
      </c>
      <c r="E55" s="8">
        <v>16.5</v>
      </c>
      <c r="F55" s="8">
        <f t="shared" si="1"/>
        <v>33</v>
      </c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  <c r="XEU55" s="5"/>
      <c r="XEV55" s="5"/>
      <c r="XEW55" s="5"/>
      <c r="XEX55" s="5"/>
      <c r="XEY55" s="5"/>
      <c r="XEZ55" s="5"/>
      <c r="XFA55" s="5"/>
    </row>
    <row r="56" s="1" customFormat="1" ht="16.5" spans="1:16381">
      <c r="A56" s="8">
        <v>54</v>
      </c>
      <c r="B56" s="9" t="s">
        <v>127</v>
      </c>
      <c r="C56" s="8">
        <v>2</v>
      </c>
      <c r="D56" s="8">
        <v>1</v>
      </c>
      <c r="E56" s="8">
        <v>25</v>
      </c>
      <c r="F56" s="8">
        <f t="shared" si="1"/>
        <v>25</v>
      </c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/>
      <c r="XBL56"/>
      <c r="XBM56"/>
      <c r="XBN56"/>
      <c r="XBO56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  <c r="XEU56" s="5"/>
      <c r="XEV56" s="5"/>
      <c r="XEW56" s="5"/>
      <c r="XEX56" s="5"/>
      <c r="XEY56" s="5"/>
      <c r="XEZ56" s="5"/>
      <c r="XFA56" s="5"/>
    </row>
    <row r="57" s="1" customFormat="1" ht="16.5" spans="1:16381">
      <c r="A57" s="8">
        <v>55</v>
      </c>
      <c r="B57" s="9" t="s">
        <v>128</v>
      </c>
      <c r="C57" s="8">
        <v>0</v>
      </c>
      <c r="D57" s="8">
        <v>5</v>
      </c>
      <c r="E57" s="8">
        <v>25</v>
      </c>
      <c r="F57" s="8">
        <f t="shared" si="1"/>
        <v>125</v>
      </c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/>
      <c r="XBL57"/>
      <c r="XBM57"/>
      <c r="XBN57"/>
      <c r="XBO57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  <c r="XEU57" s="5"/>
      <c r="XEV57" s="5"/>
      <c r="XEW57" s="5"/>
      <c r="XEX57" s="5"/>
      <c r="XEY57" s="5"/>
      <c r="XEZ57" s="5"/>
      <c r="XFA57" s="5"/>
    </row>
    <row r="58" s="1" customFormat="1" ht="16.5" spans="1:16381">
      <c r="A58" s="8">
        <v>56</v>
      </c>
      <c r="B58" s="9" t="s">
        <v>21</v>
      </c>
      <c r="C58" s="8">
        <v>24</v>
      </c>
      <c r="D58" s="8">
        <v>12</v>
      </c>
      <c r="E58" s="8">
        <v>16.5</v>
      </c>
      <c r="F58" s="8">
        <f t="shared" si="1"/>
        <v>198</v>
      </c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/>
      <c r="XBK58"/>
      <c r="XBL58"/>
      <c r="XBM58"/>
      <c r="XBN58"/>
      <c r="XBO58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  <c r="XEU58" s="5"/>
      <c r="XEV58" s="5"/>
      <c r="XEW58" s="5"/>
      <c r="XEX58" s="5"/>
      <c r="XEY58" s="5"/>
      <c r="XEZ58" s="5"/>
      <c r="XFA58" s="5"/>
    </row>
    <row r="59" s="1" customFormat="1" ht="16.5" spans="1:16381">
      <c r="A59" s="8">
        <v>57</v>
      </c>
      <c r="B59" s="9" t="s">
        <v>129</v>
      </c>
      <c r="C59" s="8">
        <v>3</v>
      </c>
      <c r="D59" s="8">
        <v>1</v>
      </c>
      <c r="E59" s="8">
        <v>16.5</v>
      </c>
      <c r="F59" s="8">
        <f t="shared" si="1"/>
        <v>16.5</v>
      </c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 s="5"/>
      <c r="XBQ59" s="5"/>
      <c r="XBR59" s="5"/>
      <c r="XBS59" s="5"/>
      <c r="XBT59" s="5"/>
      <c r="XBU59" s="5"/>
      <c r="XBV59" s="5"/>
      <c r="XBW59" s="5"/>
      <c r="XBX59" s="5"/>
      <c r="XBY59" s="5"/>
      <c r="XBZ59" s="5"/>
      <c r="XCA59" s="5"/>
      <c r="XCB59" s="5"/>
      <c r="XCC59" s="5"/>
      <c r="XCD59" s="5"/>
      <c r="XCE59" s="5"/>
      <c r="XCF59" s="5"/>
      <c r="XCG59" s="5"/>
      <c r="XCH59" s="5"/>
      <c r="XCI59" s="5"/>
      <c r="XCJ59" s="5"/>
      <c r="XCK59" s="5"/>
      <c r="XCL59" s="5"/>
      <c r="XCM59" s="5"/>
      <c r="XCN59" s="5"/>
      <c r="XCO59" s="5"/>
      <c r="XCP59" s="5"/>
      <c r="XCQ59" s="5"/>
      <c r="XCR59" s="5"/>
      <c r="XCS59" s="5"/>
      <c r="XCT59" s="5"/>
      <c r="XCU59" s="5"/>
      <c r="XCV59" s="5"/>
      <c r="XCW59" s="5"/>
      <c r="XCX59" s="5"/>
      <c r="XCY59" s="5"/>
      <c r="XCZ59" s="5"/>
      <c r="XDA59" s="5"/>
      <c r="XDB59" s="5"/>
      <c r="XDC59" s="5"/>
      <c r="XDD59" s="5"/>
      <c r="XDE59" s="5"/>
      <c r="XDF59" s="5"/>
      <c r="XDG59" s="5"/>
      <c r="XDH59" s="5"/>
      <c r="XDI59" s="5"/>
      <c r="XDJ59" s="5"/>
      <c r="XDK59" s="5"/>
      <c r="XDL59" s="5"/>
      <c r="XDM59" s="5"/>
      <c r="XDN59" s="5"/>
      <c r="XDO59" s="5"/>
      <c r="XDP59" s="5"/>
      <c r="XDQ59" s="5"/>
      <c r="XDR59" s="5"/>
      <c r="XDS59" s="5"/>
      <c r="XDT59" s="5"/>
      <c r="XDU59" s="5"/>
      <c r="XDV59" s="5"/>
      <c r="XDW59" s="5"/>
      <c r="XDX59" s="5"/>
      <c r="XDY59" s="5"/>
      <c r="XDZ59" s="5"/>
      <c r="XEA59" s="5"/>
      <c r="XEB59" s="5"/>
      <c r="XEC59" s="5"/>
      <c r="XED59" s="5"/>
      <c r="XEE59" s="5"/>
      <c r="XEF59" s="5"/>
      <c r="XEG59" s="5"/>
      <c r="XEH59" s="5"/>
      <c r="XEI59" s="5"/>
      <c r="XEJ59" s="5"/>
      <c r="XEK59" s="5"/>
      <c r="XEL59" s="5"/>
      <c r="XEM59" s="5"/>
      <c r="XEN59" s="5"/>
      <c r="XEO59" s="5"/>
      <c r="XEP59" s="5"/>
      <c r="XEQ59" s="5"/>
      <c r="XER59" s="5"/>
      <c r="XES59" s="5"/>
      <c r="XET59" s="5"/>
      <c r="XEU59" s="5"/>
      <c r="XEV59" s="5"/>
      <c r="XEW59" s="5"/>
      <c r="XEX59" s="5"/>
      <c r="XEY59" s="5"/>
      <c r="XEZ59" s="5"/>
      <c r="XFA59" s="5"/>
    </row>
    <row r="60" s="1" customFormat="1" ht="16.5" spans="1:16381">
      <c r="A60" s="8">
        <v>58</v>
      </c>
      <c r="B60" s="9" t="s">
        <v>23</v>
      </c>
      <c r="C60" s="8">
        <v>1</v>
      </c>
      <c r="D60" s="8">
        <v>1</v>
      </c>
      <c r="E60" s="8">
        <v>16.5</v>
      </c>
      <c r="F60" s="8">
        <f t="shared" si="1"/>
        <v>16.5</v>
      </c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/>
      <c r="XBK60"/>
      <c r="XBL60"/>
      <c r="XBM60"/>
      <c r="XBN60"/>
      <c r="XBO60"/>
      <c r="XBP60" s="5"/>
      <c r="XBQ60" s="5"/>
      <c r="XBR60" s="5"/>
      <c r="XBS60" s="5"/>
      <c r="XBT60" s="5"/>
      <c r="XBU60" s="5"/>
      <c r="XBV60" s="5"/>
      <c r="XBW60" s="5"/>
      <c r="XBX60" s="5"/>
      <c r="XBY60" s="5"/>
      <c r="XBZ60" s="5"/>
      <c r="XCA60" s="5"/>
      <c r="XCB60" s="5"/>
      <c r="XCC60" s="5"/>
      <c r="XCD60" s="5"/>
      <c r="XCE60" s="5"/>
      <c r="XCF60" s="5"/>
      <c r="XCG60" s="5"/>
      <c r="XCH60" s="5"/>
      <c r="XCI60" s="5"/>
      <c r="XCJ60" s="5"/>
      <c r="XCK60" s="5"/>
      <c r="XCL60" s="5"/>
      <c r="XCM60" s="5"/>
      <c r="XCN60" s="5"/>
      <c r="XCO60" s="5"/>
      <c r="XCP60" s="5"/>
      <c r="XCQ60" s="5"/>
      <c r="XCR60" s="5"/>
      <c r="XCS60" s="5"/>
      <c r="XCT60" s="5"/>
      <c r="XCU60" s="5"/>
      <c r="XCV60" s="5"/>
      <c r="XCW60" s="5"/>
      <c r="XCX60" s="5"/>
      <c r="XCY60" s="5"/>
      <c r="XCZ60" s="5"/>
      <c r="XDA60" s="5"/>
      <c r="XDB60" s="5"/>
      <c r="XDC60" s="5"/>
      <c r="XDD60" s="5"/>
      <c r="XDE60" s="5"/>
      <c r="XDF60" s="5"/>
      <c r="XDG60" s="5"/>
      <c r="XDH60" s="5"/>
      <c r="XDI60" s="5"/>
      <c r="XDJ60" s="5"/>
      <c r="XDK60" s="5"/>
      <c r="XDL60" s="5"/>
      <c r="XDM60" s="5"/>
      <c r="XDN60" s="5"/>
      <c r="XDO60" s="5"/>
      <c r="XDP60" s="5"/>
      <c r="XDQ60" s="5"/>
      <c r="XDR60" s="5"/>
      <c r="XDS60" s="5"/>
      <c r="XDT60" s="5"/>
      <c r="XDU60" s="5"/>
      <c r="XDV60" s="5"/>
      <c r="XDW60" s="5"/>
      <c r="XDX60" s="5"/>
      <c r="XDY60" s="5"/>
      <c r="XDZ60" s="5"/>
      <c r="XEA60" s="5"/>
      <c r="XEB60" s="5"/>
      <c r="XEC60" s="5"/>
      <c r="XED60" s="5"/>
      <c r="XEE60" s="5"/>
      <c r="XEF60" s="5"/>
      <c r="XEG60" s="5"/>
      <c r="XEH60" s="5"/>
      <c r="XEI60" s="5"/>
      <c r="XEJ60" s="5"/>
      <c r="XEK60" s="5"/>
      <c r="XEL60" s="5"/>
      <c r="XEM60" s="5"/>
      <c r="XEN60" s="5"/>
      <c r="XEO60" s="5"/>
      <c r="XEP60" s="5"/>
      <c r="XEQ60" s="5"/>
      <c r="XER60" s="5"/>
      <c r="XES60" s="5"/>
      <c r="XET60" s="5"/>
      <c r="XEU60" s="5"/>
      <c r="XEV60" s="5"/>
      <c r="XEW60" s="5"/>
      <c r="XEX60" s="5"/>
      <c r="XEY60" s="5"/>
      <c r="XEZ60" s="5"/>
      <c r="XFA60" s="5"/>
    </row>
    <row r="61" s="1" customFormat="1" ht="16.5" spans="1:16381">
      <c r="A61" s="8">
        <v>59</v>
      </c>
      <c r="B61" s="9" t="s">
        <v>130</v>
      </c>
      <c r="C61" s="8">
        <v>21</v>
      </c>
      <c r="D61" s="8">
        <v>7</v>
      </c>
      <c r="E61" s="8">
        <v>16.5</v>
      </c>
      <c r="F61" s="8">
        <f t="shared" si="1"/>
        <v>115.5</v>
      </c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/>
      <c r="XBK61"/>
      <c r="XBL61"/>
      <c r="XBM61"/>
      <c r="XBN61"/>
      <c r="XBO61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  <c r="XEU61" s="5"/>
      <c r="XEV61" s="5"/>
      <c r="XEW61" s="5"/>
      <c r="XEX61" s="5"/>
      <c r="XEY61" s="5"/>
      <c r="XEZ61" s="5"/>
      <c r="XFA61" s="5"/>
    </row>
    <row r="62" s="1" customFormat="1" ht="16.5" spans="1:16381">
      <c r="A62" s="8">
        <v>60</v>
      </c>
      <c r="B62" s="9" t="s">
        <v>131</v>
      </c>
      <c r="C62" s="8">
        <v>140</v>
      </c>
      <c r="D62" s="8">
        <v>14</v>
      </c>
      <c r="E62" s="8">
        <v>55</v>
      </c>
      <c r="F62" s="8">
        <f t="shared" si="1"/>
        <v>770</v>
      </c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/>
      <c r="XBJ62"/>
      <c r="XBK62"/>
      <c r="XBL62"/>
      <c r="XBM62"/>
      <c r="XBN62"/>
      <c r="XBO62"/>
      <c r="XBP62" s="5"/>
      <c r="XBQ62" s="5"/>
      <c r="XBR62" s="5"/>
      <c r="XBS62" s="5"/>
      <c r="XBT62" s="5"/>
      <c r="XBU62" s="5"/>
      <c r="XBV62" s="5"/>
      <c r="XBW62" s="5"/>
      <c r="XBX62" s="5"/>
      <c r="XBY62" s="5"/>
      <c r="XBZ62" s="5"/>
      <c r="XCA62" s="5"/>
      <c r="XCB62" s="5"/>
      <c r="XCC62" s="5"/>
      <c r="XCD62" s="5"/>
      <c r="XCE62" s="5"/>
      <c r="XCF62" s="5"/>
      <c r="XCG62" s="5"/>
      <c r="XCH62" s="5"/>
      <c r="XCI62" s="5"/>
      <c r="XCJ62" s="5"/>
      <c r="XCK62" s="5"/>
      <c r="XCL62" s="5"/>
      <c r="XCM62" s="5"/>
      <c r="XCN62" s="5"/>
      <c r="XCO62" s="5"/>
      <c r="XCP62" s="5"/>
      <c r="XCQ62" s="5"/>
      <c r="XCR62" s="5"/>
      <c r="XCS62" s="5"/>
      <c r="XCT62" s="5"/>
      <c r="XCU62" s="5"/>
      <c r="XCV62" s="5"/>
      <c r="XCW62" s="5"/>
      <c r="XCX62" s="5"/>
      <c r="XCY62" s="5"/>
      <c r="XCZ62" s="5"/>
      <c r="XDA62" s="5"/>
      <c r="XDB62" s="5"/>
      <c r="XDC62" s="5"/>
      <c r="XDD62" s="5"/>
      <c r="XDE62" s="5"/>
      <c r="XDF62" s="5"/>
      <c r="XDG62" s="5"/>
      <c r="XDH62" s="5"/>
      <c r="XDI62" s="5"/>
      <c r="XDJ62" s="5"/>
      <c r="XDK62" s="5"/>
      <c r="XDL62" s="5"/>
      <c r="XDM62" s="5"/>
      <c r="XDN62" s="5"/>
      <c r="XDO62" s="5"/>
      <c r="XDP62" s="5"/>
      <c r="XDQ62" s="5"/>
      <c r="XDR62" s="5"/>
      <c r="XDS62" s="5"/>
      <c r="XDT62" s="5"/>
      <c r="XDU62" s="5"/>
      <c r="XDV62" s="5"/>
      <c r="XDW62" s="5"/>
      <c r="XDX62" s="5"/>
      <c r="XDY62" s="5"/>
      <c r="XDZ62" s="5"/>
      <c r="XEA62" s="5"/>
      <c r="XEB62" s="5"/>
      <c r="XEC62" s="5"/>
      <c r="XED62" s="5"/>
      <c r="XEE62" s="5"/>
      <c r="XEF62" s="5"/>
      <c r="XEG62" s="5"/>
      <c r="XEH62" s="5"/>
      <c r="XEI62" s="5"/>
      <c r="XEJ62" s="5"/>
      <c r="XEK62" s="5"/>
      <c r="XEL62" s="5"/>
      <c r="XEM62" s="5"/>
      <c r="XEN62" s="5"/>
      <c r="XEO62" s="5"/>
      <c r="XEP62" s="5"/>
      <c r="XEQ62" s="5"/>
      <c r="XER62" s="5"/>
      <c r="XES62" s="5"/>
      <c r="XET62" s="5"/>
      <c r="XEU62" s="5"/>
      <c r="XEV62" s="5"/>
      <c r="XEW62" s="5"/>
      <c r="XEX62" s="5"/>
      <c r="XEY62" s="5"/>
      <c r="XEZ62" s="5"/>
      <c r="XFA62" s="5"/>
    </row>
    <row r="63" s="1" customFormat="1" ht="16.5" spans="1:16381">
      <c r="A63" s="8">
        <v>61</v>
      </c>
      <c r="B63" s="9" t="s">
        <v>132</v>
      </c>
      <c r="C63" s="8">
        <v>117</v>
      </c>
      <c r="D63" s="8">
        <v>13</v>
      </c>
      <c r="E63" s="8">
        <v>49.5</v>
      </c>
      <c r="F63" s="8">
        <f t="shared" si="1"/>
        <v>643.5</v>
      </c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 s="5"/>
      <c r="XBQ63" s="5"/>
      <c r="XBR63" s="5"/>
      <c r="XBS63" s="5"/>
      <c r="XBT63" s="5"/>
      <c r="XBU63" s="5"/>
      <c r="XBV63" s="5"/>
      <c r="XBW63" s="5"/>
      <c r="XBX63" s="5"/>
      <c r="XBY63" s="5"/>
      <c r="XBZ63" s="5"/>
      <c r="XCA63" s="5"/>
      <c r="XCB63" s="5"/>
      <c r="XCC63" s="5"/>
      <c r="XCD63" s="5"/>
      <c r="XCE63" s="5"/>
      <c r="XCF63" s="5"/>
      <c r="XCG63" s="5"/>
      <c r="XCH63" s="5"/>
      <c r="XCI63" s="5"/>
      <c r="XCJ63" s="5"/>
      <c r="XCK63" s="5"/>
      <c r="XCL63" s="5"/>
      <c r="XCM63" s="5"/>
      <c r="XCN63" s="5"/>
      <c r="XCO63" s="5"/>
      <c r="XCP63" s="5"/>
      <c r="XCQ63" s="5"/>
      <c r="XCR63" s="5"/>
      <c r="XCS63" s="5"/>
      <c r="XCT63" s="5"/>
      <c r="XCU63" s="5"/>
      <c r="XCV63" s="5"/>
      <c r="XCW63" s="5"/>
      <c r="XCX63" s="5"/>
      <c r="XCY63" s="5"/>
      <c r="XCZ63" s="5"/>
      <c r="XDA63" s="5"/>
      <c r="XDB63" s="5"/>
      <c r="XDC63" s="5"/>
      <c r="XDD63" s="5"/>
      <c r="XDE63" s="5"/>
      <c r="XDF63" s="5"/>
      <c r="XDG63" s="5"/>
      <c r="XDH63" s="5"/>
      <c r="XDI63" s="5"/>
      <c r="XDJ63" s="5"/>
      <c r="XDK63" s="5"/>
      <c r="XDL63" s="5"/>
      <c r="XDM63" s="5"/>
      <c r="XDN63" s="5"/>
      <c r="XDO63" s="5"/>
      <c r="XDP63" s="5"/>
      <c r="XDQ63" s="5"/>
      <c r="XDR63" s="5"/>
      <c r="XDS63" s="5"/>
      <c r="XDT63" s="5"/>
      <c r="XDU63" s="5"/>
      <c r="XDV63" s="5"/>
      <c r="XDW63" s="5"/>
      <c r="XDX63" s="5"/>
      <c r="XDY63" s="5"/>
      <c r="XDZ63" s="5"/>
      <c r="XEA63" s="5"/>
      <c r="XEB63" s="5"/>
      <c r="XEC63" s="5"/>
      <c r="XED63" s="5"/>
      <c r="XEE63" s="5"/>
      <c r="XEF63" s="5"/>
      <c r="XEG63" s="5"/>
      <c r="XEH63" s="5"/>
      <c r="XEI63" s="5"/>
      <c r="XEJ63" s="5"/>
      <c r="XEK63" s="5"/>
      <c r="XEL63" s="5"/>
      <c r="XEM63" s="5"/>
      <c r="XEN63" s="5"/>
      <c r="XEO63" s="5"/>
      <c r="XEP63" s="5"/>
      <c r="XEQ63" s="5"/>
      <c r="XER63" s="5"/>
      <c r="XES63" s="5"/>
      <c r="XET63" s="5"/>
      <c r="XEU63" s="5"/>
      <c r="XEV63" s="5"/>
      <c r="XEW63" s="5"/>
      <c r="XEX63" s="5"/>
      <c r="XEY63" s="5"/>
      <c r="XEZ63" s="5"/>
      <c r="XFA63" s="5"/>
    </row>
    <row r="64" s="1" customFormat="1" ht="16.5" spans="1:16381">
      <c r="A64" s="8">
        <v>62</v>
      </c>
      <c r="B64" s="9" t="s">
        <v>133</v>
      </c>
      <c r="C64" s="8">
        <v>130</v>
      </c>
      <c r="D64" s="8">
        <v>2</v>
      </c>
      <c r="E64" s="8">
        <v>357.5</v>
      </c>
      <c r="F64" s="8">
        <f t="shared" si="1"/>
        <v>715</v>
      </c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/>
      <c r="XBK64"/>
      <c r="XBL64"/>
      <c r="XBM64"/>
      <c r="XBN64"/>
      <c r="XBO64"/>
      <c r="XBP64" s="5"/>
      <c r="XBQ64" s="5"/>
      <c r="XBR64" s="5"/>
      <c r="XBS64" s="5"/>
      <c r="XBT64" s="5"/>
      <c r="XBU64" s="5"/>
      <c r="XBV64" s="5"/>
      <c r="XBW64" s="5"/>
      <c r="XBX64" s="5"/>
      <c r="XBY64" s="5"/>
      <c r="XBZ64" s="5"/>
      <c r="XCA64" s="5"/>
      <c r="XCB64" s="5"/>
      <c r="XCC64" s="5"/>
      <c r="XCD64" s="5"/>
      <c r="XCE64" s="5"/>
      <c r="XCF64" s="5"/>
      <c r="XCG64" s="5"/>
      <c r="XCH64" s="5"/>
      <c r="XCI64" s="5"/>
      <c r="XCJ64" s="5"/>
      <c r="XCK64" s="5"/>
      <c r="XCL64" s="5"/>
      <c r="XCM64" s="5"/>
      <c r="XCN64" s="5"/>
      <c r="XCO64" s="5"/>
      <c r="XCP64" s="5"/>
      <c r="XCQ64" s="5"/>
      <c r="XCR64" s="5"/>
      <c r="XCS64" s="5"/>
      <c r="XCT64" s="5"/>
      <c r="XCU64" s="5"/>
      <c r="XCV64" s="5"/>
      <c r="XCW64" s="5"/>
      <c r="XCX64" s="5"/>
      <c r="XCY64" s="5"/>
      <c r="XCZ64" s="5"/>
      <c r="XDA64" s="5"/>
      <c r="XDB64" s="5"/>
      <c r="XDC64" s="5"/>
      <c r="XDD64" s="5"/>
      <c r="XDE64" s="5"/>
      <c r="XDF64" s="5"/>
      <c r="XDG64" s="5"/>
      <c r="XDH64" s="5"/>
      <c r="XDI64" s="5"/>
      <c r="XDJ64" s="5"/>
      <c r="XDK64" s="5"/>
      <c r="XDL64" s="5"/>
      <c r="XDM64" s="5"/>
      <c r="XDN64" s="5"/>
      <c r="XDO64" s="5"/>
      <c r="XDP64" s="5"/>
      <c r="XDQ64" s="5"/>
      <c r="XDR64" s="5"/>
      <c r="XDS64" s="5"/>
      <c r="XDT64" s="5"/>
      <c r="XDU64" s="5"/>
      <c r="XDV64" s="5"/>
      <c r="XDW64" s="5"/>
      <c r="XDX64" s="5"/>
      <c r="XDY64" s="5"/>
      <c r="XDZ64" s="5"/>
      <c r="XEA64" s="5"/>
      <c r="XEB64" s="5"/>
      <c r="XEC64" s="5"/>
      <c r="XED64" s="5"/>
      <c r="XEE64" s="5"/>
      <c r="XEF64" s="5"/>
      <c r="XEG64" s="5"/>
      <c r="XEH64" s="5"/>
      <c r="XEI64" s="5"/>
      <c r="XEJ64" s="5"/>
      <c r="XEK64" s="5"/>
      <c r="XEL64" s="5"/>
      <c r="XEM64" s="5"/>
      <c r="XEN64" s="5"/>
      <c r="XEO64" s="5"/>
      <c r="XEP64" s="5"/>
      <c r="XEQ64" s="5"/>
      <c r="XER64" s="5"/>
      <c r="XES64" s="5"/>
      <c r="XET64" s="5"/>
      <c r="XEU64" s="5"/>
      <c r="XEV64" s="5"/>
      <c r="XEW64" s="5"/>
      <c r="XEX64" s="5"/>
      <c r="XEY64" s="5"/>
      <c r="XEZ64" s="5"/>
      <c r="XFA64" s="5"/>
    </row>
    <row r="65" s="1" customFormat="1" ht="16.5" spans="1:16381">
      <c r="A65" s="8">
        <v>63</v>
      </c>
      <c r="B65" s="9" t="s">
        <v>134</v>
      </c>
      <c r="C65" s="8">
        <v>50</v>
      </c>
      <c r="D65" s="8">
        <v>1</v>
      </c>
      <c r="E65" s="8">
        <v>275</v>
      </c>
      <c r="F65" s="8">
        <f t="shared" si="1"/>
        <v>275</v>
      </c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 s="5"/>
      <c r="XBQ65" s="5"/>
      <c r="XBR65" s="5"/>
      <c r="XBS65" s="5"/>
      <c r="XBT65" s="5"/>
      <c r="XBU65" s="5"/>
      <c r="XBV65" s="5"/>
      <c r="XBW65" s="5"/>
      <c r="XBX65" s="5"/>
      <c r="XBY65" s="5"/>
      <c r="XBZ65" s="5"/>
      <c r="XCA65" s="5"/>
      <c r="XCB65" s="5"/>
      <c r="XCC65" s="5"/>
      <c r="XCD65" s="5"/>
      <c r="XCE65" s="5"/>
      <c r="XCF65" s="5"/>
      <c r="XCG65" s="5"/>
      <c r="XCH65" s="5"/>
      <c r="XCI65" s="5"/>
      <c r="XCJ65" s="5"/>
      <c r="XCK65" s="5"/>
      <c r="XCL65" s="5"/>
      <c r="XCM65" s="5"/>
      <c r="XCN65" s="5"/>
      <c r="XCO65" s="5"/>
      <c r="XCP65" s="5"/>
      <c r="XCQ65" s="5"/>
      <c r="XCR65" s="5"/>
      <c r="XCS65" s="5"/>
      <c r="XCT65" s="5"/>
      <c r="XCU65" s="5"/>
      <c r="XCV65" s="5"/>
      <c r="XCW65" s="5"/>
      <c r="XCX65" s="5"/>
      <c r="XCY65" s="5"/>
      <c r="XCZ65" s="5"/>
      <c r="XDA65" s="5"/>
      <c r="XDB65" s="5"/>
      <c r="XDC65" s="5"/>
      <c r="XDD65" s="5"/>
      <c r="XDE65" s="5"/>
      <c r="XDF65" s="5"/>
      <c r="XDG65" s="5"/>
      <c r="XDH65" s="5"/>
      <c r="XDI65" s="5"/>
      <c r="XDJ65" s="5"/>
      <c r="XDK65" s="5"/>
      <c r="XDL65" s="5"/>
      <c r="XDM65" s="5"/>
      <c r="XDN65" s="5"/>
      <c r="XDO65" s="5"/>
      <c r="XDP65" s="5"/>
      <c r="XDQ65" s="5"/>
      <c r="XDR65" s="5"/>
      <c r="XDS65" s="5"/>
      <c r="XDT65" s="5"/>
      <c r="XDU65" s="5"/>
      <c r="XDV65" s="5"/>
      <c r="XDW65" s="5"/>
      <c r="XDX65" s="5"/>
      <c r="XDY65" s="5"/>
      <c r="XDZ65" s="5"/>
      <c r="XEA65" s="5"/>
      <c r="XEB65" s="5"/>
      <c r="XEC65" s="5"/>
      <c r="XED65" s="5"/>
      <c r="XEE65" s="5"/>
      <c r="XEF65" s="5"/>
      <c r="XEG65" s="5"/>
      <c r="XEH65" s="5"/>
      <c r="XEI65" s="5"/>
      <c r="XEJ65" s="5"/>
      <c r="XEK65" s="5"/>
      <c r="XEL65" s="5"/>
      <c r="XEM65" s="5"/>
      <c r="XEN65" s="5"/>
      <c r="XEO65" s="5"/>
      <c r="XEP65" s="5"/>
      <c r="XEQ65" s="5"/>
      <c r="XER65" s="5"/>
      <c r="XES65" s="5"/>
      <c r="XET65" s="5"/>
      <c r="XEU65" s="5"/>
      <c r="XEV65" s="5"/>
      <c r="XEW65" s="5"/>
      <c r="XEX65" s="5"/>
      <c r="XEY65" s="5"/>
      <c r="XEZ65" s="5"/>
      <c r="XFA65" s="5"/>
    </row>
    <row r="66" s="1" customFormat="1" ht="16.5" spans="1:16381">
      <c r="A66" s="8">
        <v>64</v>
      </c>
      <c r="B66" s="9" t="s">
        <v>135</v>
      </c>
      <c r="C66" s="8">
        <v>2</v>
      </c>
      <c r="D66" s="8">
        <v>2</v>
      </c>
      <c r="E66" s="8">
        <v>8</v>
      </c>
      <c r="F66" s="8">
        <f t="shared" si="1"/>
        <v>16</v>
      </c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/>
      <c r="XBL66"/>
      <c r="XBM66"/>
      <c r="XBN66"/>
      <c r="XBO66"/>
      <c r="XBP66" s="5"/>
      <c r="XBQ66" s="5"/>
      <c r="XBR66" s="5"/>
      <c r="XBS66" s="5"/>
      <c r="XBT66" s="5"/>
      <c r="XBU66" s="5"/>
      <c r="XBV66" s="5"/>
      <c r="XBW66" s="5"/>
      <c r="XBX66" s="5"/>
      <c r="XBY66" s="5"/>
      <c r="XBZ66" s="5"/>
      <c r="XCA66" s="5"/>
      <c r="XCB66" s="5"/>
      <c r="XCC66" s="5"/>
      <c r="XCD66" s="5"/>
      <c r="XCE66" s="5"/>
      <c r="XCF66" s="5"/>
      <c r="XCG66" s="5"/>
      <c r="XCH66" s="5"/>
      <c r="XCI66" s="5"/>
      <c r="XCJ66" s="5"/>
      <c r="XCK66" s="5"/>
      <c r="XCL66" s="5"/>
      <c r="XCM66" s="5"/>
      <c r="XCN66" s="5"/>
      <c r="XCO66" s="5"/>
      <c r="XCP66" s="5"/>
      <c r="XCQ66" s="5"/>
      <c r="XCR66" s="5"/>
      <c r="XCS66" s="5"/>
      <c r="XCT66" s="5"/>
      <c r="XCU66" s="5"/>
      <c r="XCV66" s="5"/>
      <c r="XCW66" s="5"/>
      <c r="XCX66" s="5"/>
      <c r="XCY66" s="5"/>
      <c r="XCZ66" s="5"/>
      <c r="XDA66" s="5"/>
      <c r="XDB66" s="5"/>
      <c r="XDC66" s="5"/>
      <c r="XDD66" s="5"/>
      <c r="XDE66" s="5"/>
      <c r="XDF66" s="5"/>
      <c r="XDG66" s="5"/>
      <c r="XDH66" s="5"/>
      <c r="XDI66" s="5"/>
      <c r="XDJ66" s="5"/>
      <c r="XDK66" s="5"/>
      <c r="XDL66" s="5"/>
      <c r="XDM66" s="5"/>
      <c r="XDN66" s="5"/>
      <c r="XDO66" s="5"/>
      <c r="XDP66" s="5"/>
      <c r="XDQ66" s="5"/>
      <c r="XDR66" s="5"/>
      <c r="XDS66" s="5"/>
      <c r="XDT66" s="5"/>
      <c r="XDU66" s="5"/>
      <c r="XDV66" s="5"/>
      <c r="XDW66" s="5"/>
      <c r="XDX66" s="5"/>
      <c r="XDY66" s="5"/>
      <c r="XDZ66" s="5"/>
      <c r="XEA66" s="5"/>
      <c r="XEB66" s="5"/>
      <c r="XEC66" s="5"/>
      <c r="XED66" s="5"/>
      <c r="XEE66" s="5"/>
      <c r="XEF66" s="5"/>
      <c r="XEG66" s="5"/>
      <c r="XEH66" s="5"/>
      <c r="XEI66" s="5"/>
      <c r="XEJ66" s="5"/>
      <c r="XEK66" s="5"/>
      <c r="XEL66" s="5"/>
      <c r="XEM66" s="5"/>
      <c r="XEN66" s="5"/>
      <c r="XEO66" s="5"/>
      <c r="XEP66" s="5"/>
      <c r="XEQ66" s="5"/>
      <c r="XER66" s="5"/>
      <c r="XES66" s="5"/>
      <c r="XET66" s="5"/>
      <c r="XEU66" s="5"/>
      <c r="XEV66" s="5"/>
      <c r="XEW66" s="5"/>
      <c r="XEX66" s="5"/>
      <c r="XEY66" s="5"/>
      <c r="XEZ66" s="5"/>
      <c r="XFA66" s="5"/>
    </row>
    <row r="67" s="1" customFormat="1" ht="16.5" spans="1:16381">
      <c r="A67" s="8">
        <v>65</v>
      </c>
      <c r="B67" s="9" t="s">
        <v>136</v>
      </c>
      <c r="C67" s="8">
        <v>2</v>
      </c>
      <c r="D67" s="8">
        <v>1</v>
      </c>
      <c r="E67" s="8">
        <v>16.5</v>
      </c>
      <c r="F67" s="8">
        <f t="shared" si="1"/>
        <v>16.5</v>
      </c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/>
      <c r="XBK67"/>
      <c r="XBL67"/>
      <c r="XBM67"/>
      <c r="XBN67"/>
      <c r="XBO67"/>
      <c r="XBP67" s="5"/>
      <c r="XBQ67" s="5"/>
      <c r="XBR67" s="5"/>
      <c r="XBS67" s="5"/>
      <c r="XBT67" s="5"/>
      <c r="XBU67" s="5"/>
      <c r="XBV67" s="5"/>
      <c r="XBW67" s="5"/>
      <c r="XBX67" s="5"/>
      <c r="XBY67" s="5"/>
      <c r="XBZ67" s="5"/>
      <c r="XCA67" s="5"/>
      <c r="XCB67" s="5"/>
      <c r="XCC67" s="5"/>
      <c r="XCD67" s="5"/>
      <c r="XCE67" s="5"/>
      <c r="XCF67" s="5"/>
      <c r="XCG67" s="5"/>
      <c r="XCH67" s="5"/>
      <c r="XCI67" s="5"/>
      <c r="XCJ67" s="5"/>
      <c r="XCK67" s="5"/>
      <c r="XCL67" s="5"/>
      <c r="XCM67" s="5"/>
      <c r="XCN67" s="5"/>
      <c r="XCO67" s="5"/>
      <c r="XCP67" s="5"/>
      <c r="XCQ67" s="5"/>
      <c r="XCR67" s="5"/>
      <c r="XCS67" s="5"/>
      <c r="XCT67" s="5"/>
      <c r="XCU67" s="5"/>
      <c r="XCV67" s="5"/>
      <c r="XCW67" s="5"/>
      <c r="XCX67" s="5"/>
      <c r="XCY67" s="5"/>
      <c r="XCZ67" s="5"/>
      <c r="XDA67" s="5"/>
      <c r="XDB67" s="5"/>
      <c r="XDC67" s="5"/>
      <c r="XDD67" s="5"/>
      <c r="XDE67" s="5"/>
      <c r="XDF67" s="5"/>
      <c r="XDG67" s="5"/>
      <c r="XDH67" s="5"/>
      <c r="XDI67" s="5"/>
      <c r="XDJ67" s="5"/>
      <c r="XDK67" s="5"/>
      <c r="XDL67" s="5"/>
      <c r="XDM67" s="5"/>
      <c r="XDN67" s="5"/>
      <c r="XDO67" s="5"/>
      <c r="XDP67" s="5"/>
      <c r="XDQ67" s="5"/>
      <c r="XDR67" s="5"/>
      <c r="XDS67" s="5"/>
      <c r="XDT67" s="5"/>
      <c r="XDU67" s="5"/>
      <c r="XDV67" s="5"/>
      <c r="XDW67" s="5"/>
      <c r="XDX67" s="5"/>
      <c r="XDY67" s="5"/>
      <c r="XDZ67" s="5"/>
      <c r="XEA67" s="5"/>
      <c r="XEB67" s="5"/>
      <c r="XEC67" s="5"/>
      <c r="XED67" s="5"/>
      <c r="XEE67" s="5"/>
      <c r="XEF67" s="5"/>
      <c r="XEG67" s="5"/>
      <c r="XEH67" s="5"/>
      <c r="XEI67" s="5"/>
      <c r="XEJ67" s="5"/>
      <c r="XEK67" s="5"/>
      <c r="XEL67" s="5"/>
      <c r="XEM67" s="5"/>
      <c r="XEN67" s="5"/>
      <c r="XEO67" s="5"/>
      <c r="XEP67" s="5"/>
      <c r="XEQ67" s="5"/>
      <c r="XER67" s="5"/>
      <c r="XES67" s="5"/>
      <c r="XET67" s="5"/>
      <c r="XEU67" s="5"/>
      <c r="XEV67" s="5"/>
      <c r="XEW67" s="5"/>
      <c r="XEX67" s="5"/>
      <c r="XEY67" s="5"/>
      <c r="XEZ67" s="5"/>
      <c r="XFA67" s="5"/>
    </row>
    <row r="68" s="1" customFormat="1" ht="16.5" spans="1:16381">
      <c r="A68" s="8">
        <v>66</v>
      </c>
      <c r="B68" s="9" t="s">
        <v>137</v>
      </c>
      <c r="C68" s="8">
        <v>8</v>
      </c>
      <c r="D68" s="8">
        <v>4</v>
      </c>
      <c r="E68" s="8">
        <v>16.5</v>
      </c>
      <c r="F68" s="8">
        <f t="shared" ref="F68:F99" si="2">D68*E68</f>
        <v>66</v>
      </c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 s="5"/>
      <c r="XBQ68" s="5"/>
      <c r="XBR68" s="5"/>
      <c r="XBS68" s="5"/>
      <c r="XBT68" s="5"/>
      <c r="XBU68" s="5"/>
      <c r="XBV68" s="5"/>
      <c r="XBW68" s="5"/>
      <c r="XBX68" s="5"/>
      <c r="XBY68" s="5"/>
      <c r="XBZ68" s="5"/>
      <c r="XCA68" s="5"/>
      <c r="XCB68" s="5"/>
      <c r="XCC68" s="5"/>
      <c r="XCD68" s="5"/>
      <c r="XCE68" s="5"/>
      <c r="XCF68" s="5"/>
      <c r="XCG68" s="5"/>
      <c r="XCH68" s="5"/>
      <c r="XCI68" s="5"/>
      <c r="XCJ68" s="5"/>
      <c r="XCK68" s="5"/>
      <c r="XCL68" s="5"/>
      <c r="XCM68" s="5"/>
      <c r="XCN68" s="5"/>
      <c r="XCO68" s="5"/>
      <c r="XCP68" s="5"/>
      <c r="XCQ68" s="5"/>
      <c r="XCR68" s="5"/>
      <c r="XCS68" s="5"/>
      <c r="XCT68" s="5"/>
      <c r="XCU68" s="5"/>
      <c r="XCV68" s="5"/>
      <c r="XCW68" s="5"/>
      <c r="XCX68" s="5"/>
      <c r="XCY68" s="5"/>
      <c r="XCZ68" s="5"/>
      <c r="XDA68" s="5"/>
      <c r="XDB68" s="5"/>
      <c r="XDC68" s="5"/>
      <c r="XDD68" s="5"/>
      <c r="XDE68" s="5"/>
      <c r="XDF68" s="5"/>
      <c r="XDG68" s="5"/>
      <c r="XDH68" s="5"/>
      <c r="XDI68" s="5"/>
      <c r="XDJ68" s="5"/>
      <c r="XDK68" s="5"/>
      <c r="XDL68" s="5"/>
      <c r="XDM68" s="5"/>
      <c r="XDN68" s="5"/>
      <c r="XDO68" s="5"/>
      <c r="XDP68" s="5"/>
      <c r="XDQ68" s="5"/>
      <c r="XDR68" s="5"/>
      <c r="XDS68" s="5"/>
      <c r="XDT68" s="5"/>
      <c r="XDU68" s="5"/>
      <c r="XDV68" s="5"/>
      <c r="XDW68" s="5"/>
      <c r="XDX68" s="5"/>
      <c r="XDY68" s="5"/>
      <c r="XDZ68" s="5"/>
      <c r="XEA68" s="5"/>
      <c r="XEB68" s="5"/>
      <c r="XEC68" s="5"/>
      <c r="XED68" s="5"/>
      <c r="XEE68" s="5"/>
      <c r="XEF68" s="5"/>
      <c r="XEG68" s="5"/>
      <c r="XEH68" s="5"/>
      <c r="XEI68" s="5"/>
      <c r="XEJ68" s="5"/>
      <c r="XEK68" s="5"/>
      <c r="XEL68" s="5"/>
      <c r="XEM68" s="5"/>
      <c r="XEN68" s="5"/>
      <c r="XEO68" s="5"/>
      <c r="XEP68" s="5"/>
      <c r="XEQ68" s="5"/>
      <c r="XER68" s="5"/>
      <c r="XES68" s="5"/>
      <c r="XET68" s="5"/>
      <c r="XEU68" s="5"/>
      <c r="XEV68" s="5"/>
      <c r="XEW68" s="5"/>
      <c r="XEX68" s="5"/>
      <c r="XEY68" s="5"/>
      <c r="XEZ68" s="5"/>
      <c r="XFA68" s="5"/>
    </row>
    <row r="69" ht="16.5" spans="1:6">
      <c r="A69" s="8">
        <v>67</v>
      </c>
      <c r="B69" s="9" t="s">
        <v>138</v>
      </c>
      <c r="C69" s="8">
        <v>27</v>
      </c>
      <c r="D69" s="8">
        <v>3</v>
      </c>
      <c r="E69" s="8">
        <v>49.5</v>
      </c>
      <c r="F69" s="8">
        <f t="shared" si="2"/>
        <v>148.5</v>
      </c>
    </row>
    <row r="70" ht="16.5" spans="1:6">
      <c r="A70" s="8">
        <v>68</v>
      </c>
      <c r="B70" s="9" t="s">
        <v>139</v>
      </c>
      <c r="C70" s="8">
        <v>16</v>
      </c>
      <c r="D70" s="8">
        <v>2</v>
      </c>
      <c r="E70" s="8">
        <v>44</v>
      </c>
      <c r="F70" s="8">
        <f t="shared" si="2"/>
        <v>88</v>
      </c>
    </row>
    <row r="71" ht="16.5" spans="1:6">
      <c r="A71" s="8">
        <v>69</v>
      </c>
      <c r="B71" s="9" t="s">
        <v>140</v>
      </c>
      <c r="C71" s="8">
        <v>186</v>
      </c>
      <c r="D71" s="8">
        <v>31</v>
      </c>
      <c r="E71" s="8">
        <v>33</v>
      </c>
      <c r="F71" s="8">
        <f t="shared" si="2"/>
        <v>1023</v>
      </c>
    </row>
    <row r="72" ht="16.5" spans="1:6">
      <c r="A72" s="8">
        <v>70</v>
      </c>
      <c r="B72" s="9" t="s">
        <v>141</v>
      </c>
      <c r="C72" s="8">
        <v>4</v>
      </c>
      <c r="D72" s="8">
        <v>1</v>
      </c>
      <c r="E72" s="8">
        <v>22</v>
      </c>
      <c r="F72" s="8">
        <f t="shared" si="2"/>
        <v>22</v>
      </c>
    </row>
    <row r="73" ht="16.5" spans="1:6">
      <c r="A73" s="8">
        <v>71</v>
      </c>
      <c r="B73" s="9" t="s">
        <v>142</v>
      </c>
      <c r="C73" s="8">
        <v>6</v>
      </c>
      <c r="D73" s="8">
        <v>3</v>
      </c>
      <c r="E73" s="8">
        <v>16.5</v>
      </c>
      <c r="F73" s="8">
        <f t="shared" si="2"/>
        <v>49.5</v>
      </c>
    </row>
    <row r="74" ht="16.5" spans="1:6">
      <c r="A74" s="8">
        <v>72</v>
      </c>
      <c r="B74" s="9" t="s">
        <v>143</v>
      </c>
      <c r="C74" s="8">
        <v>66</v>
      </c>
      <c r="D74" s="8">
        <v>33</v>
      </c>
      <c r="E74" s="8">
        <v>16.5</v>
      </c>
      <c r="F74" s="8">
        <f t="shared" si="2"/>
        <v>544.5</v>
      </c>
    </row>
    <row r="75" ht="16.5" spans="1:6">
      <c r="A75" s="8">
        <v>73</v>
      </c>
      <c r="B75" s="9" t="s">
        <v>144</v>
      </c>
      <c r="C75" s="8">
        <v>1</v>
      </c>
      <c r="D75" s="8">
        <v>1</v>
      </c>
      <c r="E75" s="8">
        <v>16.5</v>
      </c>
      <c r="F75" s="8">
        <f t="shared" si="2"/>
        <v>16.5</v>
      </c>
    </row>
    <row r="76" ht="16.5" spans="1:6">
      <c r="A76" s="8">
        <v>74</v>
      </c>
      <c r="B76" s="9" t="s">
        <v>145</v>
      </c>
      <c r="C76" s="8">
        <v>1</v>
      </c>
      <c r="D76" s="8">
        <v>1</v>
      </c>
      <c r="E76" s="8">
        <v>16.5</v>
      </c>
      <c r="F76" s="8">
        <f t="shared" si="2"/>
        <v>16.5</v>
      </c>
    </row>
    <row r="77" ht="16.5" spans="1:6">
      <c r="A77" s="8">
        <v>75</v>
      </c>
      <c r="B77" s="9" t="s">
        <v>146</v>
      </c>
      <c r="C77" s="8">
        <v>44</v>
      </c>
      <c r="D77" s="8">
        <v>44</v>
      </c>
      <c r="E77" s="8">
        <v>16.5</v>
      </c>
      <c r="F77" s="8">
        <f t="shared" si="2"/>
        <v>726</v>
      </c>
    </row>
    <row r="78" ht="16.5" spans="1:6">
      <c r="A78" s="8">
        <v>76</v>
      </c>
      <c r="B78" s="9" t="s">
        <v>32</v>
      </c>
      <c r="C78" s="8">
        <v>27</v>
      </c>
      <c r="D78" s="8">
        <v>27</v>
      </c>
      <c r="E78" s="8">
        <v>8</v>
      </c>
      <c r="F78" s="8">
        <f t="shared" si="2"/>
        <v>216</v>
      </c>
    </row>
    <row r="79" ht="16.5" spans="1:6">
      <c r="A79" s="8">
        <v>77</v>
      </c>
      <c r="B79" s="9" t="s">
        <v>147</v>
      </c>
      <c r="C79" s="8">
        <v>12</v>
      </c>
      <c r="D79" s="8">
        <v>6</v>
      </c>
      <c r="E79" s="8">
        <v>16.5</v>
      </c>
      <c r="F79" s="8">
        <f t="shared" si="2"/>
        <v>99</v>
      </c>
    </row>
    <row r="80" ht="16.5" spans="1:6">
      <c r="A80" s="8">
        <v>78</v>
      </c>
      <c r="B80" s="9" t="s">
        <v>148</v>
      </c>
      <c r="C80" s="8">
        <v>198</v>
      </c>
      <c r="D80" s="8">
        <v>6</v>
      </c>
      <c r="E80" s="8">
        <v>181.5</v>
      </c>
      <c r="F80" s="8">
        <f t="shared" si="2"/>
        <v>1089</v>
      </c>
    </row>
    <row r="81" ht="16.5" spans="1:6">
      <c r="A81" s="8">
        <v>79</v>
      </c>
      <c r="B81" s="9" t="s">
        <v>149</v>
      </c>
      <c r="C81" s="8">
        <v>96</v>
      </c>
      <c r="D81" s="8">
        <v>8</v>
      </c>
      <c r="E81" s="8">
        <v>66</v>
      </c>
      <c r="F81" s="8">
        <f t="shared" si="2"/>
        <v>528</v>
      </c>
    </row>
    <row r="82" ht="16.5" spans="1:6">
      <c r="A82" s="8">
        <v>80</v>
      </c>
      <c r="B82" s="9" t="s">
        <v>150</v>
      </c>
      <c r="C82" s="8">
        <v>225</v>
      </c>
      <c r="D82" s="8">
        <v>15</v>
      </c>
      <c r="E82" s="8">
        <v>82.5</v>
      </c>
      <c r="F82" s="8">
        <f t="shared" si="2"/>
        <v>1237.5</v>
      </c>
    </row>
    <row r="83" ht="16.5" spans="1:6">
      <c r="A83" s="8">
        <v>81</v>
      </c>
      <c r="B83" s="9" t="s">
        <v>151</v>
      </c>
      <c r="C83" s="8">
        <v>13</v>
      </c>
      <c r="D83" s="8">
        <v>1</v>
      </c>
      <c r="E83" s="8">
        <v>71.5</v>
      </c>
      <c r="F83" s="8">
        <f t="shared" si="2"/>
        <v>71.5</v>
      </c>
    </row>
    <row r="84" ht="16.5" spans="1:6">
      <c r="A84" s="8">
        <v>82</v>
      </c>
      <c r="B84" s="9" t="s">
        <v>152</v>
      </c>
      <c r="C84" s="8">
        <v>6</v>
      </c>
      <c r="D84" s="8">
        <v>2</v>
      </c>
      <c r="E84" s="8">
        <v>16.5</v>
      </c>
      <c r="F84" s="8">
        <f t="shared" si="2"/>
        <v>33</v>
      </c>
    </row>
    <row r="85" ht="16.5" spans="1:6">
      <c r="A85" s="8">
        <v>83</v>
      </c>
      <c r="B85" s="9" t="s">
        <v>153</v>
      </c>
      <c r="C85" s="8">
        <v>3</v>
      </c>
      <c r="D85" s="8">
        <v>1</v>
      </c>
      <c r="E85" s="8">
        <v>22</v>
      </c>
      <c r="F85" s="8">
        <f t="shared" si="2"/>
        <v>22</v>
      </c>
    </row>
    <row r="86" ht="16.5" spans="1:6">
      <c r="A86" s="8">
        <v>84</v>
      </c>
      <c r="B86" s="9" t="s">
        <v>154</v>
      </c>
      <c r="C86" s="8">
        <v>2</v>
      </c>
      <c r="D86" s="8">
        <v>1</v>
      </c>
      <c r="E86" s="8">
        <v>35</v>
      </c>
      <c r="F86" s="8">
        <f t="shared" si="2"/>
        <v>35</v>
      </c>
    </row>
    <row r="87" ht="16.5" spans="1:6">
      <c r="A87" s="8">
        <v>85</v>
      </c>
      <c r="B87" s="9" t="s">
        <v>155</v>
      </c>
      <c r="C87" s="8">
        <v>76</v>
      </c>
      <c r="D87" s="8">
        <v>1</v>
      </c>
      <c r="E87" s="8">
        <v>418</v>
      </c>
      <c r="F87" s="8">
        <f t="shared" si="2"/>
        <v>418</v>
      </c>
    </row>
    <row r="88" ht="16.5" spans="1:6">
      <c r="A88" s="8">
        <v>86</v>
      </c>
      <c r="B88" s="9" t="s">
        <v>156</v>
      </c>
      <c r="C88" s="8">
        <v>41</v>
      </c>
      <c r="D88" s="8">
        <v>41</v>
      </c>
      <c r="E88" s="8">
        <v>16.5</v>
      </c>
      <c r="F88" s="8">
        <f t="shared" si="2"/>
        <v>676.5</v>
      </c>
    </row>
    <row r="89" ht="16.5" spans="1:6">
      <c r="A89" s="8">
        <v>87</v>
      </c>
      <c r="B89" s="9" t="s">
        <v>157</v>
      </c>
      <c r="C89" s="8">
        <v>6</v>
      </c>
      <c r="D89" s="8">
        <v>2</v>
      </c>
      <c r="E89" s="8">
        <v>16.5</v>
      </c>
      <c r="F89" s="8">
        <f t="shared" si="2"/>
        <v>33</v>
      </c>
    </row>
    <row r="90" ht="16.5" spans="1:6">
      <c r="A90" s="8">
        <v>88</v>
      </c>
      <c r="B90" s="9" t="s">
        <v>158</v>
      </c>
      <c r="C90" s="8">
        <v>104</v>
      </c>
      <c r="D90" s="8">
        <v>2</v>
      </c>
      <c r="E90" s="8">
        <v>286</v>
      </c>
      <c r="F90" s="8">
        <f t="shared" si="2"/>
        <v>572</v>
      </c>
    </row>
    <row r="91" ht="16.5" spans="1:6">
      <c r="A91" s="8">
        <v>89</v>
      </c>
      <c r="B91" s="9" t="s">
        <v>159</v>
      </c>
      <c r="C91" s="8">
        <v>4</v>
      </c>
      <c r="D91" s="8">
        <v>2</v>
      </c>
      <c r="E91" s="8">
        <v>16.5</v>
      </c>
      <c r="F91" s="8">
        <f t="shared" si="2"/>
        <v>33</v>
      </c>
    </row>
    <row r="92" ht="16.5" spans="1:6">
      <c r="A92" s="8">
        <v>90</v>
      </c>
      <c r="B92" s="9" t="s">
        <v>160</v>
      </c>
      <c r="C92" s="8">
        <v>252</v>
      </c>
      <c r="D92" s="8">
        <v>9</v>
      </c>
      <c r="E92" s="8">
        <v>154</v>
      </c>
      <c r="F92" s="8">
        <f t="shared" si="2"/>
        <v>1386</v>
      </c>
    </row>
    <row r="93" ht="16.5" spans="1:6">
      <c r="A93" s="8">
        <v>91</v>
      </c>
      <c r="B93" s="9" t="s">
        <v>161</v>
      </c>
      <c r="C93" s="8">
        <v>56</v>
      </c>
      <c r="D93" s="8">
        <v>1</v>
      </c>
      <c r="E93" s="8">
        <v>308</v>
      </c>
      <c r="F93" s="8">
        <f t="shared" si="2"/>
        <v>308</v>
      </c>
    </row>
    <row r="94" ht="16.5" spans="1:6">
      <c r="A94" s="8">
        <v>92</v>
      </c>
      <c r="B94" s="9" t="s">
        <v>162</v>
      </c>
      <c r="C94" s="8">
        <v>39</v>
      </c>
      <c r="D94" s="8">
        <v>13</v>
      </c>
      <c r="E94" s="8">
        <v>16.5</v>
      </c>
      <c r="F94" s="8">
        <f t="shared" si="2"/>
        <v>214.5</v>
      </c>
    </row>
    <row r="95" ht="16.5" spans="1:6">
      <c r="A95" s="8">
        <v>93</v>
      </c>
      <c r="B95" s="9" t="s">
        <v>163</v>
      </c>
      <c r="C95" s="8">
        <v>2</v>
      </c>
      <c r="D95" s="8">
        <v>2</v>
      </c>
      <c r="E95" s="8">
        <v>8</v>
      </c>
      <c r="F95" s="8">
        <f t="shared" si="2"/>
        <v>16</v>
      </c>
    </row>
    <row r="96" ht="16.5" spans="1:6">
      <c r="A96" s="8">
        <v>94</v>
      </c>
      <c r="B96" s="9" t="s">
        <v>42</v>
      </c>
      <c r="C96" s="8">
        <v>0</v>
      </c>
      <c r="D96" s="8">
        <v>228</v>
      </c>
      <c r="E96" s="8">
        <v>2.5</v>
      </c>
      <c r="F96" s="8">
        <f t="shared" si="2"/>
        <v>570</v>
      </c>
    </row>
    <row r="97" ht="16.5" spans="1:6">
      <c r="A97" s="8">
        <v>95</v>
      </c>
      <c r="B97" s="9" t="s">
        <v>164</v>
      </c>
      <c r="C97" s="8">
        <v>17</v>
      </c>
      <c r="D97" s="8">
        <v>17</v>
      </c>
      <c r="E97" s="8">
        <v>16.5</v>
      </c>
      <c r="F97" s="8">
        <f t="shared" si="2"/>
        <v>280.5</v>
      </c>
    </row>
    <row r="98" ht="16.5" spans="1:6">
      <c r="A98" s="8">
        <v>96</v>
      </c>
      <c r="B98" s="9" t="s">
        <v>165</v>
      </c>
      <c r="C98" s="8">
        <v>3</v>
      </c>
      <c r="D98" s="8">
        <v>3</v>
      </c>
      <c r="E98" s="8">
        <v>16.5</v>
      </c>
      <c r="F98" s="8">
        <f t="shared" si="2"/>
        <v>49.5</v>
      </c>
    </row>
    <row r="99" ht="16.5" spans="1:6">
      <c r="A99" s="8">
        <v>97</v>
      </c>
      <c r="B99" s="9" t="s">
        <v>166</v>
      </c>
      <c r="C99" s="8">
        <v>11165</v>
      </c>
      <c r="D99" s="8">
        <v>385</v>
      </c>
      <c r="E99" s="8">
        <v>159.5</v>
      </c>
      <c r="F99" s="8">
        <f t="shared" si="2"/>
        <v>61407.5</v>
      </c>
    </row>
    <row r="100" ht="16.5" spans="1:6">
      <c r="A100" s="8">
        <v>98</v>
      </c>
      <c r="B100" s="9" t="s">
        <v>167</v>
      </c>
      <c r="C100" s="8">
        <v>375</v>
      </c>
      <c r="D100" s="8">
        <v>125</v>
      </c>
      <c r="E100" s="8">
        <v>16.5</v>
      </c>
      <c r="F100" s="8">
        <f t="shared" ref="F100:F131" si="3">D100*E100</f>
        <v>2062.5</v>
      </c>
    </row>
    <row r="101" ht="16.5" spans="1:6">
      <c r="A101" s="8">
        <v>99</v>
      </c>
      <c r="B101" s="9" t="s">
        <v>168</v>
      </c>
      <c r="C101" s="8">
        <v>0</v>
      </c>
      <c r="D101" s="8">
        <v>5</v>
      </c>
      <c r="E101" s="8">
        <v>4</v>
      </c>
      <c r="F101" s="8">
        <f t="shared" si="3"/>
        <v>20</v>
      </c>
    </row>
    <row r="102" ht="16.5" spans="1:6">
      <c r="A102" s="8">
        <v>100</v>
      </c>
      <c r="B102" s="9" t="s">
        <v>169</v>
      </c>
      <c r="C102" s="8">
        <v>6</v>
      </c>
      <c r="D102" s="8">
        <v>3</v>
      </c>
      <c r="E102" s="8">
        <v>16.5</v>
      </c>
      <c r="F102" s="8">
        <f t="shared" si="3"/>
        <v>49.5</v>
      </c>
    </row>
    <row r="103" ht="16.5" spans="1:6">
      <c r="A103" s="8">
        <v>101</v>
      </c>
      <c r="B103" s="9" t="s">
        <v>170</v>
      </c>
      <c r="C103" s="8">
        <v>4</v>
      </c>
      <c r="D103" s="8">
        <v>1</v>
      </c>
      <c r="E103" s="8">
        <v>22</v>
      </c>
      <c r="F103" s="8">
        <f t="shared" si="3"/>
        <v>22</v>
      </c>
    </row>
    <row r="104" ht="16.5" spans="1:6">
      <c r="A104" s="8">
        <v>102</v>
      </c>
      <c r="B104" s="9" t="s">
        <v>171</v>
      </c>
      <c r="C104" s="8">
        <v>330</v>
      </c>
      <c r="D104" s="8">
        <v>15</v>
      </c>
      <c r="E104" s="8">
        <v>121</v>
      </c>
      <c r="F104" s="8">
        <f t="shared" si="3"/>
        <v>1815</v>
      </c>
    </row>
    <row r="105" ht="16.5" spans="1:6">
      <c r="A105" s="8">
        <v>103</v>
      </c>
      <c r="B105" s="9" t="s">
        <v>172</v>
      </c>
      <c r="C105" s="8">
        <v>4</v>
      </c>
      <c r="D105" s="8">
        <v>1</v>
      </c>
      <c r="E105" s="8">
        <v>22</v>
      </c>
      <c r="F105" s="8">
        <f t="shared" si="3"/>
        <v>22</v>
      </c>
    </row>
    <row r="106" ht="16.5" spans="1:6">
      <c r="A106" s="8">
        <v>104</v>
      </c>
      <c r="B106" s="9" t="s">
        <v>173</v>
      </c>
      <c r="C106" s="8">
        <v>25</v>
      </c>
      <c r="D106" s="8">
        <v>5</v>
      </c>
      <c r="E106" s="8">
        <v>27.5</v>
      </c>
      <c r="F106" s="8">
        <f t="shared" si="3"/>
        <v>137.5</v>
      </c>
    </row>
    <row r="107" ht="16.5" spans="1:6">
      <c r="A107" s="8">
        <v>105</v>
      </c>
      <c r="B107" s="9" t="s">
        <v>174</v>
      </c>
      <c r="C107" s="8">
        <v>48</v>
      </c>
      <c r="D107" s="8">
        <v>6</v>
      </c>
      <c r="E107" s="8">
        <v>44</v>
      </c>
      <c r="F107" s="8">
        <f t="shared" si="3"/>
        <v>264</v>
      </c>
    </row>
    <row r="108" ht="16.5" spans="1:6">
      <c r="A108" s="8">
        <v>106</v>
      </c>
      <c r="B108" s="9" t="s">
        <v>175</v>
      </c>
      <c r="C108" s="8">
        <v>2</v>
      </c>
      <c r="D108" s="8">
        <v>2</v>
      </c>
      <c r="E108" s="8">
        <v>8</v>
      </c>
      <c r="F108" s="8">
        <f t="shared" si="3"/>
        <v>16</v>
      </c>
    </row>
    <row r="109" ht="16.5" spans="1:6">
      <c r="A109" s="8">
        <v>107</v>
      </c>
      <c r="B109" s="9" t="s">
        <v>176</v>
      </c>
      <c r="C109" s="8">
        <v>1</v>
      </c>
      <c r="D109" s="8">
        <v>1</v>
      </c>
      <c r="E109" s="8">
        <v>8</v>
      </c>
      <c r="F109" s="8">
        <f t="shared" si="3"/>
        <v>8</v>
      </c>
    </row>
    <row r="110" ht="16.5" spans="1:6">
      <c r="A110" s="8">
        <v>108</v>
      </c>
      <c r="B110" s="9" t="s">
        <v>177</v>
      </c>
      <c r="C110" s="8">
        <v>80</v>
      </c>
      <c r="D110" s="8">
        <v>8</v>
      </c>
      <c r="E110" s="8">
        <v>55</v>
      </c>
      <c r="F110" s="8">
        <f t="shared" si="3"/>
        <v>440</v>
      </c>
    </row>
    <row r="111" ht="16.5" spans="1:6">
      <c r="A111" s="8">
        <v>109</v>
      </c>
      <c r="B111" s="9" t="s">
        <v>178</v>
      </c>
      <c r="C111" s="8">
        <v>5</v>
      </c>
      <c r="D111" s="8">
        <v>1</v>
      </c>
      <c r="E111" s="8">
        <v>88</v>
      </c>
      <c r="F111" s="8">
        <f t="shared" si="3"/>
        <v>88</v>
      </c>
    </row>
    <row r="112" ht="16.5" spans="1:6">
      <c r="A112" s="8">
        <v>110</v>
      </c>
      <c r="B112" s="9" t="s">
        <v>43</v>
      </c>
      <c r="C112" s="8">
        <v>7575</v>
      </c>
      <c r="D112" s="8">
        <v>303</v>
      </c>
      <c r="E112" s="8">
        <v>137.5</v>
      </c>
      <c r="F112" s="8">
        <f t="shared" si="3"/>
        <v>41662.5</v>
      </c>
    </row>
    <row r="113" ht="16.5" spans="1:6">
      <c r="A113" s="8">
        <v>111</v>
      </c>
      <c r="B113" s="9" t="s">
        <v>179</v>
      </c>
      <c r="C113" s="8">
        <v>6</v>
      </c>
      <c r="D113" s="8">
        <v>2</v>
      </c>
      <c r="E113" s="8">
        <v>16.5</v>
      </c>
      <c r="F113" s="8">
        <f t="shared" si="3"/>
        <v>33</v>
      </c>
    </row>
    <row r="114" ht="16.5" spans="1:6">
      <c r="A114" s="8">
        <v>112</v>
      </c>
      <c r="B114" s="9" t="s">
        <v>180</v>
      </c>
      <c r="C114" s="8">
        <v>2</v>
      </c>
      <c r="D114" s="8">
        <v>2</v>
      </c>
      <c r="E114" s="8">
        <v>16.5</v>
      </c>
      <c r="F114" s="8">
        <f t="shared" si="3"/>
        <v>33</v>
      </c>
    </row>
    <row r="115" ht="16.5" spans="1:6">
      <c r="A115" s="8">
        <v>113</v>
      </c>
      <c r="B115" s="9" t="s">
        <v>181</v>
      </c>
      <c r="C115" s="8">
        <v>104</v>
      </c>
      <c r="D115" s="8">
        <v>52</v>
      </c>
      <c r="E115" s="8">
        <v>16.5</v>
      </c>
      <c r="F115" s="8">
        <f t="shared" si="3"/>
        <v>858</v>
      </c>
    </row>
    <row r="116" ht="16.5" spans="1:6">
      <c r="A116" s="8">
        <v>114</v>
      </c>
      <c r="B116" s="9" t="s">
        <v>182</v>
      </c>
      <c r="C116" s="8">
        <v>172</v>
      </c>
      <c r="D116" s="8">
        <v>43</v>
      </c>
      <c r="E116" s="8">
        <v>22</v>
      </c>
      <c r="F116" s="8">
        <f t="shared" si="3"/>
        <v>946</v>
      </c>
    </row>
    <row r="117" ht="16.5" spans="1:6">
      <c r="A117" s="8">
        <v>115</v>
      </c>
      <c r="B117" s="9" t="s">
        <v>183</v>
      </c>
      <c r="C117" s="8">
        <v>0</v>
      </c>
      <c r="D117" s="8">
        <v>57</v>
      </c>
      <c r="E117" s="8">
        <v>30</v>
      </c>
      <c r="F117" s="8">
        <f t="shared" si="3"/>
        <v>1710</v>
      </c>
    </row>
    <row r="118" ht="16.5" spans="1:6">
      <c r="A118" s="8">
        <v>116</v>
      </c>
      <c r="B118" s="9" t="s">
        <v>184</v>
      </c>
      <c r="C118" s="8">
        <v>0</v>
      </c>
      <c r="D118" s="8">
        <v>98</v>
      </c>
      <c r="E118" s="8">
        <v>2.5</v>
      </c>
      <c r="F118" s="8">
        <f t="shared" si="3"/>
        <v>245</v>
      </c>
    </row>
    <row r="119" ht="16.5" spans="1:6">
      <c r="A119" s="8">
        <v>117</v>
      </c>
      <c r="B119" s="9" t="s">
        <v>185</v>
      </c>
      <c r="C119" s="8">
        <v>6</v>
      </c>
      <c r="D119" s="8">
        <v>1</v>
      </c>
      <c r="E119" s="8">
        <v>33</v>
      </c>
      <c r="F119" s="8">
        <f t="shared" si="3"/>
        <v>33</v>
      </c>
    </row>
    <row r="120" ht="16.5" spans="1:6">
      <c r="A120" s="8">
        <v>118</v>
      </c>
      <c r="B120" s="9" t="s">
        <v>186</v>
      </c>
      <c r="C120" s="8">
        <v>0</v>
      </c>
      <c r="D120" s="8">
        <v>91</v>
      </c>
      <c r="E120" s="8">
        <v>25</v>
      </c>
      <c r="F120" s="8">
        <f t="shared" si="3"/>
        <v>2275</v>
      </c>
    </row>
    <row r="121" ht="16.5" spans="1:6">
      <c r="A121" s="8">
        <v>119</v>
      </c>
      <c r="B121" s="9" t="s">
        <v>187</v>
      </c>
      <c r="C121" s="8">
        <v>2</v>
      </c>
      <c r="D121" s="8">
        <v>1</v>
      </c>
      <c r="E121" s="8">
        <v>16.5</v>
      </c>
      <c r="F121" s="8">
        <f t="shared" si="3"/>
        <v>16.5</v>
      </c>
    </row>
    <row r="122" ht="16.5" spans="1:6">
      <c r="A122" s="8">
        <v>120</v>
      </c>
      <c r="B122" s="9" t="s">
        <v>188</v>
      </c>
      <c r="C122" s="8">
        <v>374</v>
      </c>
      <c r="D122" s="8">
        <v>11</v>
      </c>
      <c r="E122" s="8">
        <v>187</v>
      </c>
      <c r="F122" s="8">
        <f t="shared" si="3"/>
        <v>2057</v>
      </c>
    </row>
    <row r="123" ht="16.5" spans="1:6">
      <c r="A123" s="8">
        <v>121</v>
      </c>
      <c r="B123" s="9" t="s">
        <v>189</v>
      </c>
      <c r="C123" s="8">
        <v>1</v>
      </c>
      <c r="D123" s="8">
        <v>1</v>
      </c>
      <c r="E123" s="8">
        <v>30</v>
      </c>
      <c r="F123" s="8">
        <f t="shared" si="3"/>
        <v>30</v>
      </c>
    </row>
    <row r="124" ht="16.5" spans="1:6">
      <c r="A124" s="8">
        <v>122</v>
      </c>
      <c r="B124" s="9" t="s">
        <v>190</v>
      </c>
      <c r="C124" s="8">
        <v>2</v>
      </c>
      <c r="D124" s="8">
        <v>1</v>
      </c>
      <c r="E124" s="8">
        <v>35</v>
      </c>
      <c r="F124" s="8">
        <f t="shared" si="3"/>
        <v>35</v>
      </c>
    </row>
    <row r="125" ht="16.5" spans="1:6">
      <c r="A125" s="8">
        <v>123</v>
      </c>
      <c r="B125" s="9" t="s">
        <v>191</v>
      </c>
      <c r="C125" s="8">
        <v>72</v>
      </c>
      <c r="D125" s="8">
        <v>1</v>
      </c>
      <c r="E125" s="8">
        <v>396</v>
      </c>
      <c r="F125" s="8">
        <f t="shared" si="3"/>
        <v>396</v>
      </c>
    </row>
    <row r="126" ht="16.5" spans="1:6">
      <c r="A126" s="8">
        <v>124</v>
      </c>
      <c r="B126" s="9" t="s">
        <v>192</v>
      </c>
      <c r="C126" s="8">
        <v>28</v>
      </c>
      <c r="D126" s="8">
        <v>7</v>
      </c>
      <c r="E126" s="8">
        <v>22</v>
      </c>
      <c r="F126" s="8">
        <f t="shared" si="3"/>
        <v>154</v>
      </c>
    </row>
    <row r="127" ht="16.5" spans="1:6">
      <c r="A127" s="8">
        <v>125</v>
      </c>
      <c r="B127" s="9" t="s">
        <v>193</v>
      </c>
      <c r="C127" s="8">
        <v>6</v>
      </c>
      <c r="D127" s="8">
        <v>1</v>
      </c>
      <c r="E127" s="8">
        <v>30</v>
      </c>
      <c r="F127" s="8">
        <f t="shared" si="3"/>
        <v>30</v>
      </c>
    </row>
    <row r="128" ht="16.5" spans="1:6">
      <c r="A128" s="8">
        <v>126</v>
      </c>
      <c r="B128" s="9" t="s">
        <v>194</v>
      </c>
      <c r="C128" s="8">
        <v>14</v>
      </c>
      <c r="D128" s="8">
        <v>14</v>
      </c>
      <c r="E128" s="8">
        <v>16.5</v>
      </c>
      <c r="F128" s="8">
        <f t="shared" si="3"/>
        <v>231</v>
      </c>
    </row>
    <row r="129" ht="16.5" spans="1:6">
      <c r="A129" s="8">
        <v>127</v>
      </c>
      <c r="B129" s="9" t="s">
        <v>195</v>
      </c>
      <c r="C129" s="8">
        <v>4</v>
      </c>
      <c r="D129" s="8">
        <v>2</v>
      </c>
      <c r="E129" s="8">
        <v>13.5</v>
      </c>
      <c r="F129" s="8">
        <f t="shared" si="3"/>
        <v>27</v>
      </c>
    </row>
    <row r="130" ht="16.5" spans="1:6">
      <c r="A130" s="8">
        <v>128</v>
      </c>
      <c r="B130" s="9" t="s">
        <v>196</v>
      </c>
      <c r="C130" s="8">
        <v>0</v>
      </c>
      <c r="D130" s="8">
        <v>21</v>
      </c>
      <c r="E130" s="8">
        <v>25</v>
      </c>
      <c r="F130" s="8">
        <f t="shared" si="3"/>
        <v>525</v>
      </c>
    </row>
    <row r="131" ht="16.5" spans="1:6">
      <c r="A131" s="8">
        <v>129</v>
      </c>
      <c r="B131" s="9" t="s">
        <v>197</v>
      </c>
      <c r="C131" s="8">
        <v>0</v>
      </c>
      <c r="D131" s="8">
        <v>199</v>
      </c>
      <c r="E131" s="8">
        <v>35</v>
      </c>
      <c r="F131" s="8">
        <f t="shared" si="3"/>
        <v>6965</v>
      </c>
    </row>
    <row r="132" ht="16.5" spans="1:6">
      <c r="A132" s="8">
        <v>130</v>
      </c>
      <c r="B132" s="9" t="s">
        <v>198</v>
      </c>
      <c r="C132" s="8">
        <v>13920</v>
      </c>
      <c r="D132" s="8">
        <v>435</v>
      </c>
      <c r="E132" s="8">
        <v>176</v>
      </c>
      <c r="F132" s="8">
        <f t="shared" ref="F132:F156" si="4">D132*E132</f>
        <v>76560</v>
      </c>
    </row>
    <row r="133" ht="16.5" spans="1:6">
      <c r="A133" s="8">
        <v>131</v>
      </c>
      <c r="B133" s="9" t="s">
        <v>199</v>
      </c>
      <c r="C133" s="8">
        <v>0</v>
      </c>
      <c r="D133" s="8">
        <v>7</v>
      </c>
      <c r="E133" s="8">
        <v>4</v>
      </c>
      <c r="F133" s="8">
        <f t="shared" si="4"/>
        <v>28</v>
      </c>
    </row>
    <row r="134" ht="16.5" spans="1:6">
      <c r="A134" s="8">
        <v>132</v>
      </c>
      <c r="B134" s="9" t="s">
        <v>52</v>
      </c>
      <c r="C134" s="8">
        <v>1</v>
      </c>
      <c r="D134" s="8">
        <v>1</v>
      </c>
      <c r="E134" s="8">
        <v>8</v>
      </c>
      <c r="F134" s="8">
        <f t="shared" si="4"/>
        <v>8</v>
      </c>
    </row>
    <row r="135" ht="16.5" spans="1:6">
      <c r="A135" s="8">
        <v>133</v>
      </c>
      <c r="B135" s="9" t="s">
        <v>200</v>
      </c>
      <c r="C135" s="8">
        <v>0</v>
      </c>
      <c r="D135" s="8">
        <v>18</v>
      </c>
      <c r="E135" s="8">
        <v>25</v>
      </c>
      <c r="F135" s="8">
        <f t="shared" si="4"/>
        <v>450</v>
      </c>
    </row>
    <row r="136" ht="16.5" spans="1:6">
      <c r="A136" s="8">
        <v>134</v>
      </c>
      <c r="B136" s="9" t="s">
        <v>201</v>
      </c>
      <c r="C136" s="8">
        <v>5</v>
      </c>
      <c r="D136" s="8">
        <v>1</v>
      </c>
      <c r="E136" s="8">
        <v>22</v>
      </c>
      <c r="F136" s="8">
        <f t="shared" si="4"/>
        <v>22</v>
      </c>
    </row>
    <row r="137" ht="16.5" spans="1:6">
      <c r="A137" s="8">
        <v>135</v>
      </c>
      <c r="B137" s="9" t="s">
        <v>202</v>
      </c>
      <c r="C137" s="8">
        <v>66</v>
      </c>
      <c r="D137" s="8">
        <v>6</v>
      </c>
      <c r="E137" s="8">
        <v>60.5</v>
      </c>
      <c r="F137" s="8">
        <f t="shared" si="4"/>
        <v>363</v>
      </c>
    </row>
    <row r="138" ht="16.5" spans="1:6">
      <c r="A138" s="8">
        <v>136</v>
      </c>
      <c r="B138" s="9" t="s">
        <v>203</v>
      </c>
      <c r="C138" s="8">
        <v>132</v>
      </c>
      <c r="D138" s="8">
        <v>12</v>
      </c>
      <c r="E138" s="8">
        <v>60.5</v>
      </c>
      <c r="F138" s="8">
        <f t="shared" si="4"/>
        <v>726</v>
      </c>
    </row>
    <row r="139" ht="16.5" spans="1:6">
      <c r="A139" s="8">
        <v>137</v>
      </c>
      <c r="B139" s="9" t="s">
        <v>204</v>
      </c>
      <c r="C139" s="8">
        <v>50</v>
      </c>
      <c r="D139" s="8">
        <v>2</v>
      </c>
      <c r="E139" s="8">
        <v>137.5</v>
      </c>
      <c r="F139" s="8">
        <f t="shared" si="4"/>
        <v>275</v>
      </c>
    </row>
    <row r="140" ht="16.5" spans="1:6">
      <c r="A140" s="8">
        <v>138</v>
      </c>
      <c r="B140" s="9" t="s">
        <v>205</v>
      </c>
      <c r="C140" s="8">
        <v>39</v>
      </c>
      <c r="D140" s="8">
        <v>3</v>
      </c>
      <c r="E140" s="8">
        <v>71.5</v>
      </c>
      <c r="F140" s="8">
        <f t="shared" si="4"/>
        <v>214.5</v>
      </c>
    </row>
    <row r="141" ht="16.5" spans="1:6">
      <c r="A141" s="8">
        <v>139</v>
      </c>
      <c r="B141" s="9" t="s">
        <v>206</v>
      </c>
      <c r="C141" s="8">
        <v>1</v>
      </c>
      <c r="D141" s="8">
        <v>1</v>
      </c>
      <c r="E141" s="8">
        <v>8</v>
      </c>
      <c r="F141" s="8">
        <f t="shared" si="4"/>
        <v>8</v>
      </c>
    </row>
    <row r="142" ht="16.5" spans="1:6">
      <c r="A142" s="8">
        <v>140</v>
      </c>
      <c r="B142" s="9" t="s">
        <v>207</v>
      </c>
      <c r="C142" s="8">
        <v>12</v>
      </c>
      <c r="D142" s="8">
        <v>1</v>
      </c>
      <c r="E142" s="8">
        <v>66</v>
      </c>
      <c r="F142" s="8">
        <f t="shared" si="4"/>
        <v>66</v>
      </c>
    </row>
    <row r="143" ht="16.5" spans="1:6">
      <c r="A143" s="8">
        <v>141</v>
      </c>
      <c r="B143" s="9" t="s">
        <v>59</v>
      </c>
      <c r="C143" s="8">
        <v>48</v>
      </c>
      <c r="D143" s="8">
        <v>16</v>
      </c>
      <c r="E143" s="8">
        <v>16.5</v>
      </c>
      <c r="F143" s="8">
        <f t="shared" si="4"/>
        <v>264</v>
      </c>
    </row>
    <row r="144" ht="16.5" spans="1:6">
      <c r="A144" s="8">
        <v>142</v>
      </c>
      <c r="B144" s="9" t="s">
        <v>208</v>
      </c>
      <c r="C144" s="8">
        <v>30</v>
      </c>
      <c r="D144" s="8">
        <v>15</v>
      </c>
      <c r="E144" s="8">
        <v>16.5</v>
      </c>
      <c r="F144" s="8">
        <f t="shared" si="4"/>
        <v>247.5</v>
      </c>
    </row>
    <row r="145" ht="16.5" spans="1:6">
      <c r="A145" s="8">
        <v>143</v>
      </c>
      <c r="B145" s="9" t="s">
        <v>209</v>
      </c>
      <c r="C145" s="8">
        <v>222</v>
      </c>
      <c r="D145" s="8">
        <v>111</v>
      </c>
      <c r="E145" s="8">
        <v>16.5</v>
      </c>
      <c r="F145" s="8">
        <f t="shared" si="4"/>
        <v>1831.5</v>
      </c>
    </row>
    <row r="146" ht="16.5" spans="1:6">
      <c r="A146" s="8">
        <v>144</v>
      </c>
      <c r="B146" s="9" t="s">
        <v>210</v>
      </c>
      <c r="C146" s="8">
        <v>66</v>
      </c>
      <c r="D146" s="8">
        <v>66</v>
      </c>
      <c r="E146" s="8">
        <v>16.5</v>
      </c>
      <c r="F146" s="8">
        <f t="shared" si="4"/>
        <v>1089</v>
      </c>
    </row>
    <row r="147" ht="16.5" spans="1:6">
      <c r="A147" s="8">
        <v>145</v>
      </c>
      <c r="B147" s="9" t="s">
        <v>211</v>
      </c>
      <c r="C147" s="8">
        <v>24</v>
      </c>
      <c r="D147" s="8">
        <v>12</v>
      </c>
      <c r="E147" s="8">
        <v>16.5</v>
      </c>
      <c r="F147" s="8">
        <f t="shared" si="4"/>
        <v>198</v>
      </c>
    </row>
    <row r="148" ht="16.5" spans="1:6">
      <c r="A148" s="8">
        <v>146</v>
      </c>
      <c r="B148" s="9" t="s">
        <v>212</v>
      </c>
      <c r="C148" s="8">
        <v>6</v>
      </c>
      <c r="D148" s="8">
        <v>2</v>
      </c>
      <c r="E148" s="8">
        <v>16.5</v>
      </c>
      <c r="F148" s="8">
        <f t="shared" si="4"/>
        <v>33</v>
      </c>
    </row>
    <row r="149" ht="16.5" spans="1:6">
      <c r="A149" s="8">
        <v>147</v>
      </c>
      <c r="B149" s="9" t="s">
        <v>213</v>
      </c>
      <c r="C149" s="8">
        <v>153</v>
      </c>
      <c r="D149" s="8">
        <v>3</v>
      </c>
      <c r="E149" s="8">
        <v>280.5</v>
      </c>
      <c r="F149" s="8">
        <f t="shared" si="4"/>
        <v>841.5</v>
      </c>
    </row>
    <row r="150" ht="16.5" spans="1:6">
      <c r="A150" s="8">
        <v>148</v>
      </c>
      <c r="B150" s="9" t="s">
        <v>214</v>
      </c>
      <c r="C150" s="8">
        <v>6</v>
      </c>
      <c r="D150" s="8">
        <v>2</v>
      </c>
      <c r="E150" s="8">
        <v>16.5</v>
      </c>
      <c r="F150" s="8">
        <f t="shared" si="4"/>
        <v>33</v>
      </c>
    </row>
    <row r="151" ht="16.5" spans="1:6">
      <c r="A151" s="8">
        <v>149</v>
      </c>
      <c r="B151" s="9" t="s">
        <v>215</v>
      </c>
      <c r="C151" s="8">
        <v>3</v>
      </c>
      <c r="D151" s="8">
        <v>1</v>
      </c>
      <c r="E151" s="8">
        <v>16.5</v>
      </c>
      <c r="F151" s="8">
        <f t="shared" si="4"/>
        <v>16.5</v>
      </c>
    </row>
    <row r="152" ht="16.5" spans="1:6">
      <c r="A152" s="8">
        <v>150</v>
      </c>
      <c r="B152" s="9" t="s">
        <v>216</v>
      </c>
      <c r="C152" s="8">
        <v>0</v>
      </c>
      <c r="D152" s="8">
        <v>1</v>
      </c>
      <c r="E152" s="8">
        <v>15</v>
      </c>
      <c r="F152" s="8">
        <f t="shared" si="4"/>
        <v>15</v>
      </c>
    </row>
    <row r="153" ht="16.5" spans="1:6">
      <c r="A153" s="8">
        <v>151</v>
      </c>
      <c r="B153" s="9" t="s">
        <v>71</v>
      </c>
      <c r="C153" s="8">
        <v>20</v>
      </c>
      <c r="D153" s="8">
        <v>10</v>
      </c>
      <c r="E153" s="8">
        <v>16.5</v>
      </c>
      <c r="F153" s="8">
        <f t="shared" si="4"/>
        <v>165</v>
      </c>
    </row>
    <row r="154" ht="16.5" spans="1:6">
      <c r="A154" s="8">
        <v>152</v>
      </c>
      <c r="B154" s="9" t="s">
        <v>217</v>
      </c>
      <c r="C154" s="8">
        <v>20</v>
      </c>
      <c r="D154" s="8">
        <v>10</v>
      </c>
      <c r="E154" s="8">
        <v>16.5</v>
      </c>
      <c r="F154" s="8">
        <f t="shared" si="4"/>
        <v>165</v>
      </c>
    </row>
    <row r="155" ht="16.5" spans="1:6">
      <c r="A155" s="8">
        <v>153</v>
      </c>
      <c r="B155" s="9" t="s">
        <v>218</v>
      </c>
      <c r="C155" s="8">
        <v>5</v>
      </c>
      <c r="D155" s="8">
        <v>5</v>
      </c>
      <c r="E155" s="8">
        <v>16.5</v>
      </c>
      <c r="F155" s="8">
        <f t="shared" si="4"/>
        <v>82.5</v>
      </c>
    </row>
    <row r="156" ht="16.5" spans="1:6">
      <c r="A156" s="8">
        <v>154</v>
      </c>
      <c r="B156" s="9" t="s">
        <v>148</v>
      </c>
      <c r="C156" s="8">
        <v>186</v>
      </c>
      <c r="D156" s="8">
        <v>6</v>
      </c>
      <c r="E156" s="8">
        <v>170.5</v>
      </c>
      <c r="F156" s="8">
        <f t="shared" si="4"/>
        <v>1023</v>
      </c>
    </row>
    <row r="157" ht="16.5" spans="1:6">
      <c r="A157" s="12" t="s">
        <v>73</v>
      </c>
      <c r="B157" s="13"/>
      <c r="C157" s="13"/>
      <c r="D157" s="13"/>
      <c r="E157" s="14"/>
      <c r="F157" s="8">
        <f>SUM(F3:F156)</f>
        <v>240878.5</v>
      </c>
    </row>
  </sheetData>
  <autoFilter xmlns:etc="http://www.wps.cn/officeDocument/2017/etCustomData" ref="A2:XFA156" etc:filterBottomFollowUsedRange="0">
    <extLst/>
  </autoFilter>
  <mergeCells count="2">
    <mergeCell ref="A1:F1"/>
    <mergeCell ref="A157:E1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手术二区</vt:lpstr>
      <vt:lpstr>手术一区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WPS_1488961397</cp:lastModifiedBy>
  <dcterms:created xsi:type="dcterms:W3CDTF">2024-05-24T05:02:00Z</dcterms:created>
  <dcterms:modified xsi:type="dcterms:W3CDTF">2026-02-27T06:17:31Z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21ADF0932D0449F3B9075A9101112F37_13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