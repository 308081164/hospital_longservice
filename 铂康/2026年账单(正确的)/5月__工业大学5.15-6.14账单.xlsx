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tabRatio="808"/>
  </bookViews>
  <sheets>
    <sheet name="放射线" sheetId="1" r:id="rId1"/>
    <sheet name="妇科门诊" sheetId="2" r:id="rId2"/>
    <sheet name="急诊科" sheetId="3" r:id="rId3"/>
    <sheet name="口腔科（4楼韩宗凯）" sheetId="4" r:id="rId4"/>
    <sheet name="口腔科（4楼姜杨杨）" sheetId="5" r:id="rId5"/>
    <sheet name="口腔科（4楼金华）" sheetId="6" r:id="rId6"/>
    <sheet name="口腔科（4楼宋雪婧）" sheetId="7" r:id="rId7"/>
    <sheet name="口腔科（4楼于金彪）" sheetId="8" r:id="rId8"/>
    <sheet name="口腔科（5楼白雪）" sheetId="9" r:id="rId9"/>
    <sheet name="口腔科（5楼刘冰）" sheetId="10" r:id="rId10"/>
    <sheet name="口腔科（5楼刘升臣）" sheetId="11" r:id="rId11"/>
    <sheet name="口腔科（5楼穆美玲）" sheetId="12" r:id="rId12"/>
    <sheet name="口腔科（5楼姚金辉）" sheetId="13" r:id="rId13"/>
    <sheet name="口腔科（5楼张冬青）" sheetId="14" r:id="rId14"/>
    <sheet name="口腔科（5楼钟志奇）" sheetId="15" r:id="rId15"/>
    <sheet name="口腔科（5楼朱晓丽）" sheetId="16" r:id="rId16"/>
    <sheet name="口腔科（公共二）" sheetId="17" r:id="rId17"/>
    <sheet name="口腔科（公共一）" sheetId="18" r:id="rId18"/>
    <sheet name="口腔科（种植诊室）" sheetId="19" r:id="rId19"/>
    <sheet name="内三" sheetId="20" r:id="rId20"/>
    <sheet name="手术室" sheetId="21" r:id="rId21"/>
    <sheet name="外科病房" sheetId="22" r:id="rId22"/>
    <sheet name="五官科" sheetId="23" r:id="rId23"/>
    <sheet name="中医皮肤" sheetId="24" r:id="rId24"/>
    <sheet name="加急" sheetId="25" r:id="rId25"/>
    <sheet name="外来器械" sheetId="26" r:id="rId26"/>
    <sheet name="外来器械加急" sheetId="27" r:id="rId27"/>
  </sheets>
  <definedNames>
    <definedName name="_xlnm._FilterDatabase" localSheetId="1" hidden="1">妇科门诊!$A$7:$K$28</definedName>
    <definedName name="_xlnm._FilterDatabase" localSheetId="2" hidden="1">急诊科!$A$7:$K$37</definedName>
    <definedName name="_xlnm._FilterDatabase" localSheetId="3" hidden="1">'口腔科（4楼韩宗凯）'!$A$7:$K$112</definedName>
    <definedName name="_xlnm._FilterDatabase" localSheetId="4" hidden="1">'口腔科（4楼姜杨杨）'!$A$7:$K$210</definedName>
    <definedName name="_xlnm._FilterDatabase" localSheetId="5" hidden="1">'口腔科（4楼金华）'!$A$7:$K$133</definedName>
    <definedName name="_xlnm._FilterDatabase" localSheetId="6" hidden="1">'口腔科（4楼宋雪婧）'!$A$7:$K$121</definedName>
    <definedName name="_xlnm._FilterDatabase" localSheetId="7" hidden="1">'口腔科（4楼于金彪）'!$A$7:$K$155</definedName>
    <definedName name="_xlnm._FilterDatabase" localSheetId="8" hidden="1">'口腔科（5楼白雪）'!$A$7:$K$111</definedName>
    <definedName name="_xlnm._FilterDatabase" localSheetId="9" hidden="1">'口腔科（5楼刘冰）'!$A$7:$K$129</definedName>
    <definedName name="_xlnm._FilterDatabase" localSheetId="10" hidden="1">'口腔科（5楼刘升臣）'!$A$7:$K$93</definedName>
    <definedName name="_xlnm._FilterDatabase" localSheetId="11" hidden="1">'口腔科（5楼穆美玲）'!$A$7:$K$106</definedName>
    <definedName name="_xlnm._FilterDatabase" localSheetId="12" hidden="1">'口腔科（5楼姚金辉）'!$A$7:$K$59</definedName>
    <definedName name="_xlnm._FilterDatabase" localSheetId="13" hidden="1">'口腔科（5楼张冬青）'!$A$7:$K$189</definedName>
    <definedName name="_xlnm._FilterDatabase" localSheetId="14" hidden="1">'口腔科（5楼钟志奇）'!$A$7:$K$60</definedName>
    <definedName name="_xlnm._FilterDatabase" localSheetId="15" hidden="1">'口腔科（5楼朱晓丽）'!$A$7:$K$62</definedName>
    <definedName name="_xlnm._FilterDatabase" localSheetId="17" hidden="1">'口腔科（公共一）'!$A$7:$K$269</definedName>
    <definedName name="_xlnm._FilterDatabase" localSheetId="18" hidden="1">'口腔科（种植诊室）'!$A$7:$K$77</definedName>
    <definedName name="_xlnm._FilterDatabase" localSheetId="20" hidden="1">手术室!$A$7:$K$163</definedName>
    <definedName name="_xlnm._FilterDatabase" localSheetId="21" hidden="1">外科病房!$A$7:$K$28</definedName>
    <definedName name="_xlnm._FilterDatabase" localSheetId="22" hidden="1">五官科!$A$7:$K$82</definedName>
    <definedName name="_xlnm._FilterDatabase" localSheetId="23" hidden="1">中医皮肤!$A$7:$K$37</definedName>
    <definedName name="_xlnm.Print_Titles" localSheetId="0">放射线!$1:$6</definedName>
    <definedName name="_xlnm.Print_Titles" localSheetId="1">妇科门诊!$1:$6</definedName>
    <definedName name="_xlnm.Print_Titles" localSheetId="2">急诊科!$1:$6</definedName>
    <definedName name="_xlnm.Print_Titles" localSheetId="3">'口腔科（4楼韩宗凯）'!$1:$6</definedName>
    <definedName name="_xlnm.Print_Titles" localSheetId="4">'口腔科（4楼姜杨杨）'!$1:$6</definedName>
    <definedName name="_xlnm.Print_Titles" localSheetId="5">'口腔科（4楼金华）'!$1:$6</definedName>
    <definedName name="_xlnm.Print_Titles" localSheetId="6">'口腔科（4楼宋雪婧）'!$1:$6</definedName>
    <definedName name="_xlnm.Print_Titles" localSheetId="7">'口腔科（4楼于金彪）'!$1:$6</definedName>
    <definedName name="_xlnm.Print_Titles" localSheetId="8">'口腔科（5楼白雪）'!$1:$6</definedName>
    <definedName name="_xlnm.Print_Titles" localSheetId="9">'口腔科（5楼刘冰）'!$1:$6</definedName>
    <definedName name="_xlnm.Print_Titles" localSheetId="10">'口腔科（5楼刘升臣）'!$1:$6</definedName>
    <definedName name="_xlnm.Print_Titles" localSheetId="11">'口腔科（5楼穆美玲）'!$1:$6</definedName>
    <definedName name="_xlnm.Print_Titles" localSheetId="12">'口腔科（5楼姚金辉）'!$1:$6</definedName>
    <definedName name="_xlnm.Print_Titles" localSheetId="13">'口腔科（5楼张冬青）'!$1:$6</definedName>
    <definedName name="_xlnm.Print_Titles" localSheetId="14">'口腔科（5楼钟志奇）'!$1:$6</definedName>
    <definedName name="_xlnm.Print_Titles" localSheetId="15">'口腔科（5楼朱晓丽）'!$1:$6</definedName>
    <definedName name="_xlnm.Print_Titles" localSheetId="16">'口腔科（公共二）'!$1:$6</definedName>
    <definedName name="_xlnm.Print_Titles" localSheetId="17">'口腔科（公共一）'!$1:$6</definedName>
    <definedName name="_xlnm.Print_Titles" localSheetId="18">'口腔科（种植诊室）'!$1:$6</definedName>
    <definedName name="_xlnm.Print_Titles" localSheetId="19">内三!$1:$6</definedName>
    <definedName name="_xlnm.Print_Titles" localSheetId="20">手术室!$1:$6</definedName>
    <definedName name="_xlnm.Print_Titles" localSheetId="21">外科病房!$1:$6</definedName>
    <definedName name="_xlnm.Print_Titles" localSheetId="22">五官科!$1:$6</definedName>
    <definedName name="_xlnm.Print_Titles" localSheetId="23">中医皮肤!$1:$6</definedName>
    <definedName name="_xlnm.Print_Area" localSheetId="21">外科病房!$A$1:$K$16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<sst xmlns="http://schemas.openxmlformats.org/spreadsheetml/2006/main" count="4858" uniqueCount="269">
  <si>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</si>
  <si>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2026/6/14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</si>
  <si>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</si>
  <si>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哈尔滨工业大学医院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</si>
  <si>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</si>
  <si>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</si>
  <si>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</si>
  <si>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</si>
  <si>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</si>
  <si>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</si>
  <si>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</si>
  <si>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</si>
  <si>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放射线</t>
  </si>
  <si>
    <t>额外包(纸塑袋)</t>
  </si>
  <si>
    <t>舌钳子，开口器-2/Z1526</t>
  </si>
  <si>
    <t>妇科门诊</t>
  </si>
  <si>
    <t>额外包(无纺布)</t>
  </si>
  <si>
    <t>卵圆钳-10/W6050</t>
  </si>
  <si>
    <t>其他钳子-10/W6050</t>
  </si>
  <si>
    <t>敷料包(纸塑袋)</t>
  </si>
  <si>
    <t>棉球（带线）</t>
  </si>
  <si>
    <t>急诊科</t>
  </si>
  <si>
    <t>器械包</t>
  </si>
  <si>
    <t>缝合包</t>
  </si>
  <si>
    <t>剪刀-1/Z1029</t>
  </si>
  <si>
    <t>止血钳-1/Z1029</t>
  </si>
  <si>
    <t>刮勺-1/z7534</t>
  </si>
  <si>
    <t>纱布/Z1020</t>
  </si>
  <si>
    <t>镊子-1/Z7530</t>
  </si>
  <si>
    <t>口腔科（4楼韩宗凯）</t>
  </si>
  <si>
    <t>杆-1（标签别遮挡色圈！）/Z7526</t>
  </si>
  <si>
    <t>马达-1/Z7520</t>
  </si>
  <si>
    <t>钳子-1/Z1526</t>
  </si>
  <si>
    <t>测量尺-1/z7526</t>
  </si>
  <si>
    <t>车针架1针10/Z1026</t>
  </si>
  <si>
    <t>反光板-1/保Z1526</t>
  </si>
  <si>
    <t>拉钩-2/Z1029</t>
  </si>
  <si>
    <t>手机-1件/z7526</t>
  </si>
  <si>
    <t>拔牙钳-1/Z1029</t>
  </si>
  <si>
    <t>定位架-1/Z1020</t>
  </si>
  <si>
    <t>拉钩-1/Z1029</t>
  </si>
  <si>
    <t>磨牙片-1/Z7520</t>
  </si>
  <si>
    <t>机扩针架1针10/Z1020</t>
  </si>
  <si>
    <t>机扩针架1针5/Z1020</t>
  </si>
  <si>
    <t>口镜-1/保/Z7526</t>
  </si>
  <si>
    <t>橡皮障夹子-1/Z7520</t>
  </si>
  <si>
    <t>橡皮障钳子-1/Z1526</t>
  </si>
  <si>
    <t>橡皮障架-1/W6050</t>
  </si>
  <si>
    <t>针架1针9/Z1526</t>
  </si>
  <si>
    <t>铁片-1/Z1530</t>
  </si>
  <si>
    <t>车针-10/z7520</t>
  </si>
  <si>
    <t>开口器-1/z1526</t>
  </si>
  <si>
    <t>机扩手机-1/Z7526</t>
  </si>
  <si>
    <t>口腔科（4楼姜杨杨）</t>
  </si>
  <si>
    <t>去冠器头-1/Z7520</t>
  </si>
  <si>
    <t>托盘-1/Z1526</t>
  </si>
  <si>
    <t>小剪刀-1/Z7526</t>
  </si>
  <si>
    <t>注射器-1/Z1026</t>
  </si>
  <si>
    <t>拔牙挺-1/Z7526</t>
  </si>
  <si>
    <t>去冠器柄-1/Z7526</t>
  </si>
  <si>
    <t>三得钳-1/Z1026</t>
  </si>
  <si>
    <t>去冠器头-6/Z7520</t>
  </si>
  <si>
    <t>口腔科（4楼金华）</t>
  </si>
  <si>
    <t>机扩针架1针4/Z1020</t>
  </si>
  <si>
    <t>成型片夹-1/Z7520</t>
  </si>
  <si>
    <t>裂针-1件/z7520</t>
  </si>
  <si>
    <t>车针-2/z7520</t>
  </si>
  <si>
    <t>成型夹-1/Z7520</t>
  </si>
  <si>
    <t>车针架1针4/Z1026</t>
  </si>
  <si>
    <t>开口器-2/z1526</t>
  </si>
  <si>
    <t>口腔科（4楼宋雪婧）</t>
  </si>
  <si>
    <t>车针架1针5/Z1026</t>
  </si>
  <si>
    <t>机扩针架1针6/Z1020</t>
  </si>
  <si>
    <t>机扩针架1针3/Z1020</t>
  </si>
  <si>
    <t>口腔科（4楼于金彪）</t>
  </si>
  <si>
    <t>机扩针架1针1/Z1020</t>
  </si>
  <si>
    <t>口腔科（5楼白雪）</t>
  </si>
  <si>
    <t>手机套-1/Z7520</t>
  </si>
  <si>
    <t>口腔科（5楼刘冰）</t>
  </si>
  <si>
    <t>车针-3/z7520</t>
  </si>
  <si>
    <t>吸唾管-1/Z7534</t>
  </si>
  <si>
    <t>车针-1/z7520</t>
  </si>
  <si>
    <t>持针器-1/Z1026</t>
  </si>
  <si>
    <t>口腔科（5楼刘升臣）</t>
  </si>
  <si>
    <t>口腔科（5楼穆美玲）</t>
  </si>
  <si>
    <t>机扩针架1针2/Z1020</t>
  </si>
  <si>
    <t>器械架1杆4/z1530</t>
  </si>
  <si>
    <t>口腔科（5楼姚金辉）</t>
  </si>
  <si>
    <t>口腔科（5楼张冬青）</t>
  </si>
  <si>
    <t>扳手-1/Z7520</t>
  </si>
  <si>
    <t>螺丝起-1/Z7526</t>
  </si>
  <si>
    <t>愈合基台-1件/Z7520</t>
  </si>
  <si>
    <t>骨凿-1/Z1026</t>
  </si>
  <si>
    <t>锤子-1/W6050</t>
  </si>
  <si>
    <t>种植盒-23件 盒1/w6050</t>
  </si>
  <si>
    <t>口腔科（5楼钟志奇）</t>
  </si>
  <si>
    <t>口腔科（5楼朱晓丽）</t>
  </si>
  <si>
    <t>拉钩-4/Z1526</t>
  </si>
  <si>
    <t>拉钩-3件/Z1029</t>
  </si>
  <si>
    <t>口腔科（公共二）</t>
  </si>
  <si>
    <t>三枪头-1/Z7520</t>
  </si>
  <si>
    <t>口腔科（公共一）</t>
  </si>
  <si>
    <t>手术包大-9件</t>
  </si>
  <si>
    <t>剥离子-1/Z7534</t>
  </si>
  <si>
    <t>唇钩-1/Z7520</t>
  </si>
  <si>
    <t>手术包小-3件/W6050</t>
  </si>
  <si>
    <t>唇钩-8/Z7520</t>
  </si>
  <si>
    <t>碗-1/Z2530</t>
  </si>
  <si>
    <t>毛巾-2（卷状）/Z2032</t>
  </si>
  <si>
    <t>金冠剪-1/Z1026</t>
  </si>
  <si>
    <t>口腔科（种植诊室）</t>
  </si>
  <si>
    <t>单包装包</t>
  </si>
  <si>
    <t>ITI种植盒-31件 盒1/w7050</t>
  </si>
  <si>
    <t>三角尺-1/Z1026</t>
  </si>
  <si>
    <t>器械包(ZSD)</t>
  </si>
  <si>
    <t>种植手术包</t>
  </si>
  <si>
    <t>超声骨刀--8件/W6050</t>
  </si>
  <si>
    <t>外提工具盒-14件盒1/W6050</t>
  </si>
  <si>
    <t>纤维蛋白盒-7件盒1/W6050</t>
  </si>
  <si>
    <t>帐篷钉-54件盒1/W6050</t>
  </si>
  <si>
    <t>菠萝钻-1/Z7520</t>
  </si>
  <si>
    <t>带齿挖勺-1/Z7526</t>
  </si>
  <si>
    <t>攻丝钻-1/Z7520</t>
  </si>
  <si>
    <t>骨粉盘-1/Z1026</t>
  </si>
  <si>
    <t>骨挤压器-4/Z1026</t>
  </si>
  <si>
    <t>骨劈开器-3件/Z1026</t>
  </si>
  <si>
    <t>骨碗-1/Z1526</t>
  </si>
  <si>
    <t>球钻-1/Z7520</t>
  </si>
  <si>
    <t>去骨钻-1/Z7520</t>
  </si>
  <si>
    <t>携钉器-1/Z7526</t>
  </si>
  <si>
    <t>牙周探针-1/z7526</t>
  </si>
  <si>
    <t>咬骨钳-1/Z1026</t>
  </si>
  <si>
    <t>DT种植盒-31件 盒1/w6050</t>
  </si>
  <si>
    <t>骨挤压器-5（盒1）/w6050</t>
  </si>
  <si>
    <t>种植手机-1件/z7526</t>
  </si>
  <si>
    <t>剥离子-1/Z7526</t>
  </si>
  <si>
    <t>调拌杯-1/Z7526</t>
  </si>
  <si>
    <t>定位器-1/Z7526</t>
  </si>
  <si>
    <t>骨粉输送器-1/Z7526</t>
  </si>
  <si>
    <t>骨磨-1/Z7526</t>
  </si>
  <si>
    <t>刮骨器-1/Z7526</t>
  </si>
  <si>
    <t>环切钻-1/Z7520</t>
  </si>
  <si>
    <t>减张梳-1/Z7526</t>
  </si>
  <si>
    <t>剪刀-1/Z1026</t>
  </si>
  <si>
    <t>磨钉-1/Z7526</t>
  </si>
  <si>
    <t>手机架-1/Z1526</t>
  </si>
  <si>
    <t>导板工具盒-23件盒1/W6050</t>
  </si>
  <si>
    <t>ITI种植盒-30件 盒1/w7050</t>
  </si>
  <si>
    <t>骨挤压器-3件/W6050</t>
  </si>
  <si>
    <t>内三</t>
  </si>
  <si>
    <t>开口器-1/Z1526</t>
  </si>
  <si>
    <t>手术室</t>
  </si>
  <si>
    <t>腹腔镜器械</t>
  </si>
  <si>
    <t>清创包</t>
  </si>
  <si>
    <t>擦手巾/Z2032</t>
  </si>
  <si>
    <t>持物钳罐-2/Z2044</t>
  </si>
  <si>
    <t>刀柄-1/Z7526</t>
  </si>
  <si>
    <t>肛门镜-1/Z1535</t>
  </si>
  <si>
    <t>肛门拉钩-2/Z2032</t>
  </si>
  <si>
    <t>肛门特器-4/W6050</t>
  </si>
  <si>
    <t>美容器械-7/W6050</t>
  </si>
  <si>
    <t>美容器械-6/W6050</t>
  </si>
  <si>
    <t>擦手巾/Z3044</t>
  </si>
  <si>
    <t>沙垫-2/Z3032</t>
  </si>
  <si>
    <t>纱布/Z1526</t>
  </si>
  <si>
    <t>额外包(低温等离子)</t>
  </si>
  <si>
    <t>驱血带-1/Z2030</t>
  </si>
  <si>
    <t>体表包</t>
  </si>
  <si>
    <t>电钻-4/W7050</t>
  </si>
  <si>
    <t>手科包-8件/W6050</t>
  </si>
  <si>
    <t>咬骨钳-1/W6050</t>
  </si>
  <si>
    <t>爪钩包-2/W6050</t>
  </si>
  <si>
    <t>2.0克氏针-14/Z7530</t>
  </si>
  <si>
    <t>克氏针-3/z7534</t>
  </si>
  <si>
    <t>大盆1，小盆2/W7050</t>
  </si>
  <si>
    <t>弯盘3麻杯2/W6050</t>
  </si>
  <si>
    <t>骨科导丝器-2/Z1535</t>
  </si>
  <si>
    <t>骨科螺丝刀-2/Z1535</t>
  </si>
  <si>
    <t>S拉钩-2/W7050</t>
  </si>
  <si>
    <t>S拉钩-3/W7050</t>
  </si>
  <si>
    <t>断钉取出器-7/W6050</t>
  </si>
  <si>
    <t>取钉头-6/W6050</t>
  </si>
  <si>
    <t>神经剥离质-8/W6050</t>
  </si>
  <si>
    <t>椎板拉钩-2/W6050</t>
  </si>
  <si>
    <t>钻头-68/W7050</t>
  </si>
  <si>
    <t>双极镊子，导线-2件/Z2530</t>
  </si>
  <si>
    <t>艾利斯-4/Z1530</t>
  </si>
  <si>
    <t>克氏针2.5-3/Z7530</t>
  </si>
  <si>
    <t>剥离子-3/W6050</t>
  </si>
  <si>
    <t>蚊式10巾钳子1/W6050</t>
  </si>
  <si>
    <t>压线布/Z1535</t>
  </si>
  <si>
    <t>螺丝刀-7/W6050</t>
  </si>
  <si>
    <t>电凝钩 导线-2/Z3044</t>
  </si>
  <si>
    <t>器械包(低温等离子)</t>
  </si>
  <si>
    <t>胃肠阑尾</t>
  </si>
  <si>
    <t>单包装包(老肯低温)</t>
  </si>
  <si>
    <t>4K镜头30度-1/Z2060</t>
  </si>
  <si>
    <t>包皮包</t>
  </si>
  <si>
    <t>内固定取出包</t>
  </si>
  <si>
    <t>肛门拉钩-1/Z2032</t>
  </si>
  <si>
    <t>肛门探针-1/Z7526</t>
  </si>
  <si>
    <t>显微器械-17筐1/W6050</t>
  </si>
  <si>
    <t>驱血带-1/z2032</t>
  </si>
  <si>
    <t>1.0克氏针-9件/Z7537</t>
  </si>
  <si>
    <t>克氏钳-1/Z1029</t>
  </si>
  <si>
    <t>咬钉器-3/W6050</t>
  </si>
  <si>
    <t>美容器械-7件/W6050</t>
  </si>
  <si>
    <t>挖勺-1/Z7530</t>
  </si>
  <si>
    <t>胆囊包18件（盒1）</t>
  </si>
  <si>
    <t>康基胸腹腔镜镜头/Z2060</t>
  </si>
  <si>
    <t>克氏针1.0-6/Z7530</t>
  </si>
  <si>
    <t>克氏针3.0-3/Z7530</t>
  </si>
  <si>
    <t>上下肢复位器-11筐1/W7050</t>
  </si>
  <si>
    <t>髓核钳器械-4件/W6050</t>
  </si>
  <si>
    <t>咬骨钳-4/W6050</t>
  </si>
  <si>
    <t>外科病房</t>
  </si>
  <si>
    <t>缝合包-6/W6050</t>
  </si>
  <si>
    <t>大纱垫/Z3032</t>
  </si>
  <si>
    <t>舌钳子-1/Z1526</t>
  </si>
  <si>
    <t>压舌板--1/Z7526</t>
  </si>
  <si>
    <t>可视喉镜柄-1/Z1026</t>
  </si>
  <si>
    <t>剪刀-2/Z1526</t>
  </si>
  <si>
    <t>五官科</t>
  </si>
  <si>
    <t>穿刺针-2/Z1020</t>
  </si>
  <si>
    <t>睑板腺镊-1/Z7520</t>
  </si>
  <si>
    <t>枪状镊-2/Z1029</t>
  </si>
  <si>
    <t>泪道探针-1/Z7520</t>
  </si>
  <si>
    <t>泪点扩张器-1/z7520</t>
  </si>
  <si>
    <t>泪道扩张器-1/Z7520</t>
  </si>
  <si>
    <t>显微镊子--1/Z7526</t>
  </si>
  <si>
    <t>中医皮肤</t>
  </si>
  <si>
    <t>剪刀，止血钳-2件/Z1530</t>
  </si>
  <si>
    <t>手术包</t>
  </si>
  <si>
    <t>小剪子-1/Z7520</t>
  </si>
  <si>
    <t>蚊式-1/Z7520</t>
  </si>
  <si>
    <t>哈尔滨工业大学医院2026年5月加急灭菌费合计2046.25元，加急物流费合计1050元，总计金额3096.25元。</t>
  </si>
  <si>
    <t>哈尔滨工业大学医院2026年5月17日加急灭菌费263+263*25%=328.75元，加急物流费150元，合计金额478.75元。</t>
  </si>
  <si>
    <t>光源线-1/Z3040</t>
  </si>
  <si>
    <t>手柄-1/Z3044</t>
  </si>
  <si>
    <t>合计</t>
  </si>
  <si>
    <t>哈尔滨工业大学医院2026年5月18日加急灭菌费263+263*25%=328.75元，加急物流费150元，合计金额478.75元。</t>
  </si>
  <si>
    <t>哈尔滨工业大学医院2026年5月20日加急灭菌费28+28*25%=35元，加急物流费150元，合计金额185元。</t>
  </si>
  <si>
    <t>哈尔滨工业大学医院2026年6月5日加急灭菌费193+193*25%=241.25元，加急物流费150元，合计金额391.25元。</t>
  </si>
  <si>
    <t>哈尔滨工业大学医院2026年6月7日加急灭菌费193+193*25%=241.25元，加急物流费150元，合计金额391.25元。</t>
  </si>
  <si>
    <t>哈尔滨工业大学医院2026年6月8日加急灭菌费521+521*25%=651.25元，加急物流费150元，合计金额801.25元。</t>
  </si>
  <si>
    <t>普外腔镜器械包</t>
  </si>
  <si>
    <t>哈尔滨工业大学医院2026年6月12日加急灭菌费176+176*25%=220元，加急物流费150元，合计金额370元。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</si>
  <si>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</si>
  <si>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2026/5/15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2026/6/14</t>
    </r>
  </si>
  <si>
    <t>基本类型</t>
  </si>
  <si>
    <t>包编号</t>
  </si>
  <si>
    <t>包数量</t>
  </si>
  <si>
    <t>哈尔滨含弘医疗科技有限公司</t>
  </si>
  <si>
    <t>哈尔滨工业大学</t>
  </si>
  <si>
    <t>骨科租赁器械包</t>
  </si>
  <si>
    <t>骨科租赁器械包-带植入物</t>
  </si>
  <si>
    <t>尚明远-肱骨骨折  1/3</t>
  </si>
  <si>
    <t>尚明远-肱骨骨折  2/3</t>
  </si>
  <si>
    <t>骨科租赁器械包-不带植入物</t>
  </si>
  <si>
    <t>尚明远-肱骨骨折  3/3</t>
  </si>
  <si>
    <t>杨帆-尺骨骨折1/1</t>
  </si>
  <si>
    <t>哈尔滨工业大学医院2026年6月加急灭菌费合计701.25元，加急物流费合计0元，总计金额701.25元。</t>
  </si>
  <si>
    <t>哈尔滨工业大学医院2026年6月11日加急灭菌费561+561*25%=701.25元，加急物流费0元，合计金额701.25元。</t>
  </si>
  <si>
    <r>
      <rPr>
        <sz val="10"/>
        <color rgb="FF000000"/>
        <rFont val="宋体"/>
        <charset val="134"/>
      </rPr>
      <t>骨科租赁器械包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不带植入物</t>
    </r>
  </si>
  <si>
    <r>
      <rPr>
        <sz val="10"/>
        <color rgb="FF000000"/>
        <rFont val="宋体"/>
        <charset val="134"/>
      </rPr>
      <t>顾宏亮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复发性髌骨脱位</t>
    </r>
    <r>
      <rPr>
        <sz val="10"/>
        <color rgb="FF000000"/>
        <rFont val="Droid Sans Fallback"/>
        <charset val="134"/>
      </rPr>
      <t>3/3</t>
    </r>
  </si>
  <si>
    <r>
      <rPr>
        <sz val="10"/>
        <color rgb="FF000000"/>
        <rFont val="宋体"/>
        <charset val="134"/>
      </rPr>
      <t>顾宏亮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复发性髌骨脱位</t>
    </r>
    <r>
      <rPr>
        <sz val="10"/>
        <color rgb="FF000000"/>
        <rFont val="Droid Sans Fallback"/>
        <charset val="134"/>
      </rPr>
      <t>1/3</t>
    </r>
  </si>
  <si>
    <r>
      <rPr>
        <sz val="10"/>
        <color rgb="FF000000"/>
        <rFont val="宋体"/>
        <charset val="134"/>
      </rPr>
      <t>器械包</t>
    </r>
    <r>
      <rPr>
        <sz val="10"/>
        <color rgb="FF000000"/>
        <rFont val="Droid Sans Fallback"/>
        <charset val="134"/>
      </rPr>
      <t>(</t>
    </r>
    <r>
      <rPr>
        <sz val="10"/>
        <color rgb="FF000000"/>
        <rFont val="宋体"/>
        <charset val="134"/>
      </rPr>
      <t>低温等离子</t>
    </r>
    <r>
      <rPr>
        <sz val="10"/>
        <color rgb="FF000000"/>
        <rFont val="Droid Sans Fallback"/>
        <charset val="134"/>
      </rPr>
      <t>)</t>
    </r>
  </si>
  <si>
    <r>
      <rPr>
        <sz val="10"/>
        <color rgb="FF000000"/>
        <rFont val="宋体"/>
        <charset val="134"/>
      </rPr>
      <t>顾宏亮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复发性髌骨脱位</t>
    </r>
    <r>
      <rPr>
        <sz val="10"/>
        <color rgb="FF000000"/>
        <rFont val="Droid Sans Fallback"/>
        <charset val="134"/>
      </rPr>
      <t>2/3</t>
    </r>
  </si>
  <si>
    <r>
      <rPr>
        <sz val="10"/>
        <color rgb="FF000000"/>
        <rFont val="宋体"/>
        <charset val="134"/>
      </rPr>
      <t>刘敬东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关节游离体</t>
    </r>
    <r>
      <rPr>
        <sz val="10"/>
        <color rgb="FF000000"/>
        <rFont val="Droid Sans Fallback"/>
        <charset val="134"/>
      </rPr>
      <t>1/1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</si>
</sst>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3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</cellStyleXfs>
  <cellXfs count="49">
    <xf numFmtId="0" fontId="0" fillId="0" borderId="0" xfId="49" applyFont="1" applyFill="1" applyBorder="1"/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horizontal="left" vertical="top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8" fillId="2" borderId="3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9" fillId="2" borderId="3" xfId="0" applyNumberFormat="1" applyFont="1" applyFill="1" applyBorder="1" applyAlignment="1">
      <alignment horizontal="center" vertical="top" wrapText="1" readingOrder="1"/>
    </xf>
    <xf numFmtId="177" fontId="9" fillId="2" borderId="3" xfId="0" applyNumberFormat="1" applyFont="1" applyFill="1" applyBorder="1" applyAlignment="1">
      <alignment vertical="top" wrapText="1" readingOrder="1"/>
    </xf>
    <xf numFmtId="0" fontId="10" fillId="3" borderId="3" xfId="0" applyNumberFormat="1" applyFont="1" applyFill="1" applyBorder="1" applyAlignment="1">
      <alignment vertical="top" wrapText="1" readingOrder="1"/>
    </xf>
    <xf numFmtId="0" fontId="11" fillId="3" borderId="3" xfId="0" applyNumberFormat="1" applyFont="1" applyFill="1" applyBorder="1" applyAlignment="1">
      <alignment horizontal="center" vertical="top" wrapText="1" readingOrder="1"/>
    </xf>
    <xf numFmtId="177" fontId="11" fillId="3" borderId="3" xfId="0" applyNumberFormat="1" applyFont="1" applyFill="1" applyBorder="1" applyAlignment="1">
      <alignment vertical="top" wrapText="1" readingOrder="1"/>
    </xf>
    <xf numFmtId="176" fontId="4" fillId="0" borderId="4" xfId="0" applyNumberFormat="1" applyFont="1" applyFill="1" applyBorder="1" applyAlignment="1">
      <alignment horizontal="left" vertical="top" wrapText="1" readingOrder="1"/>
    </xf>
    <xf numFmtId="0" fontId="4" fillId="0" borderId="4" xfId="0" applyNumberFormat="1" applyFont="1" applyFill="1" applyBorder="1" applyAlignment="1">
      <alignment horizontal="left"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11" fillId="0" borderId="4" xfId="0" applyNumberFormat="1" applyFont="1" applyFill="1" applyBorder="1" applyAlignment="1">
      <alignment horizontal="center" vertical="top" wrapText="1" readingOrder="1"/>
    </xf>
    <xf numFmtId="177" fontId="11" fillId="0" borderId="4" xfId="0" applyNumberFormat="1" applyFont="1" applyFill="1" applyBorder="1" applyAlignment="1">
      <alignment vertical="top" wrapText="1" readingOrder="1"/>
    </xf>
    <xf numFmtId="176" fontId="4" fillId="0" borderId="1" xfId="49" applyNumberFormat="1" applyFont="1" applyFill="1" applyBorder="1" applyAlignment="1">
      <alignment vertical="top" wrapText="1" readingOrder="1"/>
    </xf>
    <xf numFmtId="0" fontId="4" fillId="0" borderId="1" xfId="49" applyNumberFormat="1" applyFont="1" applyFill="1" applyBorder="1" applyAlignment="1">
      <alignment vertical="top" wrapText="1" readingOrder="1"/>
    </xf>
    <xf numFmtId="0" fontId="4" fillId="0" borderId="1" xfId="49" applyNumberFormat="1" applyFont="1" applyFill="1" applyBorder="1" applyAlignment="1">
      <alignment horizontal="center" vertical="top" wrapText="1" readingOrder="1"/>
    </xf>
    <xf numFmtId="177" fontId="4" fillId="0" borderId="1" xfId="49" applyNumberFormat="1" applyFont="1" applyFill="1" applyBorder="1" applyAlignment="1">
      <alignment horizontal="center" vertical="top" wrapText="1" readingOrder="1"/>
    </xf>
    <xf numFmtId="0" fontId="6" fillId="0" borderId="0" xfId="49" applyNumberFormat="1" applyFont="1" applyFill="1" applyBorder="1" applyAlignment="1">
      <alignment horizontal="left" vertical="top" wrapText="1" readingOrder="1"/>
    </xf>
    <xf numFmtId="0" fontId="7" fillId="0" borderId="0" xfId="49" applyNumberFormat="1" applyFont="1" applyFill="1" applyBorder="1" applyAlignment="1">
      <alignment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0" borderId="2" xfId="49" applyNumberFormat="1" applyFont="1" applyFill="1" applyBorder="1" applyAlignment="1">
      <alignment vertical="top" wrapText="1" readingOrder="1"/>
    </xf>
    <xf numFmtId="0" fontId="4" fillId="0" borderId="5" xfId="49" applyNumberFormat="1" applyFont="1" applyFill="1" applyBorder="1" applyAlignment="1">
      <alignment horizontal="center" vertical="top" wrapText="1" readingOrder="1"/>
    </xf>
    <xf numFmtId="0" fontId="10" fillId="3" borderId="4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10" fillId="3" borderId="4" xfId="49" applyNumberFormat="1" applyFont="1" applyFill="1" applyBorder="1" applyAlignment="1">
      <alignment horizontal="center" vertical="top" wrapText="1" readingOrder="1"/>
    </xf>
    <xf numFmtId="177" fontId="10" fillId="3" borderId="4" xfId="49" applyNumberFormat="1" applyFont="1" applyFill="1" applyBorder="1" applyAlignment="1">
      <alignment horizontal="center" vertical="top" wrapText="1" readingOrder="1"/>
    </xf>
    <xf numFmtId="176" fontId="4" fillId="0" borderId="4" xfId="49" applyNumberFormat="1" applyFont="1" applyFill="1" applyBorder="1" applyAlignment="1">
      <alignment vertical="top" wrapText="1" readingOrder="1"/>
    </xf>
    <xf numFmtId="0" fontId="4" fillId="0" borderId="4" xfId="49" applyNumberFormat="1" applyFont="1" applyFill="1" applyBorder="1" applyAlignment="1">
      <alignment vertical="top" wrapText="1" readingOrder="1"/>
    </xf>
    <xf numFmtId="0" fontId="4" fillId="0" borderId="4" xfId="49" applyNumberFormat="1" applyFont="1" applyFill="1" applyBorder="1" applyAlignment="1">
      <alignment horizontal="center" vertical="top" wrapText="1" readingOrder="1"/>
    </xf>
    <xf numFmtId="177" fontId="4" fillId="0" borderId="4" xfId="49" applyNumberFormat="1" applyFont="1" applyFill="1" applyBorder="1" applyAlignment="1">
      <alignment horizontal="center" vertical="top" wrapText="1" readingOrder="1"/>
    </xf>
    <xf numFmtId="0" fontId="8" fillId="2" borderId="4" xfId="49" applyNumberFormat="1" applyFont="1" applyFill="1" applyBorder="1" applyAlignment="1">
      <alignment vertical="top" wrapText="1" readingOrder="1"/>
    </xf>
    <xf numFmtId="0" fontId="8" fillId="2" borderId="4" xfId="49" applyNumberFormat="1" applyFont="1" applyFill="1" applyBorder="1" applyAlignment="1">
      <alignment horizontal="center" vertical="top" wrapText="1" readingOrder="1"/>
    </xf>
    <xf numFmtId="177" fontId="8" fillId="2" borderId="4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189865</xdr:colOff>
      <xdr:row>1</xdr:row>
      <xdr:rowOff>66675</xdr:rowOff>
    </xdr:from>
    <xdr:to>
      <xdr:col>9</xdr:col>
      <xdr:colOff>699853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8264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9525</xdr:rowOff>
    </xdr:from>
    <xdr:to>
      <xdr:col>9</xdr:col>
      <xdr:colOff>785578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47625</xdr:rowOff>
    </xdr:from>
    <xdr:to>
      <xdr:col>9</xdr:col>
      <xdr:colOff>766528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57150</xdr:rowOff>
    </xdr:from>
    <xdr:to>
      <xdr:col>9</xdr:col>
      <xdr:colOff>776053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9525</xdr:rowOff>
    </xdr:from>
    <xdr:to>
      <xdr:col>9</xdr:col>
      <xdr:colOff>785578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38100</xdr:rowOff>
    </xdr:from>
    <xdr:to>
      <xdr:col>9</xdr:col>
      <xdr:colOff>757003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47625</xdr:rowOff>
    </xdr:from>
    <xdr:to>
      <xdr:col>9</xdr:col>
      <xdr:colOff>804628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0</xdr:row>
      <xdr:rowOff>161925</xdr:rowOff>
    </xdr:from>
    <xdr:to>
      <xdr:col>9</xdr:col>
      <xdr:colOff>766528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28575</xdr:rowOff>
    </xdr:from>
    <xdr:to>
      <xdr:col>9</xdr:col>
      <xdr:colOff>823678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57150</xdr:rowOff>
    </xdr:from>
    <xdr:to>
      <xdr:col>9</xdr:col>
      <xdr:colOff>795103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0</xdr:row>
      <xdr:rowOff>161925</xdr:rowOff>
    </xdr:from>
    <xdr:to>
      <xdr:col>9</xdr:col>
      <xdr:colOff>804628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19050</xdr:rowOff>
    </xdr:from>
    <xdr:to>
      <xdr:col>9</xdr:col>
      <xdr:colOff>833203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208915</xdr:colOff>
      <xdr:row>1</xdr:row>
      <xdr:rowOff>19050</xdr:rowOff>
    </xdr:from>
    <xdr:to>
      <xdr:col>9</xdr:col>
      <xdr:colOff>718903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016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47625</xdr:rowOff>
    </xdr:from>
    <xdr:to>
      <xdr:col>9</xdr:col>
      <xdr:colOff>823678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1</xdr:row>
      <xdr:rowOff>28575</xdr:rowOff>
    </xdr:from>
    <xdr:to>
      <xdr:col>9</xdr:col>
      <xdr:colOff>861778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199390</xdr:colOff>
      <xdr:row>1</xdr:row>
      <xdr:rowOff>0</xdr:rowOff>
    </xdr:from>
    <xdr:to>
      <xdr:col>9</xdr:col>
      <xdr:colOff>709378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921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1</xdr:row>
      <xdr:rowOff>57150</xdr:rowOff>
    </xdr:from>
    <xdr:to>
      <xdr:col>9</xdr:col>
      <xdr:colOff>861778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1</xdr:row>
      <xdr:rowOff>57150</xdr:rowOff>
    </xdr:from>
    <xdr:to>
      <xdr:col>9</xdr:col>
      <xdr:colOff>861778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95250</xdr:rowOff>
    </xdr:from>
    <xdr:to>
      <xdr:col>9</xdr:col>
      <xdr:colOff>757003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66700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104775</xdr:rowOff>
    </xdr:from>
    <xdr:to>
      <xdr:col>10</xdr:col>
      <xdr:colOff>757003</xdr:colOff>
      <xdr:row>4</xdr:row>
      <xdr:rowOff>102235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276225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38100</xdr:rowOff>
    </xdr:from>
    <xdr:to>
      <xdr:col>9</xdr:col>
      <xdr:colOff>757003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0</xdr:row>
      <xdr:rowOff>133350</xdr:rowOff>
    </xdr:from>
    <xdr:to>
      <xdr:col>9</xdr:col>
      <xdr:colOff>804628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0</xdr:row>
      <xdr:rowOff>161925</xdr:rowOff>
    </xdr:from>
    <xdr:to>
      <xdr:col>9</xdr:col>
      <xdr:colOff>861778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380365</xdr:colOff>
      <xdr:row>1</xdr:row>
      <xdr:rowOff>38100</xdr:rowOff>
    </xdr:from>
    <xdr:to>
      <xdr:col>9</xdr:col>
      <xdr:colOff>890353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7314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51435</xdr:colOff>
      <xdr:row>1</xdr:row>
      <xdr:rowOff>47625</xdr:rowOff>
    </xdr:from>
    <xdr:to>
      <xdr:col>8</xdr:col>
      <xdr:colOff>561423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67295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view="pageBreakPreview" zoomScaleNormal="100" workbookViewId="0">
      <selection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  <col min="12" max="12" width="10.375"/>
  </cols>
  <sheetData>
    <row r="1" spans="2:12">
      <c r="C1" s="32" t="s">
        <v>0</v>
      </c>
    </row>
    <row r="2" ht="23.05" customHeight="1"/>
    <row r="3" ht="2" customHeight="1"/>
    <row r="4" ht="15.2" customHeight="1" spans="2:12">
      <c r="B4" s="33" t="s">
        <v>1</v>
      </c>
    </row>
    <row r="6" ht="2.95" customHeight="1"/>
    <row r="7" ht="3.95" customHeight="1" spans="2:12">
      <c r="B7" s="35" t="s">
        <v>2</v>
      </c>
      <c r="C7" s="35" t="s">
        <v>2</v>
      </c>
      <c r="D7" s="35" t="s">
        <v>2</v>
      </c>
      <c r="E7" s="35" t="s">
        <v>2</v>
      </c>
      <c r="F7" s="35" t="s">
        <v>2</v>
      </c>
      <c r="G7" s="35" t="s">
        <v>2</v>
      </c>
      <c r="H7" s="35" t="s">
        <v>2</v>
      </c>
      <c r="I7" s="35" t="s">
        <v>2</v>
      </c>
      <c r="J7" s="35" t="s">
        <v>2</v>
      </c>
      <c r="K7" s="35" t="s">
        <v>2</v>
      </c>
    </row>
    <row r="8" ht="15" spans="2:12">
      <c r="C8" s="34" t="s">
        <v>2</v>
      </c>
      <c r="D8" s="46" t="s">
        <v>3</v>
      </c>
      <c r="E8" s="39" t="s">
        <v>2</v>
      </c>
      <c r="F8" s="39" t="s">
        <v>2</v>
      </c>
      <c r="G8" s="39" t="s">
        <v>2</v>
      </c>
      <c r="H8" s="39" t="s">
        <v>2</v>
      </c>
      <c r="I8" s="47"/>
      <c r="J8" s="48"/>
      <c r="K8" s="48"/>
    </row>
    <row r="9" spans="2:12">
      <c r="C9" s="34" t="s">
        <v>2</v>
      </c>
      <c r="D9" s="44" t="s">
        <v>4</v>
      </c>
      <c r="E9" s="44" t="s">
        <v>5</v>
      </c>
      <c r="F9" s="44" t="s">
        <v>6</v>
      </c>
      <c r="G9" s="44" t="s">
        <v>7</v>
      </c>
      <c r="H9" s="44" t="s">
        <v>8</v>
      </c>
      <c r="I9" s="44" t="s">
        <v>9</v>
      </c>
      <c r="J9" s="44" t="s">
        <v>10</v>
      </c>
      <c r="K9" s="44" t="s">
        <v>11</v>
      </c>
    </row>
    <row r="10" ht="14.25" spans="2:12">
      <c r="D10" s="38" t="s">
        <v>12</v>
      </c>
      <c r="E10" s="39" t="s">
        <v>2</v>
      </c>
      <c r="F10" s="39" t="s">
        <v>2</v>
      </c>
      <c r="G10" s="39" t="s">
        <v>2</v>
      </c>
      <c r="H10" s="39" t="s">
        <v>2</v>
      </c>
      <c r="I10" s="40">
        <v>1</v>
      </c>
      <c r="J10" s="41"/>
      <c r="K10" s="41">
        <v>16.5</v>
      </c>
      <c r="L10">
        <f>K10+妇科门诊!K8+急诊科!K8+'口腔科（4楼韩宗凯）'!K8+'口腔科（4楼姜杨杨）'!K8+'口腔科（4楼金华）'!K8+'口腔科（4楼宋雪婧）'!K8+'口腔科（4楼于金彪）'!K8+'口腔科（5楼白雪）'!K8+'口腔科（5楼刘冰）'!K8+'口腔科（5楼刘升臣）'!K8+'口腔科（5楼穆美玲）'!K8+'口腔科（5楼姚金辉）'!K8+'口腔科（5楼张冬青）'!K8+'口腔科（5楼钟志奇）'!K8+'口腔科（5楼朱晓丽）'!K8+'口腔科（公共二）'!K8+'口腔科（公共一）'!K8+'口腔科（种植诊室）'!K8+内三!K8+手术室!K8+外科病房!K8+五官科!K8+中医皮肤!K8+外来器械!I12+2046.25+701.25</f>
        <v>104405.5</v>
      </c>
    </row>
    <row r="11" spans="2:12">
      <c r="D11" s="42">
        <v>46171</v>
      </c>
      <c r="E11" s="43">
        <v>1607405</v>
      </c>
      <c r="F11" s="43" t="s">
        <v>13</v>
      </c>
      <c r="G11" s="44">
        <v>20013080</v>
      </c>
      <c r="H11" s="43" t="s">
        <v>14</v>
      </c>
      <c r="I11" s="44">
        <v>1</v>
      </c>
      <c r="J11" s="45">
        <v>16.5</v>
      </c>
      <c r="K11" s="45">
        <v>16.5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28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15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75</v>
      </c>
      <c r="J8" s="41"/>
      <c r="K8" s="41">
        <v>2340</v>
      </c>
    </row>
    <row r="9" spans="1:11">
      <c r="D9" s="42">
        <v>46160</v>
      </c>
      <c r="E9" s="43">
        <v>1604058</v>
      </c>
      <c r="F9" s="43" t="s">
        <v>16</v>
      </c>
      <c r="G9" s="44">
        <v>20005834</v>
      </c>
      <c r="H9" s="43" t="s">
        <v>17</v>
      </c>
      <c r="I9" s="44">
        <v>2</v>
      </c>
      <c r="J9" s="45">
        <v>55</v>
      </c>
      <c r="K9" s="45">
        <v>110</v>
      </c>
    </row>
    <row r="10" spans="1:11">
      <c r="D10" s="42">
        <v>46160</v>
      </c>
      <c r="E10" s="43">
        <v>1604058</v>
      </c>
      <c r="F10" s="43" t="s">
        <v>16</v>
      </c>
      <c r="G10" s="44">
        <v>20005835</v>
      </c>
      <c r="H10" s="43" t="s">
        <v>18</v>
      </c>
      <c r="I10" s="44">
        <v>2</v>
      </c>
      <c r="J10" s="45">
        <v>55</v>
      </c>
      <c r="K10" s="45">
        <v>110</v>
      </c>
    </row>
    <row r="11" spans="1:11">
      <c r="D11" s="42">
        <v>46162</v>
      </c>
      <c r="E11" s="43">
        <v>1604905</v>
      </c>
      <c r="F11" s="43" t="s">
        <v>16</v>
      </c>
      <c r="G11" s="44">
        <v>20005834</v>
      </c>
      <c r="H11" s="43" t="s">
        <v>17</v>
      </c>
      <c r="I11" s="44">
        <v>5</v>
      </c>
      <c r="J11" s="45">
        <v>55</v>
      </c>
      <c r="K11" s="45">
        <v>275</v>
      </c>
    </row>
    <row r="12" spans="1:11">
      <c r="D12" s="42">
        <v>46163</v>
      </c>
      <c r="E12" s="43">
        <v>1605187</v>
      </c>
      <c r="F12" s="43" t="s">
        <v>16</v>
      </c>
      <c r="G12" s="44">
        <v>20005834</v>
      </c>
      <c r="H12" s="43" t="s">
        <v>17</v>
      </c>
      <c r="I12" s="44">
        <v>1</v>
      </c>
      <c r="J12" s="45">
        <v>55</v>
      </c>
      <c r="K12" s="45">
        <v>55</v>
      </c>
    </row>
    <row r="13" spans="1:11">
      <c r="D13" s="42">
        <v>46167</v>
      </c>
      <c r="E13" s="43">
        <v>1606121</v>
      </c>
      <c r="F13" s="43" t="s">
        <v>16</v>
      </c>
      <c r="G13" s="44">
        <v>20005834</v>
      </c>
      <c r="H13" s="43" t="s">
        <v>17</v>
      </c>
      <c r="I13" s="44">
        <v>2</v>
      </c>
      <c r="J13" s="45">
        <v>55</v>
      </c>
      <c r="K13" s="45">
        <v>110</v>
      </c>
    </row>
    <row r="14" spans="1:11">
      <c r="D14" s="42">
        <v>46167</v>
      </c>
      <c r="E14" s="43">
        <v>1606121</v>
      </c>
      <c r="F14" s="43" t="s">
        <v>16</v>
      </c>
      <c r="G14" s="44">
        <v>20005835</v>
      </c>
      <c r="H14" s="43" t="s">
        <v>18</v>
      </c>
      <c r="I14" s="44">
        <v>1</v>
      </c>
      <c r="J14" s="45">
        <v>55</v>
      </c>
      <c r="K14" s="45">
        <v>55</v>
      </c>
    </row>
    <row r="15" spans="1:11">
      <c r="D15" s="42">
        <v>46169</v>
      </c>
      <c r="E15" s="43">
        <v>1606888</v>
      </c>
      <c r="F15" s="43" t="s">
        <v>16</v>
      </c>
      <c r="G15" s="44">
        <v>20005834</v>
      </c>
      <c r="H15" s="43" t="s">
        <v>17</v>
      </c>
      <c r="I15" s="44">
        <v>4</v>
      </c>
      <c r="J15" s="45">
        <v>55</v>
      </c>
      <c r="K15" s="45">
        <v>220</v>
      </c>
    </row>
    <row r="16" spans="1:11">
      <c r="D16" s="42">
        <v>46170</v>
      </c>
      <c r="E16" s="43">
        <v>1607256</v>
      </c>
      <c r="F16" s="43" t="s">
        <v>16</v>
      </c>
      <c r="G16" s="44">
        <v>20005834</v>
      </c>
      <c r="H16" s="43" t="s">
        <v>17</v>
      </c>
      <c r="I16" s="44">
        <v>1</v>
      </c>
      <c r="J16" s="45">
        <v>55</v>
      </c>
      <c r="K16" s="45">
        <v>55</v>
      </c>
    </row>
    <row r="17" spans="4:11">
      <c r="D17" s="42">
        <v>46170</v>
      </c>
      <c r="E17" s="43">
        <v>1607256</v>
      </c>
      <c r="F17" s="43" t="s">
        <v>16</v>
      </c>
      <c r="G17" s="44">
        <v>20005835</v>
      </c>
      <c r="H17" s="43" t="s">
        <v>18</v>
      </c>
      <c r="I17" s="44">
        <v>1</v>
      </c>
      <c r="J17" s="45">
        <v>55</v>
      </c>
      <c r="K17" s="45">
        <v>55</v>
      </c>
    </row>
    <row r="18" spans="4:11">
      <c r="D18" s="42">
        <v>46170</v>
      </c>
      <c r="E18" s="43">
        <v>1607256</v>
      </c>
      <c r="F18" s="43" t="s">
        <v>19</v>
      </c>
      <c r="G18" s="44">
        <v>20008021</v>
      </c>
      <c r="H18" s="43" t="s">
        <v>20</v>
      </c>
      <c r="I18" s="44">
        <v>34</v>
      </c>
      <c r="J18" s="45">
        <v>2.5</v>
      </c>
      <c r="K18" s="45">
        <v>85</v>
      </c>
    </row>
    <row r="19" spans="4:11">
      <c r="D19" s="42">
        <v>46174</v>
      </c>
      <c r="E19" s="43">
        <v>1608161</v>
      </c>
      <c r="F19" s="43" t="s">
        <v>16</v>
      </c>
      <c r="G19" s="44">
        <v>20005834</v>
      </c>
      <c r="H19" s="43" t="s">
        <v>17</v>
      </c>
      <c r="I19" s="44">
        <v>4</v>
      </c>
      <c r="J19" s="45">
        <v>55</v>
      </c>
      <c r="K19" s="45">
        <v>220</v>
      </c>
    </row>
    <row r="20" spans="4:11">
      <c r="D20" s="42">
        <v>46174</v>
      </c>
      <c r="E20" s="43">
        <v>1608161</v>
      </c>
      <c r="F20" s="43" t="s">
        <v>16</v>
      </c>
      <c r="G20" s="44">
        <v>20005835</v>
      </c>
      <c r="H20" s="43" t="s">
        <v>18</v>
      </c>
      <c r="I20" s="44">
        <v>1</v>
      </c>
      <c r="J20" s="45">
        <v>55</v>
      </c>
      <c r="K20" s="45">
        <v>55</v>
      </c>
    </row>
    <row r="21" spans="4:11">
      <c r="D21" s="42">
        <v>46176</v>
      </c>
      <c r="E21" s="43">
        <v>1608920</v>
      </c>
      <c r="F21" s="43" t="s">
        <v>16</v>
      </c>
      <c r="G21" s="44">
        <v>20005834</v>
      </c>
      <c r="H21" s="43" t="s">
        <v>17</v>
      </c>
      <c r="I21" s="44">
        <v>3</v>
      </c>
      <c r="J21" s="45">
        <v>55</v>
      </c>
      <c r="K21" s="45">
        <v>165</v>
      </c>
    </row>
    <row r="22" spans="4:11">
      <c r="D22" s="42">
        <v>46176</v>
      </c>
      <c r="E22" s="43">
        <v>1608920</v>
      </c>
      <c r="F22" s="43" t="s">
        <v>16</v>
      </c>
      <c r="G22" s="44">
        <v>20005835</v>
      </c>
      <c r="H22" s="43" t="s">
        <v>18</v>
      </c>
      <c r="I22" s="44">
        <v>1</v>
      </c>
      <c r="J22" s="45">
        <v>55</v>
      </c>
      <c r="K22" s="45">
        <v>55</v>
      </c>
    </row>
    <row r="23" spans="4:11">
      <c r="D23" s="42">
        <v>46177</v>
      </c>
      <c r="E23" s="43">
        <v>1609316</v>
      </c>
      <c r="F23" s="43" t="s">
        <v>16</v>
      </c>
      <c r="G23" s="44">
        <v>20005834</v>
      </c>
      <c r="H23" s="43" t="s">
        <v>17</v>
      </c>
      <c r="I23" s="44">
        <v>2</v>
      </c>
      <c r="J23" s="45">
        <v>55</v>
      </c>
      <c r="K23" s="45">
        <v>110</v>
      </c>
    </row>
    <row r="24" spans="4:11">
      <c r="D24" s="42">
        <v>46181</v>
      </c>
      <c r="E24" s="43">
        <v>1610258</v>
      </c>
      <c r="F24" s="43" t="s">
        <v>16</v>
      </c>
      <c r="G24" s="44">
        <v>20005834</v>
      </c>
      <c r="H24" s="43" t="s">
        <v>17</v>
      </c>
      <c r="I24" s="44">
        <v>2</v>
      </c>
      <c r="J24" s="45">
        <v>55</v>
      </c>
      <c r="K24" s="45">
        <v>110</v>
      </c>
    </row>
    <row r="25" spans="4:11">
      <c r="D25" s="42">
        <v>46181</v>
      </c>
      <c r="E25" s="43">
        <v>1610258</v>
      </c>
      <c r="F25" s="43" t="s">
        <v>16</v>
      </c>
      <c r="G25" s="44">
        <v>20005835</v>
      </c>
      <c r="H25" s="43" t="s">
        <v>18</v>
      </c>
      <c r="I25" s="44">
        <v>3</v>
      </c>
      <c r="J25" s="45">
        <v>55</v>
      </c>
      <c r="K25" s="45">
        <v>165</v>
      </c>
    </row>
    <row r="26" spans="4:11">
      <c r="D26" s="42">
        <v>46183</v>
      </c>
      <c r="E26" s="43">
        <v>1611044</v>
      </c>
      <c r="F26" s="43" t="s">
        <v>16</v>
      </c>
      <c r="G26" s="44">
        <v>20005834</v>
      </c>
      <c r="H26" s="43" t="s">
        <v>17</v>
      </c>
      <c r="I26" s="44">
        <v>3</v>
      </c>
      <c r="J26" s="45">
        <v>55</v>
      </c>
      <c r="K26" s="45">
        <v>165</v>
      </c>
    </row>
    <row r="27" spans="4:11">
      <c r="D27" s="42">
        <v>46184</v>
      </c>
      <c r="E27" s="43">
        <v>1611399</v>
      </c>
      <c r="F27" s="43" t="s">
        <v>16</v>
      </c>
      <c r="G27" s="44">
        <v>20005834</v>
      </c>
      <c r="H27" s="43" t="s">
        <v>17</v>
      </c>
      <c r="I27" s="44">
        <v>2</v>
      </c>
      <c r="J27" s="45">
        <v>55</v>
      </c>
      <c r="K27" s="45">
        <v>110</v>
      </c>
    </row>
    <row r="28" spans="4:11">
      <c r="D28" s="42">
        <v>46184</v>
      </c>
      <c r="E28" s="43">
        <v>1611399</v>
      </c>
      <c r="F28" s="43" t="s">
        <v>16</v>
      </c>
      <c r="G28" s="44">
        <v>20005835</v>
      </c>
      <c r="H28" s="43" t="s">
        <v>18</v>
      </c>
      <c r="I28" s="44">
        <v>1</v>
      </c>
      <c r="J28" s="45">
        <v>55</v>
      </c>
      <c r="K28" s="45">
        <v>55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21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112</v>
      </c>
      <c r="J8" s="41"/>
      <c r="K8" s="41">
        <v>1392.5</v>
      </c>
    </row>
    <row r="9" spans="1:11">
      <c r="D9" s="42">
        <v>46160</v>
      </c>
      <c r="E9" s="43">
        <v>1604059</v>
      </c>
      <c r="F9" s="43" t="s">
        <v>22</v>
      </c>
      <c r="G9" s="44">
        <v>20005202</v>
      </c>
      <c r="H9" s="43" t="s">
        <v>23</v>
      </c>
      <c r="I9" s="44">
        <v>5</v>
      </c>
      <c r="J9" s="45">
        <v>33</v>
      </c>
      <c r="K9" s="45">
        <v>165</v>
      </c>
    </row>
    <row r="10" spans="1:11">
      <c r="D10" s="42">
        <v>46160</v>
      </c>
      <c r="E10" s="43">
        <v>1604059</v>
      </c>
      <c r="F10" s="43" t="s">
        <v>13</v>
      </c>
      <c r="G10" s="44">
        <v>20324084</v>
      </c>
      <c r="H10" s="43" t="s">
        <v>24</v>
      </c>
      <c r="I10" s="44">
        <v>1</v>
      </c>
      <c r="J10" s="45">
        <v>8</v>
      </c>
      <c r="K10" s="45">
        <v>8</v>
      </c>
    </row>
    <row r="11" spans="1:11">
      <c r="D11" s="42">
        <v>46160</v>
      </c>
      <c r="E11" s="43">
        <v>1604059</v>
      </c>
      <c r="F11" s="43" t="s">
        <v>13</v>
      </c>
      <c r="G11" s="44">
        <v>20005930</v>
      </c>
      <c r="H11" s="43" t="s">
        <v>25</v>
      </c>
      <c r="I11" s="44">
        <v>3</v>
      </c>
      <c r="J11" s="45">
        <v>8</v>
      </c>
      <c r="K11" s="45">
        <v>24</v>
      </c>
    </row>
    <row r="12" spans="1:11">
      <c r="D12" s="42">
        <v>46163</v>
      </c>
      <c r="E12" s="43">
        <v>1605188</v>
      </c>
      <c r="F12" s="43" t="s">
        <v>22</v>
      </c>
      <c r="G12" s="44">
        <v>20005202</v>
      </c>
      <c r="H12" s="43" t="s">
        <v>23</v>
      </c>
      <c r="I12" s="44">
        <v>2</v>
      </c>
      <c r="J12" s="45">
        <v>33</v>
      </c>
      <c r="K12" s="45">
        <v>66</v>
      </c>
    </row>
    <row r="13" spans="1:11">
      <c r="D13" s="42">
        <v>46163</v>
      </c>
      <c r="E13" s="43">
        <v>1605188</v>
      </c>
      <c r="F13" s="43" t="s">
        <v>13</v>
      </c>
      <c r="G13" s="44">
        <v>20006047</v>
      </c>
      <c r="H13" s="43" t="s">
        <v>26</v>
      </c>
      <c r="I13" s="44">
        <v>1</v>
      </c>
      <c r="J13" s="45">
        <v>8</v>
      </c>
      <c r="K13" s="45">
        <v>8</v>
      </c>
    </row>
    <row r="14" spans="1:11">
      <c r="D14" s="42">
        <v>46163</v>
      </c>
      <c r="E14" s="43">
        <v>1605188</v>
      </c>
      <c r="F14" s="43" t="s">
        <v>13</v>
      </c>
      <c r="G14" s="44">
        <v>20324084</v>
      </c>
      <c r="H14" s="43" t="s">
        <v>24</v>
      </c>
      <c r="I14" s="44">
        <v>1</v>
      </c>
      <c r="J14" s="45">
        <v>8</v>
      </c>
      <c r="K14" s="45">
        <v>8</v>
      </c>
    </row>
    <row r="15" spans="1:11">
      <c r="D15" s="42">
        <v>46163</v>
      </c>
      <c r="E15" s="43">
        <v>1605188</v>
      </c>
      <c r="F15" s="43" t="s">
        <v>13</v>
      </c>
      <c r="G15" s="44">
        <v>20005930</v>
      </c>
      <c r="H15" s="43" t="s">
        <v>25</v>
      </c>
      <c r="I15" s="44">
        <v>3</v>
      </c>
      <c r="J15" s="45">
        <v>8</v>
      </c>
      <c r="K15" s="45">
        <v>24</v>
      </c>
    </row>
    <row r="16" spans="1:11">
      <c r="D16" s="42">
        <v>46167</v>
      </c>
      <c r="E16" s="43">
        <v>1606122</v>
      </c>
      <c r="F16" s="43" t="s">
        <v>22</v>
      </c>
      <c r="G16" s="44">
        <v>20005202</v>
      </c>
      <c r="H16" s="43" t="s">
        <v>23</v>
      </c>
      <c r="I16" s="44">
        <v>7</v>
      </c>
      <c r="J16" s="45">
        <v>33</v>
      </c>
      <c r="K16" s="45">
        <v>231</v>
      </c>
    </row>
    <row r="17" spans="4:11">
      <c r="D17" s="42">
        <v>46167</v>
      </c>
      <c r="E17" s="43">
        <v>1606122</v>
      </c>
      <c r="F17" s="43" t="s">
        <v>13</v>
      </c>
      <c r="G17" s="44">
        <v>20324084</v>
      </c>
      <c r="H17" s="43" t="s">
        <v>24</v>
      </c>
      <c r="I17" s="44">
        <v>5</v>
      </c>
      <c r="J17" s="45">
        <v>8</v>
      </c>
      <c r="K17" s="45">
        <v>40</v>
      </c>
    </row>
    <row r="18" spans="4:11">
      <c r="D18" s="42">
        <v>46167</v>
      </c>
      <c r="E18" s="43">
        <v>1606122</v>
      </c>
      <c r="F18" s="43" t="s">
        <v>13</v>
      </c>
      <c r="G18" s="44">
        <v>20005930</v>
      </c>
      <c r="H18" s="43" t="s">
        <v>25</v>
      </c>
      <c r="I18" s="44">
        <v>1</v>
      </c>
      <c r="J18" s="45">
        <v>8</v>
      </c>
      <c r="K18" s="45">
        <v>8</v>
      </c>
    </row>
    <row r="19" spans="4:11">
      <c r="D19" s="42">
        <v>46167</v>
      </c>
      <c r="E19" s="43">
        <v>1606122</v>
      </c>
      <c r="F19" s="43" t="s">
        <v>19</v>
      </c>
      <c r="G19" s="44">
        <v>20383630</v>
      </c>
      <c r="H19" s="43" t="s">
        <v>27</v>
      </c>
      <c r="I19" s="44">
        <v>17</v>
      </c>
      <c r="J19" s="45">
        <v>2.5</v>
      </c>
      <c r="K19" s="45">
        <v>42.5</v>
      </c>
    </row>
    <row r="20" spans="4:11">
      <c r="D20" s="42">
        <v>46170</v>
      </c>
      <c r="E20" s="43">
        <v>1607257</v>
      </c>
      <c r="F20" s="43" t="s">
        <v>22</v>
      </c>
      <c r="G20" s="44">
        <v>20005202</v>
      </c>
      <c r="H20" s="43" t="s">
        <v>23</v>
      </c>
      <c r="I20" s="44">
        <v>2</v>
      </c>
      <c r="J20" s="45">
        <v>33</v>
      </c>
      <c r="K20" s="45">
        <v>66</v>
      </c>
    </row>
    <row r="21" spans="4:11">
      <c r="D21" s="42">
        <v>46170</v>
      </c>
      <c r="E21" s="43">
        <v>1607257</v>
      </c>
      <c r="F21" s="43" t="s">
        <v>13</v>
      </c>
      <c r="G21" s="44">
        <v>20006047</v>
      </c>
      <c r="H21" s="43" t="s">
        <v>26</v>
      </c>
      <c r="I21" s="44">
        <v>1</v>
      </c>
      <c r="J21" s="45">
        <v>8</v>
      </c>
      <c r="K21" s="45">
        <v>8</v>
      </c>
    </row>
    <row r="22" spans="4:11">
      <c r="D22" s="42">
        <v>46170</v>
      </c>
      <c r="E22" s="43">
        <v>1607257</v>
      </c>
      <c r="F22" s="43" t="s">
        <v>13</v>
      </c>
      <c r="G22" s="44">
        <v>20324084</v>
      </c>
      <c r="H22" s="43" t="s">
        <v>24</v>
      </c>
      <c r="I22" s="44">
        <v>4</v>
      </c>
      <c r="J22" s="45">
        <v>8</v>
      </c>
      <c r="K22" s="45">
        <v>32</v>
      </c>
    </row>
    <row r="23" spans="4:11">
      <c r="D23" s="42">
        <v>46170</v>
      </c>
      <c r="E23" s="43">
        <v>1607257</v>
      </c>
      <c r="F23" s="43" t="s">
        <v>13</v>
      </c>
      <c r="G23" s="44">
        <v>20005930</v>
      </c>
      <c r="H23" s="43" t="s">
        <v>25</v>
      </c>
      <c r="I23" s="44">
        <v>4</v>
      </c>
      <c r="J23" s="45">
        <v>8</v>
      </c>
      <c r="K23" s="45">
        <v>32</v>
      </c>
    </row>
    <row r="24" spans="4:11">
      <c r="D24" s="42">
        <v>46174</v>
      </c>
      <c r="E24" s="43">
        <v>1608162</v>
      </c>
      <c r="F24" s="43" t="s">
        <v>22</v>
      </c>
      <c r="G24" s="44">
        <v>20005202</v>
      </c>
      <c r="H24" s="43" t="s">
        <v>23</v>
      </c>
      <c r="I24" s="44">
        <v>5</v>
      </c>
      <c r="J24" s="45">
        <v>33</v>
      </c>
      <c r="K24" s="45">
        <v>165</v>
      </c>
    </row>
    <row r="25" spans="4:11">
      <c r="D25" s="42">
        <v>46174</v>
      </c>
      <c r="E25" s="43">
        <v>1608162</v>
      </c>
      <c r="F25" s="43" t="s">
        <v>13</v>
      </c>
      <c r="G25" s="44">
        <v>20324084</v>
      </c>
      <c r="H25" s="43" t="s">
        <v>24</v>
      </c>
      <c r="I25" s="44">
        <v>2</v>
      </c>
      <c r="J25" s="45">
        <v>8</v>
      </c>
      <c r="K25" s="45">
        <v>16</v>
      </c>
    </row>
    <row r="26" spans="4:11">
      <c r="D26" s="42">
        <v>46174</v>
      </c>
      <c r="E26" s="43">
        <v>1608162</v>
      </c>
      <c r="F26" s="43" t="s">
        <v>13</v>
      </c>
      <c r="G26" s="44">
        <v>20005929</v>
      </c>
      <c r="H26" s="43" t="s">
        <v>28</v>
      </c>
      <c r="I26" s="44">
        <v>1</v>
      </c>
      <c r="J26" s="45">
        <v>8</v>
      </c>
      <c r="K26" s="45">
        <v>8</v>
      </c>
    </row>
    <row r="27" spans="4:11">
      <c r="D27" s="42">
        <v>46174</v>
      </c>
      <c r="E27" s="43">
        <v>1608162</v>
      </c>
      <c r="F27" s="43" t="s">
        <v>13</v>
      </c>
      <c r="G27" s="44">
        <v>20005930</v>
      </c>
      <c r="H27" s="43" t="s">
        <v>25</v>
      </c>
      <c r="I27" s="44">
        <v>2</v>
      </c>
      <c r="J27" s="45">
        <v>8</v>
      </c>
      <c r="K27" s="45">
        <v>16</v>
      </c>
    </row>
    <row r="28" spans="4:11">
      <c r="D28" s="42">
        <v>46174</v>
      </c>
      <c r="E28" s="43">
        <v>1608162</v>
      </c>
      <c r="F28" s="43" t="s">
        <v>19</v>
      </c>
      <c r="G28" s="44">
        <v>20383630</v>
      </c>
      <c r="H28" s="43" t="s">
        <v>27</v>
      </c>
      <c r="I28" s="44">
        <v>20</v>
      </c>
      <c r="J28" s="45">
        <v>2.5</v>
      </c>
      <c r="K28" s="45">
        <v>50</v>
      </c>
    </row>
    <row r="29" spans="4:11">
      <c r="D29" s="42">
        <v>46177</v>
      </c>
      <c r="E29" s="43">
        <v>1609317</v>
      </c>
      <c r="F29" s="43" t="s">
        <v>22</v>
      </c>
      <c r="G29" s="44">
        <v>20005202</v>
      </c>
      <c r="H29" s="43" t="s">
        <v>23</v>
      </c>
      <c r="I29" s="44">
        <v>3</v>
      </c>
      <c r="J29" s="45">
        <v>33</v>
      </c>
      <c r="K29" s="45">
        <v>99</v>
      </c>
    </row>
    <row r="30" spans="4:11">
      <c r="D30" s="42">
        <v>46177</v>
      </c>
      <c r="E30" s="43">
        <v>1609317</v>
      </c>
      <c r="F30" s="43" t="s">
        <v>13</v>
      </c>
      <c r="G30" s="44">
        <v>20324084</v>
      </c>
      <c r="H30" s="43" t="s">
        <v>24</v>
      </c>
      <c r="I30" s="44">
        <v>2</v>
      </c>
      <c r="J30" s="45">
        <v>8</v>
      </c>
      <c r="K30" s="45">
        <v>16</v>
      </c>
    </row>
    <row r="31" spans="4:11">
      <c r="D31" s="42">
        <v>46177</v>
      </c>
      <c r="E31" s="43">
        <v>1609317</v>
      </c>
      <c r="F31" s="43" t="s">
        <v>13</v>
      </c>
      <c r="G31" s="44">
        <v>20005930</v>
      </c>
      <c r="H31" s="43" t="s">
        <v>25</v>
      </c>
      <c r="I31" s="44">
        <v>4</v>
      </c>
      <c r="J31" s="45">
        <v>8</v>
      </c>
      <c r="K31" s="45">
        <v>32</v>
      </c>
    </row>
    <row r="32" spans="4:11">
      <c r="D32" s="42">
        <v>46181</v>
      </c>
      <c r="E32" s="43">
        <v>1610259</v>
      </c>
      <c r="F32" s="43" t="s">
        <v>22</v>
      </c>
      <c r="G32" s="44">
        <v>20005202</v>
      </c>
      <c r="H32" s="43" t="s">
        <v>23</v>
      </c>
      <c r="I32" s="44">
        <v>3</v>
      </c>
      <c r="J32" s="45">
        <v>33</v>
      </c>
      <c r="K32" s="45">
        <v>99</v>
      </c>
    </row>
    <row r="33" spans="4:11">
      <c r="D33" s="42">
        <v>46181</v>
      </c>
      <c r="E33" s="43">
        <v>1610259</v>
      </c>
      <c r="F33" s="43" t="s">
        <v>13</v>
      </c>
      <c r="G33" s="44">
        <v>20324084</v>
      </c>
      <c r="H33" s="43" t="s">
        <v>24</v>
      </c>
      <c r="I33" s="44">
        <v>2</v>
      </c>
      <c r="J33" s="45">
        <v>8</v>
      </c>
      <c r="K33" s="45">
        <v>16</v>
      </c>
    </row>
    <row r="34" spans="4:11">
      <c r="D34" s="42">
        <v>46181</v>
      </c>
      <c r="E34" s="43">
        <v>1610259</v>
      </c>
      <c r="F34" s="43" t="s">
        <v>13</v>
      </c>
      <c r="G34" s="44">
        <v>20005930</v>
      </c>
      <c r="H34" s="43" t="s">
        <v>25</v>
      </c>
      <c r="I34" s="44">
        <v>3</v>
      </c>
      <c r="J34" s="45">
        <v>8</v>
      </c>
      <c r="K34" s="45">
        <v>24</v>
      </c>
    </row>
    <row r="35" spans="4:11">
      <c r="D35" s="42">
        <v>46184</v>
      </c>
      <c r="E35" s="43">
        <v>1611400</v>
      </c>
      <c r="F35" s="43" t="s">
        <v>22</v>
      </c>
      <c r="G35" s="44">
        <v>20005202</v>
      </c>
      <c r="H35" s="43" t="s">
        <v>23</v>
      </c>
      <c r="I35" s="44">
        <v>1</v>
      </c>
      <c r="J35" s="45">
        <v>33</v>
      </c>
      <c r="K35" s="45">
        <v>33</v>
      </c>
    </row>
    <row r="36" spans="4:11">
      <c r="D36" s="42">
        <v>46184</v>
      </c>
      <c r="E36" s="43">
        <v>1611400</v>
      </c>
      <c r="F36" s="43" t="s">
        <v>13</v>
      </c>
      <c r="G36" s="44">
        <v>20324084</v>
      </c>
      <c r="H36" s="43" t="s">
        <v>24</v>
      </c>
      <c r="I36" s="44">
        <v>3</v>
      </c>
      <c r="J36" s="45">
        <v>8</v>
      </c>
      <c r="K36" s="45">
        <v>24</v>
      </c>
    </row>
    <row r="37" spans="4:11">
      <c r="D37" s="42">
        <v>46184</v>
      </c>
      <c r="E37" s="43">
        <v>1611400</v>
      </c>
      <c r="F37" s="43" t="s">
        <v>13</v>
      </c>
      <c r="G37" s="44">
        <v>20005930</v>
      </c>
      <c r="H37" s="43" t="s">
        <v>25</v>
      </c>
      <c r="I37" s="44">
        <v>4</v>
      </c>
      <c r="J37" s="45">
        <v>8</v>
      </c>
      <c r="K37" s="45">
        <v>32</v>
      </c>
    </row>
  </sheetData>
  <autoFilter xmlns:etc="http://www.wps.cn/officeDocument/2017/etCustomData" ref="A7:K37" etc:filterBottomFollowUsedRange="0">
    <extLst/>
  </autoFilter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29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166</v>
      </c>
      <c r="J8" s="41"/>
      <c r="K8" s="41">
        <v>1641</v>
      </c>
    </row>
    <row r="9" spans="1:11">
      <c r="D9" s="42">
        <v>46162</v>
      </c>
      <c r="E9" s="43">
        <v>1604578</v>
      </c>
      <c r="F9" s="43" t="s">
        <v>13</v>
      </c>
      <c r="G9" s="44">
        <v>20313588</v>
      </c>
      <c r="H9" s="43" t="s">
        <v>30</v>
      </c>
      <c r="I9" s="44">
        <v>1</v>
      </c>
      <c r="J9" s="45">
        <v>8</v>
      </c>
      <c r="K9" s="45">
        <v>8</v>
      </c>
    </row>
    <row r="10" spans="1:11">
      <c r="D10" s="42">
        <v>46162</v>
      </c>
      <c r="E10" s="43">
        <v>1604578</v>
      </c>
      <c r="F10" s="43" t="s">
        <v>13</v>
      </c>
      <c r="G10" s="44">
        <v>20396335</v>
      </c>
      <c r="H10" s="43" t="s">
        <v>31</v>
      </c>
      <c r="I10" s="44">
        <v>1</v>
      </c>
      <c r="J10" s="45">
        <v>8</v>
      </c>
      <c r="K10" s="45">
        <v>8</v>
      </c>
    </row>
    <row r="11" spans="1:11">
      <c r="D11" s="42">
        <v>46162</v>
      </c>
      <c r="E11" s="43">
        <v>1604578</v>
      </c>
      <c r="F11" s="43" t="s">
        <v>13</v>
      </c>
      <c r="G11" s="44">
        <v>20396339</v>
      </c>
      <c r="H11" s="43" t="s">
        <v>32</v>
      </c>
      <c r="I11" s="44">
        <v>1</v>
      </c>
      <c r="J11" s="45">
        <v>11</v>
      </c>
      <c r="K11" s="45">
        <v>11</v>
      </c>
    </row>
    <row r="12" spans="1:11">
      <c r="D12" s="42">
        <v>46163</v>
      </c>
      <c r="E12" s="43">
        <v>1604992</v>
      </c>
      <c r="F12" s="43" t="s">
        <v>13</v>
      </c>
      <c r="G12" s="44">
        <v>20376624</v>
      </c>
      <c r="H12" s="43" t="s">
        <v>33</v>
      </c>
      <c r="I12" s="44">
        <v>1</v>
      </c>
      <c r="J12" s="45">
        <v>8</v>
      </c>
      <c r="K12" s="45">
        <v>8</v>
      </c>
    </row>
    <row r="13" spans="1:11">
      <c r="D13" s="42">
        <v>46163</v>
      </c>
      <c r="E13" s="43">
        <v>1604992</v>
      </c>
      <c r="F13" s="43" t="s">
        <v>13</v>
      </c>
      <c r="G13" s="44">
        <v>20401317</v>
      </c>
      <c r="H13" s="43" t="s">
        <v>34</v>
      </c>
      <c r="I13" s="44">
        <v>1</v>
      </c>
      <c r="J13" s="45">
        <v>16.5</v>
      </c>
      <c r="K13" s="45">
        <v>16.5</v>
      </c>
    </row>
    <row r="14" spans="1:11">
      <c r="D14" s="42">
        <v>46163</v>
      </c>
      <c r="E14" s="43">
        <v>1604992</v>
      </c>
      <c r="F14" s="43" t="s">
        <v>13</v>
      </c>
      <c r="G14" s="44">
        <v>20394943</v>
      </c>
      <c r="H14" s="43" t="s">
        <v>35</v>
      </c>
      <c r="I14" s="44">
        <v>1</v>
      </c>
      <c r="J14" s="45">
        <v>11</v>
      </c>
      <c r="K14" s="45">
        <v>11</v>
      </c>
    </row>
    <row r="15" spans="1:11">
      <c r="D15" s="42">
        <v>46163</v>
      </c>
      <c r="E15" s="43">
        <v>1604992</v>
      </c>
      <c r="F15" s="43" t="s">
        <v>13</v>
      </c>
      <c r="G15" s="44">
        <v>20395495</v>
      </c>
      <c r="H15" s="43" t="s">
        <v>36</v>
      </c>
      <c r="I15" s="44">
        <v>4</v>
      </c>
      <c r="J15" s="45">
        <v>13.5</v>
      </c>
      <c r="K15" s="45">
        <v>54</v>
      </c>
    </row>
    <row r="16" spans="1:11">
      <c r="D16" s="42">
        <v>46163</v>
      </c>
      <c r="E16" s="43">
        <v>1604992</v>
      </c>
      <c r="F16" s="43" t="s">
        <v>13</v>
      </c>
      <c r="G16" s="44">
        <v>20396335</v>
      </c>
      <c r="H16" s="43" t="s">
        <v>31</v>
      </c>
      <c r="I16" s="44">
        <v>1</v>
      </c>
      <c r="J16" s="45">
        <v>8</v>
      </c>
      <c r="K16" s="45">
        <v>8</v>
      </c>
    </row>
    <row r="17" spans="4:11">
      <c r="D17" s="42">
        <v>46163</v>
      </c>
      <c r="E17" s="43">
        <v>1604992</v>
      </c>
      <c r="F17" s="43" t="s">
        <v>13</v>
      </c>
      <c r="G17" s="44">
        <v>20377357</v>
      </c>
      <c r="H17" s="43" t="s">
        <v>37</v>
      </c>
      <c r="I17" s="44">
        <v>1</v>
      </c>
      <c r="J17" s="45">
        <v>8</v>
      </c>
      <c r="K17" s="45">
        <v>8</v>
      </c>
    </row>
    <row r="18" spans="4:11">
      <c r="D18" s="42">
        <v>46168</v>
      </c>
      <c r="E18" s="43">
        <v>1606374</v>
      </c>
      <c r="F18" s="43" t="s">
        <v>13</v>
      </c>
      <c r="G18" s="44">
        <v>20401317</v>
      </c>
      <c r="H18" s="43" t="s">
        <v>34</v>
      </c>
      <c r="I18" s="44">
        <v>1</v>
      </c>
      <c r="J18" s="45">
        <v>16.5</v>
      </c>
      <c r="K18" s="45">
        <v>16.5</v>
      </c>
    </row>
    <row r="19" spans="4:11">
      <c r="D19" s="42">
        <v>46168</v>
      </c>
      <c r="E19" s="43">
        <v>1606374</v>
      </c>
      <c r="F19" s="43" t="s">
        <v>13</v>
      </c>
      <c r="G19" s="44">
        <v>20313588</v>
      </c>
      <c r="H19" s="43" t="s">
        <v>30</v>
      </c>
      <c r="I19" s="44">
        <v>2</v>
      </c>
      <c r="J19" s="45">
        <v>8</v>
      </c>
      <c r="K19" s="45">
        <v>16</v>
      </c>
    </row>
    <row r="20" spans="4:11">
      <c r="D20" s="42">
        <v>46168</v>
      </c>
      <c r="E20" s="43">
        <v>1606374</v>
      </c>
      <c r="F20" s="43" t="s">
        <v>13</v>
      </c>
      <c r="G20" s="44">
        <v>20377357</v>
      </c>
      <c r="H20" s="43" t="s">
        <v>37</v>
      </c>
      <c r="I20" s="44">
        <v>4</v>
      </c>
      <c r="J20" s="45">
        <v>8</v>
      </c>
      <c r="K20" s="45">
        <v>32</v>
      </c>
    </row>
    <row r="21" spans="4:11">
      <c r="D21" s="42">
        <v>46169</v>
      </c>
      <c r="E21" s="43">
        <v>1606695</v>
      </c>
      <c r="F21" s="43" t="s">
        <v>13</v>
      </c>
      <c r="G21" s="44">
        <v>20005207</v>
      </c>
      <c r="H21" s="43" t="s">
        <v>38</v>
      </c>
      <c r="I21" s="44">
        <v>1</v>
      </c>
      <c r="J21" s="45">
        <v>8</v>
      </c>
      <c r="K21" s="45">
        <v>8</v>
      </c>
    </row>
    <row r="22" spans="4:11">
      <c r="D22" s="42">
        <v>46169</v>
      </c>
      <c r="E22" s="43">
        <v>1606695</v>
      </c>
      <c r="F22" s="43" t="s">
        <v>13</v>
      </c>
      <c r="G22" s="44">
        <v>20406735</v>
      </c>
      <c r="H22" s="43" t="s">
        <v>39</v>
      </c>
      <c r="I22" s="44">
        <v>1</v>
      </c>
      <c r="J22" s="45">
        <v>8</v>
      </c>
      <c r="K22" s="45">
        <v>8</v>
      </c>
    </row>
    <row r="23" spans="4:11">
      <c r="D23" s="42">
        <v>46169</v>
      </c>
      <c r="E23" s="43">
        <v>1606695</v>
      </c>
      <c r="F23" s="43" t="s">
        <v>13</v>
      </c>
      <c r="G23" s="44">
        <v>20394943</v>
      </c>
      <c r="H23" s="43" t="s">
        <v>35</v>
      </c>
      <c r="I23" s="44">
        <v>1</v>
      </c>
      <c r="J23" s="45">
        <v>11</v>
      </c>
      <c r="K23" s="45">
        <v>11</v>
      </c>
    </row>
    <row r="24" spans="4:11">
      <c r="D24" s="42">
        <v>46169</v>
      </c>
      <c r="E24" s="43">
        <v>1606695</v>
      </c>
      <c r="F24" s="43" t="s">
        <v>13</v>
      </c>
      <c r="G24" s="44">
        <v>20313588</v>
      </c>
      <c r="H24" s="43" t="s">
        <v>30</v>
      </c>
      <c r="I24" s="44">
        <v>1</v>
      </c>
      <c r="J24" s="45">
        <v>8</v>
      </c>
      <c r="K24" s="45">
        <v>8</v>
      </c>
    </row>
    <row r="25" spans="4:11">
      <c r="D25" s="42">
        <v>46169</v>
      </c>
      <c r="E25" s="43">
        <v>1606695</v>
      </c>
      <c r="F25" s="43" t="s">
        <v>13</v>
      </c>
      <c r="G25" s="44">
        <v>20396337</v>
      </c>
      <c r="H25" s="43" t="s">
        <v>40</v>
      </c>
      <c r="I25" s="44">
        <v>1</v>
      </c>
      <c r="J25" s="45">
        <v>8</v>
      </c>
      <c r="K25" s="45">
        <v>8</v>
      </c>
    </row>
    <row r="26" spans="4:11">
      <c r="D26" s="42">
        <v>46169</v>
      </c>
      <c r="E26" s="43">
        <v>1606695</v>
      </c>
      <c r="F26" s="43" t="s">
        <v>13</v>
      </c>
      <c r="G26" s="44">
        <v>20395495</v>
      </c>
      <c r="H26" s="43" t="s">
        <v>36</v>
      </c>
      <c r="I26" s="44">
        <v>2</v>
      </c>
      <c r="J26" s="45">
        <v>13.5</v>
      </c>
      <c r="K26" s="45">
        <v>27</v>
      </c>
    </row>
    <row r="27" spans="4:11">
      <c r="D27" s="42">
        <v>46169</v>
      </c>
      <c r="E27" s="43">
        <v>1606695</v>
      </c>
      <c r="F27" s="43" t="s">
        <v>13</v>
      </c>
      <c r="G27" s="44">
        <v>20396335</v>
      </c>
      <c r="H27" s="43" t="s">
        <v>31</v>
      </c>
      <c r="I27" s="44">
        <v>2</v>
      </c>
      <c r="J27" s="45">
        <v>8</v>
      </c>
      <c r="K27" s="45">
        <v>16</v>
      </c>
    </row>
    <row r="28" spans="4:11">
      <c r="D28" s="42">
        <v>46169</v>
      </c>
      <c r="E28" s="43">
        <v>1606695</v>
      </c>
      <c r="F28" s="43" t="s">
        <v>13</v>
      </c>
      <c r="G28" s="44">
        <v>20423781</v>
      </c>
      <c r="H28" s="43" t="s">
        <v>41</v>
      </c>
      <c r="I28" s="44">
        <v>1</v>
      </c>
      <c r="J28" s="45">
        <v>8</v>
      </c>
      <c r="K28" s="45">
        <v>8</v>
      </c>
    </row>
    <row r="29" spans="4:11">
      <c r="D29" s="42">
        <v>46169</v>
      </c>
      <c r="E29" s="43">
        <v>1606786</v>
      </c>
      <c r="F29" s="43" t="s">
        <v>13</v>
      </c>
      <c r="G29" s="44">
        <v>20376624</v>
      </c>
      <c r="H29" s="43" t="s">
        <v>33</v>
      </c>
      <c r="I29" s="44">
        <v>1</v>
      </c>
      <c r="J29" s="45">
        <v>8</v>
      </c>
      <c r="K29" s="45">
        <v>8</v>
      </c>
    </row>
    <row r="30" spans="4:11">
      <c r="D30" s="42">
        <v>46169</v>
      </c>
      <c r="E30" s="43">
        <v>1606786</v>
      </c>
      <c r="F30" s="43" t="s">
        <v>13</v>
      </c>
      <c r="G30" s="44">
        <v>20394943</v>
      </c>
      <c r="H30" s="43" t="s">
        <v>35</v>
      </c>
      <c r="I30" s="44">
        <v>1</v>
      </c>
      <c r="J30" s="45">
        <v>11</v>
      </c>
      <c r="K30" s="45">
        <v>11</v>
      </c>
    </row>
    <row r="31" spans="4:11">
      <c r="D31" s="42">
        <v>46169</v>
      </c>
      <c r="E31" s="43">
        <v>1606786</v>
      </c>
      <c r="F31" s="43" t="s">
        <v>13</v>
      </c>
      <c r="G31" s="44">
        <v>20396337</v>
      </c>
      <c r="H31" s="43" t="s">
        <v>40</v>
      </c>
      <c r="I31" s="44">
        <v>3</v>
      </c>
      <c r="J31" s="45">
        <v>8</v>
      </c>
      <c r="K31" s="45">
        <v>24</v>
      </c>
    </row>
    <row r="32" spans="4:11">
      <c r="D32" s="42">
        <v>46169</v>
      </c>
      <c r="E32" s="43">
        <v>1606786</v>
      </c>
      <c r="F32" s="43" t="s">
        <v>13</v>
      </c>
      <c r="G32" s="44">
        <v>20395495</v>
      </c>
      <c r="H32" s="43" t="s">
        <v>36</v>
      </c>
      <c r="I32" s="44">
        <v>2</v>
      </c>
      <c r="J32" s="45">
        <v>13.5</v>
      </c>
      <c r="K32" s="45">
        <v>27</v>
      </c>
    </row>
    <row r="33" spans="4:11">
      <c r="D33" s="42">
        <v>46170</v>
      </c>
      <c r="E33" s="43">
        <v>1607007</v>
      </c>
      <c r="F33" s="43" t="s">
        <v>13</v>
      </c>
      <c r="G33" s="44">
        <v>20376624</v>
      </c>
      <c r="H33" s="43" t="s">
        <v>33</v>
      </c>
      <c r="I33" s="44">
        <v>1</v>
      </c>
      <c r="J33" s="45">
        <v>8</v>
      </c>
      <c r="K33" s="45">
        <v>8</v>
      </c>
    </row>
    <row r="34" spans="4:11">
      <c r="D34" s="42">
        <v>46170</v>
      </c>
      <c r="E34" s="43">
        <v>1607007</v>
      </c>
      <c r="F34" s="43" t="s">
        <v>13</v>
      </c>
      <c r="G34" s="44">
        <v>20313588</v>
      </c>
      <c r="H34" s="43" t="s">
        <v>30</v>
      </c>
      <c r="I34" s="44">
        <v>4</v>
      </c>
      <c r="J34" s="45">
        <v>8</v>
      </c>
      <c r="K34" s="45">
        <v>32</v>
      </c>
    </row>
    <row r="35" spans="4:11">
      <c r="D35" s="42">
        <v>46170</v>
      </c>
      <c r="E35" s="43">
        <v>1607007</v>
      </c>
      <c r="F35" s="43" t="s">
        <v>13</v>
      </c>
      <c r="G35" s="44">
        <v>20402556</v>
      </c>
      <c r="H35" s="43" t="s">
        <v>42</v>
      </c>
      <c r="I35" s="44">
        <v>1</v>
      </c>
      <c r="J35" s="45">
        <v>16.5</v>
      </c>
      <c r="K35" s="45">
        <v>16.5</v>
      </c>
    </row>
    <row r="36" spans="4:11">
      <c r="D36" s="42">
        <v>46170</v>
      </c>
      <c r="E36" s="43">
        <v>1607007</v>
      </c>
      <c r="F36" s="43" t="s">
        <v>13</v>
      </c>
      <c r="G36" s="44">
        <v>20397287</v>
      </c>
      <c r="H36" s="43" t="s">
        <v>43</v>
      </c>
      <c r="I36" s="44">
        <v>1</v>
      </c>
      <c r="J36" s="45">
        <v>13.5</v>
      </c>
      <c r="K36" s="45">
        <v>13.5</v>
      </c>
    </row>
    <row r="37" spans="4:11">
      <c r="D37" s="42">
        <v>46170</v>
      </c>
      <c r="E37" s="43">
        <v>1607007</v>
      </c>
      <c r="F37" s="43" t="s">
        <v>13</v>
      </c>
      <c r="G37" s="44">
        <v>20395836</v>
      </c>
      <c r="H37" s="43" t="s">
        <v>44</v>
      </c>
      <c r="I37" s="44">
        <v>1</v>
      </c>
      <c r="J37" s="45">
        <v>8</v>
      </c>
      <c r="K37" s="45">
        <v>8</v>
      </c>
    </row>
    <row r="38" spans="4:11">
      <c r="D38" s="42">
        <v>46170</v>
      </c>
      <c r="E38" s="43">
        <v>1607007</v>
      </c>
      <c r="F38" s="43" t="s">
        <v>13</v>
      </c>
      <c r="G38" s="44">
        <v>20396335</v>
      </c>
      <c r="H38" s="43" t="s">
        <v>31</v>
      </c>
      <c r="I38" s="44">
        <v>1</v>
      </c>
      <c r="J38" s="45">
        <v>8</v>
      </c>
      <c r="K38" s="45">
        <v>8</v>
      </c>
    </row>
    <row r="39" spans="4:11">
      <c r="D39" s="42">
        <v>46170</v>
      </c>
      <c r="E39" s="43">
        <v>1607007</v>
      </c>
      <c r="F39" s="43" t="s">
        <v>13</v>
      </c>
      <c r="G39" s="44">
        <v>20377357</v>
      </c>
      <c r="H39" s="43" t="s">
        <v>37</v>
      </c>
      <c r="I39" s="44">
        <v>4</v>
      </c>
      <c r="J39" s="45">
        <v>8</v>
      </c>
      <c r="K39" s="45">
        <v>32</v>
      </c>
    </row>
    <row r="40" spans="4:11">
      <c r="D40" s="42">
        <v>46170</v>
      </c>
      <c r="E40" s="43">
        <v>1607007</v>
      </c>
      <c r="F40" s="43" t="s">
        <v>13</v>
      </c>
      <c r="G40" s="44">
        <v>20395865</v>
      </c>
      <c r="H40" s="43" t="s">
        <v>45</v>
      </c>
      <c r="I40" s="44">
        <v>1</v>
      </c>
      <c r="J40" s="45">
        <v>8</v>
      </c>
      <c r="K40" s="45">
        <v>8</v>
      </c>
    </row>
    <row r="41" spans="4:11">
      <c r="D41" s="42">
        <v>46170</v>
      </c>
      <c r="E41" s="43">
        <v>1607007</v>
      </c>
      <c r="F41" s="43" t="s">
        <v>13</v>
      </c>
      <c r="G41" s="44">
        <v>20395867</v>
      </c>
      <c r="H41" s="43" t="s">
        <v>46</v>
      </c>
      <c r="I41" s="44">
        <v>1</v>
      </c>
      <c r="J41" s="45">
        <v>11</v>
      </c>
      <c r="K41" s="45">
        <v>11</v>
      </c>
    </row>
    <row r="42" spans="4:11">
      <c r="D42" s="42">
        <v>46170</v>
      </c>
      <c r="E42" s="43">
        <v>1607007</v>
      </c>
      <c r="F42" s="43" t="s">
        <v>16</v>
      </c>
      <c r="G42" s="44">
        <v>20395868</v>
      </c>
      <c r="H42" s="43" t="s">
        <v>47</v>
      </c>
      <c r="I42" s="44">
        <v>1</v>
      </c>
      <c r="J42" s="45">
        <v>16.5</v>
      </c>
      <c r="K42" s="45">
        <v>16.5</v>
      </c>
    </row>
    <row r="43" spans="4:11">
      <c r="D43" s="42">
        <v>46171</v>
      </c>
      <c r="E43" s="43">
        <v>1607412</v>
      </c>
      <c r="F43" s="43" t="s">
        <v>13</v>
      </c>
      <c r="G43" s="44">
        <v>20401317</v>
      </c>
      <c r="H43" s="43" t="s">
        <v>34</v>
      </c>
      <c r="I43" s="44">
        <v>1</v>
      </c>
      <c r="J43" s="45">
        <v>16.5</v>
      </c>
      <c r="K43" s="45">
        <v>16.5</v>
      </c>
    </row>
    <row r="44" spans="4:11">
      <c r="D44" s="42">
        <v>46171</v>
      </c>
      <c r="E44" s="43">
        <v>1607412</v>
      </c>
      <c r="F44" s="43" t="s">
        <v>13</v>
      </c>
      <c r="G44" s="44">
        <v>20313588</v>
      </c>
      <c r="H44" s="43" t="s">
        <v>30</v>
      </c>
      <c r="I44" s="44">
        <v>4</v>
      </c>
      <c r="J44" s="45">
        <v>8</v>
      </c>
      <c r="K44" s="45">
        <v>32</v>
      </c>
    </row>
    <row r="45" spans="4:11">
      <c r="D45" s="42">
        <v>46171</v>
      </c>
      <c r="E45" s="43">
        <v>1607412</v>
      </c>
      <c r="F45" s="43" t="s">
        <v>13</v>
      </c>
      <c r="G45" s="44">
        <v>20377357</v>
      </c>
      <c r="H45" s="43" t="s">
        <v>37</v>
      </c>
      <c r="I45" s="44">
        <v>2</v>
      </c>
      <c r="J45" s="45">
        <v>8</v>
      </c>
      <c r="K45" s="45">
        <v>16</v>
      </c>
    </row>
    <row r="46" spans="4:11">
      <c r="D46" s="42">
        <v>46171</v>
      </c>
      <c r="E46" s="43">
        <v>1607412</v>
      </c>
      <c r="F46" s="43" t="s">
        <v>13</v>
      </c>
      <c r="G46" s="44">
        <v>20395088</v>
      </c>
      <c r="H46" s="43" t="s">
        <v>48</v>
      </c>
      <c r="I46" s="44">
        <v>1</v>
      </c>
      <c r="J46" s="45">
        <v>16.5</v>
      </c>
      <c r="K46" s="45">
        <v>16.5</v>
      </c>
    </row>
    <row r="47" spans="4:11">
      <c r="D47" s="42">
        <v>46176</v>
      </c>
      <c r="E47" s="43">
        <v>1608815</v>
      </c>
      <c r="F47" s="43" t="s">
        <v>13</v>
      </c>
      <c r="G47" s="44">
        <v>20401317</v>
      </c>
      <c r="H47" s="43" t="s">
        <v>34</v>
      </c>
      <c r="I47" s="44">
        <v>1</v>
      </c>
      <c r="J47" s="45">
        <v>16.5</v>
      </c>
      <c r="K47" s="45">
        <v>16.5</v>
      </c>
    </row>
    <row r="48" spans="4:11">
      <c r="D48" s="42">
        <v>46176</v>
      </c>
      <c r="E48" s="43">
        <v>1608815</v>
      </c>
      <c r="F48" s="43" t="s">
        <v>13</v>
      </c>
      <c r="G48" s="44">
        <v>20406735</v>
      </c>
      <c r="H48" s="43" t="s">
        <v>39</v>
      </c>
      <c r="I48" s="44">
        <v>1</v>
      </c>
      <c r="J48" s="45">
        <v>8</v>
      </c>
      <c r="K48" s="45">
        <v>8</v>
      </c>
    </row>
    <row r="49" spans="4:11">
      <c r="D49" s="42">
        <v>46176</v>
      </c>
      <c r="E49" s="43">
        <v>1608815</v>
      </c>
      <c r="F49" s="43" t="s">
        <v>13</v>
      </c>
      <c r="G49" s="44">
        <v>20394943</v>
      </c>
      <c r="H49" s="43" t="s">
        <v>35</v>
      </c>
      <c r="I49" s="44">
        <v>1</v>
      </c>
      <c r="J49" s="45">
        <v>11</v>
      </c>
      <c r="K49" s="45">
        <v>11</v>
      </c>
    </row>
    <row r="50" spans="4:11">
      <c r="D50" s="42">
        <v>46176</v>
      </c>
      <c r="E50" s="43">
        <v>1608815</v>
      </c>
      <c r="F50" s="43" t="s">
        <v>13</v>
      </c>
      <c r="G50" s="44">
        <v>20313588</v>
      </c>
      <c r="H50" s="43" t="s">
        <v>30</v>
      </c>
      <c r="I50" s="44">
        <v>3</v>
      </c>
      <c r="J50" s="45">
        <v>8</v>
      </c>
      <c r="K50" s="45">
        <v>24</v>
      </c>
    </row>
    <row r="51" spans="4:11">
      <c r="D51" s="42">
        <v>46176</v>
      </c>
      <c r="E51" s="43">
        <v>1608815</v>
      </c>
      <c r="F51" s="43" t="s">
        <v>13</v>
      </c>
      <c r="G51" s="44">
        <v>20396337</v>
      </c>
      <c r="H51" s="43" t="s">
        <v>40</v>
      </c>
      <c r="I51" s="44">
        <v>2</v>
      </c>
      <c r="J51" s="45">
        <v>8</v>
      </c>
      <c r="K51" s="45">
        <v>16</v>
      </c>
    </row>
    <row r="52" spans="4:11">
      <c r="D52" s="42">
        <v>46176</v>
      </c>
      <c r="E52" s="43">
        <v>1608815</v>
      </c>
      <c r="F52" s="43" t="s">
        <v>13</v>
      </c>
      <c r="G52" s="44">
        <v>20395495</v>
      </c>
      <c r="H52" s="43" t="s">
        <v>36</v>
      </c>
      <c r="I52" s="44">
        <v>2</v>
      </c>
      <c r="J52" s="45">
        <v>13.5</v>
      </c>
      <c r="K52" s="45">
        <v>27</v>
      </c>
    </row>
    <row r="53" spans="4:11">
      <c r="D53" s="42">
        <v>46176</v>
      </c>
      <c r="E53" s="43">
        <v>1608815</v>
      </c>
      <c r="F53" s="43" t="s">
        <v>13</v>
      </c>
      <c r="G53" s="44">
        <v>20377357</v>
      </c>
      <c r="H53" s="43" t="s">
        <v>37</v>
      </c>
      <c r="I53" s="44">
        <v>1</v>
      </c>
      <c r="J53" s="45">
        <v>8</v>
      </c>
      <c r="K53" s="45">
        <v>8</v>
      </c>
    </row>
    <row r="54" spans="4:11">
      <c r="D54" s="42">
        <v>46177</v>
      </c>
      <c r="E54" s="43">
        <v>1609090</v>
      </c>
      <c r="F54" s="43" t="s">
        <v>13</v>
      </c>
      <c r="G54" s="44">
        <v>20376624</v>
      </c>
      <c r="H54" s="43" t="s">
        <v>33</v>
      </c>
      <c r="I54" s="44">
        <v>1</v>
      </c>
      <c r="J54" s="45">
        <v>8</v>
      </c>
      <c r="K54" s="45">
        <v>8</v>
      </c>
    </row>
    <row r="55" spans="4:11">
      <c r="D55" s="42">
        <v>46177</v>
      </c>
      <c r="E55" s="43">
        <v>1609090</v>
      </c>
      <c r="F55" s="43" t="s">
        <v>13</v>
      </c>
      <c r="G55" s="44">
        <v>20401317</v>
      </c>
      <c r="H55" s="43" t="s">
        <v>34</v>
      </c>
      <c r="I55" s="44">
        <v>1</v>
      </c>
      <c r="J55" s="45">
        <v>16.5</v>
      </c>
      <c r="K55" s="45">
        <v>16.5</v>
      </c>
    </row>
    <row r="56" spans="4:11">
      <c r="D56" s="42">
        <v>46177</v>
      </c>
      <c r="E56" s="43">
        <v>1609090</v>
      </c>
      <c r="F56" s="43" t="s">
        <v>13</v>
      </c>
      <c r="G56" s="44">
        <v>20394943</v>
      </c>
      <c r="H56" s="43" t="s">
        <v>35</v>
      </c>
      <c r="I56" s="44">
        <v>2</v>
      </c>
      <c r="J56" s="45">
        <v>11</v>
      </c>
      <c r="K56" s="45">
        <v>22</v>
      </c>
    </row>
    <row r="57" spans="4:11">
      <c r="D57" s="42">
        <v>46177</v>
      </c>
      <c r="E57" s="43">
        <v>1609090</v>
      </c>
      <c r="F57" s="43" t="s">
        <v>13</v>
      </c>
      <c r="G57" s="44">
        <v>20313588</v>
      </c>
      <c r="H57" s="43" t="s">
        <v>30</v>
      </c>
      <c r="I57" s="44">
        <v>3</v>
      </c>
      <c r="J57" s="45">
        <v>8</v>
      </c>
      <c r="K57" s="45">
        <v>24</v>
      </c>
    </row>
    <row r="58" spans="4:11">
      <c r="D58" s="42">
        <v>46177</v>
      </c>
      <c r="E58" s="43">
        <v>1609090</v>
      </c>
      <c r="F58" s="43" t="s">
        <v>13</v>
      </c>
      <c r="G58" s="44">
        <v>20395836</v>
      </c>
      <c r="H58" s="43" t="s">
        <v>44</v>
      </c>
      <c r="I58" s="44">
        <v>1</v>
      </c>
      <c r="J58" s="45">
        <v>8</v>
      </c>
      <c r="K58" s="45">
        <v>8</v>
      </c>
    </row>
    <row r="59" spans="4:11">
      <c r="D59" s="42">
        <v>46177</v>
      </c>
      <c r="E59" s="43">
        <v>1609090</v>
      </c>
      <c r="F59" s="43" t="s">
        <v>13</v>
      </c>
      <c r="G59" s="44">
        <v>20396335</v>
      </c>
      <c r="H59" s="43" t="s">
        <v>31</v>
      </c>
      <c r="I59" s="44">
        <v>1</v>
      </c>
      <c r="J59" s="45">
        <v>8</v>
      </c>
      <c r="K59" s="45">
        <v>8</v>
      </c>
    </row>
    <row r="60" spans="4:11">
      <c r="D60" s="42">
        <v>46177</v>
      </c>
      <c r="E60" s="43">
        <v>1609090</v>
      </c>
      <c r="F60" s="43" t="s">
        <v>13</v>
      </c>
      <c r="G60" s="44">
        <v>20377357</v>
      </c>
      <c r="H60" s="43" t="s">
        <v>37</v>
      </c>
      <c r="I60" s="44">
        <v>2</v>
      </c>
      <c r="J60" s="45">
        <v>8</v>
      </c>
      <c r="K60" s="45">
        <v>16</v>
      </c>
    </row>
    <row r="61" spans="4:11">
      <c r="D61" s="42">
        <v>46177</v>
      </c>
      <c r="E61" s="43">
        <v>1609090</v>
      </c>
      <c r="F61" s="43" t="s">
        <v>13</v>
      </c>
      <c r="G61" s="44">
        <v>20395865</v>
      </c>
      <c r="H61" s="43" t="s">
        <v>45</v>
      </c>
      <c r="I61" s="44">
        <v>2</v>
      </c>
      <c r="J61" s="45">
        <v>8</v>
      </c>
      <c r="K61" s="45">
        <v>16</v>
      </c>
    </row>
    <row r="62" spans="4:11">
      <c r="D62" s="42">
        <v>46177</v>
      </c>
      <c r="E62" s="43">
        <v>1609090</v>
      </c>
      <c r="F62" s="43" t="s">
        <v>13</v>
      </c>
      <c r="G62" s="44">
        <v>20395867</v>
      </c>
      <c r="H62" s="43" t="s">
        <v>46</v>
      </c>
      <c r="I62" s="44">
        <v>1</v>
      </c>
      <c r="J62" s="45">
        <v>11</v>
      </c>
      <c r="K62" s="45">
        <v>11</v>
      </c>
    </row>
    <row r="63" spans="4:11">
      <c r="D63" s="42">
        <v>46177</v>
      </c>
      <c r="E63" s="43">
        <v>1609090</v>
      </c>
      <c r="F63" s="43" t="s">
        <v>16</v>
      </c>
      <c r="G63" s="44">
        <v>20395868</v>
      </c>
      <c r="H63" s="43" t="s">
        <v>47</v>
      </c>
      <c r="I63" s="44">
        <v>1</v>
      </c>
      <c r="J63" s="45">
        <v>16.5</v>
      </c>
      <c r="K63" s="45">
        <v>16.5</v>
      </c>
    </row>
    <row r="64" spans="4:11">
      <c r="D64" s="42">
        <v>46177</v>
      </c>
      <c r="E64" s="43">
        <v>1609194</v>
      </c>
      <c r="F64" s="43" t="s">
        <v>13</v>
      </c>
      <c r="G64" s="44">
        <v>20394943</v>
      </c>
      <c r="H64" s="43" t="s">
        <v>35</v>
      </c>
      <c r="I64" s="44">
        <v>1</v>
      </c>
      <c r="J64" s="45">
        <v>11</v>
      </c>
      <c r="K64" s="45">
        <v>11</v>
      </c>
    </row>
    <row r="65" spans="4:11">
      <c r="D65" s="42">
        <v>46177</v>
      </c>
      <c r="E65" s="43">
        <v>1609194</v>
      </c>
      <c r="F65" s="43" t="s">
        <v>13</v>
      </c>
      <c r="G65" s="44">
        <v>20313588</v>
      </c>
      <c r="H65" s="43" t="s">
        <v>30</v>
      </c>
      <c r="I65" s="44">
        <v>1</v>
      </c>
      <c r="J65" s="45">
        <v>8</v>
      </c>
      <c r="K65" s="45">
        <v>8</v>
      </c>
    </row>
    <row r="66" spans="4:11">
      <c r="D66" s="42">
        <v>46177</v>
      </c>
      <c r="E66" s="43">
        <v>1609194</v>
      </c>
      <c r="F66" s="43" t="s">
        <v>13</v>
      </c>
      <c r="G66" s="44">
        <v>20402556</v>
      </c>
      <c r="H66" s="43" t="s">
        <v>42</v>
      </c>
      <c r="I66" s="44">
        <v>1</v>
      </c>
      <c r="J66" s="45">
        <v>16.5</v>
      </c>
      <c r="K66" s="45">
        <v>16.5</v>
      </c>
    </row>
    <row r="67" spans="4:11">
      <c r="D67" s="42">
        <v>46177</v>
      </c>
      <c r="E67" s="43">
        <v>1609194</v>
      </c>
      <c r="F67" s="43" t="s">
        <v>13</v>
      </c>
      <c r="G67" s="44">
        <v>20396337</v>
      </c>
      <c r="H67" s="43" t="s">
        <v>40</v>
      </c>
      <c r="I67" s="44">
        <v>1</v>
      </c>
      <c r="J67" s="45">
        <v>8</v>
      </c>
      <c r="K67" s="45">
        <v>8</v>
      </c>
    </row>
    <row r="68" spans="4:11">
      <c r="D68" s="42">
        <v>46177</v>
      </c>
      <c r="E68" s="43">
        <v>1609194</v>
      </c>
      <c r="F68" s="43" t="s">
        <v>13</v>
      </c>
      <c r="G68" s="44">
        <v>20396335</v>
      </c>
      <c r="H68" s="43" t="s">
        <v>31</v>
      </c>
      <c r="I68" s="44">
        <v>1</v>
      </c>
      <c r="J68" s="45">
        <v>8</v>
      </c>
      <c r="K68" s="45">
        <v>8</v>
      </c>
    </row>
    <row r="69" spans="4:11">
      <c r="D69" s="42">
        <v>46177</v>
      </c>
      <c r="E69" s="43">
        <v>1609194</v>
      </c>
      <c r="F69" s="43" t="s">
        <v>13</v>
      </c>
      <c r="G69" s="44">
        <v>20377357</v>
      </c>
      <c r="H69" s="43" t="s">
        <v>37</v>
      </c>
      <c r="I69" s="44">
        <v>1</v>
      </c>
      <c r="J69" s="45">
        <v>8</v>
      </c>
      <c r="K69" s="45">
        <v>8</v>
      </c>
    </row>
    <row r="70" spans="4:11">
      <c r="D70" s="42">
        <v>46178</v>
      </c>
      <c r="E70" s="43">
        <v>1609448</v>
      </c>
      <c r="F70" s="43" t="s">
        <v>13</v>
      </c>
      <c r="G70" s="44">
        <v>20398525</v>
      </c>
      <c r="H70" s="43" t="s">
        <v>49</v>
      </c>
      <c r="I70" s="44">
        <v>1</v>
      </c>
      <c r="J70" s="45">
        <v>11</v>
      </c>
      <c r="K70" s="45">
        <v>11</v>
      </c>
    </row>
    <row r="71" spans="4:11">
      <c r="D71" s="42">
        <v>46182</v>
      </c>
      <c r="E71" s="43">
        <v>1610551</v>
      </c>
      <c r="F71" s="43" t="s">
        <v>13</v>
      </c>
      <c r="G71" s="44">
        <v>20406253</v>
      </c>
      <c r="H71" s="43" t="s">
        <v>50</v>
      </c>
      <c r="I71" s="44">
        <v>1</v>
      </c>
      <c r="J71" s="45">
        <v>13.5</v>
      </c>
      <c r="K71" s="45">
        <v>13.5</v>
      </c>
    </row>
    <row r="72" spans="4:11">
      <c r="D72" s="42">
        <v>46182</v>
      </c>
      <c r="E72" s="43">
        <v>1610551</v>
      </c>
      <c r="F72" s="43" t="s">
        <v>13</v>
      </c>
      <c r="G72" s="44">
        <v>20394943</v>
      </c>
      <c r="H72" s="43" t="s">
        <v>35</v>
      </c>
      <c r="I72" s="44">
        <v>2</v>
      </c>
      <c r="J72" s="45">
        <v>11</v>
      </c>
      <c r="K72" s="45">
        <v>22</v>
      </c>
    </row>
    <row r="73" spans="4:11">
      <c r="D73" s="42">
        <v>46182</v>
      </c>
      <c r="E73" s="43">
        <v>1610551</v>
      </c>
      <c r="F73" s="43" t="s">
        <v>13</v>
      </c>
      <c r="G73" s="44">
        <v>20313588</v>
      </c>
      <c r="H73" s="43" t="s">
        <v>30</v>
      </c>
      <c r="I73" s="44">
        <v>9</v>
      </c>
      <c r="J73" s="45">
        <v>8</v>
      </c>
      <c r="K73" s="45">
        <v>72</v>
      </c>
    </row>
    <row r="74" spans="4:11">
      <c r="D74" s="42">
        <v>46182</v>
      </c>
      <c r="E74" s="43">
        <v>1610551</v>
      </c>
      <c r="F74" s="43" t="s">
        <v>13</v>
      </c>
      <c r="G74" s="44">
        <v>20393917</v>
      </c>
      <c r="H74" s="43" t="s">
        <v>51</v>
      </c>
      <c r="I74" s="44">
        <v>1</v>
      </c>
      <c r="J74" s="45">
        <v>11</v>
      </c>
      <c r="K74" s="45">
        <v>11</v>
      </c>
    </row>
    <row r="75" spans="4:11">
      <c r="D75" s="42">
        <v>46182</v>
      </c>
      <c r="E75" s="43">
        <v>1610551</v>
      </c>
      <c r="F75" s="43" t="s">
        <v>13</v>
      </c>
      <c r="G75" s="44">
        <v>20395836</v>
      </c>
      <c r="H75" s="43" t="s">
        <v>44</v>
      </c>
      <c r="I75" s="44">
        <v>1</v>
      </c>
      <c r="J75" s="45">
        <v>8</v>
      </c>
      <c r="K75" s="45">
        <v>8</v>
      </c>
    </row>
    <row r="76" spans="4:11">
      <c r="D76" s="42">
        <v>46182</v>
      </c>
      <c r="E76" s="43">
        <v>1610551</v>
      </c>
      <c r="F76" s="43" t="s">
        <v>13</v>
      </c>
      <c r="G76" s="44">
        <v>20396337</v>
      </c>
      <c r="H76" s="43" t="s">
        <v>40</v>
      </c>
      <c r="I76" s="44">
        <v>1</v>
      </c>
      <c r="J76" s="45">
        <v>8</v>
      </c>
      <c r="K76" s="45">
        <v>8</v>
      </c>
    </row>
    <row r="77" spans="4:11">
      <c r="D77" s="42">
        <v>46182</v>
      </c>
      <c r="E77" s="43">
        <v>1610551</v>
      </c>
      <c r="F77" s="43" t="s">
        <v>13</v>
      </c>
      <c r="G77" s="44">
        <v>20396335</v>
      </c>
      <c r="H77" s="43" t="s">
        <v>31</v>
      </c>
      <c r="I77" s="44">
        <v>2</v>
      </c>
      <c r="J77" s="45">
        <v>8</v>
      </c>
      <c r="K77" s="45">
        <v>16</v>
      </c>
    </row>
    <row r="78" spans="4:11">
      <c r="D78" s="42">
        <v>46182</v>
      </c>
      <c r="E78" s="43">
        <v>1610551</v>
      </c>
      <c r="F78" s="43" t="s">
        <v>13</v>
      </c>
      <c r="G78" s="44">
        <v>20377357</v>
      </c>
      <c r="H78" s="43" t="s">
        <v>37</v>
      </c>
      <c r="I78" s="44">
        <v>3</v>
      </c>
      <c r="J78" s="45">
        <v>8</v>
      </c>
      <c r="K78" s="45">
        <v>24</v>
      </c>
    </row>
    <row r="79" spans="4:11">
      <c r="D79" s="42">
        <v>46182</v>
      </c>
      <c r="E79" s="43">
        <v>1610551</v>
      </c>
      <c r="F79" s="43" t="s">
        <v>13</v>
      </c>
      <c r="G79" s="44">
        <v>20395865</v>
      </c>
      <c r="H79" s="43" t="s">
        <v>45</v>
      </c>
      <c r="I79" s="44">
        <v>1</v>
      </c>
      <c r="J79" s="45">
        <v>8</v>
      </c>
      <c r="K79" s="45">
        <v>8</v>
      </c>
    </row>
    <row r="80" spans="4:11">
      <c r="D80" s="42">
        <v>46182</v>
      </c>
      <c r="E80" s="43">
        <v>1610551</v>
      </c>
      <c r="F80" s="43" t="s">
        <v>13</v>
      </c>
      <c r="G80" s="44">
        <v>20395867</v>
      </c>
      <c r="H80" s="43" t="s">
        <v>46</v>
      </c>
      <c r="I80" s="44">
        <v>1</v>
      </c>
      <c r="J80" s="45">
        <v>11</v>
      </c>
      <c r="K80" s="45">
        <v>11</v>
      </c>
    </row>
    <row r="81" spans="4:11">
      <c r="D81" s="42">
        <v>46182</v>
      </c>
      <c r="E81" s="43">
        <v>1610551</v>
      </c>
      <c r="F81" s="43" t="s">
        <v>16</v>
      </c>
      <c r="G81" s="44">
        <v>20395868</v>
      </c>
      <c r="H81" s="43" t="s">
        <v>47</v>
      </c>
      <c r="I81" s="44">
        <v>1</v>
      </c>
      <c r="J81" s="45">
        <v>16.5</v>
      </c>
      <c r="K81" s="45">
        <v>16.5</v>
      </c>
    </row>
    <row r="82" spans="4:11">
      <c r="D82" s="42">
        <v>46183</v>
      </c>
      <c r="E82" s="43">
        <v>1610934</v>
      </c>
      <c r="F82" s="43" t="s">
        <v>13</v>
      </c>
      <c r="G82" s="44">
        <v>20401317</v>
      </c>
      <c r="H82" s="43" t="s">
        <v>34</v>
      </c>
      <c r="I82" s="44">
        <v>2</v>
      </c>
      <c r="J82" s="45">
        <v>16.5</v>
      </c>
      <c r="K82" s="45">
        <v>33</v>
      </c>
    </row>
    <row r="83" spans="4:11">
      <c r="D83" s="42">
        <v>46183</v>
      </c>
      <c r="E83" s="43">
        <v>1610934</v>
      </c>
      <c r="F83" s="43" t="s">
        <v>13</v>
      </c>
      <c r="G83" s="44">
        <v>20394943</v>
      </c>
      <c r="H83" s="43" t="s">
        <v>35</v>
      </c>
      <c r="I83" s="44">
        <v>2</v>
      </c>
      <c r="J83" s="45">
        <v>11</v>
      </c>
      <c r="K83" s="45">
        <v>22</v>
      </c>
    </row>
    <row r="84" spans="4:11">
      <c r="D84" s="42">
        <v>46183</v>
      </c>
      <c r="E84" s="43">
        <v>1610934</v>
      </c>
      <c r="F84" s="43" t="s">
        <v>13</v>
      </c>
      <c r="G84" s="44">
        <v>20313588</v>
      </c>
      <c r="H84" s="43" t="s">
        <v>30</v>
      </c>
      <c r="I84" s="44">
        <v>4</v>
      </c>
      <c r="J84" s="45">
        <v>8</v>
      </c>
      <c r="K84" s="45">
        <v>32</v>
      </c>
    </row>
    <row r="85" spans="4:11">
      <c r="D85" s="42">
        <v>46183</v>
      </c>
      <c r="E85" s="43">
        <v>1610934</v>
      </c>
      <c r="F85" s="43" t="s">
        <v>13</v>
      </c>
      <c r="G85" s="44">
        <v>20396337</v>
      </c>
      <c r="H85" s="43" t="s">
        <v>40</v>
      </c>
      <c r="I85" s="44">
        <v>5</v>
      </c>
      <c r="J85" s="45">
        <v>8</v>
      </c>
      <c r="K85" s="45">
        <v>40</v>
      </c>
    </row>
    <row r="86" spans="4:11">
      <c r="D86" s="42">
        <v>46183</v>
      </c>
      <c r="E86" s="43">
        <v>1610934</v>
      </c>
      <c r="F86" s="43" t="s">
        <v>13</v>
      </c>
      <c r="G86" s="44">
        <v>20396335</v>
      </c>
      <c r="H86" s="43" t="s">
        <v>31</v>
      </c>
      <c r="I86" s="44">
        <v>1</v>
      </c>
      <c r="J86" s="45">
        <v>8</v>
      </c>
      <c r="K86" s="45">
        <v>8</v>
      </c>
    </row>
    <row r="87" spans="4:11">
      <c r="D87" s="42">
        <v>46183</v>
      </c>
      <c r="E87" s="43">
        <v>1610934</v>
      </c>
      <c r="F87" s="43" t="s">
        <v>13</v>
      </c>
      <c r="G87" s="44">
        <v>20377357</v>
      </c>
      <c r="H87" s="43" t="s">
        <v>37</v>
      </c>
      <c r="I87" s="44">
        <v>2</v>
      </c>
      <c r="J87" s="45">
        <v>8</v>
      </c>
      <c r="K87" s="45">
        <v>16</v>
      </c>
    </row>
    <row r="88" spans="4:11">
      <c r="D88" s="42">
        <v>46183</v>
      </c>
      <c r="E88" s="43">
        <v>1610934</v>
      </c>
      <c r="F88" s="43" t="s">
        <v>13</v>
      </c>
      <c r="G88" s="44">
        <v>20395867</v>
      </c>
      <c r="H88" s="43" t="s">
        <v>46</v>
      </c>
      <c r="I88" s="44">
        <v>1</v>
      </c>
      <c r="J88" s="45">
        <v>11</v>
      </c>
      <c r="K88" s="45">
        <v>11</v>
      </c>
    </row>
    <row r="89" spans="4:11">
      <c r="D89" s="42">
        <v>46183</v>
      </c>
      <c r="E89" s="43">
        <v>1610934</v>
      </c>
      <c r="F89" s="43" t="s">
        <v>16</v>
      </c>
      <c r="G89" s="44">
        <v>20395868</v>
      </c>
      <c r="H89" s="43" t="s">
        <v>47</v>
      </c>
      <c r="I89" s="44">
        <v>1</v>
      </c>
      <c r="J89" s="45">
        <v>16.5</v>
      </c>
      <c r="K89" s="45">
        <v>16.5</v>
      </c>
    </row>
    <row r="90" spans="4:11">
      <c r="D90" s="42">
        <v>46183</v>
      </c>
      <c r="E90" s="43">
        <v>1611135</v>
      </c>
      <c r="F90" s="43" t="s">
        <v>13</v>
      </c>
      <c r="G90" s="44">
        <v>20394943</v>
      </c>
      <c r="H90" s="43" t="s">
        <v>35</v>
      </c>
      <c r="I90" s="44">
        <v>2</v>
      </c>
      <c r="J90" s="45">
        <v>11</v>
      </c>
      <c r="K90" s="45">
        <v>22</v>
      </c>
    </row>
    <row r="91" spans="4:11">
      <c r="D91" s="42">
        <v>46183</v>
      </c>
      <c r="E91" s="43">
        <v>1611135</v>
      </c>
      <c r="F91" s="43" t="s">
        <v>13</v>
      </c>
      <c r="G91" s="44">
        <v>20313588</v>
      </c>
      <c r="H91" s="43" t="s">
        <v>30</v>
      </c>
      <c r="I91" s="44">
        <v>1</v>
      </c>
      <c r="J91" s="45">
        <v>8</v>
      </c>
      <c r="K91" s="45">
        <v>8</v>
      </c>
    </row>
    <row r="92" spans="4:11">
      <c r="D92" s="42">
        <v>46183</v>
      </c>
      <c r="E92" s="43">
        <v>1611135</v>
      </c>
      <c r="F92" s="43" t="s">
        <v>13</v>
      </c>
      <c r="G92" s="44">
        <v>20395864</v>
      </c>
      <c r="H92" s="43" t="s">
        <v>52</v>
      </c>
      <c r="I92" s="44">
        <v>1</v>
      </c>
      <c r="J92" s="45">
        <v>8</v>
      </c>
      <c r="K92" s="45">
        <v>8</v>
      </c>
    </row>
    <row r="93" spans="4:11">
      <c r="D93" s="42">
        <v>46183</v>
      </c>
      <c r="E93" s="43">
        <v>1611135</v>
      </c>
      <c r="F93" s="43" t="s">
        <v>13</v>
      </c>
      <c r="G93" s="44">
        <v>20395495</v>
      </c>
      <c r="H93" s="43" t="s">
        <v>36</v>
      </c>
      <c r="I93" s="44">
        <v>2</v>
      </c>
      <c r="J93" s="45">
        <v>13.5</v>
      </c>
      <c r="K93" s="45">
        <v>27</v>
      </c>
    </row>
    <row r="94" spans="4:11">
      <c r="D94" s="42">
        <v>46183</v>
      </c>
      <c r="E94" s="43">
        <v>1611135</v>
      </c>
      <c r="F94" s="43" t="s">
        <v>13</v>
      </c>
      <c r="G94" s="44">
        <v>20377357</v>
      </c>
      <c r="H94" s="43" t="s">
        <v>37</v>
      </c>
      <c r="I94" s="44">
        <v>1</v>
      </c>
      <c r="J94" s="45">
        <v>8</v>
      </c>
      <c r="K94" s="45">
        <v>8</v>
      </c>
    </row>
    <row r="95" spans="4:11">
      <c r="D95" s="42">
        <v>46184</v>
      </c>
      <c r="E95" s="43">
        <v>1611294</v>
      </c>
      <c r="F95" s="43" t="s">
        <v>13</v>
      </c>
      <c r="G95" s="44">
        <v>20401317</v>
      </c>
      <c r="H95" s="43" t="s">
        <v>34</v>
      </c>
      <c r="I95" s="44">
        <v>1</v>
      </c>
      <c r="J95" s="45">
        <v>16.5</v>
      </c>
      <c r="K95" s="45">
        <v>16.5</v>
      </c>
    </row>
    <row r="96" spans="4:11">
      <c r="D96" s="42">
        <v>46184</v>
      </c>
      <c r="E96" s="43">
        <v>1611294</v>
      </c>
      <c r="F96" s="43" t="s">
        <v>13</v>
      </c>
      <c r="G96" s="44">
        <v>20396337</v>
      </c>
      <c r="H96" s="43" t="s">
        <v>40</v>
      </c>
      <c r="I96" s="44">
        <v>1</v>
      </c>
      <c r="J96" s="45">
        <v>8</v>
      </c>
      <c r="K96" s="45">
        <v>8</v>
      </c>
    </row>
    <row r="97" spans="4:11">
      <c r="D97" s="42">
        <v>46184</v>
      </c>
      <c r="E97" s="43">
        <v>1611294</v>
      </c>
      <c r="F97" s="43" t="s">
        <v>13</v>
      </c>
      <c r="G97" s="44">
        <v>20377357</v>
      </c>
      <c r="H97" s="43" t="s">
        <v>37</v>
      </c>
      <c r="I97" s="44">
        <v>1</v>
      </c>
      <c r="J97" s="45">
        <v>8</v>
      </c>
      <c r="K97" s="45">
        <v>8</v>
      </c>
    </row>
    <row r="98" spans="4:11">
      <c r="D98" s="42">
        <v>46184</v>
      </c>
      <c r="E98" s="43">
        <v>1611571</v>
      </c>
      <c r="F98" s="43" t="s">
        <v>13</v>
      </c>
      <c r="G98" s="44">
        <v>20376624</v>
      </c>
      <c r="H98" s="43" t="s">
        <v>33</v>
      </c>
      <c r="I98" s="44">
        <v>1</v>
      </c>
      <c r="J98" s="45">
        <v>8</v>
      </c>
      <c r="K98" s="45">
        <v>8</v>
      </c>
    </row>
    <row r="99" spans="4:11">
      <c r="D99" s="42">
        <v>46184</v>
      </c>
      <c r="E99" s="43">
        <v>1611571</v>
      </c>
      <c r="F99" s="43" t="s">
        <v>13</v>
      </c>
      <c r="G99" s="44">
        <v>20401317</v>
      </c>
      <c r="H99" s="43" t="s">
        <v>34</v>
      </c>
      <c r="I99" s="44">
        <v>1</v>
      </c>
      <c r="J99" s="45">
        <v>16.5</v>
      </c>
      <c r="K99" s="45">
        <v>16.5</v>
      </c>
    </row>
    <row r="100" spans="4:11">
      <c r="D100" s="42">
        <v>46184</v>
      </c>
      <c r="E100" s="43">
        <v>1611571</v>
      </c>
      <c r="F100" s="43" t="s">
        <v>13</v>
      </c>
      <c r="G100" s="44">
        <v>20394943</v>
      </c>
      <c r="H100" s="43" t="s">
        <v>35</v>
      </c>
      <c r="I100" s="44">
        <v>2</v>
      </c>
      <c r="J100" s="45">
        <v>11</v>
      </c>
      <c r="K100" s="45">
        <v>22</v>
      </c>
    </row>
    <row r="101" spans="4:11">
      <c r="D101" s="42">
        <v>46184</v>
      </c>
      <c r="E101" s="43">
        <v>1611571</v>
      </c>
      <c r="F101" s="43" t="s">
        <v>13</v>
      </c>
      <c r="G101" s="44">
        <v>20313588</v>
      </c>
      <c r="H101" s="43" t="s">
        <v>30</v>
      </c>
      <c r="I101" s="44">
        <v>3</v>
      </c>
      <c r="J101" s="45">
        <v>8</v>
      </c>
      <c r="K101" s="45">
        <v>24</v>
      </c>
    </row>
    <row r="102" spans="4:11">
      <c r="D102" s="42">
        <v>46184</v>
      </c>
      <c r="E102" s="43">
        <v>1611571</v>
      </c>
      <c r="F102" s="43" t="s">
        <v>13</v>
      </c>
      <c r="G102" s="44">
        <v>20396337</v>
      </c>
      <c r="H102" s="43" t="s">
        <v>40</v>
      </c>
      <c r="I102" s="44">
        <v>2</v>
      </c>
      <c r="J102" s="45">
        <v>8</v>
      </c>
      <c r="K102" s="45">
        <v>16</v>
      </c>
    </row>
    <row r="103" spans="4:11">
      <c r="D103" s="42">
        <v>46184</v>
      </c>
      <c r="E103" s="43">
        <v>1611571</v>
      </c>
      <c r="F103" s="43" t="s">
        <v>13</v>
      </c>
      <c r="G103" s="44">
        <v>20395495</v>
      </c>
      <c r="H103" s="43" t="s">
        <v>36</v>
      </c>
      <c r="I103" s="44">
        <v>2</v>
      </c>
      <c r="J103" s="45">
        <v>13.5</v>
      </c>
      <c r="K103" s="45">
        <v>27</v>
      </c>
    </row>
    <row r="104" spans="4:11">
      <c r="D104" s="42">
        <v>46184</v>
      </c>
      <c r="E104" s="43">
        <v>1611571</v>
      </c>
      <c r="F104" s="43" t="s">
        <v>13</v>
      </c>
      <c r="G104" s="44">
        <v>20396339</v>
      </c>
      <c r="H104" s="43" t="s">
        <v>32</v>
      </c>
      <c r="I104" s="44">
        <v>1</v>
      </c>
      <c r="J104" s="45">
        <v>11</v>
      </c>
      <c r="K104" s="45">
        <v>11</v>
      </c>
    </row>
    <row r="105" spans="4:11">
      <c r="D105" s="42">
        <v>46184</v>
      </c>
      <c r="E105" s="43">
        <v>1611571</v>
      </c>
      <c r="F105" s="43" t="s">
        <v>13</v>
      </c>
      <c r="G105" s="44">
        <v>20377357</v>
      </c>
      <c r="H105" s="43" t="s">
        <v>37</v>
      </c>
      <c r="I105" s="44">
        <v>1</v>
      </c>
      <c r="J105" s="45">
        <v>8</v>
      </c>
      <c r="K105" s="45">
        <v>8</v>
      </c>
    </row>
    <row r="106" spans="4:11">
      <c r="D106" s="42">
        <v>46184</v>
      </c>
      <c r="E106" s="43">
        <v>1611571</v>
      </c>
      <c r="F106" s="43" t="s">
        <v>13</v>
      </c>
      <c r="G106" s="44">
        <v>20395865</v>
      </c>
      <c r="H106" s="43" t="s">
        <v>45</v>
      </c>
      <c r="I106" s="44">
        <v>2</v>
      </c>
      <c r="J106" s="45">
        <v>8</v>
      </c>
      <c r="K106" s="45">
        <v>16</v>
      </c>
    </row>
    <row r="107" spans="4:11">
      <c r="D107" s="42">
        <v>46184</v>
      </c>
      <c r="E107" s="43">
        <v>1611571</v>
      </c>
      <c r="F107" s="43" t="s">
        <v>13</v>
      </c>
      <c r="G107" s="44">
        <v>20395867</v>
      </c>
      <c r="H107" s="43" t="s">
        <v>46</v>
      </c>
      <c r="I107" s="44">
        <v>1</v>
      </c>
      <c r="J107" s="45">
        <v>11</v>
      </c>
      <c r="K107" s="45">
        <v>11</v>
      </c>
    </row>
    <row r="108" spans="4:11">
      <c r="D108" s="42">
        <v>46184</v>
      </c>
      <c r="E108" s="43">
        <v>1611571</v>
      </c>
      <c r="F108" s="43" t="s">
        <v>16</v>
      </c>
      <c r="G108" s="44">
        <v>20395868</v>
      </c>
      <c r="H108" s="43" t="s">
        <v>47</v>
      </c>
      <c r="I108" s="44">
        <v>1</v>
      </c>
      <c r="J108" s="45">
        <v>16.5</v>
      </c>
      <c r="K108" s="45">
        <v>16.5</v>
      </c>
    </row>
    <row r="109" spans="4:11">
      <c r="D109" s="42">
        <v>46185</v>
      </c>
      <c r="E109" s="43">
        <v>1611665</v>
      </c>
      <c r="F109" s="43" t="s">
        <v>13</v>
      </c>
      <c r="G109" s="44">
        <v>20394943</v>
      </c>
      <c r="H109" s="43" t="s">
        <v>35</v>
      </c>
      <c r="I109" s="44">
        <v>1</v>
      </c>
      <c r="J109" s="45">
        <v>11</v>
      </c>
      <c r="K109" s="45">
        <v>11</v>
      </c>
    </row>
    <row r="110" spans="4:11">
      <c r="D110" s="42">
        <v>46185</v>
      </c>
      <c r="E110" s="43">
        <v>1611665</v>
      </c>
      <c r="F110" s="43" t="s">
        <v>13</v>
      </c>
      <c r="G110" s="44">
        <v>20396337</v>
      </c>
      <c r="H110" s="43" t="s">
        <v>40</v>
      </c>
      <c r="I110" s="44">
        <v>2</v>
      </c>
      <c r="J110" s="45">
        <v>8</v>
      </c>
      <c r="K110" s="45">
        <v>16</v>
      </c>
    </row>
    <row r="111" spans="4:11">
      <c r="D111" s="42">
        <v>46185</v>
      </c>
      <c r="E111" s="43">
        <v>1611665</v>
      </c>
      <c r="F111" s="43" t="s">
        <v>13</v>
      </c>
      <c r="G111" s="44">
        <v>20395495</v>
      </c>
      <c r="H111" s="43" t="s">
        <v>36</v>
      </c>
      <c r="I111" s="44">
        <v>1</v>
      </c>
      <c r="J111" s="45">
        <v>13.5</v>
      </c>
      <c r="K111" s="45">
        <v>13.5</v>
      </c>
    </row>
    <row r="112" spans="4:11">
      <c r="D112" s="42">
        <v>46185</v>
      </c>
      <c r="E112" s="43">
        <v>1611665</v>
      </c>
      <c r="F112" s="43" t="s">
        <v>13</v>
      </c>
      <c r="G112" s="44">
        <v>20377357</v>
      </c>
      <c r="H112" s="43" t="s">
        <v>37</v>
      </c>
      <c r="I112" s="44">
        <v>1</v>
      </c>
      <c r="J112" s="45">
        <v>8</v>
      </c>
      <c r="K112" s="45">
        <v>8</v>
      </c>
    </row>
    <row r="113" ht="0.05" customHeight="1"/>
  </sheetData>
  <autoFilter xmlns:etc="http://www.wps.cn/officeDocument/2017/etCustomData" ref="A7:K112" etc:filterBottomFollowUsedRange="0">
    <extLst/>
  </autoFilter>
  <mergeCells count="5">
    <mergeCell ref="D8:H8"/>
    <mergeCell ref="C7:C112"/>
    <mergeCell ref="B4:H5"/>
    <mergeCell ref="A7:B1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1"/>
  <sheetViews>
    <sheetView showGridLines="0" view="pageBreakPreview" zoomScaleNormal="100" workbookViewId="0">
      <pane ySplit="5" topLeftCell="A6" activePane="bottomLeft" state="frozen"/>
      <selection/>
      <selection pane="bottomLeft" activeCell="K9" sqref="K9:K2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53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839</v>
      </c>
      <c r="J8" s="41"/>
      <c r="K8" s="41">
        <v>8108.5</v>
      </c>
    </row>
    <row r="9" spans="1:11">
      <c r="D9" s="42">
        <v>46157</v>
      </c>
      <c r="E9" s="43">
        <v>1603271</v>
      </c>
      <c r="F9" s="43" t="s">
        <v>13</v>
      </c>
      <c r="G9" s="44">
        <v>20406253</v>
      </c>
      <c r="H9" s="43" t="s">
        <v>50</v>
      </c>
      <c r="I9" s="44">
        <v>1</v>
      </c>
      <c r="J9" s="45">
        <v>13.5</v>
      </c>
      <c r="K9" s="45">
        <v>13.5</v>
      </c>
    </row>
    <row r="10" spans="1:11">
      <c r="D10" s="42">
        <v>46157</v>
      </c>
      <c r="E10" s="43">
        <v>1603271</v>
      </c>
      <c r="F10" s="43" t="s">
        <v>13</v>
      </c>
      <c r="G10" s="44">
        <v>20324084</v>
      </c>
      <c r="H10" s="43" t="s">
        <v>24</v>
      </c>
      <c r="I10" s="44">
        <v>2</v>
      </c>
      <c r="J10" s="45">
        <v>8</v>
      </c>
      <c r="K10" s="45">
        <v>16</v>
      </c>
    </row>
    <row r="11" spans="1:11">
      <c r="D11" s="42">
        <v>46157</v>
      </c>
      <c r="E11" s="43">
        <v>1603271</v>
      </c>
      <c r="F11" s="43" t="s">
        <v>13</v>
      </c>
      <c r="G11" s="44">
        <v>20347963</v>
      </c>
      <c r="H11" s="43" t="s">
        <v>54</v>
      </c>
      <c r="I11" s="44">
        <v>4</v>
      </c>
      <c r="J11" s="45">
        <v>8</v>
      </c>
      <c r="K11" s="45">
        <v>32</v>
      </c>
    </row>
    <row r="12" spans="1:11">
      <c r="D12" s="42">
        <v>46157</v>
      </c>
      <c r="E12" s="43">
        <v>1603271</v>
      </c>
      <c r="F12" s="43" t="s">
        <v>13</v>
      </c>
      <c r="G12" s="44">
        <v>20377357</v>
      </c>
      <c r="H12" s="43" t="s">
        <v>37</v>
      </c>
      <c r="I12" s="44">
        <v>4</v>
      </c>
      <c r="J12" s="45">
        <v>8</v>
      </c>
      <c r="K12" s="45">
        <v>32</v>
      </c>
    </row>
    <row r="13" spans="1:11">
      <c r="D13" s="42">
        <v>46157</v>
      </c>
      <c r="E13" s="43">
        <v>1603429</v>
      </c>
      <c r="F13" s="43" t="s">
        <v>13</v>
      </c>
      <c r="G13" s="44">
        <v>20406253</v>
      </c>
      <c r="H13" s="43" t="s">
        <v>50</v>
      </c>
      <c r="I13" s="44">
        <v>1</v>
      </c>
      <c r="J13" s="45">
        <v>13.5</v>
      </c>
      <c r="K13" s="45">
        <v>13.5</v>
      </c>
    </row>
    <row r="14" spans="1:11">
      <c r="D14" s="42">
        <v>46157</v>
      </c>
      <c r="E14" s="43">
        <v>1603429</v>
      </c>
      <c r="F14" s="43" t="s">
        <v>13</v>
      </c>
      <c r="G14" s="44">
        <v>20313588</v>
      </c>
      <c r="H14" s="43" t="s">
        <v>30</v>
      </c>
      <c r="I14" s="44">
        <v>2</v>
      </c>
      <c r="J14" s="45">
        <v>8</v>
      </c>
      <c r="K14" s="45">
        <v>16</v>
      </c>
    </row>
    <row r="15" spans="1:11">
      <c r="D15" s="42">
        <v>46157</v>
      </c>
      <c r="E15" s="43">
        <v>1603429</v>
      </c>
      <c r="F15" s="43" t="s">
        <v>13</v>
      </c>
      <c r="G15" s="44">
        <v>20377357</v>
      </c>
      <c r="H15" s="43" t="s">
        <v>37</v>
      </c>
      <c r="I15" s="44">
        <v>4</v>
      </c>
      <c r="J15" s="45">
        <v>8</v>
      </c>
      <c r="K15" s="45">
        <v>32</v>
      </c>
    </row>
    <row r="16" spans="1:11">
      <c r="D16" s="42">
        <v>46158</v>
      </c>
      <c r="E16" s="43">
        <v>1603662</v>
      </c>
      <c r="F16" s="43" t="s">
        <v>13</v>
      </c>
      <c r="G16" s="44">
        <v>20406253</v>
      </c>
      <c r="H16" s="43" t="s">
        <v>50</v>
      </c>
      <c r="I16" s="44">
        <v>4</v>
      </c>
      <c r="J16" s="45">
        <v>13.5</v>
      </c>
      <c r="K16" s="45">
        <v>54</v>
      </c>
    </row>
    <row r="17" spans="4:11">
      <c r="D17" s="42">
        <v>46158</v>
      </c>
      <c r="E17" s="43">
        <v>1603662</v>
      </c>
      <c r="F17" s="43" t="s">
        <v>13</v>
      </c>
      <c r="G17" s="44">
        <v>20313588</v>
      </c>
      <c r="H17" s="43" t="s">
        <v>30</v>
      </c>
      <c r="I17" s="44">
        <v>3</v>
      </c>
      <c r="J17" s="45">
        <v>8</v>
      </c>
      <c r="K17" s="45">
        <v>24</v>
      </c>
    </row>
    <row r="18" spans="4:11">
      <c r="D18" s="42">
        <v>46158</v>
      </c>
      <c r="E18" s="43">
        <v>1603662</v>
      </c>
      <c r="F18" s="43" t="s">
        <v>13</v>
      </c>
      <c r="G18" s="44">
        <v>20347963</v>
      </c>
      <c r="H18" s="43" t="s">
        <v>54</v>
      </c>
      <c r="I18" s="44">
        <v>2</v>
      </c>
      <c r="J18" s="45">
        <v>8</v>
      </c>
      <c r="K18" s="45">
        <v>16</v>
      </c>
    </row>
    <row r="19" spans="4:11">
      <c r="D19" s="42">
        <v>46158</v>
      </c>
      <c r="E19" s="43">
        <v>1603662</v>
      </c>
      <c r="F19" s="43" t="s">
        <v>13</v>
      </c>
      <c r="G19" s="44">
        <v>20377357</v>
      </c>
      <c r="H19" s="43" t="s">
        <v>37</v>
      </c>
      <c r="I19" s="44">
        <v>10</v>
      </c>
      <c r="J19" s="45">
        <v>8</v>
      </c>
      <c r="K19" s="45">
        <v>80</v>
      </c>
    </row>
    <row r="20" spans="4:11">
      <c r="D20" s="42">
        <v>46158</v>
      </c>
      <c r="E20" s="43">
        <v>1603662</v>
      </c>
      <c r="F20" s="43" t="s">
        <v>13</v>
      </c>
      <c r="G20" s="44">
        <v>20312027</v>
      </c>
      <c r="H20" s="43" t="s">
        <v>55</v>
      </c>
      <c r="I20" s="44">
        <v>14</v>
      </c>
      <c r="J20" s="45">
        <v>11</v>
      </c>
      <c r="K20" s="45">
        <v>154</v>
      </c>
    </row>
    <row r="21" spans="4:11">
      <c r="D21" s="42">
        <v>46158</v>
      </c>
      <c r="E21" s="43">
        <v>1603662</v>
      </c>
      <c r="F21" s="43" t="s">
        <v>13</v>
      </c>
      <c r="G21" s="44">
        <v>20314990</v>
      </c>
      <c r="H21" s="43" t="s">
        <v>56</v>
      </c>
      <c r="I21" s="44">
        <v>4</v>
      </c>
      <c r="J21" s="45">
        <v>8</v>
      </c>
      <c r="K21" s="45">
        <v>32</v>
      </c>
    </row>
    <row r="22" spans="4:11">
      <c r="D22" s="42">
        <v>46158</v>
      </c>
      <c r="E22" s="43">
        <v>1603662</v>
      </c>
      <c r="F22" s="43" t="s">
        <v>13</v>
      </c>
      <c r="G22" s="44">
        <v>20005849</v>
      </c>
      <c r="H22" s="43" t="s">
        <v>57</v>
      </c>
      <c r="I22" s="44">
        <v>1</v>
      </c>
      <c r="J22" s="45">
        <v>8</v>
      </c>
      <c r="K22" s="45">
        <v>8</v>
      </c>
    </row>
    <row r="23" spans="4:11">
      <c r="D23" s="42">
        <v>46159</v>
      </c>
      <c r="E23" s="43">
        <v>1603873</v>
      </c>
      <c r="F23" s="43" t="s">
        <v>13</v>
      </c>
      <c r="G23" s="44">
        <v>20312027</v>
      </c>
      <c r="H23" s="43" t="s">
        <v>55</v>
      </c>
      <c r="I23" s="44">
        <v>1</v>
      </c>
      <c r="J23" s="45">
        <v>11</v>
      </c>
      <c r="K23" s="45">
        <v>11</v>
      </c>
    </row>
    <row r="24" spans="4:11">
      <c r="D24" s="42">
        <v>46161</v>
      </c>
      <c r="E24" s="43">
        <v>1604215</v>
      </c>
      <c r="F24" s="43" t="s">
        <v>13</v>
      </c>
      <c r="G24" s="44">
        <v>20312027</v>
      </c>
      <c r="H24" s="43" t="s">
        <v>55</v>
      </c>
      <c r="I24" s="44">
        <v>11</v>
      </c>
      <c r="J24" s="45">
        <v>11</v>
      </c>
      <c r="K24" s="45">
        <v>121</v>
      </c>
    </row>
    <row r="25" spans="4:11">
      <c r="D25" s="42">
        <v>46161</v>
      </c>
      <c r="E25" s="43">
        <v>1604325</v>
      </c>
      <c r="F25" s="43" t="s">
        <v>13</v>
      </c>
      <c r="G25" s="44">
        <v>20005207</v>
      </c>
      <c r="H25" s="43" t="s">
        <v>38</v>
      </c>
      <c r="I25" s="44">
        <v>1</v>
      </c>
      <c r="J25" s="45">
        <v>8</v>
      </c>
      <c r="K25" s="45">
        <v>8</v>
      </c>
    </row>
    <row r="26" spans="4:11">
      <c r="D26" s="42">
        <v>46161</v>
      </c>
      <c r="E26" s="43">
        <v>1604325</v>
      </c>
      <c r="F26" s="43" t="s">
        <v>13</v>
      </c>
      <c r="G26" s="44">
        <v>20005208</v>
      </c>
      <c r="H26" s="43" t="s">
        <v>58</v>
      </c>
      <c r="I26" s="44">
        <v>1</v>
      </c>
      <c r="J26" s="45">
        <v>8</v>
      </c>
      <c r="K26" s="45">
        <v>8</v>
      </c>
    </row>
    <row r="27" spans="4:11">
      <c r="D27" s="42">
        <v>46161</v>
      </c>
      <c r="E27" s="43">
        <v>1604325</v>
      </c>
      <c r="F27" s="43" t="s">
        <v>13</v>
      </c>
      <c r="G27" s="44">
        <v>20406253</v>
      </c>
      <c r="H27" s="43" t="s">
        <v>50</v>
      </c>
      <c r="I27" s="44">
        <v>4</v>
      </c>
      <c r="J27" s="45">
        <v>13.5</v>
      </c>
      <c r="K27" s="45">
        <v>54</v>
      </c>
    </row>
    <row r="28" spans="4:11">
      <c r="D28" s="42">
        <v>46161</v>
      </c>
      <c r="E28" s="43">
        <v>1604325</v>
      </c>
      <c r="F28" s="43" t="s">
        <v>13</v>
      </c>
      <c r="G28" s="44">
        <v>20324084</v>
      </c>
      <c r="H28" s="43" t="s">
        <v>24</v>
      </c>
      <c r="I28" s="44">
        <v>2</v>
      </c>
      <c r="J28" s="45">
        <v>8</v>
      </c>
      <c r="K28" s="45">
        <v>16</v>
      </c>
    </row>
    <row r="29" spans="4:11">
      <c r="D29" s="42">
        <v>46161</v>
      </c>
      <c r="E29" s="43">
        <v>1604325</v>
      </c>
      <c r="F29" s="43" t="s">
        <v>13</v>
      </c>
      <c r="G29" s="44">
        <v>20347963</v>
      </c>
      <c r="H29" s="43" t="s">
        <v>54</v>
      </c>
      <c r="I29" s="44">
        <v>1</v>
      </c>
      <c r="J29" s="45">
        <v>8</v>
      </c>
      <c r="K29" s="45">
        <v>8</v>
      </c>
    </row>
    <row r="30" spans="4:11">
      <c r="D30" s="42">
        <v>46161</v>
      </c>
      <c r="E30" s="43">
        <v>1604325</v>
      </c>
      <c r="F30" s="43" t="s">
        <v>13</v>
      </c>
      <c r="G30" s="44">
        <v>20377357</v>
      </c>
      <c r="H30" s="43" t="s">
        <v>37</v>
      </c>
      <c r="I30" s="44">
        <v>12</v>
      </c>
      <c r="J30" s="45">
        <v>8</v>
      </c>
      <c r="K30" s="45">
        <v>96</v>
      </c>
    </row>
    <row r="31" spans="4:11">
      <c r="D31" s="42">
        <v>46162</v>
      </c>
      <c r="E31" s="43">
        <v>1604579</v>
      </c>
      <c r="F31" s="43" t="s">
        <v>13</v>
      </c>
      <c r="G31" s="44">
        <v>20406253</v>
      </c>
      <c r="H31" s="43" t="s">
        <v>50</v>
      </c>
      <c r="I31" s="44">
        <v>5</v>
      </c>
      <c r="J31" s="45">
        <v>13.5</v>
      </c>
      <c r="K31" s="45">
        <v>67.5</v>
      </c>
    </row>
    <row r="32" spans="4:11">
      <c r="D32" s="42">
        <v>46162</v>
      </c>
      <c r="E32" s="43">
        <v>1604579</v>
      </c>
      <c r="F32" s="43" t="s">
        <v>13</v>
      </c>
      <c r="G32" s="44">
        <v>20313588</v>
      </c>
      <c r="H32" s="43" t="s">
        <v>30</v>
      </c>
      <c r="I32" s="44">
        <v>5</v>
      </c>
      <c r="J32" s="45">
        <v>8</v>
      </c>
      <c r="K32" s="45">
        <v>40</v>
      </c>
    </row>
    <row r="33" spans="4:11">
      <c r="D33" s="42">
        <v>46162</v>
      </c>
      <c r="E33" s="43">
        <v>1604579</v>
      </c>
      <c r="F33" s="43" t="s">
        <v>13</v>
      </c>
      <c r="G33" s="44">
        <v>20396339</v>
      </c>
      <c r="H33" s="43" t="s">
        <v>32</v>
      </c>
      <c r="I33" s="44">
        <v>2</v>
      </c>
      <c r="J33" s="45">
        <v>11</v>
      </c>
      <c r="K33" s="45">
        <v>22</v>
      </c>
    </row>
    <row r="34" spans="4:11">
      <c r="D34" s="42">
        <v>46162</v>
      </c>
      <c r="E34" s="43">
        <v>1604579</v>
      </c>
      <c r="F34" s="43" t="s">
        <v>13</v>
      </c>
      <c r="G34" s="44">
        <v>20377357</v>
      </c>
      <c r="H34" s="43" t="s">
        <v>37</v>
      </c>
      <c r="I34" s="44">
        <v>11</v>
      </c>
      <c r="J34" s="45">
        <v>8</v>
      </c>
      <c r="K34" s="45">
        <v>88</v>
      </c>
    </row>
    <row r="35" spans="4:11">
      <c r="D35" s="42">
        <v>46162</v>
      </c>
      <c r="E35" s="43">
        <v>1604579</v>
      </c>
      <c r="F35" s="43" t="s">
        <v>13</v>
      </c>
      <c r="G35" s="44">
        <v>20312027</v>
      </c>
      <c r="H35" s="43" t="s">
        <v>55</v>
      </c>
      <c r="I35" s="44">
        <v>19</v>
      </c>
      <c r="J35" s="45">
        <v>11</v>
      </c>
      <c r="K35" s="45">
        <v>209</v>
      </c>
    </row>
    <row r="36" spans="4:11">
      <c r="D36" s="42">
        <v>46162</v>
      </c>
      <c r="E36" s="43">
        <v>1604579</v>
      </c>
      <c r="F36" s="43" t="s">
        <v>13</v>
      </c>
      <c r="G36" s="44">
        <v>20314990</v>
      </c>
      <c r="H36" s="43" t="s">
        <v>56</v>
      </c>
      <c r="I36" s="44">
        <v>3</v>
      </c>
      <c r="J36" s="45">
        <v>8</v>
      </c>
      <c r="K36" s="45">
        <v>24</v>
      </c>
    </row>
    <row r="37" spans="4:11">
      <c r="D37" s="42">
        <v>46162</v>
      </c>
      <c r="E37" s="43">
        <v>1604685</v>
      </c>
      <c r="F37" s="43" t="s">
        <v>13</v>
      </c>
      <c r="G37" s="44">
        <v>20005208</v>
      </c>
      <c r="H37" s="43" t="s">
        <v>58</v>
      </c>
      <c r="I37" s="44">
        <v>1</v>
      </c>
      <c r="J37" s="45">
        <v>8</v>
      </c>
      <c r="K37" s="45">
        <v>8</v>
      </c>
    </row>
    <row r="38" spans="4:11">
      <c r="D38" s="42">
        <v>46162</v>
      </c>
      <c r="E38" s="43">
        <v>1604685</v>
      </c>
      <c r="F38" s="43" t="s">
        <v>13</v>
      </c>
      <c r="G38" s="44">
        <v>20406253</v>
      </c>
      <c r="H38" s="43" t="s">
        <v>50</v>
      </c>
      <c r="I38" s="44">
        <v>2</v>
      </c>
      <c r="J38" s="45">
        <v>13.5</v>
      </c>
      <c r="K38" s="45">
        <v>27</v>
      </c>
    </row>
    <row r="39" spans="4:11">
      <c r="D39" s="42">
        <v>46162</v>
      </c>
      <c r="E39" s="43">
        <v>1604685</v>
      </c>
      <c r="F39" s="43" t="s">
        <v>13</v>
      </c>
      <c r="G39" s="44">
        <v>20313588</v>
      </c>
      <c r="H39" s="43" t="s">
        <v>30</v>
      </c>
      <c r="I39" s="44">
        <v>2</v>
      </c>
      <c r="J39" s="45">
        <v>8</v>
      </c>
      <c r="K39" s="45">
        <v>16</v>
      </c>
    </row>
    <row r="40" spans="4:11">
      <c r="D40" s="42">
        <v>46162</v>
      </c>
      <c r="E40" s="43">
        <v>1604685</v>
      </c>
      <c r="F40" s="43" t="s">
        <v>13</v>
      </c>
      <c r="G40" s="44">
        <v>20396339</v>
      </c>
      <c r="H40" s="43" t="s">
        <v>32</v>
      </c>
      <c r="I40" s="44">
        <v>1</v>
      </c>
      <c r="J40" s="45">
        <v>11</v>
      </c>
      <c r="K40" s="45">
        <v>11</v>
      </c>
    </row>
    <row r="41" spans="4:11">
      <c r="D41" s="42">
        <v>46162</v>
      </c>
      <c r="E41" s="43">
        <v>1604685</v>
      </c>
      <c r="F41" s="43" t="s">
        <v>13</v>
      </c>
      <c r="G41" s="44">
        <v>20347963</v>
      </c>
      <c r="H41" s="43" t="s">
        <v>54</v>
      </c>
      <c r="I41" s="44">
        <v>1</v>
      </c>
      <c r="J41" s="45">
        <v>8</v>
      </c>
      <c r="K41" s="45">
        <v>8</v>
      </c>
    </row>
    <row r="42" spans="4:11">
      <c r="D42" s="42">
        <v>46162</v>
      </c>
      <c r="E42" s="43">
        <v>1604685</v>
      </c>
      <c r="F42" s="43" t="s">
        <v>13</v>
      </c>
      <c r="G42" s="44">
        <v>20377357</v>
      </c>
      <c r="H42" s="43" t="s">
        <v>37</v>
      </c>
      <c r="I42" s="44">
        <v>1</v>
      </c>
      <c r="J42" s="45">
        <v>8</v>
      </c>
      <c r="K42" s="45">
        <v>8</v>
      </c>
    </row>
    <row r="43" spans="4:11">
      <c r="D43" s="42">
        <v>46162</v>
      </c>
      <c r="E43" s="43">
        <v>1604685</v>
      </c>
      <c r="F43" s="43" t="s">
        <v>13</v>
      </c>
      <c r="G43" s="44">
        <v>20314990</v>
      </c>
      <c r="H43" s="43" t="s">
        <v>56</v>
      </c>
      <c r="I43" s="44">
        <v>3</v>
      </c>
      <c r="J43" s="45">
        <v>8</v>
      </c>
      <c r="K43" s="45">
        <v>24</v>
      </c>
    </row>
    <row r="44" spans="4:11">
      <c r="D44" s="42">
        <v>46163</v>
      </c>
      <c r="E44" s="43">
        <v>1604993</v>
      </c>
      <c r="F44" s="43" t="s">
        <v>13</v>
      </c>
      <c r="G44" s="44">
        <v>20406253</v>
      </c>
      <c r="H44" s="43" t="s">
        <v>50</v>
      </c>
      <c r="I44" s="44">
        <v>4</v>
      </c>
      <c r="J44" s="45">
        <v>13.5</v>
      </c>
      <c r="K44" s="45">
        <v>54</v>
      </c>
    </row>
    <row r="45" spans="4:11">
      <c r="D45" s="42">
        <v>46163</v>
      </c>
      <c r="E45" s="43">
        <v>1604993</v>
      </c>
      <c r="F45" s="43" t="s">
        <v>13</v>
      </c>
      <c r="G45" s="44">
        <v>20313588</v>
      </c>
      <c r="H45" s="43" t="s">
        <v>30</v>
      </c>
      <c r="I45" s="44">
        <v>7</v>
      </c>
      <c r="J45" s="45">
        <v>8</v>
      </c>
      <c r="K45" s="45">
        <v>56</v>
      </c>
    </row>
    <row r="46" spans="4:11">
      <c r="D46" s="42">
        <v>46163</v>
      </c>
      <c r="E46" s="43">
        <v>1604993</v>
      </c>
      <c r="F46" s="43" t="s">
        <v>13</v>
      </c>
      <c r="G46" s="44">
        <v>20403626</v>
      </c>
      <c r="H46" s="43" t="s">
        <v>59</v>
      </c>
      <c r="I46" s="44">
        <v>1</v>
      </c>
      <c r="J46" s="45">
        <v>8</v>
      </c>
      <c r="K46" s="45">
        <v>8</v>
      </c>
    </row>
    <row r="47" spans="4:11">
      <c r="D47" s="42">
        <v>46163</v>
      </c>
      <c r="E47" s="43">
        <v>1604993</v>
      </c>
      <c r="F47" s="43" t="s">
        <v>13</v>
      </c>
      <c r="G47" s="44">
        <v>20347963</v>
      </c>
      <c r="H47" s="43" t="s">
        <v>54</v>
      </c>
      <c r="I47" s="44">
        <v>1</v>
      </c>
      <c r="J47" s="45">
        <v>8</v>
      </c>
      <c r="K47" s="45">
        <v>8</v>
      </c>
    </row>
    <row r="48" spans="4:11">
      <c r="D48" s="42">
        <v>46163</v>
      </c>
      <c r="E48" s="43">
        <v>1604993</v>
      </c>
      <c r="F48" s="43" t="s">
        <v>13</v>
      </c>
      <c r="G48" s="44">
        <v>20377357</v>
      </c>
      <c r="H48" s="43" t="s">
        <v>37</v>
      </c>
      <c r="I48" s="44">
        <v>7</v>
      </c>
      <c r="J48" s="45">
        <v>8</v>
      </c>
      <c r="K48" s="45">
        <v>56</v>
      </c>
    </row>
    <row r="49" spans="4:11">
      <c r="D49" s="42">
        <v>46163</v>
      </c>
      <c r="E49" s="43">
        <v>1604993</v>
      </c>
      <c r="F49" s="43" t="s">
        <v>13</v>
      </c>
      <c r="G49" s="44">
        <v>20312027</v>
      </c>
      <c r="H49" s="43" t="s">
        <v>55</v>
      </c>
      <c r="I49" s="44">
        <v>11</v>
      </c>
      <c r="J49" s="45">
        <v>11</v>
      </c>
      <c r="K49" s="45">
        <v>121</v>
      </c>
    </row>
    <row r="50" spans="4:11">
      <c r="D50" s="42">
        <v>46163</v>
      </c>
      <c r="E50" s="43">
        <v>1604993</v>
      </c>
      <c r="F50" s="43" t="s">
        <v>13</v>
      </c>
      <c r="G50" s="44">
        <v>20314990</v>
      </c>
      <c r="H50" s="43" t="s">
        <v>56</v>
      </c>
      <c r="I50" s="44">
        <v>2</v>
      </c>
      <c r="J50" s="45">
        <v>8</v>
      </c>
      <c r="K50" s="45">
        <v>16</v>
      </c>
    </row>
    <row r="51" spans="4:11">
      <c r="D51" s="42">
        <v>46163</v>
      </c>
      <c r="E51" s="43">
        <v>1605096</v>
      </c>
      <c r="F51" s="43" t="s">
        <v>13</v>
      </c>
      <c r="G51" s="44">
        <v>20406253</v>
      </c>
      <c r="H51" s="43" t="s">
        <v>50</v>
      </c>
      <c r="I51" s="44">
        <v>1</v>
      </c>
      <c r="J51" s="45">
        <v>13.5</v>
      </c>
      <c r="K51" s="45">
        <v>13.5</v>
      </c>
    </row>
    <row r="52" spans="4:11">
      <c r="D52" s="42">
        <v>46163</v>
      </c>
      <c r="E52" s="43">
        <v>1605096</v>
      </c>
      <c r="F52" s="43" t="s">
        <v>13</v>
      </c>
      <c r="G52" s="44">
        <v>20313588</v>
      </c>
      <c r="H52" s="43" t="s">
        <v>30</v>
      </c>
      <c r="I52" s="44">
        <v>1</v>
      </c>
      <c r="J52" s="45">
        <v>8</v>
      </c>
      <c r="K52" s="45">
        <v>8</v>
      </c>
    </row>
    <row r="53" spans="4:11">
      <c r="D53" s="42">
        <v>46163</v>
      </c>
      <c r="E53" s="43">
        <v>1605096</v>
      </c>
      <c r="F53" s="43" t="s">
        <v>13</v>
      </c>
      <c r="G53" s="44">
        <v>20347963</v>
      </c>
      <c r="H53" s="43" t="s">
        <v>54</v>
      </c>
      <c r="I53" s="44">
        <v>1</v>
      </c>
      <c r="J53" s="45">
        <v>8</v>
      </c>
      <c r="K53" s="45">
        <v>8</v>
      </c>
    </row>
    <row r="54" spans="4:11">
      <c r="D54" s="42">
        <v>46163</v>
      </c>
      <c r="E54" s="43">
        <v>1605096</v>
      </c>
      <c r="F54" s="43" t="s">
        <v>13</v>
      </c>
      <c r="G54" s="44">
        <v>20377357</v>
      </c>
      <c r="H54" s="43" t="s">
        <v>37</v>
      </c>
      <c r="I54" s="44">
        <v>4</v>
      </c>
      <c r="J54" s="45">
        <v>8</v>
      </c>
      <c r="K54" s="45">
        <v>32</v>
      </c>
    </row>
    <row r="55" spans="4:11">
      <c r="D55" s="42">
        <v>46164</v>
      </c>
      <c r="E55" s="43">
        <v>1605365</v>
      </c>
      <c r="F55" s="43" t="s">
        <v>13</v>
      </c>
      <c r="G55" s="44">
        <v>20406253</v>
      </c>
      <c r="H55" s="43" t="s">
        <v>50</v>
      </c>
      <c r="I55" s="44">
        <v>5</v>
      </c>
      <c r="J55" s="45">
        <v>13.5</v>
      </c>
      <c r="K55" s="45">
        <v>67.5</v>
      </c>
    </row>
    <row r="56" spans="4:11">
      <c r="D56" s="42">
        <v>46164</v>
      </c>
      <c r="E56" s="43">
        <v>1605365</v>
      </c>
      <c r="F56" s="43" t="s">
        <v>13</v>
      </c>
      <c r="G56" s="44">
        <v>20313588</v>
      </c>
      <c r="H56" s="43" t="s">
        <v>30</v>
      </c>
      <c r="I56" s="44">
        <v>5</v>
      </c>
      <c r="J56" s="45">
        <v>8</v>
      </c>
      <c r="K56" s="45">
        <v>40</v>
      </c>
    </row>
    <row r="57" spans="4:11">
      <c r="D57" s="42">
        <v>46164</v>
      </c>
      <c r="E57" s="43">
        <v>1605365</v>
      </c>
      <c r="F57" s="43" t="s">
        <v>13</v>
      </c>
      <c r="G57" s="44">
        <v>20396339</v>
      </c>
      <c r="H57" s="43" t="s">
        <v>32</v>
      </c>
      <c r="I57" s="44">
        <v>1</v>
      </c>
      <c r="J57" s="45">
        <v>11</v>
      </c>
      <c r="K57" s="45">
        <v>11</v>
      </c>
    </row>
    <row r="58" spans="4:11">
      <c r="D58" s="42">
        <v>46164</v>
      </c>
      <c r="E58" s="43">
        <v>1605365</v>
      </c>
      <c r="F58" s="43" t="s">
        <v>13</v>
      </c>
      <c r="G58" s="44">
        <v>20377357</v>
      </c>
      <c r="H58" s="43" t="s">
        <v>37</v>
      </c>
      <c r="I58" s="44">
        <v>12</v>
      </c>
      <c r="J58" s="45">
        <v>8</v>
      </c>
      <c r="K58" s="45">
        <v>96</v>
      </c>
    </row>
    <row r="59" spans="4:11">
      <c r="D59" s="42">
        <v>46164</v>
      </c>
      <c r="E59" s="43">
        <v>1605365</v>
      </c>
      <c r="F59" s="43" t="s">
        <v>13</v>
      </c>
      <c r="G59" s="44">
        <v>20312027</v>
      </c>
      <c r="H59" s="43" t="s">
        <v>55</v>
      </c>
      <c r="I59" s="44">
        <v>13</v>
      </c>
      <c r="J59" s="45">
        <v>11</v>
      </c>
      <c r="K59" s="45">
        <v>143</v>
      </c>
    </row>
    <row r="60" spans="4:11">
      <c r="D60" s="42">
        <v>46164</v>
      </c>
      <c r="E60" s="43">
        <v>1605365</v>
      </c>
      <c r="F60" s="43" t="s">
        <v>13</v>
      </c>
      <c r="G60" s="44">
        <v>20314990</v>
      </c>
      <c r="H60" s="43" t="s">
        <v>56</v>
      </c>
      <c r="I60" s="44">
        <v>3</v>
      </c>
      <c r="J60" s="45">
        <v>8</v>
      </c>
      <c r="K60" s="45">
        <v>24</v>
      </c>
    </row>
    <row r="61" spans="4:11">
      <c r="D61" s="42">
        <v>46164</v>
      </c>
      <c r="E61" s="43">
        <v>1605497</v>
      </c>
      <c r="F61" s="43" t="s">
        <v>13</v>
      </c>
      <c r="G61" s="44">
        <v>20005207</v>
      </c>
      <c r="H61" s="43" t="s">
        <v>38</v>
      </c>
      <c r="I61" s="44">
        <v>1</v>
      </c>
      <c r="J61" s="45">
        <v>8</v>
      </c>
      <c r="K61" s="45">
        <v>8</v>
      </c>
    </row>
    <row r="62" spans="4:11">
      <c r="D62" s="42">
        <v>46164</v>
      </c>
      <c r="E62" s="43">
        <v>1605497</v>
      </c>
      <c r="F62" s="43" t="s">
        <v>13</v>
      </c>
      <c r="G62" s="44">
        <v>20406253</v>
      </c>
      <c r="H62" s="43" t="s">
        <v>50</v>
      </c>
      <c r="I62" s="44">
        <v>1</v>
      </c>
      <c r="J62" s="45">
        <v>13.5</v>
      </c>
      <c r="K62" s="45">
        <v>13.5</v>
      </c>
    </row>
    <row r="63" spans="4:11">
      <c r="D63" s="42">
        <v>46164</v>
      </c>
      <c r="E63" s="43">
        <v>1605497</v>
      </c>
      <c r="F63" s="43" t="s">
        <v>13</v>
      </c>
      <c r="G63" s="44">
        <v>20324084</v>
      </c>
      <c r="H63" s="43" t="s">
        <v>24</v>
      </c>
      <c r="I63" s="44">
        <v>4</v>
      </c>
      <c r="J63" s="45">
        <v>8</v>
      </c>
      <c r="K63" s="45">
        <v>32</v>
      </c>
    </row>
    <row r="64" spans="4:11">
      <c r="D64" s="42">
        <v>46164</v>
      </c>
      <c r="E64" s="43">
        <v>1605497</v>
      </c>
      <c r="F64" s="43" t="s">
        <v>13</v>
      </c>
      <c r="G64" s="44">
        <v>20377357</v>
      </c>
      <c r="H64" s="43" t="s">
        <v>37</v>
      </c>
      <c r="I64" s="44">
        <v>6</v>
      </c>
      <c r="J64" s="45">
        <v>8</v>
      </c>
      <c r="K64" s="45">
        <v>48</v>
      </c>
    </row>
    <row r="65" spans="4:11">
      <c r="D65" s="42">
        <v>46164</v>
      </c>
      <c r="E65" s="43">
        <v>1605497</v>
      </c>
      <c r="F65" s="43" t="s">
        <v>13</v>
      </c>
      <c r="G65" s="44">
        <v>20312027</v>
      </c>
      <c r="H65" s="43" t="s">
        <v>55</v>
      </c>
      <c r="I65" s="44">
        <v>4</v>
      </c>
      <c r="J65" s="45">
        <v>11</v>
      </c>
      <c r="K65" s="45">
        <v>44</v>
      </c>
    </row>
    <row r="66" spans="4:11">
      <c r="D66" s="42">
        <v>46165</v>
      </c>
      <c r="E66" s="43">
        <v>1605730</v>
      </c>
      <c r="F66" s="43" t="s">
        <v>13</v>
      </c>
      <c r="G66" s="44">
        <v>20312027</v>
      </c>
      <c r="H66" s="43" t="s">
        <v>55</v>
      </c>
      <c r="I66" s="44">
        <v>14</v>
      </c>
      <c r="J66" s="45">
        <v>11</v>
      </c>
      <c r="K66" s="45">
        <v>154</v>
      </c>
    </row>
    <row r="67" spans="4:11">
      <c r="D67" s="42">
        <v>46168</v>
      </c>
      <c r="E67" s="43">
        <v>1606295</v>
      </c>
      <c r="F67" s="43" t="s">
        <v>13</v>
      </c>
      <c r="G67" s="44">
        <v>20312027</v>
      </c>
      <c r="H67" s="43" t="s">
        <v>55</v>
      </c>
      <c r="I67" s="44">
        <v>17</v>
      </c>
      <c r="J67" s="45">
        <v>11</v>
      </c>
      <c r="K67" s="45">
        <v>187</v>
      </c>
    </row>
    <row r="68" spans="4:11">
      <c r="D68" s="42">
        <v>46168</v>
      </c>
      <c r="E68" s="43">
        <v>1606375</v>
      </c>
      <c r="F68" s="43" t="s">
        <v>13</v>
      </c>
      <c r="G68" s="44">
        <v>20406253</v>
      </c>
      <c r="H68" s="43" t="s">
        <v>50</v>
      </c>
      <c r="I68" s="44">
        <v>2</v>
      </c>
      <c r="J68" s="45">
        <v>13.5</v>
      </c>
      <c r="K68" s="45">
        <v>27</v>
      </c>
    </row>
    <row r="69" spans="4:11">
      <c r="D69" s="42">
        <v>46168</v>
      </c>
      <c r="E69" s="43">
        <v>1606375</v>
      </c>
      <c r="F69" s="43" t="s">
        <v>13</v>
      </c>
      <c r="G69" s="44">
        <v>20313588</v>
      </c>
      <c r="H69" s="43" t="s">
        <v>30</v>
      </c>
      <c r="I69" s="44">
        <v>3</v>
      </c>
      <c r="J69" s="45">
        <v>8</v>
      </c>
      <c r="K69" s="45">
        <v>24</v>
      </c>
    </row>
    <row r="70" spans="4:11">
      <c r="D70" s="42">
        <v>46168</v>
      </c>
      <c r="E70" s="43">
        <v>1606375</v>
      </c>
      <c r="F70" s="43" t="s">
        <v>13</v>
      </c>
      <c r="G70" s="44">
        <v>20324084</v>
      </c>
      <c r="H70" s="43" t="s">
        <v>24</v>
      </c>
      <c r="I70" s="44">
        <v>2</v>
      </c>
      <c r="J70" s="45">
        <v>8</v>
      </c>
      <c r="K70" s="45">
        <v>16</v>
      </c>
    </row>
    <row r="71" spans="4:11">
      <c r="D71" s="42">
        <v>46168</v>
      </c>
      <c r="E71" s="43">
        <v>1606375</v>
      </c>
      <c r="F71" s="43" t="s">
        <v>13</v>
      </c>
      <c r="G71" s="44">
        <v>20347963</v>
      </c>
      <c r="H71" s="43" t="s">
        <v>54</v>
      </c>
      <c r="I71" s="44">
        <v>1</v>
      </c>
      <c r="J71" s="45">
        <v>8</v>
      </c>
      <c r="K71" s="45">
        <v>8</v>
      </c>
    </row>
    <row r="72" spans="4:11">
      <c r="D72" s="42">
        <v>46168</v>
      </c>
      <c r="E72" s="43">
        <v>1606375</v>
      </c>
      <c r="F72" s="43" t="s">
        <v>13</v>
      </c>
      <c r="G72" s="44">
        <v>20377357</v>
      </c>
      <c r="H72" s="43" t="s">
        <v>37</v>
      </c>
      <c r="I72" s="44">
        <v>10</v>
      </c>
      <c r="J72" s="45">
        <v>8</v>
      </c>
      <c r="K72" s="45">
        <v>80</v>
      </c>
    </row>
    <row r="73" spans="4:11">
      <c r="D73" s="42">
        <v>46169</v>
      </c>
      <c r="E73" s="43">
        <v>1606696</v>
      </c>
      <c r="F73" s="43" t="s">
        <v>13</v>
      </c>
      <c r="G73" s="44">
        <v>20005208</v>
      </c>
      <c r="H73" s="43" t="s">
        <v>58</v>
      </c>
      <c r="I73" s="44">
        <v>1</v>
      </c>
      <c r="J73" s="45">
        <v>8</v>
      </c>
      <c r="K73" s="45">
        <v>8</v>
      </c>
    </row>
    <row r="74" spans="4:11">
      <c r="D74" s="42">
        <v>46169</v>
      </c>
      <c r="E74" s="43">
        <v>1606696</v>
      </c>
      <c r="F74" s="43" t="s">
        <v>13</v>
      </c>
      <c r="G74" s="44">
        <v>20406253</v>
      </c>
      <c r="H74" s="43" t="s">
        <v>50</v>
      </c>
      <c r="I74" s="44">
        <v>4</v>
      </c>
      <c r="J74" s="45">
        <v>13.5</v>
      </c>
      <c r="K74" s="45">
        <v>54</v>
      </c>
    </row>
    <row r="75" spans="4:11">
      <c r="D75" s="42">
        <v>46169</v>
      </c>
      <c r="E75" s="43">
        <v>1606696</v>
      </c>
      <c r="F75" s="43" t="s">
        <v>13</v>
      </c>
      <c r="G75" s="44">
        <v>20313588</v>
      </c>
      <c r="H75" s="43" t="s">
        <v>30</v>
      </c>
      <c r="I75" s="44">
        <v>4</v>
      </c>
      <c r="J75" s="45">
        <v>8</v>
      </c>
      <c r="K75" s="45">
        <v>32</v>
      </c>
    </row>
    <row r="76" spans="4:11">
      <c r="D76" s="42">
        <v>46169</v>
      </c>
      <c r="E76" s="43">
        <v>1606696</v>
      </c>
      <c r="F76" s="43" t="s">
        <v>13</v>
      </c>
      <c r="G76" s="44">
        <v>20324084</v>
      </c>
      <c r="H76" s="43" t="s">
        <v>24</v>
      </c>
      <c r="I76" s="44">
        <v>5</v>
      </c>
      <c r="J76" s="45">
        <v>8</v>
      </c>
      <c r="K76" s="45">
        <v>40</v>
      </c>
    </row>
    <row r="77" spans="4:11">
      <c r="D77" s="42">
        <v>46169</v>
      </c>
      <c r="E77" s="43">
        <v>1606696</v>
      </c>
      <c r="F77" s="43" t="s">
        <v>13</v>
      </c>
      <c r="G77" s="44">
        <v>20347963</v>
      </c>
      <c r="H77" s="43" t="s">
        <v>54</v>
      </c>
      <c r="I77" s="44">
        <v>1</v>
      </c>
      <c r="J77" s="45">
        <v>8</v>
      </c>
      <c r="K77" s="45">
        <v>8</v>
      </c>
    </row>
    <row r="78" spans="4:11">
      <c r="D78" s="42">
        <v>46169</v>
      </c>
      <c r="E78" s="43">
        <v>1606696</v>
      </c>
      <c r="F78" s="43" t="s">
        <v>13</v>
      </c>
      <c r="G78" s="44">
        <v>20394448</v>
      </c>
      <c r="H78" s="43" t="s">
        <v>60</v>
      </c>
      <c r="I78" s="44">
        <v>1</v>
      </c>
      <c r="J78" s="45">
        <v>8</v>
      </c>
      <c r="K78" s="45">
        <v>8</v>
      </c>
    </row>
    <row r="79" spans="4:11">
      <c r="D79" s="42">
        <v>46169</v>
      </c>
      <c r="E79" s="43">
        <v>1606696</v>
      </c>
      <c r="F79" s="43" t="s">
        <v>13</v>
      </c>
      <c r="G79" s="44">
        <v>20377357</v>
      </c>
      <c r="H79" s="43" t="s">
        <v>37</v>
      </c>
      <c r="I79" s="44">
        <v>6</v>
      </c>
      <c r="J79" s="45">
        <v>8</v>
      </c>
      <c r="K79" s="45">
        <v>48</v>
      </c>
    </row>
    <row r="80" spans="4:11">
      <c r="D80" s="42">
        <v>46169</v>
      </c>
      <c r="E80" s="43">
        <v>1606696</v>
      </c>
      <c r="F80" s="43" t="s">
        <v>13</v>
      </c>
      <c r="G80" s="44">
        <v>20312027</v>
      </c>
      <c r="H80" s="43" t="s">
        <v>55</v>
      </c>
      <c r="I80" s="44">
        <v>16</v>
      </c>
      <c r="J80" s="45">
        <v>11</v>
      </c>
      <c r="K80" s="45">
        <v>176</v>
      </c>
    </row>
    <row r="81" spans="4:11">
      <c r="D81" s="42">
        <v>46169</v>
      </c>
      <c r="E81" s="43">
        <v>1606787</v>
      </c>
      <c r="F81" s="43" t="s">
        <v>13</v>
      </c>
      <c r="G81" s="44">
        <v>20406253</v>
      </c>
      <c r="H81" s="43" t="s">
        <v>50</v>
      </c>
      <c r="I81" s="44">
        <v>3</v>
      </c>
      <c r="J81" s="45">
        <v>13.5</v>
      </c>
      <c r="K81" s="45">
        <v>40.5</v>
      </c>
    </row>
    <row r="82" spans="4:11">
      <c r="D82" s="42">
        <v>46169</v>
      </c>
      <c r="E82" s="43">
        <v>1606787</v>
      </c>
      <c r="F82" s="43" t="s">
        <v>13</v>
      </c>
      <c r="G82" s="44">
        <v>20313588</v>
      </c>
      <c r="H82" s="43" t="s">
        <v>30</v>
      </c>
      <c r="I82" s="44">
        <v>3</v>
      </c>
      <c r="J82" s="45">
        <v>8</v>
      </c>
      <c r="K82" s="45">
        <v>24</v>
      </c>
    </row>
    <row r="83" spans="4:11">
      <c r="D83" s="42">
        <v>46169</v>
      </c>
      <c r="E83" s="43">
        <v>1606787</v>
      </c>
      <c r="F83" s="43" t="s">
        <v>13</v>
      </c>
      <c r="G83" s="44">
        <v>20324084</v>
      </c>
      <c r="H83" s="43" t="s">
        <v>24</v>
      </c>
      <c r="I83" s="44">
        <v>2</v>
      </c>
      <c r="J83" s="45">
        <v>8</v>
      </c>
      <c r="K83" s="45">
        <v>16</v>
      </c>
    </row>
    <row r="84" spans="4:11">
      <c r="D84" s="42">
        <v>46169</v>
      </c>
      <c r="E84" s="43">
        <v>1606787</v>
      </c>
      <c r="F84" s="43" t="s">
        <v>13</v>
      </c>
      <c r="G84" s="44">
        <v>20377357</v>
      </c>
      <c r="H84" s="43" t="s">
        <v>37</v>
      </c>
      <c r="I84" s="44">
        <v>6</v>
      </c>
      <c r="J84" s="45">
        <v>8</v>
      </c>
      <c r="K84" s="45">
        <v>48</v>
      </c>
    </row>
    <row r="85" spans="4:11">
      <c r="D85" s="42">
        <v>46170</v>
      </c>
      <c r="E85" s="43">
        <v>1607008</v>
      </c>
      <c r="F85" s="43" t="s">
        <v>13</v>
      </c>
      <c r="G85" s="44">
        <v>20406253</v>
      </c>
      <c r="H85" s="43" t="s">
        <v>50</v>
      </c>
      <c r="I85" s="44">
        <v>3</v>
      </c>
      <c r="J85" s="45">
        <v>13.5</v>
      </c>
      <c r="K85" s="45">
        <v>40.5</v>
      </c>
    </row>
    <row r="86" spans="4:11">
      <c r="D86" s="42">
        <v>46170</v>
      </c>
      <c r="E86" s="43">
        <v>1607008</v>
      </c>
      <c r="F86" s="43" t="s">
        <v>13</v>
      </c>
      <c r="G86" s="44">
        <v>20313588</v>
      </c>
      <c r="H86" s="43" t="s">
        <v>30</v>
      </c>
      <c r="I86" s="44">
        <v>2</v>
      </c>
      <c r="J86" s="45">
        <v>8</v>
      </c>
      <c r="K86" s="45">
        <v>16</v>
      </c>
    </row>
    <row r="87" spans="4:11">
      <c r="D87" s="42">
        <v>46170</v>
      </c>
      <c r="E87" s="43">
        <v>1607008</v>
      </c>
      <c r="F87" s="43" t="s">
        <v>13</v>
      </c>
      <c r="G87" s="44">
        <v>20324084</v>
      </c>
      <c r="H87" s="43" t="s">
        <v>24</v>
      </c>
      <c r="I87" s="44">
        <v>3</v>
      </c>
      <c r="J87" s="45">
        <v>8</v>
      </c>
      <c r="K87" s="45">
        <v>24</v>
      </c>
    </row>
    <row r="88" spans="4:11">
      <c r="D88" s="42">
        <v>46170</v>
      </c>
      <c r="E88" s="43">
        <v>1607008</v>
      </c>
      <c r="F88" s="43" t="s">
        <v>13</v>
      </c>
      <c r="G88" s="44">
        <v>20396339</v>
      </c>
      <c r="H88" s="43" t="s">
        <v>32</v>
      </c>
      <c r="I88" s="44">
        <v>2</v>
      </c>
      <c r="J88" s="45">
        <v>11</v>
      </c>
      <c r="K88" s="45">
        <v>22</v>
      </c>
    </row>
    <row r="89" spans="4:11">
      <c r="D89" s="42">
        <v>46170</v>
      </c>
      <c r="E89" s="43">
        <v>1607008</v>
      </c>
      <c r="F89" s="43" t="s">
        <v>13</v>
      </c>
      <c r="G89" s="44">
        <v>20377357</v>
      </c>
      <c r="H89" s="43" t="s">
        <v>37</v>
      </c>
      <c r="I89" s="44">
        <v>7</v>
      </c>
      <c r="J89" s="45">
        <v>8</v>
      </c>
      <c r="K89" s="45">
        <v>56</v>
      </c>
    </row>
    <row r="90" spans="4:11">
      <c r="D90" s="42">
        <v>46170</v>
      </c>
      <c r="E90" s="43">
        <v>1607008</v>
      </c>
      <c r="F90" s="43" t="s">
        <v>13</v>
      </c>
      <c r="G90" s="44">
        <v>20312027</v>
      </c>
      <c r="H90" s="43" t="s">
        <v>55</v>
      </c>
      <c r="I90" s="44">
        <v>23</v>
      </c>
      <c r="J90" s="45">
        <v>11</v>
      </c>
      <c r="K90" s="45">
        <v>253</v>
      </c>
    </row>
    <row r="91" spans="4:11">
      <c r="D91" s="42">
        <v>46170</v>
      </c>
      <c r="E91" s="43">
        <v>1607132</v>
      </c>
      <c r="F91" s="43" t="s">
        <v>13</v>
      </c>
      <c r="G91" s="44">
        <v>20005207</v>
      </c>
      <c r="H91" s="43" t="s">
        <v>38</v>
      </c>
      <c r="I91" s="44">
        <v>2</v>
      </c>
      <c r="J91" s="45">
        <v>8</v>
      </c>
      <c r="K91" s="45">
        <v>16</v>
      </c>
    </row>
    <row r="92" spans="4:11">
      <c r="D92" s="42">
        <v>46170</v>
      </c>
      <c r="E92" s="43">
        <v>1607132</v>
      </c>
      <c r="F92" s="43" t="s">
        <v>13</v>
      </c>
      <c r="G92" s="44">
        <v>20005208</v>
      </c>
      <c r="H92" s="43" t="s">
        <v>58</v>
      </c>
      <c r="I92" s="44">
        <v>1</v>
      </c>
      <c r="J92" s="45">
        <v>8</v>
      </c>
      <c r="K92" s="45">
        <v>8</v>
      </c>
    </row>
    <row r="93" spans="4:11">
      <c r="D93" s="42">
        <v>46170</v>
      </c>
      <c r="E93" s="43">
        <v>1607132</v>
      </c>
      <c r="F93" s="43" t="s">
        <v>13</v>
      </c>
      <c r="G93" s="44">
        <v>20406253</v>
      </c>
      <c r="H93" s="43" t="s">
        <v>50</v>
      </c>
      <c r="I93" s="44">
        <v>1</v>
      </c>
      <c r="J93" s="45">
        <v>13.5</v>
      </c>
      <c r="K93" s="45">
        <v>13.5</v>
      </c>
    </row>
    <row r="94" spans="4:11">
      <c r="D94" s="42">
        <v>46170</v>
      </c>
      <c r="E94" s="43">
        <v>1607132</v>
      </c>
      <c r="F94" s="43" t="s">
        <v>13</v>
      </c>
      <c r="G94" s="44">
        <v>20324084</v>
      </c>
      <c r="H94" s="43" t="s">
        <v>24</v>
      </c>
      <c r="I94" s="44">
        <v>2</v>
      </c>
      <c r="J94" s="45">
        <v>8</v>
      </c>
      <c r="K94" s="45">
        <v>16</v>
      </c>
    </row>
    <row r="95" spans="4:11">
      <c r="D95" s="42">
        <v>46170</v>
      </c>
      <c r="E95" s="43">
        <v>1607132</v>
      </c>
      <c r="F95" s="43" t="s">
        <v>13</v>
      </c>
      <c r="G95" s="44">
        <v>20403626</v>
      </c>
      <c r="H95" s="43" t="s">
        <v>59</v>
      </c>
      <c r="I95" s="44">
        <v>1</v>
      </c>
      <c r="J95" s="45">
        <v>8</v>
      </c>
      <c r="K95" s="45">
        <v>8</v>
      </c>
    </row>
    <row r="96" spans="4:11">
      <c r="D96" s="42">
        <v>46170</v>
      </c>
      <c r="E96" s="43">
        <v>1607132</v>
      </c>
      <c r="F96" s="43" t="s">
        <v>13</v>
      </c>
      <c r="G96" s="44">
        <v>20347963</v>
      </c>
      <c r="H96" s="43" t="s">
        <v>54</v>
      </c>
      <c r="I96" s="44">
        <v>1</v>
      </c>
      <c r="J96" s="45">
        <v>8</v>
      </c>
      <c r="K96" s="45">
        <v>8</v>
      </c>
    </row>
    <row r="97" spans="4:11">
      <c r="D97" s="42">
        <v>46170</v>
      </c>
      <c r="E97" s="43">
        <v>1607132</v>
      </c>
      <c r="F97" s="43" t="s">
        <v>13</v>
      </c>
      <c r="G97" s="44">
        <v>20377357</v>
      </c>
      <c r="H97" s="43" t="s">
        <v>37</v>
      </c>
      <c r="I97" s="44">
        <v>8</v>
      </c>
      <c r="J97" s="45">
        <v>8</v>
      </c>
      <c r="K97" s="45">
        <v>64</v>
      </c>
    </row>
    <row r="98" spans="4:11">
      <c r="D98" s="42">
        <v>46171</v>
      </c>
      <c r="E98" s="43">
        <v>1607413</v>
      </c>
      <c r="F98" s="43" t="s">
        <v>13</v>
      </c>
      <c r="G98" s="44">
        <v>20406253</v>
      </c>
      <c r="H98" s="43" t="s">
        <v>50</v>
      </c>
      <c r="I98" s="44">
        <v>4</v>
      </c>
      <c r="J98" s="45">
        <v>13.5</v>
      </c>
      <c r="K98" s="45">
        <v>54</v>
      </c>
    </row>
    <row r="99" spans="4:11">
      <c r="D99" s="42">
        <v>46171</v>
      </c>
      <c r="E99" s="43">
        <v>1607413</v>
      </c>
      <c r="F99" s="43" t="s">
        <v>13</v>
      </c>
      <c r="G99" s="44">
        <v>20313588</v>
      </c>
      <c r="H99" s="43" t="s">
        <v>30</v>
      </c>
      <c r="I99" s="44">
        <v>2</v>
      </c>
      <c r="J99" s="45">
        <v>8</v>
      </c>
      <c r="K99" s="45">
        <v>16</v>
      </c>
    </row>
    <row r="100" spans="4:11">
      <c r="D100" s="42">
        <v>46171</v>
      </c>
      <c r="E100" s="43">
        <v>1607413</v>
      </c>
      <c r="F100" s="43" t="s">
        <v>13</v>
      </c>
      <c r="G100" s="44">
        <v>20324084</v>
      </c>
      <c r="H100" s="43" t="s">
        <v>24</v>
      </c>
      <c r="I100" s="44">
        <v>3</v>
      </c>
      <c r="J100" s="45">
        <v>8</v>
      </c>
      <c r="K100" s="45">
        <v>24</v>
      </c>
    </row>
    <row r="101" spans="4:11">
      <c r="D101" s="42">
        <v>46171</v>
      </c>
      <c r="E101" s="43">
        <v>1607413</v>
      </c>
      <c r="F101" s="43" t="s">
        <v>13</v>
      </c>
      <c r="G101" s="44">
        <v>20377357</v>
      </c>
      <c r="H101" s="43" t="s">
        <v>37</v>
      </c>
      <c r="I101" s="44">
        <v>9</v>
      </c>
      <c r="J101" s="45">
        <v>8</v>
      </c>
      <c r="K101" s="45">
        <v>72</v>
      </c>
    </row>
    <row r="102" spans="4:11">
      <c r="D102" s="42">
        <v>46171</v>
      </c>
      <c r="E102" s="43">
        <v>1607413</v>
      </c>
      <c r="F102" s="43" t="s">
        <v>13</v>
      </c>
      <c r="G102" s="44">
        <v>20312027</v>
      </c>
      <c r="H102" s="43" t="s">
        <v>55</v>
      </c>
      <c r="I102" s="44">
        <v>10</v>
      </c>
      <c r="J102" s="45">
        <v>11</v>
      </c>
      <c r="K102" s="45">
        <v>110</v>
      </c>
    </row>
    <row r="103" spans="4:11">
      <c r="D103" s="42">
        <v>46171</v>
      </c>
      <c r="E103" s="43">
        <v>1607413</v>
      </c>
      <c r="F103" s="43" t="s">
        <v>13</v>
      </c>
      <c r="G103" s="44">
        <v>20005849</v>
      </c>
      <c r="H103" s="43" t="s">
        <v>57</v>
      </c>
      <c r="I103" s="44">
        <v>1</v>
      </c>
      <c r="J103" s="45">
        <v>8</v>
      </c>
      <c r="K103" s="45">
        <v>8</v>
      </c>
    </row>
    <row r="104" spans="4:11">
      <c r="D104" s="42">
        <v>46171</v>
      </c>
      <c r="E104" s="43">
        <v>1607532</v>
      </c>
      <c r="F104" s="43" t="s">
        <v>13</v>
      </c>
      <c r="G104" s="44">
        <v>20376624</v>
      </c>
      <c r="H104" s="43" t="s">
        <v>33</v>
      </c>
      <c r="I104" s="44">
        <v>1</v>
      </c>
      <c r="J104" s="45">
        <v>8</v>
      </c>
      <c r="K104" s="45">
        <v>8</v>
      </c>
    </row>
    <row r="105" spans="4:11">
      <c r="D105" s="42">
        <v>46171</v>
      </c>
      <c r="E105" s="43">
        <v>1607532</v>
      </c>
      <c r="F105" s="43" t="s">
        <v>13</v>
      </c>
      <c r="G105" s="44">
        <v>20406253</v>
      </c>
      <c r="H105" s="43" t="s">
        <v>50</v>
      </c>
      <c r="I105" s="44">
        <v>2</v>
      </c>
      <c r="J105" s="45">
        <v>13.5</v>
      </c>
      <c r="K105" s="45">
        <v>27</v>
      </c>
    </row>
    <row r="106" spans="4:11">
      <c r="D106" s="42">
        <v>46171</v>
      </c>
      <c r="E106" s="43">
        <v>1607532</v>
      </c>
      <c r="F106" s="43" t="s">
        <v>13</v>
      </c>
      <c r="G106" s="44">
        <v>20313588</v>
      </c>
      <c r="H106" s="43" t="s">
        <v>30</v>
      </c>
      <c r="I106" s="44">
        <v>3</v>
      </c>
      <c r="J106" s="45">
        <v>8</v>
      </c>
      <c r="K106" s="45">
        <v>24</v>
      </c>
    </row>
    <row r="107" spans="4:11">
      <c r="D107" s="42">
        <v>46171</v>
      </c>
      <c r="E107" s="43">
        <v>1607532</v>
      </c>
      <c r="F107" s="43" t="s">
        <v>13</v>
      </c>
      <c r="G107" s="44">
        <v>20395495</v>
      </c>
      <c r="H107" s="43" t="s">
        <v>36</v>
      </c>
      <c r="I107" s="44">
        <v>1</v>
      </c>
      <c r="J107" s="45">
        <v>13.5</v>
      </c>
      <c r="K107" s="45">
        <v>13.5</v>
      </c>
    </row>
    <row r="108" spans="4:11">
      <c r="D108" s="42">
        <v>46171</v>
      </c>
      <c r="E108" s="43">
        <v>1607532</v>
      </c>
      <c r="F108" s="43" t="s">
        <v>13</v>
      </c>
      <c r="G108" s="44">
        <v>20347963</v>
      </c>
      <c r="H108" s="43" t="s">
        <v>54</v>
      </c>
      <c r="I108" s="44">
        <v>1</v>
      </c>
      <c r="J108" s="45">
        <v>8</v>
      </c>
      <c r="K108" s="45">
        <v>8</v>
      </c>
    </row>
    <row r="109" spans="4:11">
      <c r="D109" s="42">
        <v>46171</v>
      </c>
      <c r="E109" s="43">
        <v>1607532</v>
      </c>
      <c r="F109" s="43" t="s">
        <v>13</v>
      </c>
      <c r="G109" s="44">
        <v>20411940</v>
      </c>
      <c r="H109" s="43" t="s">
        <v>61</v>
      </c>
      <c r="I109" s="44">
        <v>1</v>
      </c>
      <c r="J109" s="45">
        <v>33</v>
      </c>
      <c r="K109" s="45">
        <v>33</v>
      </c>
    </row>
    <row r="110" spans="4:11">
      <c r="D110" s="42">
        <v>46171</v>
      </c>
      <c r="E110" s="43">
        <v>1607532</v>
      </c>
      <c r="F110" s="43" t="s">
        <v>13</v>
      </c>
      <c r="G110" s="44">
        <v>20377357</v>
      </c>
      <c r="H110" s="43" t="s">
        <v>37</v>
      </c>
      <c r="I110" s="44">
        <v>7</v>
      </c>
      <c r="J110" s="45">
        <v>8</v>
      </c>
      <c r="K110" s="45">
        <v>56</v>
      </c>
    </row>
    <row r="111" spans="4:11">
      <c r="D111" s="42">
        <v>46171</v>
      </c>
      <c r="E111" s="43">
        <v>1607532</v>
      </c>
      <c r="F111" s="43" t="s">
        <v>13</v>
      </c>
      <c r="G111" s="44">
        <v>20312027</v>
      </c>
      <c r="H111" s="43" t="s">
        <v>55</v>
      </c>
      <c r="I111" s="44">
        <v>2</v>
      </c>
      <c r="J111" s="45">
        <v>11</v>
      </c>
      <c r="K111" s="45">
        <v>22</v>
      </c>
    </row>
    <row r="112" spans="4:11">
      <c r="D112" s="42">
        <v>46171</v>
      </c>
      <c r="E112" s="43">
        <v>1607532</v>
      </c>
      <c r="F112" s="43" t="s">
        <v>13</v>
      </c>
      <c r="G112" s="44">
        <v>20314990</v>
      </c>
      <c r="H112" s="43" t="s">
        <v>56</v>
      </c>
      <c r="I112" s="44">
        <v>1</v>
      </c>
      <c r="J112" s="45">
        <v>8</v>
      </c>
      <c r="K112" s="45">
        <v>8</v>
      </c>
    </row>
    <row r="113" spans="4:11">
      <c r="D113" s="42">
        <v>46172</v>
      </c>
      <c r="E113" s="43">
        <v>1607771</v>
      </c>
      <c r="F113" s="43" t="s">
        <v>13</v>
      </c>
      <c r="G113" s="44">
        <v>20406253</v>
      </c>
      <c r="H113" s="43" t="s">
        <v>50</v>
      </c>
      <c r="I113" s="44">
        <v>5</v>
      </c>
      <c r="J113" s="45">
        <v>13.5</v>
      </c>
      <c r="K113" s="45">
        <v>67.5</v>
      </c>
    </row>
    <row r="114" spans="4:11">
      <c r="D114" s="42">
        <v>46172</v>
      </c>
      <c r="E114" s="43">
        <v>1607771</v>
      </c>
      <c r="F114" s="43" t="s">
        <v>13</v>
      </c>
      <c r="G114" s="44">
        <v>20313588</v>
      </c>
      <c r="H114" s="43" t="s">
        <v>30</v>
      </c>
      <c r="I114" s="44">
        <v>6</v>
      </c>
      <c r="J114" s="45">
        <v>8</v>
      </c>
      <c r="K114" s="45">
        <v>48</v>
      </c>
    </row>
    <row r="115" spans="4:11">
      <c r="D115" s="42">
        <v>46172</v>
      </c>
      <c r="E115" s="43">
        <v>1607771</v>
      </c>
      <c r="F115" s="43" t="s">
        <v>13</v>
      </c>
      <c r="G115" s="44">
        <v>20347963</v>
      </c>
      <c r="H115" s="43" t="s">
        <v>54</v>
      </c>
      <c r="I115" s="44">
        <v>1</v>
      </c>
      <c r="J115" s="45">
        <v>8</v>
      </c>
      <c r="K115" s="45">
        <v>8</v>
      </c>
    </row>
    <row r="116" spans="4:11">
      <c r="D116" s="42">
        <v>46172</v>
      </c>
      <c r="E116" s="43">
        <v>1607771</v>
      </c>
      <c r="F116" s="43" t="s">
        <v>13</v>
      </c>
      <c r="G116" s="44">
        <v>20377357</v>
      </c>
      <c r="H116" s="43" t="s">
        <v>37</v>
      </c>
      <c r="I116" s="44">
        <v>11</v>
      </c>
      <c r="J116" s="45">
        <v>8</v>
      </c>
      <c r="K116" s="45">
        <v>88</v>
      </c>
    </row>
    <row r="117" spans="4:11">
      <c r="D117" s="42">
        <v>46172</v>
      </c>
      <c r="E117" s="43">
        <v>1607771</v>
      </c>
      <c r="F117" s="43" t="s">
        <v>13</v>
      </c>
      <c r="G117" s="44">
        <v>20312027</v>
      </c>
      <c r="H117" s="43" t="s">
        <v>55</v>
      </c>
      <c r="I117" s="44">
        <v>18</v>
      </c>
      <c r="J117" s="45">
        <v>11</v>
      </c>
      <c r="K117" s="45">
        <v>198</v>
      </c>
    </row>
    <row r="118" spans="4:11">
      <c r="D118" s="42">
        <v>46172</v>
      </c>
      <c r="E118" s="43">
        <v>1607771</v>
      </c>
      <c r="F118" s="43" t="s">
        <v>13</v>
      </c>
      <c r="G118" s="44">
        <v>20314990</v>
      </c>
      <c r="H118" s="43" t="s">
        <v>56</v>
      </c>
      <c r="I118" s="44">
        <v>3</v>
      </c>
      <c r="J118" s="45">
        <v>8</v>
      </c>
      <c r="K118" s="45">
        <v>24</v>
      </c>
    </row>
    <row r="119" spans="4:11">
      <c r="D119" s="42">
        <v>46172</v>
      </c>
      <c r="E119" s="43">
        <v>1607771</v>
      </c>
      <c r="F119" s="43" t="s">
        <v>13</v>
      </c>
      <c r="G119" s="44">
        <v>20005849</v>
      </c>
      <c r="H119" s="43" t="s">
        <v>57</v>
      </c>
      <c r="I119" s="44">
        <v>1</v>
      </c>
      <c r="J119" s="45">
        <v>8</v>
      </c>
      <c r="K119" s="45">
        <v>8</v>
      </c>
    </row>
    <row r="120" spans="4:11">
      <c r="D120" s="42">
        <v>46175</v>
      </c>
      <c r="E120" s="43">
        <v>1608305</v>
      </c>
      <c r="F120" s="43" t="s">
        <v>13</v>
      </c>
      <c r="G120" s="44">
        <v>20312027</v>
      </c>
      <c r="H120" s="43" t="s">
        <v>55</v>
      </c>
      <c r="I120" s="44">
        <v>17</v>
      </c>
      <c r="J120" s="45">
        <v>11</v>
      </c>
      <c r="K120" s="45">
        <v>187</v>
      </c>
    </row>
    <row r="121" spans="4:11">
      <c r="D121" s="42">
        <v>46175</v>
      </c>
      <c r="E121" s="43">
        <v>1608452</v>
      </c>
      <c r="F121" s="43" t="s">
        <v>13</v>
      </c>
      <c r="G121" s="44">
        <v>20005207</v>
      </c>
      <c r="H121" s="43" t="s">
        <v>38</v>
      </c>
      <c r="I121" s="44">
        <v>1</v>
      </c>
      <c r="J121" s="45">
        <v>8</v>
      </c>
      <c r="K121" s="45">
        <v>8</v>
      </c>
    </row>
    <row r="122" spans="4:11">
      <c r="D122" s="42">
        <v>46175</v>
      </c>
      <c r="E122" s="43">
        <v>1608452</v>
      </c>
      <c r="F122" s="43" t="s">
        <v>13</v>
      </c>
      <c r="G122" s="44">
        <v>20406253</v>
      </c>
      <c r="H122" s="43" t="s">
        <v>50</v>
      </c>
      <c r="I122" s="44">
        <v>4</v>
      </c>
      <c r="J122" s="45">
        <v>13.5</v>
      </c>
      <c r="K122" s="45">
        <v>54</v>
      </c>
    </row>
    <row r="123" spans="4:11">
      <c r="D123" s="42">
        <v>46175</v>
      </c>
      <c r="E123" s="43">
        <v>1608452</v>
      </c>
      <c r="F123" s="43" t="s">
        <v>13</v>
      </c>
      <c r="G123" s="44">
        <v>20313588</v>
      </c>
      <c r="H123" s="43" t="s">
        <v>30</v>
      </c>
      <c r="I123" s="44">
        <v>3</v>
      </c>
      <c r="J123" s="45">
        <v>8</v>
      </c>
      <c r="K123" s="45">
        <v>24</v>
      </c>
    </row>
    <row r="124" spans="4:11">
      <c r="D124" s="42">
        <v>46175</v>
      </c>
      <c r="E124" s="43">
        <v>1608452</v>
      </c>
      <c r="F124" s="43" t="s">
        <v>13</v>
      </c>
      <c r="G124" s="44">
        <v>20324084</v>
      </c>
      <c r="H124" s="43" t="s">
        <v>24</v>
      </c>
      <c r="I124" s="44">
        <v>3</v>
      </c>
      <c r="J124" s="45">
        <v>8</v>
      </c>
      <c r="K124" s="45">
        <v>24</v>
      </c>
    </row>
    <row r="125" spans="4:11">
      <c r="D125" s="42">
        <v>46175</v>
      </c>
      <c r="E125" s="43">
        <v>1608452</v>
      </c>
      <c r="F125" s="43" t="s">
        <v>13</v>
      </c>
      <c r="G125" s="44">
        <v>20347963</v>
      </c>
      <c r="H125" s="43" t="s">
        <v>54</v>
      </c>
      <c r="I125" s="44">
        <v>1</v>
      </c>
      <c r="J125" s="45">
        <v>8</v>
      </c>
      <c r="K125" s="45">
        <v>8</v>
      </c>
    </row>
    <row r="126" spans="4:11">
      <c r="D126" s="42">
        <v>46175</v>
      </c>
      <c r="E126" s="43">
        <v>1608452</v>
      </c>
      <c r="F126" s="43" t="s">
        <v>13</v>
      </c>
      <c r="G126" s="44">
        <v>20377357</v>
      </c>
      <c r="H126" s="43" t="s">
        <v>37</v>
      </c>
      <c r="I126" s="44">
        <v>6</v>
      </c>
      <c r="J126" s="45">
        <v>8</v>
      </c>
      <c r="K126" s="45">
        <v>48</v>
      </c>
    </row>
    <row r="127" spans="4:11">
      <c r="D127" s="42">
        <v>46176</v>
      </c>
      <c r="E127" s="43">
        <v>1608684</v>
      </c>
      <c r="F127" s="43" t="s">
        <v>13</v>
      </c>
      <c r="G127" s="44">
        <v>20005207</v>
      </c>
      <c r="H127" s="43" t="s">
        <v>38</v>
      </c>
      <c r="I127" s="44">
        <v>2</v>
      </c>
      <c r="J127" s="45">
        <v>8</v>
      </c>
      <c r="K127" s="45">
        <v>16</v>
      </c>
    </row>
    <row r="128" spans="4:11">
      <c r="D128" s="42">
        <v>46176</v>
      </c>
      <c r="E128" s="43">
        <v>1608684</v>
      </c>
      <c r="F128" s="43" t="s">
        <v>13</v>
      </c>
      <c r="G128" s="44">
        <v>20406253</v>
      </c>
      <c r="H128" s="43" t="s">
        <v>50</v>
      </c>
      <c r="I128" s="44">
        <v>3</v>
      </c>
      <c r="J128" s="45">
        <v>13.5</v>
      </c>
      <c r="K128" s="45">
        <v>40.5</v>
      </c>
    </row>
    <row r="129" spans="4:11">
      <c r="D129" s="42">
        <v>46176</v>
      </c>
      <c r="E129" s="43">
        <v>1608684</v>
      </c>
      <c r="F129" s="43" t="s">
        <v>13</v>
      </c>
      <c r="G129" s="44">
        <v>20313588</v>
      </c>
      <c r="H129" s="43" t="s">
        <v>30</v>
      </c>
      <c r="I129" s="44">
        <v>5</v>
      </c>
      <c r="J129" s="45">
        <v>8</v>
      </c>
      <c r="K129" s="45">
        <v>40</v>
      </c>
    </row>
    <row r="130" spans="4:11">
      <c r="D130" s="42">
        <v>46176</v>
      </c>
      <c r="E130" s="43">
        <v>1608684</v>
      </c>
      <c r="F130" s="43" t="s">
        <v>13</v>
      </c>
      <c r="G130" s="44">
        <v>20324084</v>
      </c>
      <c r="H130" s="43" t="s">
        <v>24</v>
      </c>
      <c r="I130" s="44">
        <v>3</v>
      </c>
      <c r="J130" s="45">
        <v>8</v>
      </c>
      <c r="K130" s="45">
        <v>24</v>
      </c>
    </row>
    <row r="131" spans="4:11">
      <c r="D131" s="42">
        <v>46176</v>
      </c>
      <c r="E131" s="43">
        <v>1608684</v>
      </c>
      <c r="F131" s="43" t="s">
        <v>13</v>
      </c>
      <c r="G131" s="44">
        <v>20347963</v>
      </c>
      <c r="H131" s="43" t="s">
        <v>54</v>
      </c>
      <c r="I131" s="44">
        <v>3</v>
      </c>
      <c r="J131" s="45">
        <v>8</v>
      </c>
      <c r="K131" s="45">
        <v>24</v>
      </c>
    </row>
    <row r="132" spans="4:11">
      <c r="D132" s="42">
        <v>46176</v>
      </c>
      <c r="E132" s="43">
        <v>1608684</v>
      </c>
      <c r="F132" s="43" t="s">
        <v>13</v>
      </c>
      <c r="G132" s="44">
        <v>20377357</v>
      </c>
      <c r="H132" s="43" t="s">
        <v>37</v>
      </c>
      <c r="I132" s="44">
        <v>10</v>
      </c>
      <c r="J132" s="45">
        <v>8</v>
      </c>
      <c r="K132" s="45">
        <v>80</v>
      </c>
    </row>
    <row r="133" spans="4:11">
      <c r="D133" s="42">
        <v>46176</v>
      </c>
      <c r="E133" s="43">
        <v>1608684</v>
      </c>
      <c r="F133" s="43" t="s">
        <v>13</v>
      </c>
      <c r="G133" s="44">
        <v>20312027</v>
      </c>
      <c r="H133" s="43" t="s">
        <v>55</v>
      </c>
      <c r="I133" s="44">
        <v>14</v>
      </c>
      <c r="J133" s="45">
        <v>11</v>
      </c>
      <c r="K133" s="45">
        <v>154</v>
      </c>
    </row>
    <row r="134" spans="4:11">
      <c r="D134" s="42">
        <v>46176</v>
      </c>
      <c r="E134" s="43">
        <v>1608816</v>
      </c>
      <c r="F134" s="43" t="s">
        <v>13</v>
      </c>
      <c r="G134" s="44">
        <v>20406253</v>
      </c>
      <c r="H134" s="43" t="s">
        <v>50</v>
      </c>
      <c r="I134" s="44">
        <v>3</v>
      </c>
      <c r="J134" s="45">
        <v>13.5</v>
      </c>
      <c r="K134" s="45">
        <v>40.5</v>
      </c>
    </row>
    <row r="135" spans="4:11">
      <c r="D135" s="42">
        <v>46176</v>
      </c>
      <c r="E135" s="43">
        <v>1608816</v>
      </c>
      <c r="F135" s="43" t="s">
        <v>13</v>
      </c>
      <c r="G135" s="44">
        <v>20313588</v>
      </c>
      <c r="H135" s="43" t="s">
        <v>30</v>
      </c>
      <c r="I135" s="44">
        <v>3</v>
      </c>
      <c r="J135" s="45">
        <v>8</v>
      </c>
      <c r="K135" s="45">
        <v>24</v>
      </c>
    </row>
    <row r="136" spans="4:11">
      <c r="D136" s="42">
        <v>46176</v>
      </c>
      <c r="E136" s="43">
        <v>1608816</v>
      </c>
      <c r="F136" s="43" t="s">
        <v>13</v>
      </c>
      <c r="G136" s="44">
        <v>20324084</v>
      </c>
      <c r="H136" s="43" t="s">
        <v>24</v>
      </c>
      <c r="I136" s="44">
        <v>1</v>
      </c>
      <c r="J136" s="45">
        <v>8</v>
      </c>
      <c r="K136" s="45">
        <v>8</v>
      </c>
    </row>
    <row r="137" spans="4:11">
      <c r="D137" s="42">
        <v>46176</v>
      </c>
      <c r="E137" s="43">
        <v>1608816</v>
      </c>
      <c r="F137" s="43" t="s">
        <v>13</v>
      </c>
      <c r="G137" s="44">
        <v>20377357</v>
      </c>
      <c r="H137" s="43" t="s">
        <v>37</v>
      </c>
      <c r="I137" s="44">
        <v>7</v>
      </c>
      <c r="J137" s="45">
        <v>8</v>
      </c>
      <c r="K137" s="45">
        <v>56</v>
      </c>
    </row>
    <row r="138" spans="4:11">
      <c r="D138" s="42">
        <v>46177</v>
      </c>
      <c r="E138" s="43">
        <v>1609091</v>
      </c>
      <c r="F138" s="43" t="s">
        <v>13</v>
      </c>
      <c r="G138" s="44">
        <v>20406253</v>
      </c>
      <c r="H138" s="43" t="s">
        <v>50</v>
      </c>
      <c r="I138" s="44">
        <v>3</v>
      </c>
      <c r="J138" s="45">
        <v>13.5</v>
      </c>
      <c r="K138" s="45">
        <v>40.5</v>
      </c>
    </row>
    <row r="139" spans="4:11">
      <c r="D139" s="42">
        <v>46177</v>
      </c>
      <c r="E139" s="43">
        <v>1609091</v>
      </c>
      <c r="F139" s="43" t="s">
        <v>13</v>
      </c>
      <c r="G139" s="44">
        <v>20313588</v>
      </c>
      <c r="H139" s="43" t="s">
        <v>30</v>
      </c>
      <c r="I139" s="44">
        <v>5</v>
      </c>
      <c r="J139" s="45">
        <v>8</v>
      </c>
      <c r="K139" s="45">
        <v>40</v>
      </c>
    </row>
    <row r="140" spans="4:11">
      <c r="D140" s="42">
        <v>46177</v>
      </c>
      <c r="E140" s="43">
        <v>1609091</v>
      </c>
      <c r="F140" s="43" t="s">
        <v>13</v>
      </c>
      <c r="G140" s="44">
        <v>20377357</v>
      </c>
      <c r="H140" s="43" t="s">
        <v>37</v>
      </c>
      <c r="I140" s="44">
        <v>4</v>
      </c>
      <c r="J140" s="45">
        <v>8</v>
      </c>
      <c r="K140" s="45">
        <v>32</v>
      </c>
    </row>
    <row r="141" spans="4:11">
      <c r="D141" s="42">
        <v>46177</v>
      </c>
      <c r="E141" s="43">
        <v>1609091</v>
      </c>
      <c r="F141" s="43" t="s">
        <v>13</v>
      </c>
      <c r="G141" s="44">
        <v>20312027</v>
      </c>
      <c r="H141" s="43" t="s">
        <v>55</v>
      </c>
      <c r="I141" s="44">
        <v>10</v>
      </c>
      <c r="J141" s="45">
        <v>11</v>
      </c>
      <c r="K141" s="45">
        <v>110</v>
      </c>
    </row>
    <row r="142" spans="4:11">
      <c r="D142" s="42">
        <v>46177</v>
      </c>
      <c r="E142" s="43">
        <v>1609091</v>
      </c>
      <c r="F142" s="43" t="s">
        <v>13</v>
      </c>
      <c r="G142" s="44">
        <v>20314990</v>
      </c>
      <c r="H142" s="43" t="s">
        <v>56</v>
      </c>
      <c r="I142" s="44">
        <v>3</v>
      </c>
      <c r="J142" s="45">
        <v>8</v>
      </c>
      <c r="K142" s="45">
        <v>24</v>
      </c>
    </row>
    <row r="143" spans="4:11">
      <c r="D143" s="42">
        <v>46177</v>
      </c>
      <c r="E143" s="43">
        <v>1609091</v>
      </c>
      <c r="F143" s="43" t="s">
        <v>13</v>
      </c>
      <c r="G143" s="44">
        <v>20005849</v>
      </c>
      <c r="H143" s="43" t="s">
        <v>57</v>
      </c>
      <c r="I143" s="44">
        <v>1</v>
      </c>
      <c r="J143" s="45">
        <v>8</v>
      </c>
      <c r="K143" s="45">
        <v>8</v>
      </c>
    </row>
    <row r="144" spans="4:11">
      <c r="D144" s="42">
        <v>46177</v>
      </c>
      <c r="E144" s="43">
        <v>1609195</v>
      </c>
      <c r="F144" s="43" t="s">
        <v>13</v>
      </c>
      <c r="G144" s="44">
        <v>20406253</v>
      </c>
      <c r="H144" s="43" t="s">
        <v>50</v>
      </c>
      <c r="I144" s="44">
        <v>2</v>
      </c>
      <c r="J144" s="45">
        <v>13.5</v>
      </c>
      <c r="K144" s="45">
        <v>27</v>
      </c>
    </row>
    <row r="145" spans="4:11">
      <c r="D145" s="42">
        <v>46177</v>
      </c>
      <c r="E145" s="43">
        <v>1609195</v>
      </c>
      <c r="F145" s="43" t="s">
        <v>13</v>
      </c>
      <c r="G145" s="44">
        <v>20313588</v>
      </c>
      <c r="H145" s="43" t="s">
        <v>30</v>
      </c>
      <c r="I145" s="44">
        <v>1</v>
      </c>
      <c r="J145" s="45">
        <v>8</v>
      </c>
      <c r="K145" s="45">
        <v>8</v>
      </c>
    </row>
    <row r="146" spans="4:11">
      <c r="D146" s="42">
        <v>46177</v>
      </c>
      <c r="E146" s="43">
        <v>1609195</v>
      </c>
      <c r="F146" s="43" t="s">
        <v>13</v>
      </c>
      <c r="G146" s="44">
        <v>20324084</v>
      </c>
      <c r="H146" s="43" t="s">
        <v>24</v>
      </c>
      <c r="I146" s="44">
        <v>3</v>
      </c>
      <c r="J146" s="45">
        <v>8</v>
      </c>
      <c r="K146" s="45">
        <v>24</v>
      </c>
    </row>
    <row r="147" spans="4:11">
      <c r="D147" s="42">
        <v>46177</v>
      </c>
      <c r="E147" s="43">
        <v>1609195</v>
      </c>
      <c r="F147" s="43" t="s">
        <v>13</v>
      </c>
      <c r="G147" s="44">
        <v>20347963</v>
      </c>
      <c r="H147" s="43" t="s">
        <v>54</v>
      </c>
      <c r="I147" s="44">
        <v>1</v>
      </c>
      <c r="J147" s="45">
        <v>8</v>
      </c>
      <c r="K147" s="45">
        <v>8</v>
      </c>
    </row>
    <row r="148" spans="4:11">
      <c r="D148" s="42">
        <v>46177</v>
      </c>
      <c r="E148" s="43">
        <v>1609195</v>
      </c>
      <c r="F148" s="43" t="s">
        <v>13</v>
      </c>
      <c r="G148" s="44">
        <v>20377357</v>
      </c>
      <c r="H148" s="43" t="s">
        <v>37</v>
      </c>
      <c r="I148" s="44">
        <v>6</v>
      </c>
      <c r="J148" s="45">
        <v>8</v>
      </c>
      <c r="K148" s="45">
        <v>48</v>
      </c>
    </row>
    <row r="149" spans="4:11">
      <c r="D149" s="42">
        <v>46178</v>
      </c>
      <c r="E149" s="43">
        <v>1609449</v>
      </c>
      <c r="F149" s="43" t="s">
        <v>13</v>
      </c>
      <c r="G149" s="44">
        <v>20406253</v>
      </c>
      <c r="H149" s="43" t="s">
        <v>50</v>
      </c>
      <c r="I149" s="44">
        <v>6</v>
      </c>
      <c r="J149" s="45">
        <v>13.5</v>
      </c>
      <c r="K149" s="45">
        <v>81</v>
      </c>
    </row>
    <row r="150" spans="4:11">
      <c r="D150" s="42">
        <v>46178</v>
      </c>
      <c r="E150" s="43">
        <v>1609449</v>
      </c>
      <c r="F150" s="43" t="s">
        <v>13</v>
      </c>
      <c r="G150" s="44">
        <v>20313588</v>
      </c>
      <c r="H150" s="43" t="s">
        <v>30</v>
      </c>
      <c r="I150" s="44">
        <v>4</v>
      </c>
      <c r="J150" s="45">
        <v>8</v>
      </c>
      <c r="K150" s="45">
        <v>32</v>
      </c>
    </row>
    <row r="151" spans="4:11">
      <c r="D151" s="42">
        <v>46178</v>
      </c>
      <c r="E151" s="43">
        <v>1609449</v>
      </c>
      <c r="F151" s="43" t="s">
        <v>13</v>
      </c>
      <c r="G151" s="44">
        <v>20324084</v>
      </c>
      <c r="H151" s="43" t="s">
        <v>24</v>
      </c>
      <c r="I151" s="44">
        <v>4</v>
      </c>
      <c r="J151" s="45">
        <v>8</v>
      </c>
      <c r="K151" s="45">
        <v>32</v>
      </c>
    </row>
    <row r="152" spans="4:11">
      <c r="D152" s="42">
        <v>46178</v>
      </c>
      <c r="E152" s="43">
        <v>1609449</v>
      </c>
      <c r="F152" s="43" t="s">
        <v>13</v>
      </c>
      <c r="G152" s="44">
        <v>20396339</v>
      </c>
      <c r="H152" s="43" t="s">
        <v>32</v>
      </c>
      <c r="I152" s="44">
        <v>1</v>
      </c>
      <c r="J152" s="45">
        <v>11</v>
      </c>
      <c r="K152" s="45">
        <v>11</v>
      </c>
    </row>
    <row r="153" spans="4:11">
      <c r="D153" s="42">
        <v>46178</v>
      </c>
      <c r="E153" s="43">
        <v>1609449</v>
      </c>
      <c r="F153" s="43" t="s">
        <v>13</v>
      </c>
      <c r="G153" s="44">
        <v>20347963</v>
      </c>
      <c r="H153" s="43" t="s">
        <v>54</v>
      </c>
      <c r="I153" s="44">
        <v>2</v>
      </c>
      <c r="J153" s="45">
        <v>8</v>
      </c>
      <c r="K153" s="45">
        <v>16</v>
      </c>
    </row>
    <row r="154" spans="4:11">
      <c r="D154" s="42">
        <v>46178</v>
      </c>
      <c r="E154" s="43">
        <v>1609449</v>
      </c>
      <c r="F154" s="43" t="s">
        <v>13</v>
      </c>
      <c r="G154" s="44">
        <v>20377357</v>
      </c>
      <c r="H154" s="43" t="s">
        <v>37</v>
      </c>
      <c r="I154" s="44">
        <v>11</v>
      </c>
      <c r="J154" s="45">
        <v>8</v>
      </c>
      <c r="K154" s="45">
        <v>88</v>
      </c>
    </row>
    <row r="155" spans="4:11">
      <c r="D155" s="42">
        <v>46178</v>
      </c>
      <c r="E155" s="43">
        <v>1609449</v>
      </c>
      <c r="F155" s="43" t="s">
        <v>13</v>
      </c>
      <c r="G155" s="44">
        <v>20312027</v>
      </c>
      <c r="H155" s="43" t="s">
        <v>55</v>
      </c>
      <c r="I155" s="44">
        <v>13</v>
      </c>
      <c r="J155" s="45">
        <v>11</v>
      </c>
      <c r="K155" s="45">
        <v>143</v>
      </c>
    </row>
    <row r="156" spans="4:11">
      <c r="D156" s="42">
        <v>46178</v>
      </c>
      <c r="E156" s="43">
        <v>1609581</v>
      </c>
      <c r="F156" s="43" t="s">
        <v>13</v>
      </c>
      <c r="G156" s="44">
        <v>20406253</v>
      </c>
      <c r="H156" s="43" t="s">
        <v>50</v>
      </c>
      <c r="I156" s="44">
        <v>2</v>
      </c>
      <c r="J156" s="45">
        <v>13.5</v>
      </c>
      <c r="K156" s="45">
        <v>27</v>
      </c>
    </row>
    <row r="157" spans="4:11">
      <c r="D157" s="42">
        <v>46178</v>
      </c>
      <c r="E157" s="43">
        <v>1609581</v>
      </c>
      <c r="F157" s="43" t="s">
        <v>13</v>
      </c>
      <c r="G157" s="44">
        <v>20313588</v>
      </c>
      <c r="H157" s="43" t="s">
        <v>30</v>
      </c>
      <c r="I157" s="44">
        <v>4</v>
      </c>
      <c r="J157" s="45">
        <v>8</v>
      </c>
      <c r="K157" s="45">
        <v>32</v>
      </c>
    </row>
    <row r="158" spans="4:11">
      <c r="D158" s="42">
        <v>46178</v>
      </c>
      <c r="E158" s="43">
        <v>1609581</v>
      </c>
      <c r="F158" s="43" t="s">
        <v>13</v>
      </c>
      <c r="G158" s="44">
        <v>20347963</v>
      </c>
      <c r="H158" s="43" t="s">
        <v>54</v>
      </c>
      <c r="I158" s="44">
        <v>1</v>
      </c>
      <c r="J158" s="45">
        <v>8</v>
      </c>
      <c r="K158" s="45">
        <v>8</v>
      </c>
    </row>
    <row r="159" spans="4:11">
      <c r="D159" s="42">
        <v>46178</v>
      </c>
      <c r="E159" s="43">
        <v>1609581</v>
      </c>
      <c r="F159" s="43" t="s">
        <v>13</v>
      </c>
      <c r="G159" s="44">
        <v>20377357</v>
      </c>
      <c r="H159" s="43" t="s">
        <v>37</v>
      </c>
      <c r="I159" s="44">
        <v>6</v>
      </c>
      <c r="J159" s="45">
        <v>8</v>
      </c>
      <c r="K159" s="45">
        <v>48</v>
      </c>
    </row>
    <row r="160" spans="4:11">
      <c r="D160" s="42">
        <v>46178</v>
      </c>
      <c r="E160" s="43">
        <v>1609581</v>
      </c>
      <c r="F160" s="43" t="s">
        <v>13</v>
      </c>
      <c r="G160" s="44">
        <v>20398525</v>
      </c>
      <c r="H160" s="43" t="s">
        <v>49</v>
      </c>
      <c r="I160" s="44">
        <v>1</v>
      </c>
      <c r="J160" s="45">
        <v>11</v>
      </c>
      <c r="K160" s="45">
        <v>11</v>
      </c>
    </row>
    <row r="161" spans="4:11">
      <c r="D161" s="42">
        <v>46178</v>
      </c>
      <c r="E161" s="43">
        <v>1609581</v>
      </c>
      <c r="F161" s="43" t="s">
        <v>13</v>
      </c>
      <c r="G161" s="44">
        <v>20312027</v>
      </c>
      <c r="H161" s="43" t="s">
        <v>55</v>
      </c>
      <c r="I161" s="44">
        <v>7</v>
      </c>
      <c r="J161" s="45">
        <v>11</v>
      </c>
      <c r="K161" s="45">
        <v>77</v>
      </c>
    </row>
    <row r="162" spans="4:11">
      <c r="D162" s="42">
        <v>46178</v>
      </c>
      <c r="E162" s="43">
        <v>1609581</v>
      </c>
      <c r="F162" s="43" t="s">
        <v>13</v>
      </c>
      <c r="G162" s="44">
        <v>20314990</v>
      </c>
      <c r="H162" s="43" t="s">
        <v>56</v>
      </c>
      <c r="I162" s="44">
        <v>3</v>
      </c>
      <c r="J162" s="45">
        <v>8</v>
      </c>
      <c r="K162" s="45">
        <v>24</v>
      </c>
    </row>
    <row r="163" spans="4:11">
      <c r="D163" s="42">
        <v>46179</v>
      </c>
      <c r="E163" s="43">
        <v>1609873</v>
      </c>
      <c r="F163" s="43" t="s">
        <v>13</v>
      </c>
      <c r="G163" s="44">
        <v>20406253</v>
      </c>
      <c r="H163" s="43" t="s">
        <v>50</v>
      </c>
      <c r="I163" s="44">
        <v>2</v>
      </c>
      <c r="J163" s="45">
        <v>13.5</v>
      </c>
      <c r="K163" s="45">
        <v>27</v>
      </c>
    </row>
    <row r="164" spans="4:11">
      <c r="D164" s="42">
        <v>46179</v>
      </c>
      <c r="E164" s="43">
        <v>1609873</v>
      </c>
      <c r="F164" s="43" t="s">
        <v>13</v>
      </c>
      <c r="G164" s="44">
        <v>20313588</v>
      </c>
      <c r="H164" s="43" t="s">
        <v>30</v>
      </c>
      <c r="I164" s="44">
        <v>6</v>
      </c>
      <c r="J164" s="45">
        <v>8</v>
      </c>
      <c r="K164" s="45">
        <v>48</v>
      </c>
    </row>
    <row r="165" spans="4:11">
      <c r="D165" s="42">
        <v>46179</v>
      </c>
      <c r="E165" s="43">
        <v>1609873</v>
      </c>
      <c r="F165" s="43" t="s">
        <v>13</v>
      </c>
      <c r="G165" s="44">
        <v>20347963</v>
      </c>
      <c r="H165" s="43" t="s">
        <v>54</v>
      </c>
      <c r="I165" s="44">
        <v>2</v>
      </c>
      <c r="J165" s="45">
        <v>8</v>
      </c>
      <c r="K165" s="45">
        <v>16</v>
      </c>
    </row>
    <row r="166" spans="4:11">
      <c r="D166" s="42">
        <v>46179</v>
      </c>
      <c r="E166" s="43">
        <v>1609873</v>
      </c>
      <c r="F166" s="43" t="s">
        <v>13</v>
      </c>
      <c r="G166" s="44">
        <v>20377357</v>
      </c>
      <c r="H166" s="43" t="s">
        <v>37</v>
      </c>
      <c r="I166" s="44">
        <v>7</v>
      </c>
      <c r="J166" s="45">
        <v>8</v>
      </c>
      <c r="K166" s="45">
        <v>56</v>
      </c>
    </row>
    <row r="167" spans="4:11">
      <c r="D167" s="42">
        <v>46179</v>
      </c>
      <c r="E167" s="43">
        <v>1609873</v>
      </c>
      <c r="F167" s="43" t="s">
        <v>13</v>
      </c>
      <c r="G167" s="44">
        <v>20312027</v>
      </c>
      <c r="H167" s="43" t="s">
        <v>55</v>
      </c>
      <c r="I167" s="44">
        <v>3</v>
      </c>
      <c r="J167" s="45">
        <v>11</v>
      </c>
      <c r="K167" s="45">
        <v>33</v>
      </c>
    </row>
    <row r="168" spans="4:11">
      <c r="D168" s="42">
        <v>46179</v>
      </c>
      <c r="E168" s="43">
        <v>1609873</v>
      </c>
      <c r="F168" s="43" t="s">
        <v>13</v>
      </c>
      <c r="G168" s="44">
        <v>20314990</v>
      </c>
      <c r="H168" s="43" t="s">
        <v>56</v>
      </c>
      <c r="I168" s="44">
        <v>2</v>
      </c>
      <c r="J168" s="45">
        <v>8</v>
      </c>
      <c r="K168" s="45">
        <v>16</v>
      </c>
    </row>
    <row r="169" spans="4:11">
      <c r="D169" s="42">
        <v>46182</v>
      </c>
      <c r="E169" s="43">
        <v>1610364</v>
      </c>
      <c r="F169" s="43" t="s">
        <v>13</v>
      </c>
      <c r="G169" s="44">
        <v>20312027</v>
      </c>
      <c r="H169" s="43" t="s">
        <v>55</v>
      </c>
      <c r="I169" s="44">
        <v>14</v>
      </c>
      <c r="J169" s="45">
        <v>11</v>
      </c>
      <c r="K169" s="45">
        <v>154</v>
      </c>
    </row>
    <row r="170" spans="4:11">
      <c r="D170" s="42">
        <v>46182</v>
      </c>
      <c r="E170" s="43">
        <v>1610552</v>
      </c>
      <c r="F170" s="43" t="s">
        <v>13</v>
      </c>
      <c r="G170" s="44">
        <v>20406253</v>
      </c>
      <c r="H170" s="43" t="s">
        <v>50</v>
      </c>
      <c r="I170" s="44">
        <v>2</v>
      </c>
      <c r="J170" s="45">
        <v>13.5</v>
      </c>
      <c r="K170" s="45">
        <v>27</v>
      </c>
    </row>
    <row r="171" spans="4:11">
      <c r="D171" s="42">
        <v>46182</v>
      </c>
      <c r="E171" s="43">
        <v>1610552</v>
      </c>
      <c r="F171" s="43" t="s">
        <v>13</v>
      </c>
      <c r="G171" s="44">
        <v>20313588</v>
      </c>
      <c r="H171" s="43" t="s">
        <v>30</v>
      </c>
      <c r="I171" s="44">
        <v>4</v>
      </c>
      <c r="J171" s="45">
        <v>8</v>
      </c>
      <c r="K171" s="45">
        <v>32</v>
      </c>
    </row>
    <row r="172" spans="4:11">
      <c r="D172" s="42">
        <v>46182</v>
      </c>
      <c r="E172" s="43">
        <v>1610552</v>
      </c>
      <c r="F172" s="43" t="s">
        <v>13</v>
      </c>
      <c r="G172" s="44">
        <v>20324084</v>
      </c>
      <c r="H172" s="43" t="s">
        <v>24</v>
      </c>
      <c r="I172" s="44">
        <v>3</v>
      </c>
      <c r="J172" s="45">
        <v>8</v>
      </c>
      <c r="K172" s="45">
        <v>24</v>
      </c>
    </row>
    <row r="173" spans="4:11">
      <c r="D173" s="42">
        <v>46182</v>
      </c>
      <c r="E173" s="43">
        <v>1610552</v>
      </c>
      <c r="F173" s="43" t="s">
        <v>13</v>
      </c>
      <c r="G173" s="44">
        <v>20347963</v>
      </c>
      <c r="H173" s="43" t="s">
        <v>54</v>
      </c>
      <c r="I173" s="44">
        <v>2</v>
      </c>
      <c r="J173" s="45">
        <v>8</v>
      </c>
      <c r="K173" s="45">
        <v>16</v>
      </c>
    </row>
    <row r="174" spans="4:11">
      <c r="D174" s="42">
        <v>46182</v>
      </c>
      <c r="E174" s="43">
        <v>1610552</v>
      </c>
      <c r="F174" s="43" t="s">
        <v>13</v>
      </c>
      <c r="G174" s="44">
        <v>20377357</v>
      </c>
      <c r="H174" s="43" t="s">
        <v>37</v>
      </c>
      <c r="I174" s="44">
        <v>5</v>
      </c>
      <c r="J174" s="45">
        <v>8</v>
      </c>
      <c r="K174" s="45">
        <v>40</v>
      </c>
    </row>
    <row r="175" spans="4:11">
      <c r="D175" s="42">
        <v>46182</v>
      </c>
      <c r="E175" s="43">
        <v>1610552</v>
      </c>
      <c r="F175" s="43" t="s">
        <v>13</v>
      </c>
      <c r="G175" s="44">
        <v>20312027</v>
      </c>
      <c r="H175" s="43" t="s">
        <v>55</v>
      </c>
      <c r="I175" s="44">
        <v>2</v>
      </c>
      <c r="J175" s="45">
        <v>11</v>
      </c>
      <c r="K175" s="45">
        <v>22</v>
      </c>
    </row>
    <row r="176" spans="4:11">
      <c r="D176" s="42">
        <v>46182</v>
      </c>
      <c r="E176" s="43">
        <v>1610552</v>
      </c>
      <c r="F176" s="43" t="s">
        <v>13</v>
      </c>
      <c r="G176" s="44">
        <v>20005849</v>
      </c>
      <c r="H176" s="43" t="s">
        <v>57</v>
      </c>
      <c r="I176" s="44">
        <v>1</v>
      </c>
      <c r="J176" s="45">
        <v>8</v>
      </c>
      <c r="K176" s="45">
        <v>8</v>
      </c>
    </row>
    <row r="177" spans="4:11">
      <c r="D177" s="42">
        <v>46183</v>
      </c>
      <c r="E177" s="43">
        <v>1610822</v>
      </c>
      <c r="F177" s="43" t="s">
        <v>13</v>
      </c>
      <c r="G177" s="44">
        <v>20406253</v>
      </c>
      <c r="H177" s="43" t="s">
        <v>50</v>
      </c>
      <c r="I177" s="44">
        <v>1</v>
      </c>
      <c r="J177" s="45">
        <v>13.5</v>
      </c>
      <c r="K177" s="45">
        <v>13.5</v>
      </c>
    </row>
    <row r="178" spans="4:11">
      <c r="D178" s="42">
        <v>46183</v>
      </c>
      <c r="E178" s="43">
        <v>1610822</v>
      </c>
      <c r="F178" s="43" t="s">
        <v>13</v>
      </c>
      <c r="G178" s="44">
        <v>20313588</v>
      </c>
      <c r="H178" s="43" t="s">
        <v>30</v>
      </c>
      <c r="I178" s="44">
        <v>2</v>
      </c>
      <c r="J178" s="45">
        <v>8</v>
      </c>
      <c r="K178" s="45">
        <v>16</v>
      </c>
    </row>
    <row r="179" spans="4:11">
      <c r="D179" s="42">
        <v>46183</v>
      </c>
      <c r="E179" s="43">
        <v>1610822</v>
      </c>
      <c r="F179" s="43" t="s">
        <v>13</v>
      </c>
      <c r="G179" s="44">
        <v>20324084</v>
      </c>
      <c r="H179" s="43" t="s">
        <v>24</v>
      </c>
      <c r="I179" s="44">
        <v>2</v>
      </c>
      <c r="J179" s="45">
        <v>8</v>
      </c>
      <c r="K179" s="45">
        <v>16</v>
      </c>
    </row>
    <row r="180" spans="4:11">
      <c r="D180" s="42">
        <v>46183</v>
      </c>
      <c r="E180" s="43">
        <v>1610822</v>
      </c>
      <c r="F180" s="43" t="s">
        <v>13</v>
      </c>
      <c r="G180" s="44">
        <v>20396339</v>
      </c>
      <c r="H180" s="43" t="s">
        <v>32</v>
      </c>
      <c r="I180" s="44">
        <v>1</v>
      </c>
      <c r="J180" s="45">
        <v>11</v>
      </c>
      <c r="K180" s="45">
        <v>11</v>
      </c>
    </row>
    <row r="181" spans="4:11">
      <c r="D181" s="42">
        <v>46183</v>
      </c>
      <c r="E181" s="43">
        <v>1610822</v>
      </c>
      <c r="F181" s="43" t="s">
        <v>13</v>
      </c>
      <c r="G181" s="44">
        <v>20347963</v>
      </c>
      <c r="H181" s="43" t="s">
        <v>54</v>
      </c>
      <c r="I181" s="44">
        <v>1</v>
      </c>
      <c r="J181" s="45">
        <v>8</v>
      </c>
      <c r="K181" s="45">
        <v>8</v>
      </c>
    </row>
    <row r="182" spans="4:11">
      <c r="D182" s="42">
        <v>46183</v>
      </c>
      <c r="E182" s="43">
        <v>1610822</v>
      </c>
      <c r="F182" s="43" t="s">
        <v>13</v>
      </c>
      <c r="G182" s="44">
        <v>20377357</v>
      </c>
      <c r="H182" s="43" t="s">
        <v>37</v>
      </c>
      <c r="I182" s="44">
        <v>4</v>
      </c>
      <c r="J182" s="45">
        <v>8</v>
      </c>
      <c r="K182" s="45">
        <v>32</v>
      </c>
    </row>
    <row r="183" spans="4:11">
      <c r="D183" s="42">
        <v>46183</v>
      </c>
      <c r="E183" s="43">
        <v>1610822</v>
      </c>
      <c r="F183" s="43" t="s">
        <v>13</v>
      </c>
      <c r="G183" s="44">
        <v>20312027</v>
      </c>
      <c r="H183" s="43" t="s">
        <v>55</v>
      </c>
      <c r="I183" s="44">
        <v>6</v>
      </c>
      <c r="J183" s="45">
        <v>11</v>
      </c>
      <c r="K183" s="45">
        <v>66</v>
      </c>
    </row>
    <row r="184" spans="4:11">
      <c r="D184" s="42">
        <v>46183</v>
      </c>
      <c r="E184" s="43">
        <v>1610935</v>
      </c>
      <c r="F184" s="43" t="s">
        <v>13</v>
      </c>
      <c r="G184" s="44">
        <v>20406253</v>
      </c>
      <c r="H184" s="43" t="s">
        <v>50</v>
      </c>
      <c r="I184" s="44">
        <v>1</v>
      </c>
      <c r="J184" s="45">
        <v>13.5</v>
      </c>
      <c r="K184" s="45">
        <v>13.5</v>
      </c>
    </row>
    <row r="185" spans="4:11">
      <c r="D185" s="42">
        <v>46183</v>
      </c>
      <c r="E185" s="43">
        <v>1610935</v>
      </c>
      <c r="F185" s="43" t="s">
        <v>13</v>
      </c>
      <c r="G185" s="44">
        <v>20313588</v>
      </c>
      <c r="H185" s="43" t="s">
        <v>30</v>
      </c>
      <c r="I185" s="44">
        <v>1</v>
      </c>
      <c r="J185" s="45">
        <v>8</v>
      </c>
      <c r="K185" s="45">
        <v>8</v>
      </c>
    </row>
    <row r="186" spans="4:11">
      <c r="D186" s="42">
        <v>46183</v>
      </c>
      <c r="E186" s="43">
        <v>1610935</v>
      </c>
      <c r="F186" s="43" t="s">
        <v>13</v>
      </c>
      <c r="G186" s="44">
        <v>20324084</v>
      </c>
      <c r="H186" s="43" t="s">
        <v>24</v>
      </c>
      <c r="I186" s="44">
        <v>1</v>
      </c>
      <c r="J186" s="45">
        <v>8</v>
      </c>
      <c r="K186" s="45">
        <v>8</v>
      </c>
    </row>
    <row r="187" spans="4:11">
      <c r="D187" s="42">
        <v>46183</v>
      </c>
      <c r="E187" s="43">
        <v>1610935</v>
      </c>
      <c r="F187" s="43" t="s">
        <v>13</v>
      </c>
      <c r="G187" s="44">
        <v>20396339</v>
      </c>
      <c r="H187" s="43" t="s">
        <v>32</v>
      </c>
      <c r="I187" s="44">
        <v>1</v>
      </c>
      <c r="J187" s="45">
        <v>11</v>
      </c>
      <c r="K187" s="45">
        <v>11</v>
      </c>
    </row>
    <row r="188" spans="4:11">
      <c r="D188" s="42">
        <v>46183</v>
      </c>
      <c r="E188" s="43">
        <v>1610935</v>
      </c>
      <c r="F188" s="43" t="s">
        <v>13</v>
      </c>
      <c r="G188" s="44">
        <v>20377357</v>
      </c>
      <c r="H188" s="43" t="s">
        <v>37</v>
      </c>
      <c r="I188" s="44">
        <v>2</v>
      </c>
      <c r="J188" s="45">
        <v>8</v>
      </c>
      <c r="K188" s="45">
        <v>16</v>
      </c>
    </row>
    <row r="189" spans="4:11">
      <c r="D189" s="42">
        <v>46183</v>
      </c>
      <c r="E189" s="43">
        <v>1611136</v>
      </c>
      <c r="F189" s="43" t="s">
        <v>13</v>
      </c>
      <c r="G189" s="44">
        <v>20406253</v>
      </c>
      <c r="H189" s="43" t="s">
        <v>50</v>
      </c>
      <c r="I189" s="44">
        <v>2</v>
      </c>
      <c r="J189" s="45">
        <v>13.5</v>
      </c>
      <c r="K189" s="45">
        <v>27</v>
      </c>
    </row>
    <row r="190" spans="4:11">
      <c r="D190" s="42">
        <v>46183</v>
      </c>
      <c r="E190" s="43">
        <v>1611136</v>
      </c>
      <c r="F190" s="43" t="s">
        <v>13</v>
      </c>
      <c r="G190" s="44">
        <v>20313588</v>
      </c>
      <c r="H190" s="43" t="s">
        <v>30</v>
      </c>
      <c r="I190" s="44">
        <v>5</v>
      </c>
      <c r="J190" s="45">
        <v>8</v>
      </c>
      <c r="K190" s="45">
        <v>40</v>
      </c>
    </row>
    <row r="191" spans="4:11">
      <c r="D191" s="42">
        <v>46183</v>
      </c>
      <c r="E191" s="43">
        <v>1611136</v>
      </c>
      <c r="F191" s="43" t="s">
        <v>13</v>
      </c>
      <c r="G191" s="44">
        <v>20324084</v>
      </c>
      <c r="H191" s="43" t="s">
        <v>24</v>
      </c>
      <c r="I191" s="44">
        <v>3</v>
      </c>
      <c r="J191" s="45">
        <v>8</v>
      </c>
      <c r="K191" s="45">
        <v>24</v>
      </c>
    </row>
    <row r="192" spans="4:11">
      <c r="D192" s="42">
        <v>46183</v>
      </c>
      <c r="E192" s="43">
        <v>1611136</v>
      </c>
      <c r="F192" s="43" t="s">
        <v>13</v>
      </c>
      <c r="G192" s="44">
        <v>20347963</v>
      </c>
      <c r="H192" s="43" t="s">
        <v>54</v>
      </c>
      <c r="I192" s="44">
        <v>1</v>
      </c>
      <c r="J192" s="45">
        <v>8</v>
      </c>
      <c r="K192" s="45">
        <v>8</v>
      </c>
    </row>
    <row r="193" spans="4:11">
      <c r="D193" s="42">
        <v>46183</v>
      </c>
      <c r="E193" s="43">
        <v>1611136</v>
      </c>
      <c r="F193" s="43" t="s">
        <v>13</v>
      </c>
      <c r="G193" s="44">
        <v>20377357</v>
      </c>
      <c r="H193" s="43" t="s">
        <v>37</v>
      </c>
      <c r="I193" s="44">
        <v>6</v>
      </c>
      <c r="J193" s="45">
        <v>8</v>
      </c>
      <c r="K193" s="45">
        <v>48</v>
      </c>
    </row>
    <row r="194" spans="4:11">
      <c r="D194" s="42">
        <v>46183</v>
      </c>
      <c r="E194" s="43">
        <v>1611136</v>
      </c>
      <c r="F194" s="43" t="s">
        <v>13</v>
      </c>
      <c r="G194" s="44">
        <v>20312027</v>
      </c>
      <c r="H194" s="43" t="s">
        <v>55</v>
      </c>
      <c r="I194" s="44">
        <v>9</v>
      </c>
      <c r="J194" s="45">
        <v>11</v>
      </c>
      <c r="K194" s="45">
        <v>99</v>
      </c>
    </row>
    <row r="195" spans="4:11">
      <c r="D195" s="42">
        <v>46184</v>
      </c>
      <c r="E195" s="43">
        <v>1611295</v>
      </c>
      <c r="F195" s="43" t="s">
        <v>13</v>
      </c>
      <c r="G195" s="44">
        <v>20005208</v>
      </c>
      <c r="H195" s="43" t="s">
        <v>58</v>
      </c>
      <c r="I195" s="44">
        <v>1</v>
      </c>
      <c r="J195" s="45">
        <v>8</v>
      </c>
      <c r="K195" s="45">
        <v>8</v>
      </c>
    </row>
    <row r="196" spans="4:11">
      <c r="D196" s="42">
        <v>46184</v>
      </c>
      <c r="E196" s="43">
        <v>1611295</v>
      </c>
      <c r="F196" s="43" t="s">
        <v>13</v>
      </c>
      <c r="G196" s="44">
        <v>20406253</v>
      </c>
      <c r="H196" s="43" t="s">
        <v>50</v>
      </c>
      <c r="I196" s="44">
        <v>1</v>
      </c>
      <c r="J196" s="45">
        <v>13.5</v>
      </c>
      <c r="K196" s="45">
        <v>13.5</v>
      </c>
    </row>
    <row r="197" spans="4:11">
      <c r="D197" s="42">
        <v>46184</v>
      </c>
      <c r="E197" s="43">
        <v>1611295</v>
      </c>
      <c r="F197" s="43" t="s">
        <v>13</v>
      </c>
      <c r="G197" s="44">
        <v>20324084</v>
      </c>
      <c r="H197" s="43" t="s">
        <v>24</v>
      </c>
      <c r="I197" s="44">
        <v>2</v>
      </c>
      <c r="J197" s="45">
        <v>8</v>
      </c>
      <c r="K197" s="45">
        <v>16</v>
      </c>
    </row>
    <row r="198" spans="4:11">
      <c r="D198" s="42">
        <v>46184</v>
      </c>
      <c r="E198" s="43">
        <v>1611295</v>
      </c>
      <c r="F198" s="43" t="s">
        <v>13</v>
      </c>
      <c r="G198" s="44">
        <v>20347963</v>
      </c>
      <c r="H198" s="43" t="s">
        <v>54</v>
      </c>
      <c r="I198" s="44">
        <v>3</v>
      </c>
      <c r="J198" s="45">
        <v>8</v>
      </c>
      <c r="K198" s="45">
        <v>24</v>
      </c>
    </row>
    <row r="199" spans="4:11">
      <c r="D199" s="42">
        <v>46184</v>
      </c>
      <c r="E199" s="43">
        <v>1611295</v>
      </c>
      <c r="F199" s="43" t="s">
        <v>13</v>
      </c>
      <c r="G199" s="44">
        <v>20377357</v>
      </c>
      <c r="H199" s="43" t="s">
        <v>37</v>
      </c>
      <c r="I199" s="44">
        <v>4</v>
      </c>
      <c r="J199" s="45">
        <v>8</v>
      </c>
      <c r="K199" s="45">
        <v>32</v>
      </c>
    </row>
    <row r="200" spans="4:11">
      <c r="D200" s="42">
        <v>46184</v>
      </c>
      <c r="E200" s="43">
        <v>1611572</v>
      </c>
      <c r="F200" s="43" t="s">
        <v>13</v>
      </c>
      <c r="G200" s="44">
        <v>20406253</v>
      </c>
      <c r="H200" s="43" t="s">
        <v>50</v>
      </c>
      <c r="I200" s="44">
        <v>2</v>
      </c>
      <c r="J200" s="45">
        <v>13.5</v>
      </c>
      <c r="K200" s="45">
        <v>27</v>
      </c>
    </row>
    <row r="201" spans="4:11">
      <c r="D201" s="42">
        <v>46184</v>
      </c>
      <c r="E201" s="43">
        <v>1611572</v>
      </c>
      <c r="F201" s="43" t="s">
        <v>13</v>
      </c>
      <c r="G201" s="44">
        <v>20313588</v>
      </c>
      <c r="H201" s="43" t="s">
        <v>30</v>
      </c>
      <c r="I201" s="44">
        <v>4</v>
      </c>
      <c r="J201" s="45">
        <v>8</v>
      </c>
      <c r="K201" s="45">
        <v>32</v>
      </c>
    </row>
    <row r="202" spans="4:11">
      <c r="D202" s="42">
        <v>46184</v>
      </c>
      <c r="E202" s="43">
        <v>1611572</v>
      </c>
      <c r="F202" s="43" t="s">
        <v>13</v>
      </c>
      <c r="G202" s="44">
        <v>20347963</v>
      </c>
      <c r="H202" s="43" t="s">
        <v>54</v>
      </c>
      <c r="I202" s="44">
        <v>3</v>
      </c>
      <c r="J202" s="45">
        <v>8</v>
      </c>
      <c r="K202" s="45">
        <v>24</v>
      </c>
    </row>
    <row r="203" spans="4:11">
      <c r="D203" s="42">
        <v>46184</v>
      </c>
      <c r="E203" s="43">
        <v>1611572</v>
      </c>
      <c r="F203" s="43" t="s">
        <v>13</v>
      </c>
      <c r="G203" s="44">
        <v>20377357</v>
      </c>
      <c r="H203" s="43" t="s">
        <v>37</v>
      </c>
      <c r="I203" s="44">
        <v>3</v>
      </c>
      <c r="J203" s="45">
        <v>8</v>
      </c>
      <c r="K203" s="45">
        <v>24</v>
      </c>
    </row>
    <row r="204" spans="4:11">
      <c r="D204" s="42">
        <v>46184</v>
      </c>
      <c r="E204" s="43">
        <v>1611572</v>
      </c>
      <c r="F204" s="43" t="s">
        <v>13</v>
      </c>
      <c r="G204" s="44">
        <v>20312027</v>
      </c>
      <c r="H204" s="43" t="s">
        <v>55</v>
      </c>
      <c r="I204" s="44">
        <v>10</v>
      </c>
      <c r="J204" s="45">
        <v>11</v>
      </c>
      <c r="K204" s="45">
        <v>110</v>
      </c>
    </row>
    <row r="205" spans="4:11">
      <c r="D205" s="42">
        <v>46185</v>
      </c>
      <c r="E205" s="43">
        <v>1611666</v>
      </c>
      <c r="F205" s="43" t="s">
        <v>13</v>
      </c>
      <c r="G205" s="44">
        <v>20005208</v>
      </c>
      <c r="H205" s="43" t="s">
        <v>58</v>
      </c>
      <c r="I205" s="44">
        <v>1</v>
      </c>
      <c r="J205" s="45">
        <v>8</v>
      </c>
      <c r="K205" s="45">
        <v>8</v>
      </c>
    </row>
    <row r="206" spans="4:11">
      <c r="D206" s="42">
        <v>46185</v>
      </c>
      <c r="E206" s="43">
        <v>1611666</v>
      </c>
      <c r="F206" s="43" t="s">
        <v>13</v>
      </c>
      <c r="G206" s="44">
        <v>20406253</v>
      </c>
      <c r="H206" s="43" t="s">
        <v>50</v>
      </c>
      <c r="I206" s="44">
        <v>2</v>
      </c>
      <c r="J206" s="45">
        <v>13.5</v>
      </c>
      <c r="K206" s="45">
        <v>27</v>
      </c>
    </row>
    <row r="207" spans="4:11">
      <c r="D207" s="42">
        <v>46185</v>
      </c>
      <c r="E207" s="43">
        <v>1611666</v>
      </c>
      <c r="F207" s="43" t="s">
        <v>13</v>
      </c>
      <c r="G207" s="44">
        <v>20313588</v>
      </c>
      <c r="H207" s="43" t="s">
        <v>30</v>
      </c>
      <c r="I207" s="44">
        <v>2</v>
      </c>
      <c r="J207" s="45">
        <v>8</v>
      </c>
      <c r="K207" s="45">
        <v>16</v>
      </c>
    </row>
    <row r="208" spans="4:11">
      <c r="D208" s="42">
        <v>46185</v>
      </c>
      <c r="E208" s="43">
        <v>1611666</v>
      </c>
      <c r="F208" s="43" t="s">
        <v>13</v>
      </c>
      <c r="G208" s="44">
        <v>20347963</v>
      </c>
      <c r="H208" s="43" t="s">
        <v>54</v>
      </c>
      <c r="I208" s="44">
        <v>2</v>
      </c>
      <c r="J208" s="45">
        <v>8</v>
      </c>
      <c r="K208" s="45">
        <v>16</v>
      </c>
    </row>
    <row r="209" spans="4:11">
      <c r="D209" s="42">
        <v>46185</v>
      </c>
      <c r="E209" s="43">
        <v>1611666</v>
      </c>
      <c r="F209" s="43" t="s">
        <v>13</v>
      </c>
      <c r="G209" s="44">
        <v>20377357</v>
      </c>
      <c r="H209" s="43" t="s">
        <v>37</v>
      </c>
      <c r="I209" s="44">
        <v>6</v>
      </c>
      <c r="J209" s="45">
        <v>8</v>
      </c>
      <c r="K209" s="45">
        <v>48</v>
      </c>
    </row>
    <row r="210" spans="4:11">
      <c r="D210" s="42">
        <v>46185</v>
      </c>
      <c r="E210" s="43">
        <v>1611884</v>
      </c>
      <c r="F210" s="43" t="s">
        <v>13</v>
      </c>
      <c r="G210" s="44">
        <v>20312027</v>
      </c>
      <c r="H210" s="43" t="s">
        <v>55</v>
      </c>
      <c r="I210" s="44">
        <v>6</v>
      </c>
      <c r="J210" s="45">
        <v>11</v>
      </c>
      <c r="K210" s="45">
        <v>66</v>
      </c>
    </row>
    <row r="211" ht="0.05" customHeight="1"/>
  </sheetData>
  <autoFilter xmlns:etc="http://www.wps.cn/officeDocument/2017/etCustomData" ref="A7:K210" etc:filterBottomFollowUsedRange="0">
    <extLst/>
  </autoFilter>
  <mergeCells count="5">
    <mergeCell ref="D8:H8"/>
    <mergeCell ref="C7:C210"/>
    <mergeCell ref="B4:H5"/>
    <mergeCell ref="A7:B2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62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381</v>
      </c>
      <c r="J8" s="41"/>
      <c r="K8" s="41">
        <f>SUM(K9:K133)</f>
        <v>3541.5</v>
      </c>
    </row>
    <row r="9" spans="1:11">
      <c r="D9" s="42">
        <v>46158</v>
      </c>
      <c r="E9" s="43">
        <v>1603663</v>
      </c>
      <c r="F9" s="43" t="s">
        <v>13</v>
      </c>
      <c r="G9" s="44">
        <v>20376624</v>
      </c>
      <c r="H9" s="43" t="s">
        <v>33</v>
      </c>
      <c r="I9" s="44">
        <v>5</v>
      </c>
      <c r="J9" s="45">
        <v>8</v>
      </c>
      <c r="K9" s="45">
        <f>J9*I9</f>
        <v>40</v>
      </c>
    </row>
    <row r="10" spans="1:11">
      <c r="D10" s="42">
        <v>46158</v>
      </c>
      <c r="E10" s="43">
        <v>1603663</v>
      </c>
      <c r="F10" s="43" t="s">
        <v>13</v>
      </c>
      <c r="G10" s="44">
        <v>20406253</v>
      </c>
      <c r="H10" s="43" t="s">
        <v>50</v>
      </c>
      <c r="I10" s="44">
        <v>6</v>
      </c>
      <c r="J10" s="45">
        <v>13.5</v>
      </c>
      <c r="K10" s="45">
        <f t="shared" ref="K10:K41" si="0">J10*I10</f>
        <v>81</v>
      </c>
    </row>
    <row r="11" spans="1:11">
      <c r="D11" s="42">
        <v>46158</v>
      </c>
      <c r="E11" s="43">
        <v>1603663</v>
      </c>
      <c r="F11" s="43" t="s">
        <v>13</v>
      </c>
      <c r="G11" s="44">
        <v>20313588</v>
      </c>
      <c r="H11" s="43" t="s">
        <v>30</v>
      </c>
      <c r="I11" s="44">
        <v>10</v>
      </c>
      <c r="J11" s="45">
        <v>8</v>
      </c>
      <c r="K11" s="45">
        <f t="shared" si="0"/>
        <v>80</v>
      </c>
    </row>
    <row r="12" spans="1:11">
      <c r="D12" s="42">
        <v>46158</v>
      </c>
      <c r="E12" s="43">
        <v>1603663</v>
      </c>
      <c r="F12" s="43" t="s">
        <v>13</v>
      </c>
      <c r="G12" s="44">
        <v>20396160</v>
      </c>
      <c r="H12" s="43" t="s">
        <v>63</v>
      </c>
      <c r="I12" s="44">
        <v>1</v>
      </c>
      <c r="J12" s="45">
        <v>13.5</v>
      </c>
      <c r="K12" s="45">
        <f t="shared" si="0"/>
        <v>13.5</v>
      </c>
    </row>
    <row r="13" spans="1:11">
      <c r="D13" s="42">
        <v>46158</v>
      </c>
      <c r="E13" s="43">
        <v>1603663</v>
      </c>
      <c r="F13" s="43" t="s">
        <v>13</v>
      </c>
      <c r="G13" s="44">
        <v>20377357</v>
      </c>
      <c r="H13" s="43" t="s">
        <v>37</v>
      </c>
      <c r="I13" s="44">
        <v>7</v>
      </c>
      <c r="J13" s="45">
        <v>8</v>
      </c>
      <c r="K13" s="45">
        <f t="shared" si="0"/>
        <v>56</v>
      </c>
    </row>
    <row r="14" spans="1:11">
      <c r="D14" s="42">
        <v>46162</v>
      </c>
      <c r="E14" s="43">
        <v>1604580</v>
      </c>
      <c r="F14" s="43" t="s">
        <v>13</v>
      </c>
      <c r="G14" s="44">
        <v>20376624</v>
      </c>
      <c r="H14" s="43" t="s">
        <v>33</v>
      </c>
      <c r="I14" s="44">
        <v>1</v>
      </c>
      <c r="J14" s="45">
        <v>8</v>
      </c>
      <c r="K14" s="45">
        <f t="shared" si="0"/>
        <v>8</v>
      </c>
    </row>
    <row r="15" spans="1:11">
      <c r="D15" s="42">
        <v>46162</v>
      </c>
      <c r="E15" s="43">
        <v>1604580</v>
      </c>
      <c r="F15" s="43" t="s">
        <v>13</v>
      </c>
      <c r="G15" s="44">
        <v>20406253</v>
      </c>
      <c r="H15" s="43" t="s">
        <v>50</v>
      </c>
      <c r="I15" s="44">
        <v>2</v>
      </c>
      <c r="J15" s="45">
        <v>13.5</v>
      </c>
      <c r="K15" s="45">
        <f t="shared" si="0"/>
        <v>27</v>
      </c>
    </row>
    <row r="16" spans="1:11">
      <c r="D16" s="42">
        <v>46162</v>
      </c>
      <c r="E16" s="43">
        <v>1604580</v>
      </c>
      <c r="F16" s="43" t="s">
        <v>13</v>
      </c>
      <c r="G16" s="44">
        <v>20313588</v>
      </c>
      <c r="H16" s="43" t="s">
        <v>30</v>
      </c>
      <c r="I16" s="44">
        <v>3</v>
      </c>
      <c r="J16" s="45">
        <v>8</v>
      </c>
      <c r="K16" s="45">
        <f t="shared" si="0"/>
        <v>24</v>
      </c>
    </row>
    <row r="17" spans="4:11">
      <c r="D17" s="42">
        <v>46162</v>
      </c>
      <c r="E17" s="43">
        <v>1604580</v>
      </c>
      <c r="F17" s="43" t="s">
        <v>13</v>
      </c>
      <c r="G17" s="44">
        <v>20396160</v>
      </c>
      <c r="H17" s="43" t="s">
        <v>63</v>
      </c>
      <c r="I17" s="44">
        <v>1</v>
      </c>
      <c r="J17" s="45">
        <v>13.5</v>
      </c>
      <c r="K17" s="45">
        <f t="shared" si="0"/>
        <v>13.5</v>
      </c>
    </row>
    <row r="18" spans="4:11">
      <c r="D18" s="42">
        <v>46162</v>
      </c>
      <c r="E18" s="43">
        <v>1604580</v>
      </c>
      <c r="F18" s="43" t="s">
        <v>13</v>
      </c>
      <c r="G18" s="44">
        <v>20377357</v>
      </c>
      <c r="H18" s="43" t="s">
        <v>37</v>
      </c>
      <c r="I18" s="44">
        <v>6</v>
      </c>
      <c r="J18" s="45">
        <v>8</v>
      </c>
      <c r="K18" s="45">
        <f t="shared" si="0"/>
        <v>48</v>
      </c>
    </row>
    <row r="19" spans="4:11">
      <c r="D19" s="42">
        <v>46162</v>
      </c>
      <c r="E19" s="43">
        <v>1604628</v>
      </c>
      <c r="F19" s="43" t="s">
        <v>13</v>
      </c>
      <c r="G19" s="44">
        <v>20313588</v>
      </c>
      <c r="H19" s="43" t="s">
        <v>30</v>
      </c>
      <c r="I19" s="44">
        <v>1</v>
      </c>
      <c r="J19" s="45">
        <v>8</v>
      </c>
      <c r="K19" s="45">
        <f t="shared" si="0"/>
        <v>8</v>
      </c>
    </row>
    <row r="20" spans="4:11">
      <c r="D20" s="42">
        <v>46162</v>
      </c>
      <c r="E20" s="43">
        <v>1604686</v>
      </c>
      <c r="F20" s="43" t="s">
        <v>13</v>
      </c>
      <c r="G20" s="44">
        <v>20376624</v>
      </c>
      <c r="H20" s="43" t="s">
        <v>33</v>
      </c>
      <c r="I20" s="44">
        <v>2</v>
      </c>
      <c r="J20" s="45">
        <v>8</v>
      </c>
      <c r="K20" s="45">
        <f t="shared" si="0"/>
        <v>16</v>
      </c>
    </row>
    <row r="21" spans="4:11">
      <c r="D21" s="42">
        <v>46162</v>
      </c>
      <c r="E21" s="43">
        <v>1604686</v>
      </c>
      <c r="F21" s="43" t="s">
        <v>13</v>
      </c>
      <c r="G21" s="44">
        <v>20406253</v>
      </c>
      <c r="H21" s="43" t="s">
        <v>50</v>
      </c>
      <c r="I21" s="44">
        <v>3</v>
      </c>
      <c r="J21" s="45">
        <v>13.5</v>
      </c>
      <c r="K21" s="45">
        <f t="shared" si="0"/>
        <v>40.5</v>
      </c>
    </row>
    <row r="22" spans="4:11">
      <c r="D22" s="42">
        <v>46162</v>
      </c>
      <c r="E22" s="43">
        <v>1604686</v>
      </c>
      <c r="F22" s="43" t="s">
        <v>13</v>
      </c>
      <c r="G22" s="44">
        <v>20414939</v>
      </c>
      <c r="H22" s="43" t="s">
        <v>64</v>
      </c>
      <c r="I22" s="44">
        <v>1</v>
      </c>
      <c r="J22" s="45">
        <v>8</v>
      </c>
      <c r="K22" s="45">
        <f t="shared" si="0"/>
        <v>8</v>
      </c>
    </row>
    <row r="23" spans="4:11">
      <c r="D23" s="42">
        <v>46162</v>
      </c>
      <c r="E23" s="43">
        <v>1604686</v>
      </c>
      <c r="F23" s="43" t="s">
        <v>13</v>
      </c>
      <c r="G23" s="44">
        <v>20313588</v>
      </c>
      <c r="H23" s="43" t="s">
        <v>30</v>
      </c>
      <c r="I23" s="44">
        <v>5</v>
      </c>
      <c r="J23" s="45">
        <v>8</v>
      </c>
      <c r="K23" s="45">
        <f t="shared" si="0"/>
        <v>40</v>
      </c>
    </row>
    <row r="24" spans="4:11">
      <c r="D24" s="42">
        <v>46162</v>
      </c>
      <c r="E24" s="43">
        <v>1604686</v>
      </c>
      <c r="F24" s="43" t="s">
        <v>13</v>
      </c>
      <c r="G24" s="44">
        <v>20396160</v>
      </c>
      <c r="H24" s="43" t="s">
        <v>63</v>
      </c>
      <c r="I24" s="44">
        <v>2</v>
      </c>
      <c r="J24" s="45">
        <v>13.5</v>
      </c>
      <c r="K24" s="45">
        <f t="shared" si="0"/>
        <v>27</v>
      </c>
    </row>
    <row r="25" spans="4:11">
      <c r="D25" s="42">
        <v>46162</v>
      </c>
      <c r="E25" s="43">
        <v>1604686</v>
      </c>
      <c r="F25" s="43" t="s">
        <v>13</v>
      </c>
      <c r="G25" s="44">
        <v>20377357</v>
      </c>
      <c r="H25" s="43" t="s">
        <v>37</v>
      </c>
      <c r="I25" s="44">
        <v>6</v>
      </c>
      <c r="J25" s="45">
        <v>8</v>
      </c>
      <c r="K25" s="45">
        <f t="shared" si="0"/>
        <v>48</v>
      </c>
    </row>
    <row r="26" spans="4:11">
      <c r="D26" s="42">
        <v>46163</v>
      </c>
      <c r="E26" s="43">
        <v>1604994</v>
      </c>
      <c r="F26" s="43" t="s">
        <v>13</v>
      </c>
      <c r="G26" s="44">
        <v>20376624</v>
      </c>
      <c r="H26" s="43" t="s">
        <v>33</v>
      </c>
      <c r="I26" s="44">
        <v>1</v>
      </c>
      <c r="J26" s="45">
        <v>8</v>
      </c>
      <c r="K26" s="45">
        <f t="shared" si="0"/>
        <v>8</v>
      </c>
    </row>
    <row r="27" spans="4:11">
      <c r="D27" s="42">
        <v>46163</v>
      </c>
      <c r="E27" s="43">
        <v>1604994</v>
      </c>
      <c r="F27" s="43" t="s">
        <v>13</v>
      </c>
      <c r="G27" s="44">
        <v>20406253</v>
      </c>
      <c r="H27" s="43" t="s">
        <v>50</v>
      </c>
      <c r="I27" s="44">
        <v>2</v>
      </c>
      <c r="J27" s="45">
        <v>13.5</v>
      </c>
      <c r="K27" s="45">
        <f t="shared" si="0"/>
        <v>27</v>
      </c>
    </row>
    <row r="28" spans="4:11">
      <c r="D28" s="42">
        <v>46163</v>
      </c>
      <c r="E28" s="43">
        <v>1604994</v>
      </c>
      <c r="F28" s="43" t="s">
        <v>13</v>
      </c>
      <c r="G28" s="44">
        <v>20313588</v>
      </c>
      <c r="H28" s="43" t="s">
        <v>30</v>
      </c>
      <c r="I28" s="44">
        <v>9</v>
      </c>
      <c r="J28" s="45">
        <v>8</v>
      </c>
      <c r="K28" s="45">
        <f t="shared" si="0"/>
        <v>72</v>
      </c>
    </row>
    <row r="29" spans="4:11">
      <c r="D29" s="42">
        <v>46163</v>
      </c>
      <c r="E29" s="43">
        <v>1604994</v>
      </c>
      <c r="F29" s="43" t="s">
        <v>13</v>
      </c>
      <c r="G29" s="44">
        <v>20396337</v>
      </c>
      <c r="H29" s="43" t="s">
        <v>40</v>
      </c>
      <c r="I29" s="44">
        <v>1</v>
      </c>
      <c r="J29" s="45">
        <v>8</v>
      </c>
      <c r="K29" s="45">
        <f t="shared" si="0"/>
        <v>8</v>
      </c>
    </row>
    <row r="30" spans="4:11">
      <c r="D30" s="42">
        <v>46163</v>
      </c>
      <c r="E30" s="43">
        <v>1604994</v>
      </c>
      <c r="F30" s="43" t="s">
        <v>13</v>
      </c>
      <c r="G30" s="44">
        <v>20377357</v>
      </c>
      <c r="H30" s="43" t="s">
        <v>37</v>
      </c>
      <c r="I30" s="44">
        <v>4</v>
      </c>
      <c r="J30" s="45">
        <v>8</v>
      </c>
      <c r="K30" s="45">
        <f t="shared" si="0"/>
        <v>32</v>
      </c>
    </row>
    <row r="31" spans="4:11">
      <c r="D31" s="42">
        <v>46164</v>
      </c>
      <c r="E31" s="43">
        <v>1605366</v>
      </c>
      <c r="F31" s="43" t="s">
        <v>13</v>
      </c>
      <c r="G31" s="44">
        <v>20376624</v>
      </c>
      <c r="H31" s="43" t="s">
        <v>33</v>
      </c>
      <c r="I31" s="44">
        <v>1</v>
      </c>
      <c r="J31" s="45">
        <v>8</v>
      </c>
      <c r="K31" s="45">
        <f t="shared" si="0"/>
        <v>8</v>
      </c>
    </row>
    <row r="32" spans="4:11">
      <c r="D32" s="42">
        <v>46164</v>
      </c>
      <c r="E32" s="43">
        <v>1605366</v>
      </c>
      <c r="F32" s="43" t="s">
        <v>13</v>
      </c>
      <c r="G32" s="44">
        <v>20406253</v>
      </c>
      <c r="H32" s="43" t="s">
        <v>50</v>
      </c>
      <c r="I32" s="44">
        <v>3</v>
      </c>
      <c r="J32" s="45">
        <v>13.5</v>
      </c>
      <c r="K32" s="45">
        <f t="shared" si="0"/>
        <v>40.5</v>
      </c>
    </row>
    <row r="33" spans="4:11">
      <c r="D33" s="42">
        <v>46164</v>
      </c>
      <c r="E33" s="43">
        <v>1605366</v>
      </c>
      <c r="F33" s="43" t="s">
        <v>13</v>
      </c>
      <c r="G33" s="44">
        <v>20313588</v>
      </c>
      <c r="H33" s="43" t="s">
        <v>30</v>
      </c>
      <c r="I33" s="44">
        <v>1</v>
      </c>
      <c r="J33" s="45">
        <v>8</v>
      </c>
      <c r="K33" s="45">
        <f t="shared" si="0"/>
        <v>8</v>
      </c>
    </row>
    <row r="34" spans="4:11">
      <c r="D34" s="42">
        <v>46164</v>
      </c>
      <c r="E34" s="43">
        <v>1605366</v>
      </c>
      <c r="F34" s="43" t="s">
        <v>13</v>
      </c>
      <c r="G34" s="44">
        <v>20377357</v>
      </c>
      <c r="H34" s="43" t="s">
        <v>37</v>
      </c>
      <c r="I34" s="44">
        <v>1</v>
      </c>
      <c r="J34" s="45">
        <v>8</v>
      </c>
      <c r="K34" s="45">
        <f t="shared" si="0"/>
        <v>8</v>
      </c>
    </row>
    <row r="35" spans="4:11">
      <c r="D35" s="42">
        <v>46164</v>
      </c>
      <c r="E35" s="43">
        <v>1605498</v>
      </c>
      <c r="F35" s="43" t="s">
        <v>13</v>
      </c>
      <c r="G35" s="44">
        <v>20376624</v>
      </c>
      <c r="H35" s="43" t="s">
        <v>33</v>
      </c>
      <c r="I35" s="44">
        <v>5</v>
      </c>
      <c r="J35" s="45">
        <v>8</v>
      </c>
      <c r="K35" s="45">
        <f t="shared" si="0"/>
        <v>40</v>
      </c>
    </row>
    <row r="36" spans="4:11">
      <c r="D36" s="42">
        <v>46164</v>
      </c>
      <c r="E36" s="43">
        <v>1605498</v>
      </c>
      <c r="F36" s="43" t="s">
        <v>13</v>
      </c>
      <c r="G36" s="44">
        <v>20406253</v>
      </c>
      <c r="H36" s="43" t="s">
        <v>50</v>
      </c>
      <c r="I36" s="44">
        <v>4</v>
      </c>
      <c r="J36" s="45">
        <v>13.5</v>
      </c>
      <c r="K36" s="45">
        <f t="shared" si="0"/>
        <v>54</v>
      </c>
    </row>
    <row r="37" spans="4:11">
      <c r="D37" s="42">
        <v>46164</v>
      </c>
      <c r="E37" s="43">
        <v>1605498</v>
      </c>
      <c r="F37" s="43" t="s">
        <v>13</v>
      </c>
      <c r="G37" s="44">
        <v>20313588</v>
      </c>
      <c r="H37" s="43" t="s">
        <v>30</v>
      </c>
      <c r="I37" s="44">
        <v>4</v>
      </c>
      <c r="J37" s="45">
        <v>8</v>
      </c>
      <c r="K37" s="45">
        <f t="shared" si="0"/>
        <v>32</v>
      </c>
    </row>
    <row r="38" spans="4:11">
      <c r="D38" s="42">
        <v>46164</v>
      </c>
      <c r="E38" s="43">
        <v>1605498</v>
      </c>
      <c r="F38" s="43" t="s">
        <v>13</v>
      </c>
      <c r="G38" s="44">
        <v>20396160</v>
      </c>
      <c r="H38" s="43" t="s">
        <v>63</v>
      </c>
      <c r="I38" s="44">
        <v>2</v>
      </c>
      <c r="J38" s="45">
        <v>13.5</v>
      </c>
      <c r="K38" s="45">
        <f t="shared" si="0"/>
        <v>27</v>
      </c>
    </row>
    <row r="39" spans="4:11">
      <c r="D39" s="42">
        <v>46164</v>
      </c>
      <c r="E39" s="43">
        <v>1605498</v>
      </c>
      <c r="F39" s="43" t="s">
        <v>13</v>
      </c>
      <c r="G39" s="44">
        <v>20397287</v>
      </c>
      <c r="H39" s="43" t="s">
        <v>43</v>
      </c>
      <c r="I39" s="44">
        <v>1</v>
      </c>
      <c r="J39" s="45">
        <v>13.5</v>
      </c>
      <c r="K39" s="45">
        <f t="shared" si="0"/>
        <v>13.5</v>
      </c>
    </row>
    <row r="40" spans="4:11">
      <c r="D40" s="42">
        <v>46164</v>
      </c>
      <c r="E40" s="43">
        <v>1605498</v>
      </c>
      <c r="F40" s="43" t="s">
        <v>13</v>
      </c>
      <c r="G40" s="44">
        <v>20377357</v>
      </c>
      <c r="H40" s="43" t="s">
        <v>37</v>
      </c>
      <c r="I40" s="44">
        <v>6</v>
      </c>
      <c r="J40" s="45">
        <v>8</v>
      </c>
      <c r="K40" s="45">
        <f t="shared" si="0"/>
        <v>48</v>
      </c>
    </row>
    <row r="41" spans="4:11">
      <c r="D41" s="42">
        <v>46165</v>
      </c>
      <c r="E41" s="43">
        <v>1605731</v>
      </c>
      <c r="F41" s="43" t="s">
        <v>13</v>
      </c>
      <c r="G41" s="44">
        <v>20376624</v>
      </c>
      <c r="H41" s="43" t="s">
        <v>33</v>
      </c>
      <c r="I41" s="44">
        <v>2</v>
      </c>
      <c r="J41" s="45">
        <v>8</v>
      </c>
      <c r="K41" s="45">
        <f t="shared" si="0"/>
        <v>16</v>
      </c>
    </row>
    <row r="42" spans="4:11">
      <c r="D42" s="42">
        <v>46165</v>
      </c>
      <c r="E42" s="43">
        <v>1605731</v>
      </c>
      <c r="F42" s="43" t="s">
        <v>13</v>
      </c>
      <c r="G42" s="44">
        <v>20406253</v>
      </c>
      <c r="H42" s="43" t="s">
        <v>50</v>
      </c>
      <c r="I42" s="44">
        <v>4</v>
      </c>
      <c r="J42" s="45">
        <v>13.5</v>
      </c>
      <c r="K42" s="45">
        <f t="shared" ref="K42:K73" si="1">J42*I42</f>
        <v>54</v>
      </c>
    </row>
    <row r="43" spans="4:11">
      <c r="D43" s="42">
        <v>46165</v>
      </c>
      <c r="E43" s="43">
        <v>1605731</v>
      </c>
      <c r="F43" s="43" t="s">
        <v>13</v>
      </c>
      <c r="G43" s="44">
        <v>20313588</v>
      </c>
      <c r="H43" s="43" t="s">
        <v>30</v>
      </c>
      <c r="I43" s="44">
        <v>4</v>
      </c>
      <c r="J43" s="45">
        <v>8</v>
      </c>
      <c r="K43" s="45">
        <f t="shared" si="1"/>
        <v>32</v>
      </c>
    </row>
    <row r="44" spans="4:11">
      <c r="D44" s="42">
        <v>46165</v>
      </c>
      <c r="E44" s="43">
        <v>1605731</v>
      </c>
      <c r="F44" s="43" t="s">
        <v>13</v>
      </c>
      <c r="G44" s="44">
        <v>20396160</v>
      </c>
      <c r="H44" s="43" t="s">
        <v>63</v>
      </c>
      <c r="I44" s="44">
        <v>1</v>
      </c>
      <c r="J44" s="45">
        <v>13.5</v>
      </c>
      <c r="K44" s="45">
        <f t="shared" si="1"/>
        <v>13.5</v>
      </c>
    </row>
    <row r="45" spans="4:11">
      <c r="D45" s="42">
        <v>46165</v>
      </c>
      <c r="E45" s="43">
        <v>1605731</v>
      </c>
      <c r="F45" s="43" t="s">
        <v>13</v>
      </c>
      <c r="G45" s="44">
        <v>20377357</v>
      </c>
      <c r="H45" s="43" t="s">
        <v>37</v>
      </c>
      <c r="I45" s="44">
        <v>5</v>
      </c>
      <c r="J45" s="45">
        <v>8</v>
      </c>
      <c r="K45" s="45">
        <f t="shared" si="1"/>
        <v>40</v>
      </c>
    </row>
    <row r="46" spans="4:11">
      <c r="D46" s="42">
        <v>46168</v>
      </c>
      <c r="E46" s="43">
        <v>1606376</v>
      </c>
      <c r="F46" s="43" t="s">
        <v>13</v>
      </c>
      <c r="G46" s="44">
        <v>20376624</v>
      </c>
      <c r="H46" s="43" t="s">
        <v>33</v>
      </c>
      <c r="I46" s="44">
        <v>2</v>
      </c>
      <c r="J46" s="45">
        <v>8</v>
      </c>
      <c r="K46" s="45">
        <f t="shared" si="1"/>
        <v>16</v>
      </c>
    </row>
    <row r="47" spans="4:11">
      <c r="D47" s="42">
        <v>46168</v>
      </c>
      <c r="E47" s="43">
        <v>1606376</v>
      </c>
      <c r="F47" s="43" t="s">
        <v>13</v>
      </c>
      <c r="G47" s="44">
        <v>20406253</v>
      </c>
      <c r="H47" s="43" t="s">
        <v>50</v>
      </c>
      <c r="I47" s="44">
        <v>3</v>
      </c>
      <c r="J47" s="45">
        <v>13.5</v>
      </c>
      <c r="K47" s="45">
        <f t="shared" si="1"/>
        <v>40.5</v>
      </c>
    </row>
    <row r="48" spans="4:11">
      <c r="D48" s="42">
        <v>46168</v>
      </c>
      <c r="E48" s="43">
        <v>1606376</v>
      </c>
      <c r="F48" s="43" t="s">
        <v>13</v>
      </c>
      <c r="G48" s="44">
        <v>20313588</v>
      </c>
      <c r="H48" s="43" t="s">
        <v>30</v>
      </c>
      <c r="I48" s="44">
        <v>5</v>
      </c>
      <c r="J48" s="45">
        <v>8</v>
      </c>
      <c r="K48" s="45">
        <f t="shared" si="1"/>
        <v>40</v>
      </c>
    </row>
    <row r="49" spans="4:11">
      <c r="D49" s="42">
        <v>46168</v>
      </c>
      <c r="E49" s="43">
        <v>1606376</v>
      </c>
      <c r="F49" s="43" t="s">
        <v>13</v>
      </c>
      <c r="G49" s="44">
        <v>20396160</v>
      </c>
      <c r="H49" s="43" t="s">
        <v>63</v>
      </c>
      <c r="I49" s="44">
        <v>1</v>
      </c>
      <c r="J49" s="45">
        <v>13.5</v>
      </c>
      <c r="K49" s="45">
        <f t="shared" si="1"/>
        <v>13.5</v>
      </c>
    </row>
    <row r="50" spans="4:11">
      <c r="D50" s="42">
        <v>46168</v>
      </c>
      <c r="E50" s="43">
        <v>1606376</v>
      </c>
      <c r="F50" s="43" t="s">
        <v>13</v>
      </c>
      <c r="G50" s="44">
        <v>20377357</v>
      </c>
      <c r="H50" s="43" t="s">
        <v>37</v>
      </c>
      <c r="I50" s="44">
        <v>5</v>
      </c>
      <c r="J50" s="45">
        <v>8</v>
      </c>
      <c r="K50" s="45">
        <f t="shared" si="1"/>
        <v>40</v>
      </c>
    </row>
    <row r="51" spans="4:11">
      <c r="D51" s="42">
        <v>46169</v>
      </c>
      <c r="E51" s="43">
        <v>1606697</v>
      </c>
      <c r="F51" s="43" t="s">
        <v>13</v>
      </c>
      <c r="G51" s="44">
        <v>20406253</v>
      </c>
      <c r="H51" s="43" t="s">
        <v>50</v>
      </c>
      <c r="I51" s="44">
        <v>2</v>
      </c>
      <c r="J51" s="45">
        <v>13.5</v>
      </c>
      <c r="K51" s="45">
        <f t="shared" si="1"/>
        <v>27</v>
      </c>
    </row>
    <row r="52" spans="4:11">
      <c r="D52" s="42">
        <v>46169</v>
      </c>
      <c r="E52" s="43">
        <v>1606697</v>
      </c>
      <c r="F52" s="43" t="s">
        <v>13</v>
      </c>
      <c r="G52" s="44">
        <v>20313588</v>
      </c>
      <c r="H52" s="43" t="s">
        <v>30</v>
      </c>
      <c r="I52" s="44">
        <v>7</v>
      </c>
      <c r="J52" s="45">
        <v>8</v>
      </c>
      <c r="K52" s="45">
        <f t="shared" si="1"/>
        <v>56</v>
      </c>
    </row>
    <row r="53" spans="4:11">
      <c r="D53" s="42">
        <v>46169</v>
      </c>
      <c r="E53" s="43">
        <v>1606697</v>
      </c>
      <c r="F53" s="43" t="s">
        <v>13</v>
      </c>
      <c r="G53" s="44">
        <v>20396337</v>
      </c>
      <c r="H53" s="43" t="s">
        <v>40</v>
      </c>
      <c r="I53" s="44">
        <v>2</v>
      </c>
      <c r="J53" s="45">
        <v>8</v>
      </c>
      <c r="K53" s="45">
        <f t="shared" si="1"/>
        <v>16</v>
      </c>
    </row>
    <row r="54" spans="4:11">
      <c r="D54" s="42">
        <v>46169</v>
      </c>
      <c r="E54" s="43">
        <v>1606697</v>
      </c>
      <c r="F54" s="43" t="s">
        <v>13</v>
      </c>
      <c r="G54" s="44">
        <v>20376620</v>
      </c>
      <c r="H54" s="43" t="s">
        <v>65</v>
      </c>
      <c r="I54" s="44">
        <v>1</v>
      </c>
      <c r="J54" s="45">
        <v>8</v>
      </c>
      <c r="K54" s="45">
        <f t="shared" si="1"/>
        <v>8</v>
      </c>
    </row>
    <row r="55" spans="4:11">
      <c r="D55" s="42">
        <v>46169</v>
      </c>
      <c r="E55" s="43">
        <v>1606697</v>
      </c>
      <c r="F55" s="43" t="s">
        <v>13</v>
      </c>
      <c r="G55" s="44">
        <v>20377357</v>
      </c>
      <c r="H55" s="43" t="s">
        <v>37</v>
      </c>
      <c r="I55" s="44">
        <v>5</v>
      </c>
      <c r="J55" s="45">
        <v>8</v>
      </c>
      <c r="K55" s="45">
        <f t="shared" si="1"/>
        <v>40</v>
      </c>
    </row>
    <row r="56" spans="4:11">
      <c r="D56" s="42">
        <v>46169</v>
      </c>
      <c r="E56" s="43">
        <v>1606697</v>
      </c>
      <c r="F56" s="43" t="s">
        <v>13</v>
      </c>
      <c r="G56" s="44">
        <v>20312027</v>
      </c>
      <c r="H56" s="43" t="s">
        <v>55</v>
      </c>
      <c r="I56" s="44">
        <v>1</v>
      </c>
      <c r="J56" s="45">
        <v>11</v>
      </c>
      <c r="K56" s="45">
        <f t="shared" si="1"/>
        <v>11</v>
      </c>
    </row>
    <row r="57" spans="4:11">
      <c r="D57" s="42">
        <v>46169</v>
      </c>
      <c r="E57" s="43">
        <v>1606788</v>
      </c>
      <c r="F57" s="43" t="s">
        <v>13</v>
      </c>
      <c r="G57" s="44">
        <v>20376624</v>
      </c>
      <c r="H57" s="43" t="s">
        <v>33</v>
      </c>
      <c r="I57" s="44">
        <v>1</v>
      </c>
      <c r="J57" s="45">
        <v>8</v>
      </c>
      <c r="K57" s="45">
        <f t="shared" si="1"/>
        <v>8</v>
      </c>
    </row>
    <row r="58" spans="4:11">
      <c r="D58" s="42">
        <v>46169</v>
      </c>
      <c r="E58" s="43">
        <v>1606788</v>
      </c>
      <c r="F58" s="43" t="s">
        <v>13</v>
      </c>
      <c r="G58" s="44">
        <v>20313588</v>
      </c>
      <c r="H58" s="43" t="s">
        <v>30</v>
      </c>
      <c r="I58" s="44">
        <v>3</v>
      </c>
      <c r="J58" s="45">
        <v>8</v>
      </c>
      <c r="K58" s="45">
        <f t="shared" si="1"/>
        <v>24</v>
      </c>
    </row>
    <row r="59" spans="4:11">
      <c r="D59" s="42">
        <v>46169</v>
      </c>
      <c r="E59" s="43">
        <v>1606788</v>
      </c>
      <c r="F59" s="43" t="s">
        <v>13</v>
      </c>
      <c r="G59" s="44">
        <v>20377357</v>
      </c>
      <c r="H59" s="43" t="s">
        <v>37</v>
      </c>
      <c r="I59" s="44">
        <v>3</v>
      </c>
      <c r="J59" s="45">
        <v>8</v>
      </c>
      <c r="K59" s="45">
        <f t="shared" si="1"/>
        <v>24</v>
      </c>
    </row>
    <row r="60" spans="4:11">
      <c r="D60" s="42">
        <v>46170</v>
      </c>
      <c r="E60" s="43">
        <v>1607009</v>
      </c>
      <c r="F60" s="43" t="s">
        <v>13</v>
      </c>
      <c r="G60" s="44">
        <v>20376624</v>
      </c>
      <c r="H60" s="43" t="s">
        <v>33</v>
      </c>
      <c r="I60" s="44">
        <v>3</v>
      </c>
      <c r="J60" s="45">
        <v>8</v>
      </c>
      <c r="K60" s="45">
        <f t="shared" si="1"/>
        <v>24</v>
      </c>
    </row>
    <row r="61" spans="4:11">
      <c r="D61" s="42">
        <v>46170</v>
      </c>
      <c r="E61" s="43">
        <v>1607009</v>
      </c>
      <c r="F61" s="43" t="s">
        <v>13</v>
      </c>
      <c r="G61" s="44">
        <v>20406253</v>
      </c>
      <c r="H61" s="43" t="s">
        <v>50</v>
      </c>
      <c r="I61" s="44">
        <v>6</v>
      </c>
      <c r="J61" s="45">
        <v>13.5</v>
      </c>
      <c r="K61" s="45">
        <f t="shared" si="1"/>
        <v>81</v>
      </c>
    </row>
    <row r="62" spans="4:11">
      <c r="D62" s="42">
        <v>46170</v>
      </c>
      <c r="E62" s="43">
        <v>1607009</v>
      </c>
      <c r="F62" s="43" t="s">
        <v>13</v>
      </c>
      <c r="G62" s="44">
        <v>20313588</v>
      </c>
      <c r="H62" s="43" t="s">
        <v>30</v>
      </c>
      <c r="I62" s="44">
        <v>7</v>
      </c>
      <c r="J62" s="45">
        <v>8</v>
      </c>
      <c r="K62" s="45">
        <f t="shared" si="1"/>
        <v>56</v>
      </c>
    </row>
    <row r="63" spans="4:11">
      <c r="D63" s="42">
        <v>46170</v>
      </c>
      <c r="E63" s="43">
        <v>1607009</v>
      </c>
      <c r="F63" s="43" t="s">
        <v>13</v>
      </c>
      <c r="G63" s="44">
        <v>20396160</v>
      </c>
      <c r="H63" s="43" t="s">
        <v>63</v>
      </c>
      <c r="I63" s="44">
        <v>1</v>
      </c>
      <c r="J63" s="45">
        <v>13.5</v>
      </c>
      <c r="K63" s="45">
        <f t="shared" si="1"/>
        <v>13.5</v>
      </c>
    </row>
    <row r="64" spans="4:11">
      <c r="D64" s="42">
        <v>46170</v>
      </c>
      <c r="E64" s="43">
        <v>1607009</v>
      </c>
      <c r="F64" s="43" t="s">
        <v>13</v>
      </c>
      <c r="G64" s="44">
        <v>20377357</v>
      </c>
      <c r="H64" s="43" t="s">
        <v>37</v>
      </c>
      <c r="I64" s="44">
        <v>8</v>
      </c>
      <c r="J64" s="45">
        <v>8</v>
      </c>
      <c r="K64" s="45">
        <f t="shared" si="1"/>
        <v>64</v>
      </c>
    </row>
    <row r="65" spans="4:11">
      <c r="D65" s="42">
        <v>46170</v>
      </c>
      <c r="E65" s="43">
        <v>1607133</v>
      </c>
      <c r="F65" s="43" t="s">
        <v>13</v>
      </c>
      <c r="G65" s="44">
        <v>20376624</v>
      </c>
      <c r="H65" s="43" t="s">
        <v>33</v>
      </c>
      <c r="I65" s="44">
        <v>1</v>
      </c>
      <c r="J65" s="45">
        <v>8</v>
      </c>
      <c r="K65" s="45">
        <f t="shared" si="1"/>
        <v>8</v>
      </c>
    </row>
    <row r="66" spans="4:11">
      <c r="D66" s="42">
        <v>46170</v>
      </c>
      <c r="E66" s="43">
        <v>1607133</v>
      </c>
      <c r="F66" s="43" t="s">
        <v>13</v>
      </c>
      <c r="G66" s="44">
        <v>20406253</v>
      </c>
      <c r="H66" s="43" t="s">
        <v>50</v>
      </c>
      <c r="I66" s="44">
        <v>2</v>
      </c>
      <c r="J66" s="45">
        <v>13.5</v>
      </c>
      <c r="K66" s="45">
        <f t="shared" si="1"/>
        <v>27</v>
      </c>
    </row>
    <row r="67" spans="4:11">
      <c r="D67" s="42">
        <v>46170</v>
      </c>
      <c r="E67" s="43">
        <v>1607133</v>
      </c>
      <c r="F67" s="43" t="s">
        <v>13</v>
      </c>
      <c r="G67" s="44">
        <v>20400912</v>
      </c>
      <c r="H67" s="43" t="s">
        <v>66</v>
      </c>
      <c r="I67" s="44">
        <v>1</v>
      </c>
      <c r="J67" s="45">
        <v>8</v>
      </c>
      <c r="K67" s="45">
        <f t="shared" si="1"/>
        <v>8</v>
      </c>
    </row>
    <row r="68" spans="4:11">
      <c r="D68" s="42">
        <v>46170</v>
      </c>
      <c r="E68" s="43">
        <v>1607133</v>
      </c>
      <c r="F68" s="43" t="s">
        <v>13</v>
      </c>
      <c r="G68" s="44">
        <v>20313588</v>
      </c>
      <c r="H68" s="43" t="s">
        <v>30</v>
      </c>
      <c r="I68" s="44">
        <v>6</v>
      </c>
      <c r="J68" s="45">
        <v>8</v>
      </c>
      <c r="K68" s="45">
        <f t="shared" si="1"/>
        <v>48</v>
      </c>
    </row>
    <row r="69" spans="4:11">
      <c r="D69" s="42">
        <v>46170</v>
      </c>
      <c r="E69" s="43">
        <v>1607133</v>
      </c>
      <c r="F69" s="43" t="s">
        <v>13</v>
      </c>
      <c r="G69" s="44">
        <v>20376620</v>
      </c>
      <c r="H69" s="43" t="s">
        <v>65</v>
      </c>
      <c r="I69" s="44">
        <v>1</v>
      </c>
      <c r="J69" s="45">
        <v>8</v>
      </c>
      <c r="K69" s="45">
        <f t="shared" si="1"/>
        <v>8</v>
      </c>
    </row>
    <row r="70" spans="4:11">
      <c r="D70" s="42">
        <v>46170</v>
      </c>
      <c r="E70" s="43">
        <v>1607133</v>
      </c>
      <c r="F70" s="43" t="s">
        <v>13</v>
      </c>
      <c r="G70" s="44">
        <v>20377357</v>
      </c>
      <c r="H70" s="43" t="s">
        <v>37</v>
      </c>
      <c r="I70" s="44">
        <v>4</v>
      </c>
      <c r="J70" s="45">
        <v>8</v>
      </c>
      <c r="K70" s="45">
        <f t="shared" si="1"/>
        <v>32</v>
      </c>
    </row>
    <row r="71" spans="4:11">
      <c r="D71" s="42">
        <v>46170</v>
      </c>
      <c r="E71" s="43">
        <v>1607133</v>
      </c>
      <c r="F71" s="43" t="s">
        <v>13</v>
      </c>
      <c r="G71" s="44">
        <v>20395865</v>
      </c>
      <c r="H71" s="43" t="s">
        <v>45</v>
      </c>
      <c r="I71" s="44">
        <v>3</v>
      </c>
      <c r="J71" s="45">
        <v>8</v>
      </c>
      <c r="K71" s="45">
        <f t="shared" si="1"/>
        <v>24</v>
      </c>
    </row>
    <row r="72" spans="4:11">
      <c r="D72" s="42">
        <v>46170</v>
      </c>
      <c r="E72" s="43">
        <v>1607133</v>
      </c>
      <c r="F72" s="43" t="s">
        <v>13</v>
      </c>
      <c r="G72" s="44">
        <v>20395867</v>
      </c>
      <c r="H72" s="43" t="s">
        <v>46</v>
      </c>
      <c r="I72" s="44">
        <v>1</v>
      </c>
      <c r="J72" s="45">
        <v>11</v>
      </c>
      <c r="K72" s="45">
        <f t="shared" si="1"/>
        <v>11</v>
      </c>
    </row>
    <row r="73" spans="4:11">
      <c r="D73" s="42">
        <v>46171</v>
      </c>
      <c r="E73" s="43">
        <v>1607414</v>
      </c>
      <c r="F73" s="43" t="s">
        <v>13</v>
      </c>
      <c r="G73" s="44">
        <v>20376624</v>
      </c>
      <c r="H73" s="43" t="s">
        <v>33</v>
      </c>
      <c r="I73" s="44">
        <v>2</v>
      </c>
      <c r="J73" s="45">
        <v>8</v>
      </c>
      <c r="K73" s="45">
        <f t="shared" si="1"/>
        <v>16</v>
      </c>
    </row>
    <row r="74" spans="4:11">
      <c r="D74" s="42">
        <v>46171</v>
      </c>
      <c r="E74" s="43">
        <v>1607414</v>
      </c>
      <c r="F74" s="43" t="s">
        <v>13</v>
      </c>
      <c r="G74" s="44">
        <v>20406253</v>
      </c>
      <c r="H74" s="43" t="s">
        <v>50</v>
      </c>
      <c r="I74" s="44">
        <v>4</v>
      </c>
      <c r="J74" s="45">
        <v>13.5</v>
      </c>
      <c r="K74" s="45">
        <f t="shared" ref="K74:K105" si="2">J74*I74</f>
        <v>54</v>
      </c>
    </row>
    <row r="75" spans="4:11">
      <c r="D75" s="42">
        <v>46171</v>
      </c>
      <c r="E75" s="43">
        <v>1607414</v>
      </c>
      <c r="F75" s="43" t="s">
        <v>13</v>
      </c>
      <c r="G75" s="44">
        <v>20313588</v>
      </c>
      <c r="H75" s="43" t="s">
        <v>30</v>
      </c>
      <c r="I75" s="44">
        <v>6</v>
      </c>
      <c r="J75" s="45">
        <v>8</v>
      </c>
      <c r="K75" s="45">
        <f t="shared" si="2"/>
        <v>48</v>
      </c>
    </row>
    <row r="76" spans="4:11">
      <c r="D76" s="42">
        <v>46171</v>
      </c>
      <c r="E76" s="43">
        <v>1607414</v>
      </c>
      <c r="F76" s="43" t="s">
        <v>13</v>
      </c>
      <c r="G76" s="44">
        <v>20396160</v>
      </c>
      <c r="H76" s="43" t="s">
        <v>63</v>
      </c>
      <c r="I76" s="44">
        <v>1</v>
      </c>
      <c r="J76" s="45">
        <v>13.5</v>
      </c>
      <c r="K76" s="45">
        <f t="shared" si="2"/>
        <v>13.5</v>
      </c>
    </row>
    <row r="77" spans="4:11">
      <c r="D77" s="42">
        <v>46171</v>
      </c>
      <c r="E77" s="43">
        <v>1607414</v>
      </c>
      <c r="F77" s="43" t="s">
        <v>13</v>
      </c>
      <c r="G77" s="44">
        <v>20377357</v>
      </c>
      <c r="H77" s="43" t="s">
        <v>37</v>
      </c>
      <c r="I77" s="44">
        <v>4</v>
      </c>
      <c r="J77" s="45">
        <v>8</v>
      </c>
      <c r="K77" s="45">
        <f t="shared" si="2"/>
        <v>32</v>
      </c>
    </row>
    <row r="78" spans="4:11">
      <c r="D78" s="42">
        <v>46171</v>
      </c>
      <c r="E78" s="43">
        <v>1607414</v>
      </c>
      <c r="F78" s="43" t="s">
        <v>13</v>
      </c>
      <c r="G78" s="44">
        <v>20395865</v>
      </c>
      <c r="H78" s="43" t="s">
        <v>45</v>
      </c>
      <c r="I78" s="44">
        <v>1</v>
      </c>
      <c r="J78" s="45">
        <v>8</v>
      </c>
      <c r="K78" s="45">
        <f t="shared" si="2"/>
        <v>8</v>
      </c>
    </row>
    <row r="79" spans="4:11">
      <c r="D79" s="42">
        <v>46177</v>
      </c>
      <c r="E79" s="43">
        <v>1609092</v>
      </c>
      <c r="F79" s="43" t="s">
        <v>13</v>
      </c>
      <c r="G79" s="44">
        <v>20376624</v>
      </c>
      <c r="H79" s="43" t="s">
        <v>33</v>
      </c>
      <c r="I79" s="44">
        <v>1</v>
      </c>
      <c r="J79" s="45">
        <v>8</v>
      </c>
      <c r="K79" s="45">
        <f t="shared" si="2"/>
        <v>8</v>
      </c>
    </row>
    <row r="80" spans="4:11">
      <c r="D80" s="42">
        <v>46177</v>
      </c>
      <c r="E80" s="43">
        <v>1609092</v>
      </c>
      <c r="F80" s="43" t="s">
        <v>13</v>
      </c>
      <c r="G80" s="44">
        <v>20406253</v>
      </c>
      <c r="H80" s="43" t="s">
        <v>50</v>
      </c>
      <c r="I80" s="44">
        <v>1</v>
      </c>
      <c r="J80" s="45">
        <v>13.5</v>
      </c>
      <c r="K80" s="45">
        <f t="shared" si="2"/>
        <v>13.5</v>
      </c>
    </row>
    <row r="81" spans="4:11">
      <c r="D81" s="42">
        <v>46177</v>
      </c>
      <c r="E81" s="43">
        <v>1609092</v>
      </c>
      <c r="F81" s="43" t="s">
        <v>13</v>
      </c>
      <c r="G81" s="44">
        <v>20313588</v>
      </c>
      <c r="H81" s="43" t="s">
        <v>30</v>
      </c>
      <c r="I81" s="44">
        <v>3</v>
      </c>
      <c r="J81" s="45">
        <v>8</v>
      </c>
      <c r="K81" s="45">
        <f t="shared" si="2"/>
        <v>24</v>
      </c>
    </row>
    <row r="82" spans="4:11">
      <c r="D82" s="42">
        <v>46177</v>
      </c>
      <c r="E82" s="43">
        <v>1609092</v>
      </c>
      <c r="F82" s="43" t="s">
        <v>13</v>
      </c>
      <c r="G82" s="44">
        <v>20377357</v>
      </c>
      <c r="H82" s="43" t="s">
        <v>37</v>
      </c>
      <c r="I82" s="44">
        <v>2</v>
      </c>
      <c r="J82" s="45">
        <v>8</v>
      </c>
      <c r="K82" s="45">
        <f t="shared" si="2"/>
        <v>16</v>
      </c>
    </row>
    <row r="83" spans="4:11">
      <c r="D83" s="42">
        <v>46177</v>
      </c>
      <c r="E83" s="43">
        <v>1609196</v>
      </c>
      <c r="F83" s="43" t="s">
        <v>13</v>
      </c>
      <c r="G83" s="44">
        <v>20376624</v>
      </c>
      <c r="H83" s="43" t="s">
        <v>33</v>
      </c>
      <c r="I83" s="44">
        <v>1</v>
      </c>
      <c r="J83" s="45">
        <v>8</v>
      </c>
      <c r="K83" s="45">
        <f t="shared" si="2"/>
        <v>8</v>
      </c>
    </row>
    <row r="84" spans="4:11">
      <c r="D84" s="42">
        <v>46177</v>
      </c>
      <c r="E84" s="43">
        <v>1609196</v>
      </c>
      <c r="F84" s="43" t="s">
        <v>13</v>
      </c>
      <c r="G84" s="44">
        <v>20406253</v>
      </c>
      <c r="H84" s="43" t="s">
        <v>50</v>
      </c>
      <c r="I84" s="44">
        <v>2</v>
      </c>
      <c r="J84" s="45">
        <v>13.5</v>
      </c>
      <c r="K84" s="45">
        <f t="shared" si="2"/>
        <v>27</v>
      </c>
    </row>
    <row r="85" spans="4:11">
      <c r="D85" s="42">
        <v>46177</v>
      </c>
      <c r="E85" s="43">
        <v>1609196</v>
      </c>
      <c r="F85" s="43" t="s">
        <v>13</v>
      </c>
      <c r="G85" s="44">
        <v>20313588</v>
      </c>
      <c r="H85" s="43" t="s">
        <v>30</v>
      </c>
      <c r="I85" s="44">
        <v>3</v>
      </c>
      <c r="J85" s="45">
        <v>8</v>
      </c>
      <c r="K85" s="45">
        <f t="shared" si="2"/>
        <v>24</v>
      </c>
    </row>
    <row r="86" spans="4:11">
      <c r="D86" s="42">
        <v>46177</v>
      </c>
      <c r="E86" s="43">
        <v>1609196</v>
      </c>
      <c r="F86" s="43" t="s">
        <v>13</v>
      </c>
      <c r="G86" s="44">
        <v>20377357</v>
      </c>
      <c r="H86" s="43" t="s">
        <v>37</v>
      </c>
      <c r="I86" s="44">
        <v>4</v>
      </c>
      <c r="J86" s="45">
        <v>8</v>
      </c>
      <c r="K86" s="45">
        <f t="shared" si="2"/>
        <v>32</v>
      </c>
    </row>
    <row r="87" spans="4:11">
      <c r="D87" s="42">
        <v>46178</v>
      </c>
      <c r="E87" s="43">
        <v>1609450</v>
      </c>
      <c r="F87" s="43" t="s">
        <v>13</v>
      </c>
      <c r="G87" s="44">
        <v>20376624</v>
      </c>
      <c r="H87" s="43" t="s">
        <v>33</v>
      </c>
      <c r="I87" s="44">
        <v>2</v>
      </c>
      <c r="J87" s="45">
        <v>8</v>
      </c>
      <c r="K87" s="45">
        <f t="shared" si="2"/>
        <v>16</v>
      </c>
    </row>
    <row r="88" spans="4:11">
      <c r="D88" s="42">
        <v>46178</v>
      </c>
      <c r="E88" s="43">
        <v>1609450</v>
      </c>
      <c r="F88" s="43" t="s">
        <v>13</v>
      </c>
      <c r="G88" s="44">
        <v>20406253</v>
      </c>
      <c r="H88" s="43" t="s">
        <v>50</v>
      </c>
      <c r="I88" s="44">
        <v>3</v>
      </c>
      <c r="J88" s="45">
        <v>13.5</v>
      </c>
      <c r="K88" s="45">
        <f t="shared" si="2"/>
        <v>40.5</v>
      </c>
    </row>
    <row r="89" spans="4:11">
      <c r="D89" s="42">
        <v>46178</v>
      </c>
      <c r="E89" s="43">
        <v>1609450</v>
      </c>
      <c r="F89" s="43" t="s">
        <v>13</v>
      </c>
      <c r="G89" s="44">
        <v>20394769</v>
      </c>
      <c r="H89" s="43" t="s">
        <v>67</v>
      </c>
      <c r="I89" s="44">
        <v>1</v>
      </c>
      <c r="J89" s="45">
        <v>8</v>
      </c>
      <c r="K89" s="45">
        <f t="shared" si="2"/>
        <v>8</v>
      </c>
    </row>
    <row r="90" spans="4:11">
      <c r="D90" s="42">
        <v>46178</v>
      </c>
      <c r="E90" s="43">
        <v>1609450</v>
      </c>
      <c r="F90" s="43" t="s">
        <v>13</v>
      </c>
      <c r="G90" s="44">
        <v>20313588</v>
      </c>
      <c r="H90" s="43" t="s">
        <v>30</v>
      </c>
      <c r="I90" s="44">
        <v>6</v>
      </c>
      <c r="J90" s="45">
        <v>8</v>
      </c>
      <c r="K90" s="45">
        <f t="shared" si="2"/>
        <v>48</v>
      </c>
    </row>
    <row r="91" spans="4:11">
      <c r="D91" s="42">
        <v>46178</v>
      </c>
      <c r="E91" s="43">
        <v>1609450</v>
      </c>
      <c r="F91" s="43" t="s">
        <v>13</v>
      </c>
      <c r="G91" s="44">
        <v>20376620</v>
      </c>
      <c r="H91" s="43" t="s">
        <v>65</v>
      </c>
      <c r="I91" s="44">
        <v>1</v>
      </c>
      <c r="J91" s="45">
        <v>8</v>
      </c>
      <c r="K91" s="45">
        <f t="shared" si="2"/>
        <v>8</v>
      </c>
    </row>
    <row r="92" spans="4:11">
      <c r="D92" s="42">
        <v>46178</v>
      </c>
      <c r="E92" s="43">
        <v>1609450</v>
      </c>
      <c r="F92" s="43" t="s">
        <v>13</v>
      </c>
      <c r="G92" s="44">
        <v>20377357</v>
      </c>
      <c r="H92" s="43" t="s">
        <v>37</v>
      </c>
      <c r="I92" s="44">
        <v>5</v>
      </c>
      <c r="J92" s="45">
        <v>8</v>
      </c>
      <c r="K92" s="45">
        <f t="shared" si="2"/>
        <v>40</v>
      </c>
    </row>
    <row r="93" spans="4:11">
      <c r="D93" s="42">
        <v>46178</v>
      </c>
      <c r="E93" s="43">
        <v>1609582</v>
      </c>
      <c r="F93" s="43" t="s">
        <v>13</v>
      </c>
      <c r="G93" s="44">
        <v>20376624</v>
      </c>
      <c r="H93" s="43" t="s">
        <v>33</v>
      </c>
      <c r="I93" s="44">
        <v>1</v>
      </c>
      <c r="J93" s="45">
        <v>8</v>
      </c>
      <c r="K93" s="45">
        <f t="shared" si="2"/>
        <v>8</v>
      </c>
    </row>
    <row r="94" spans="4:11">
      <c r="D94" s="42">
        <v>46178</v>
      </c>
      <c r="E94" s="43">
        <v>1609582</v>
      </c>
      <c r="F94" s="43" t="s">
        <v>13</v>
      </c>
      <c r="G94" s="44">
        <v>20406253</v>
      </c>
      <c r="H94" s="43" t="s">
        <v>50</v>
      </c>
      <c r="I94" s="44">
        <v>3</v>
      </c>
      <c r="J94" s="45">
        <v>13.5</v>
      </c>
      <c r="K94" s="45">
        <f t="shared" si="2"/>
        <v>40.5</v>
      </c>
    </row>
    <row r="95" spans="4:11">
      <c r="D95" s="42">
        <v>46178</v>
      </c>
      <c r="E95" s="43">
        <v>1609582</v>
      </c>
      <c r="F95" s="43" t="s">
        <v>13</v>
      </c>
      <c r="G95" s="44">
        <v>20313588</v>
      </c>
      <c r="H95" s="43" t="s">
        <v>30</v>
      </c>
      <c r="I95" s="44">
        <v>3</v>
      </c>
      <c r="J95" s="45">
        <v>8</v>
      </c>
      <c r="K95" s="45">
        <f t="shared" si="2"/>
        <v>24</v>
      </c>
    </row>
    <row r="96" spans="4:11">
      <c r="D96" s="42">
        <v>46178</v>
      </c>
      <c r="E96" s="43">
        <v>1609582</v>
      </c>
      <c r="F96" s="43" t="s">
        <v>13</v>
      </c>
      <c r="G96" s="44">
        <v>20396160</v>
      </c>
      <c r="H96" s="43" t="s">
        <v>63</v>
      </c>
      <c r="I96" s="44">
        <v>1</v>
      </c>
      <c r="J96" s="45">
        <v>13.5</v>
      </c>
      <c r="K96" s="45">
        <f t="shared" si="2"/>
        <v>13.5</v>
      </c>
    </row>
    <row r="97" spans="4:11">
      <c r="D97" s="42">
        <v>46178</v>
      </c>
      <c r="E97" s="43">
        <v>1609582</v>
      </c>
      <c r="F97" s="43" t="s">
        <v>13</v>
      </c>
      <c r="G97" s="44">
        <v>20376621</v>
      </c>
      <c r="H97" s="43" t="s">
        <v>65</v>
      </c>
      <c r="I97" s="44">
        <v>1</v>
      </c>
      <c r="J97" s="45">
        <v>8</v>
      </c>
      <c r="K97" s="45">
        <f t="shared" si="2"/>
        <v>8</v>
      </c>
    </row>
    <row r="98" spans="4:11">
      <c r="D98" s="42">
        <v>46178</v>
      </c>
      <c r="E98" s="43">
        <v>1609582</v>
      </c>
      <c r="F98" s="43" t="s">
        <v>13</v>
      </c>
      <c r="G98" s="44">
        <v>20377357</v>
      </c>
      <c r="H98" s="43" t="s">
        <v>37</v>
      </c>
      <c r="I98" s="44">
        <v>5</v>
      </c>
      <c r="J98" s="45">
        <v>8</v>
      </c>
      <c r="K98" s="45">
        <f t="shared" si="2"/>
        <v>40</v>
      </c>
    </row>
    <row r="99" spans="4:11">
      <c r="D99" s="42">
        <v>46179</v>
      </c>
      <c r="E99" s="43">
        <v>1609874</v>
      </c>
      <c r="F99" s="43" t="s">
        <v>13</v>
      </c>
      <c r="G99" s="44">
        <v>20376624</v>
      </c>
      <c r="H99" s="43" t="s">
        <v>33</v>
      </c>
      <c r="I99" s="44">
        <v>3</v>
      </c>
      <c r="J99" s="45">
        <v>8</v>
      </c>
      <c r="K99" s="45">
        <f t="shared" si="2"/>
        <v>24</v>
      </c>
    </row>
    <row r="100" spans="4:11">
      <c r="D100" s="42">
        <v>46179</v>
      </c>
      <c r="E100" s="43">
        <v>1609874</v>
      </c>
      <c r="F100" s="43" t="s">
        <v>13</v>
      </c>
      <c r="G100" s="44">
        <v>20406253</v>
      </c>
      <c r="H100" s="43" t="s">
        <v>50</v>
      </c>
      <c r="I100" s="44">
        <v>5</v>
      </c>
      <c r="J100" s="45">
        <v>13.5</v>
      </c>
      <c r="K100" s="45">
        <f t="shared" si="2"/>
        <v>67.5</v>
      </c>
    </row>
    <row r="101" spans="4:11">
      <c r="D101" s="42">
        <v>46179</v>
      </c>
      <c r="E101" s="43">
        <v>1609874</v>
      </c>
      <c r="F101" s="43" t="s">
        <v>13</v>
      </c>
      <c r="G101" s="44">
        <v>20428709</v>
      </c>
      <c r="H101" s="43" t="s">
        <v>68</v>
      </c>
      <c r="I101" s="44">
        <v>1</v>
      </c>
      <c r="J101" s="45">
        <v>13.5</v>
      </c>
      <c r="K101" s="45">
        <f t="shared" si="2"/>
        <v>13.5</v>
      </c>
    </row>
    <row r="102" spans="4:11">
      <c r="D102" s="42">
        <v>46179</v>
      </c>
      <c r="E102" s="43">
        <v>1609874</v>
      </c>
      <c r="F102" s="43" t="s">
        <v>13</v>
      </c>
      <c r="G102" s="44">
        <v>20313588</v>
      </c>
      <c r="H102" s="43" t="s">
        <v>30</v>
      </c>
      <c r="I102" s="44">
        <v>8</v>
      </c>
      <c r="J102" s="45">
        <v>8</v>
      </c>
      <c r="K102" s="45">
        <f t="shared" si="2"/>
        <v>64</v>
      </c>
    </row>
    <row r="103" spans="4:11">
      <c r="D103" s="42">
        <v>46179</v>
      </c>
      <c r="E103" s="43">
        <v>1609874</v>
      </c>
      <c r="F103" s="43" t="s">
        <v>13</v>
      </c>
      <c r="G103" s="44">
        <v>20377357</v>
      </c>
      <c r="H103" s="43" t="s">
        <v>37</v>
      </c>
      <c r="I103" s="44">
        <v>5</v>
      </c>
      <c r="J103" s="45">
        <v>8</v>
      </c>
      <c r="K103" s="45">
        <f t="shared" si="2"/>
        <v>40</v>
      </c>
    </row>
    <row r="104" spans="4:11">
      <c r="D104" s="42">
        <v>46182</v>
      </c>
      <c r="E104" s="43">
        <v>1610553</v>
      </c>
      <c r="F104" s="43" t="s">
        <v>13</v>
      </c>
      <c r="G104" s="44">
        <v>20406253</v>
      </c>
      <c r="H104" s="43" t="s">
        <v>50</v>
      </c>
      <c r="I104" s="44">
        <v>2</v>
      </c>
      <c r="J104" s="45">
        <v>13.5</v>
      </c>
      <c r="K104" s="45">
        <f t="shared" si="2"/>
        <v>27</v>
      </c>
    </row>
    <row r="105" spans="4:11">
      <c r="D105" s="42">
        <v>46182</v>
      </c>
      <c r="E105" s="43">
        <v>1610553</v>
      </c>
      <c r="F105" s="43" t="s">
        <v>13</v>
      </c>
      <c r="G105" s="44">
        <v>20313588</v>
      </c>
      <c r="H105" s="43" t="s">
        <v>30</v>
      </c>
      <c r="I105" s="44">
        <v>3</v>
      </c>
      <c r="J105" s="45">
        <v>8</v>
      </c>
      <c r="K105" s="45">
        <f t="shared" si="2"/>
        <v>24</v>
      </c>
    </row>
    <row r="106" spans="4:11">
      <c r="D106" s="42">
        <v>46182</v>
      </c>
      <c r="E106" s="43">
        <v>1610553</v>
      </c>
      <c r="F106" s="43" t="s">
        <v>13</v>
      </c>
      <c r="G106" s="44">
        <v>20376620</v>
      </c>
      <c r="H106" s="43" t="s">
        <v>65</v>
      </c>
      <c r="I106" s="44">
        <v>3</v>
      </c>
      <c r="J106" s="45">
        <v>8</v>
      </c>
      <c r="K106" s="45">
        <f t="shared" ref="K106:K133" si="3">J106*I106</f>
        <v>24</v>
      </c>
    </row>
    <row r="107" spans="4:11">
      <c r="D107" s="42">
        <v>46182</v>
      </c>
      <c r="E107" s="43">
        <v>1610553</v>
      </c>
      <c r="F107" s="43" t="s">
        <v>13</v>
      </c>
      <c r="G107" s="44">
        <v>20377357</v>
      </c>
      <c r="H107" s="43" t="s">
        <v>37</v>
      </c>
      <c r="I107" s="44">
        <v>5</v>
      </c>
      <c r="J107" s="45">
        <v>8</v>
      </c>
      <c r="K107" s="45">
        <f t="shared" si="3"/>
        <v>40</v>
      </c>
    </row>
    <row r="108" spans="4:11">
      <c r="D108" s="42">
        <v>46183</v>
      </c>
      <c r="E108" s="43">
        <v>1610823</v>
      </c>
      <c r="F108" s="43" t="s">
        <v>13</v>
      </c>
      <c r="G108" s="44">
        <v>20376624</v>
      </c>
      <c r="H108" s="43" t="s">
        <v>33</v>
      </c>
      <c r="I108" s="44">
        <v>1</v>
      </c>
      <c r="J108" s="45">
        <v>8</v>
      </c>
      <c r="K108" s="45">
        <f t="shared" si="3"/>
        <v>8</v>
      </c>
    </row>
    <row r="109" spans="4:11">
      <c r="D109" s="42">
        <v>46183</v>
      </c>
      <c r="E109" s="43">
        <v>1610823</v>
      </c>
      <c r="F109" s="43" t="s">
        <v>13</v>
      </c>
      <c r="G109" s="44">
        <v>20406253</v>
      </c>
      <c r="H109" s="43" t="s">
        <v>50</v>
      </c>
      <c r="I109" s="44">
        <v>2</v>
      </c>
      <c r="J109" s="45">
        <v>13.5</v>
      </c>
      <c r="K109" s="45">
        <f t="shared" si="3"/>
        <v>27</v>
      </c>
    </row>
    <row r="110" spans="4:11">
      <c r="D110" s="42">
        <v>46183</v>
      </c>
      <c r="E110" s="43">
        <v>1610823</v>
      </c>
      <c r="F110" s="43" t="s">
        <v>13</v>
      </c>
      <c r="G110" s="44">
        <v>20394943</v>
      </c>
      <c r="H110" s="43" t="s">
        <v>35</v>
      </c>
      <c r="I110" s="44">
        <v>1</v>
      </c>
      <c r="J110" s="45">
        <v>11</v>
      </c>
      <c r="K110" s="45">
        <f t="shared" si="3"/>
        <v>11</v>
      </c>
    </row>
    <row r="111" spans="4:11">
      <c r="D111" s="42">
        <v>46183</v>
      </c>
      <c r="E111" s="43">
        <v>1610823</v>
      </c>
      <c r="F111" s="43" t="s">
        <v>13</v>
      </c>
      <c r="G111" s="44">
        <v>20313588</v>
      </c>
      <c r="H111" s="43" t="s">
        <v>30</v>
      </c>
      <c r="I111" s="44">
        <v>5</v>
      </c>
      <c r="J111" s="45">
        <v>8</v>
      </c>
      <c r="K111" s="45">
        <f t="shared" si="3"/>
        <v>40</v>
      </c>
    </row>
    <row r="112" spans="4:11">
      <c r="D112" s="42">
        <v>46183</v>
      </c>
      <c r="E112" s="43">
        <v>1610823</v>
      </c>
      <c r="F112" s="43" t="s">
        <v>13</v>
      </c>
      <c r="G112" s="44">
        <v>20396337</v>
      </c>
      <c r="H112" s="43" t="s">
        <v>40</v>
      </c>
      <c r="I112" s="44">
        <v>1</v>
      </c>
      <c r="J112" s="45">
        <v>8</v>
      </c>
      <c r="K112" s="45">
        <f t="shared" si="3"/>
        <v>8</v>
      </c>
    </row>
    <row r="113" spans="4:11">
      <c r="D113" s="42">
        <v>46183</v>
      </c>
      <c r="E113" s="43">
        <v>1610823</v>
      </c>
      <c r="F113" s="43" t="s">
        <v>13</v>
      </c>
      <c r="G113" s="44">
        <v>20395495</v>
      </c>
      <c r="H113" s="43" t="s">
        <v>36</v>
      </c>
      <c r="I113" s="44">
        <v>2</v>
      </c>
      <c r="J113" s="45">
        <v>13.5</v>
      </c>
      <c r="K113" s="45">
        <f t="shared" si="3"/>
        <v>27</v>
      </c>
    </row>
    <row r="114" spans="4:11">
      <c r="D114" s="42">
        <v>46183</v>
      </c>
      <c r="E114" s="43">
        <v>1610823</v>
      </c>
      <c r="F114" s="43" t="s">
        <v>13</v>
      </c>
      <c r="G114" s="44">
        <v>20377357</v>
      </c>
      <c r="H114" s="43" t="s">
        <v>37</v>
      </c>
      <c r="I114" s="44">
        <v>2</v>
      </c>
      <c r="J114" s="45">
        <v>8</v>
      </c>
      <c r="K114" s="45">
        <f t="shared" si="3"/>
        <v>16</v>
      </c>
    </row>
    <row r="115" spans="4:11">
      <c r="D115" s="42">
        <v>46183</v>
      </c>
      <c r="E115" s="43">
        <v>1610936</v>
      </c>
      <c r="F115" s="43" t="s">
        <v>13</v>
      </c>
      <c r="G115" s="44">
        <v>20376624</v>
      </c>
      <c r="H115" s="43" t="s">
        <v>33</v>
      </c>
      <c r="I115" s="44">
        <v>1</v>
      </c>
      <c r="J115" s="45">
        <v>8</v>
      </c>
      <c r="K115" s="45">
        <f t="shared" si="3"/>
        <v>8</v>
      </c>
    </row>
    <row r="116" spans="4:11">
      <c r="D116" s="42">
        <v>46183</v>
      </c>
      <c r="E116" s="43">
        <v>1610936</v>
      </c>
      <c r="F116" s="43" t="s">
        <v>13</v>
      </c>
      <c r="G116" s="44">
        <v>20406253</v>
      </c>
      <c r="H116" s="43" t="s">
        <v>50</v>
      </c>
      <c r="I116" s="44">
        <v>3</v>
      </c>
      <c r="J116" s="45">
        <v>13.5</v>
      </c>
      <c r="K116" s="45">
        <f t="shared" si="3"/>
        <v>40.5</v>
      </c>
    </row>
    <row r="117" spans="4:11">
      <c r="D117" s="42">
        <v>46183</v>
      </c>
      <c r="E117" s="43">
        <v>1610936</v>
      </c>
      <c r="F117" s="43" t="s">
        <v>13</v>
      </c>
      <c r="G117" s="44">
        <v>20313588</v>
      </c>
      <c r="H117" s="43" t="s">
        <v>30</v>
      </c>
      <c r="I117" s="44">
        <v>1</v>
      </c>
      <c r="J117" s="45">
        <v>8</v>
      </c>
      <c r="K117" s="45">
        <f t="shared" si="3"/>
        <v>8</v>
      </c>
    </row>
    <row r="118" spans="4:11">
      <c r="D118" s="42">
        <v>46183</v>
      </c>
      <c r="E118" s="43">
        <v>1610936</v>
      </c>
      <c r="F118" s="43" t="s">
        <v>13</v>
      </c>
      <c r="G118" s="44">
        <v>20396160</v>
      </c>
      <c r="H118" s="43" t="s">
        <v>63</v>
      </c>
      <c r="I118" s="44">
        <v>1</v>
      </c>
      <c r="J118" s="45">
        <v>13.5</v>
      </c>
      <c r="K118" s="45">
        <f t="shared" si="3"/>
        <v>13.5</v>
      </c>
    </row>
    <row r="119" spans="4:11">
      <c r="D119" s="42">
        <v>46183</v>
      </c>
      <c r="E119" s="43">
        <v>1610936</v>
      </c>
      <c r="F119" s="43" t="s">
        <v>13</v>
      </c>
      <c r="G119" s="44">
        <v>20394629</v>
      </c>
      <c r="H119" s="43" t="s">
        <v>69</v>
      </c>
      <c r="I119" s="44">
        <v>1</v>
      </c>
      <c r="J119" s="45">
        <v>16.5</v>
      </c>
      <c r="K119" s="45">
        <f t="shared" si="3"/>
        <v>16.5</v>
      </c>
    </row>
    <row r="120" spans="4:11">
      <c r="D120" s="42">
        <v>46183</v>
      </c>
      <c r="E120" s="43">
        <v>1610936</v>
      </c>
      <c r="F120" s="43" t="s">
        <v>13</v>
      </c>
      <c r="G120" s="44">
        <v>20376621</v>
      </c>
      <c r="H120" s="43" t="s">
        <v>65</v>
      </c>
      <c r="I120" s="44">
        <v>1</v>
      </c>
      <c r="J120" s="45">
        <v>8</v>
      </c>
      <c r="K120" s="45">
        <f t="shared" si="3"/>
        <v>8</v>
      </c>
    </row>
    <row r="121" spans="4:11">
      <c r="D121" s="42">
        <v>46183</v>
      </c>
      <c r="E121" s="43">
        <v>1610936</v>
      </c>
      <c r="F121" s="43" t="s">
        <v>13</v>
      </c>
      <c r="G121" s="44">
        <v>20377357</v>
      </c>
      <c r="H121" s="43" t="s">
        <v>37</v>
      </c>
      <c r="I121" s="44">
        <v>2</v>
      </c>
      <c r="J121" s="45">
        <v>8</v>
      </c>
      <c r="K121" s="45">
        <f t="shared" si="3"/>
        <v>16</v>
      </c>
    </row>
    <row r="122" spans="4:11">
      <c r="D122" s="42">
        <v>46183</v>
      </c>
      <c r="E122" s="43">
        <v>1610936</v>
      </c>
      <c r="F122" s="43" t="s">
        <v>13</v>
      </c>
      <c r="G122" s="44">
        <v>20312027</v>
      </c>
      <c r="H122" s="43" t="s">
        <v>55</v>
      </c>
      <c r="I122" s="44">
        <v>1</v>
      </c>
      <c r="J122" s="45">
        <v>11</v>
      </c>
      <c r="K122" s="45">
        <f t="shared" si="3"/>
        <v>11</v>
      </c>
    </row>
    <row r="123" spans="4:11">
      <c r="D123" s="42">
        <v>46183</v>
      </c>
      <c r="E123" s="43">
        <v>1611137</v>
      </c>
      <c r="F123" s="43" t="s">
        <v>13</v>
      </c>
      <c r="G123" s="44">
        <v>20376624</v>
      </c>
      <c r="H123" s="43" t="s">
        <v>33</v>
      </c>
      <c r="I123" s="44">
        <v>4</v>
      </c>
      <c r="J123" s="45">
        <v>8</v>
      </c>
      <c r="K123" s="45">
        <f t="shared" si="3"/>
        <v>32</v>
      </c>
    </row>
    <row r="124" spans="4:11">
      <c r="D124" s="42">
        <v>46183</v>
      </c>
      <c r="E124" s="43">
        <v>1611137</v>
      </c>
      <c r="F124" s="43" t="s">
        <v>13</v>
      </c>
      <c r="G124" s="44">
        <v>20406253</v>
      </c>
      <c r="H124" s="43" t="s">
        <v>50</v>
      </c>
      <c r="I124" s="44">
        <v>5</v>
      </c>
      <c r="J124" s="45">
        <v>13.5</v>
      </c>
      <c r="K124" s="45">
        <f t="shared" si="3"/>
        <v>67.5</v>
      </c>
    </row>
    <row r="125" spans="4:11">
      <c r="D125" s="42">
        <v>46183</v>
      </c>
      <c r="E125" s="43">
        <v>1611137</v>
      </c>
      <c r="F125" s="43" t="s">
        <v>13</v>
      </c>
      <c r="G125" s="44">
        <v>20313588</v>
      </c>
      <c r="H125" s="43" t="s">
        <v>30</v>
      </c>
      <c r="I125" s="44">
        <v>7</v>
      </c>
      <c r="J125" s="45">
        <v>8</v>
      </c>
      <c r="K125" s="45">
        <f t="shared" si="3"/>
        <v>56</v>
      </c>
    </row>
    <row r="126" spans="4:11">
      <c r="D126" s="42">
        <v>46183</v>
      </c>
      <c r="E126" s="43">
        <v>1611137</v>
      </c>
      <c r="F126" s="43" t="s">
        <v>13</v>
      </c>
      <c r="G126" s="44">
        <v>20377357</v>
      </c>
      <c r="H126" s="43" t="s">
        <v>37</v>
      </c>
      <c r="I126" s="44">
        <v>8</v>
      </c>
      <c r="J126" s="45">
        <v>8</v>
      </c>
      <c r="K126" s="45">
        <f t="shared" si="3"/>
        <v>64</v>
      </c>
    </row>
    <row r="127" spans="4:11">
      <c r="D127" s="42">
        <v>46184</v>
      </c>
      <c r="E127" s="43">
        <v>1611296</v>
      </c>
      <c r="F127" s="43" t="s">
        <v>13</v>
      </c>
      <c r="G127" s="44">
        <v>20376624</v>
      </c>
      <c r="H127" s="43" t="s">
        <v>33</v>
      </c>
      <c r="I127" s="44">
        <v>1</v>
      </c>
      <c r="J127" s="45">
        <v>8</v>
      </c>
      <c r="K127" s="45">
        <f t="shared" si="3"/>
        <v>8</v>
      </c>
    </row>
    <row r="128" spans="4:11">
      <c r="D128" s="42">
        <v>46184</v>
      </c>
      <c r="E128" s="43">
        <v>1611296</v>
      </c>
      <c r="F128" s="43" t="s">
        <v>13</v>
      </c>
      <c r="G128" s="44">
        <v>20406253</v>
      </c>
      <c r="H128" s="43" t="s">
        <v>50</v>
      </c>
      <c r="I128" s="44">
        <v>3</v>
      </c>
      <c r="J128" s="45">
        <v>13.5</v>
      </c>
      <c r="K128" s="45">
        <f t="shared" si="3"/>
        <v>40.5</v>
      </c>
    </row>
    <row r="129" spans="4:11">
      <c r="D129" s="42">
        <v>46184</v>
      </c>
      <c r="E129" s="43">
        <v>1611296</v>
      </c>
      <c r="F129" s="43" t="s">
        <v>13</v>
      </c>
      <c r="G129" s="44">
        <v>20313588</v>
      </c>
      <c r="H129" s="43" t="s">
        <v>30</v>
      </c>
      <c r="I129" s="44">
        <v>7</v>
      </c>
      <c r="J129" s="45">
        <v>8</v>
      </c>
      <c r="K129" s="45">
        <f t="shared" si="3"/>
        <v>56</v>
      </c>
    </row>
    <row r="130" spans="4:11">
      <c r="D130" s="42">
        <v>46184</v>
      </c>
      <c r="E130" s="43">
        <v>1611296</v>
      </c>
      <c r="F130" s="43" t="s">
        <v>13</v>
      </c>
      <c r="G130" s="44">
        <v>20376621</v>
      </c>
      <c r="H130" s="43" t="s">
        <v>65</v>
      </c>
      <c r="I130" s="44">
        <v>1</v>
      </c>
      <c r="J130" s="45">
        <v>8</v>
      </c>
      <c r="K130" s="45">
        <f t="shared" si="3"/>
        <v>8</v>
      </c>
    </row>
    <row r="131" spans="4:11">
      <c r="D131" s="42">
        <v>46184</v>
      </c>
      <c r="E131" s="43">
        <v>1611296</v>
      </c>
      <c r="F131" s="43" t="s">
        <v>13</v>
      </c>
      <c r="G131" s="44">
        <v>20377357</v>
      </c>
      <c r="H131" s="43" t="s">
        <v>37</v>
      </c>
      <c r="I131" s="44">
        <v>2</v>
      </c>
      <c r="J131" s="45">
        <v>8</v>
      </c>
      <c r="K131" s="45">
        <f t="shared" si="3"/>
        <v>16</v>
      </c>
    </row>
    <row r="132" spans="4:11">
      <c r="D132" s="42">
        <v>46184</v>
      </c>
      <c r="E132" s="43">
        <v>1611573</v>
      </c>
      <c r="F132" s="43" t="s">
        <v>13</v>
      </c>
      <c r="G132" s="44">
        <v>20313588</v>
      </c>
      <c r="H132" s="43" t="s">
        <v>30</v>
      </c>
      <c r="I132" s="44">
        <v>5</v>
      </c>
      <c r="J132" s="45">
        <v>8</v>
      </c>
      <c r="K132" s="45">
        <f t="shared" si="3"/>
        <v>40</v>
      </c>
    </row>
    <row r="133" spans="4:11">
      <c r="D133" s="42">
        <v>46184</v>
      </c>
      <c r="E133" s="43">
        <v>1611573</v>
      </c>
      <c r="F133" s="43" t="s">
        <v>13</v>
      </c>
      <c r="G133" s="44">
        <v>20377357</v>
      </c>
      <c r="H133" s="43" t="s">
        <v>37</v>
      </c>
      <c r="I133" s="44">
        <v>3</v>
      </c>
      <c r="J133" s="45">
        <v>8</v>
      </c>
      <c r="K133" s="45">
        <f t="shared" si="3"/>
        <v>24</v>
      </c>
    </row>
    <row r="134" ht="0.05" customHeight="1"/>
  </sheetData>
  <autoFilter xmlns:etc="http://www.wps.cn/officeDocument/2017/etCustomData" ref="A7:K133" etc:filterBottomFollowUsedRange="0">
    <extLst/>
  </autoFilter>
  <mergeCells count="5">
    <mergeCell ref="D8:H8"/>
    <mergeCell ref="C7:C133"/>
    <mergeCell ref="B4:H5"/>
    <mergeCell ref="A7:B1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2"/>
  <sheetViews>
    <sheetView showGridLines="0" view="pageBreakPreview" zoomScaleNormal="100" workbookViewId="0">
      <selection activeCell="K9" sqref="K9:K1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70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268</v>
      </c>
      <c r="J8" s="41"/>
      <c r="K8" s="41">
        <v>2529.5</v>
      </c>
    </row>
    <row r="9" spans="1:11">
      <c r="D9" s="42">
        <v>46157</v>
      </c>
      <c r="E9" s="43">
        <v>1603272</v>
      </c>
      <c r="F9" s="43" t="s">
        <v>13</v>
      </c>
      <c r="G9" s="44">
        <v>20406253</v>
      </c>
      <c r="H9" s="43" t="s">
        <v>50</v>
      </c>
      <c r="I9" s="44">
        <v>1</v>
      </c>
      <c r="J9" s="45">
        <v>13.5</v>
      </c>
      <c r="K9" s="45">
        <v>13.5</v>
      </c>
    </row>
    <row r="10" spans="1:11">
      <c r="D10" s="42">
        <v>46157</v>
      </c>
      <c r="E10" s="43">
        <v>1603272</v>
      </c>
      <c r="F10" s="43" t="s">
        <v>13</v>
      </c>
      <c r="G10" s="44">
        <v>20313588</v>
      </c>
      <c r="H10" s="43" t="s">
        <v>30</v>
      </c>
      <c r="I10" s="44">
        <v>5</v>
      </c>
      <c r="J10" s="45">
        <v>8</v>
      </c>
      <c r="K10" s="45">
        <v>40</v>
      </c>
    </row>
    <row r="11" spans="1:11">
      <c r="D11" s="42">
        <v>46157</v>
      </c>
      <c r="E11" s="43">
        <v>1603272</v>
      </c>
      <c r="F11" s="43" t="s">
        <v>13</v>
      </c>
      <c r="G11" s="44">
        <v>20377357</v>
      </c>
      <c r="H11" s="43" t="s">
        <v>37</v>
      </c>
      <c r="I11" s="44">
        <v>2</v>
      </c>
      <c r="J11" s="45">
        <v>8</v>
      </c>
      <c r="K11" s="45">
        <v>16</v>
      </c>
    </row>
    <row r="12" spans="1:11">
      <c r="D12" s="42">
        <v>46157</v>
      </c>
      <c r="E12" s="43">
        <v>1603272</v>
      </c>
      <c r="F12" s="43" t="s">
        <v>13</v>
      </c>
      <c r="G12" s="44">
        <v>20398525</v>
      </c>
      <c r="H12" s="43" t="s">
        <v>49</v>
      </c>
      <c r="I12" s="44">
        <v>1</v>
      </c>
      <c r="J12" s="45">
        <v>11</v>
      </c>
      <c r="K12" s="45">
        <v>11</v>
      </c>
    </row>
    <row r="13" spans="1:11">
      <c r="D13" s="42">
        <v>46157</v>
      </c>
      <c r="E13" s="43">
        <v>1603430</v>
      </c>
      <c r="F13" s="43" t="s">
        <v>13</v>
      </c>
      <c r="G13" s="44">
        <v>20406253</v>
      </c>
      <c r="H13" s="43" t="s">
        <v>50</v>
      </c>
      <c r="I13" s="44">
        <v>2</v>
      </c>
      <c r="J13" s="45">
        <v>13.5</v>
      </c>
      <c r="K13" s="45">
        <v>27</v>
      </c>
    </row>
    <row r="14" spans="1:11">
      <c r="D14" s="42">
        <v>46157</v>
      </c>
      <c r="E14" s="43">
        <v>1603430</v>
      </c>
      <c r="F14" s="43" t="s">
        <v>13</v>
      </c>
      <c r="G14" s="44">
        <v>20313588</v>
      </c>
      <c r="H14" s="43" t="s">
        <v>30</v>
      </c>
      <c r="I14" s="44">
        <v>10</v>
      </c>
      <c r="J14" s="45">
        <v>8</v>
      </c>
      <c r="K14" s="45">
        <v>80</v>
      </c>
    </row>
    <row r="15" spans="1:11">
      <c r="D15" s="42">
        <v>46157</v>
      </c>
      <c r="E15" s="43">
        <v>1603430</v>
      </c>
      <c r="F15" s="43" t="s">
        <v>13</v>
      </c>
      <c r="G15" s="44">
        <v>20377357</v>
      </c>
      <c r="H15" s="43" t="s">
        <v>37</v>
      </c>
      <c r="I15" s="44">
        <v>4</v>
      </c>
      <c r="J15" s="45">
        <v>8</v>
      </c>
      <c r="K15" s="45">
        <v>32</v>
      </c>
    </row>
    <row r="16" spans="1:11">
      <c r="D16" s="42">
        <v>46158</v>
      </c>
      <c r="E16" s="43">
        <v>1603664</v>
      </c>
      <c r="F16" s="43" t="s">
        <v>13</v>
      </c>
      <c r="G16" s="44">
        <v>20376624</v>
      </c>
      <c r="H16" s="43" t="s">
        <v>33</v>
      </c>
      <c r="I16" s="44">
        <v>1</v>
      </c>
      <c r="J16" s="45">
        <v>8</v>
      </c>
      <c r="K16" s="45">
        <v>8</v>
      </c>
    </row>
    <row r="17" spans="4:11">
      <c r="D17" s="42">
        <v>46158</v>
      </c>
      <c r="E17" s="43">
        <v>1603664</v>
      </c>
      <c r="F17" s="43" t="s">
        <v>13</v>
      </c>
      <c r="G17" s="44">
        <v>20406253</v>
      </c>
      <c r="H17" s="43" t="s">
        <v>50</v>
      </c>
      <c r="I17" s="44">
        <v>2</v>
      </c>
      <c r="J17" s="45">
        <v>13.5</v>
      </c>
      <c r="K17" s="45">
        <v>27</v>
      </c>
    </row>
    <row r="18" spans="4:11">
      <c r="D18" s="42">
        <v>46158</v>
      </c>
      <c r="E18" s="43">
        <v>1603664</v>
      </c>
      <c r="F18" s="43" t="s">
        <v>13</v>
      </c>
      <c r="G18" s="44">
        <v>20396338</v>
      </c>
      <c r="H18" s="43" t="s">
        <v>71</v>
      </c>
      <c r="I18" s="44">
        <v>1</v>
      </c>
      <c r="J18" s="45">
        <v>13.5</v>
      </c>
      <c r="K18" s="45">
        <v>13.5</v>
      </c>
    </row>
    <row r="19" spans="4:11">
      <c r="D19" s="42">
        <v>46158</v>
      </c>
      <c r="E19" s="43">
        <v>1603664</v>
      </c>
      <c r="F19" s="43" t="s">
        <v>13</v>
      </c>
      <c r="G19" s="44">
        <v>20313588</v>
      </c>
      <c r="H19" s="43" t="s">
        <v>30</v>
      </c>
      <c r="I19" s="44">
        <v>4</v>
      </c>
      <c r="J19" s="45">
        <v>8</v>
      </c>
      <c r="K19" s="45">
        <v>32</v>
      </c>
    </row>
    <row r="20" spans="4:11">
      <c r="D20" s="42">
        <v>46158</v>
      </c>
      <c r="E20" s="43">
        <v>1603664</v>
      </c>
      <c r="F20" s="43" t="s">
        <v>13</v>
      </c>
      <c r="G20" s="44">
        <v>20376620</v>
      </c>
      <c r="H20" s="43" t="s">
        <v>65</v>
      </c>
      <c r="I20" s="44">
        <v>1</v>
      </c>
      <c r="J20" s="45">
        <v>8</v>
      </c>
      <c r="K20" s="45">
        <v>8</v>
      </c>
    </row>
    <row r="21" spans="4:11">
      <c r="D21" s="42">
        <v>46162</v>
      </c>
      <c r="E21" s="43">
        <v>1604581</v>
      </c>
      <c r="F21" s="43" t="s">
        <v>13</v>
      </c>
      <c r="G21" s="44">
        <v>20406253</v>
      </c>
      <c r="H21" s="43" t="s">
        <v>50</v>
      </c>
      <c r="I21" s="44">
        <v>2</v>
      </c>
      <c r="J21" s="45">
        <v>13.5</v>
      </c>
      <c r="K21" s="45">
        <v>27</v>
      </c>
    </row>
    <row r="22" spans="4:11">
      <c r="D22" s="42">
        <v>46162</v>
      </c>
      <c r="E22" s="43">
        <v>1604581</v>
      </c>
      <c r="F22" s="43" t="s">
        <v>13</v>
      </c>
      <c r="G22" s="44">
        <v>20313588</v>
      </c>
      <c r="H22" s="43" t="s">
        <v>30</v>
      </c>
      <c r="I22" s="44">
        <v>3</v>
      </c>
      <c r="J22" s="45">
        <v>8</v>
      </c>
      <c r="K22" s="45">
        <v>24</v>
      </c>
    </row>
    <row r="23" spans="4:11">
      <c r="D23" s="42">
        <v>46162</v>
      </c>
      <c r="E23" s="43">
        <v>1604581</v>
      </c>
      <c r="F23" s="43" t="s">
        <v>13</v>
      </c>
      <c r="G23" s="44">
        <v>20409657</v>
      </c>
      <c r="H23" s="43" t="s">
        <v>72</v>
      </c>
      <c r="I23" s="44">
        <v>1</v>
      </c>
      <c r="J23" s="45">
        <v>16.5</v>
      </c>
      <c r="K23" s="45">
        <v>16.5</v>
      </c>
    </row>
    <row r="24" spans="4:11">
      <c r="D24" s="42">
        <v>46162</v>
      </c>
      <c r="E24" s="43">
        <v>1604581</v>
      </c>
      <c r="F24" s="43" t="s">
        <v>13</v>
      </c>
      <c r="G24" s="44">
        <v>20376620</v>
      </c>
      <c r="H24" s="43" t="s">
        <v>65</v>
      </c>
      <c r="I24" s="44">
        <v>1</v>
      </c>
      <c r="J24" s="45">
        <v>8</v>
      </c>
      <c r="K24" s="45">
        <v>8</v>
      </c>
    </row>
    <row r="25" spans="4:11">
      <c r="D25" s="42">
        <v>46162</v>
      </c>
      <c r="E25" s="43">
        <v>1604581</v>
      </c>
      <c r="F25" s="43" t="s">
        <v>13</v>
      </c>
      <c r="G25" s="44">
        <v>20377357</v>
      </c>
      <c r="H25" s="43" t="s">
        <v>37</v>
      </c>
      <c r="I25" s="44">
        <v>2</v>
      </c>
      <c r="J25" s="45">
        <v>8</v>
      </c>
      <c r="K25" s="45">
        <v>16</v>
      </c>
    </row>
    <row r="26" spans="4:11">
      <c r="D26" s="42">
        <v>46162</v>
      </c>
      <c r="E26" s="43">
        <v>1604629</v>
      </c>
      <c r="F26" s="43" t="s">
        <v>13</v>
      </c>
      <c r="G26" s="44">
        <v>20313588</v>
      </c>
      <c r="H26" s="43" t="s">
        <v>30</v>
      </c>
      <c r="I26" s="44">
        <v>1</v>
      </c>
      <c r="J26" s="45">
        <v>8</v>
      </c>
      <c r="K26" s="45">
        <v>8</v>
      </c>
    </row>
    <row r="27" spans="4:11">
      <c r="D27" s="42">
        <v>46162</v>
      </c>
      <c r="E27" s="43">
        <v>1604687</v>
      </c>
      <c r="F27" s="43" t="s">
        <v>13</v>
      </c>
      <c r="G27" s="44">
        <v>20406253</v>
      </c>
      <c r="H27" s="43" t="s">
        <v>50</v>
      </c>
      <c r="I27" s="44">
        <v>2</v>
      </c>
      <c r="J27" s="45">
        <v>13.5</v>
      </c>
      <c r="K27" s="45">
        <v>27</v>
      </c>
    </row>
    <row r="28" spans="4:11">
      <c r="D28" s="42">
        <v>46162</v>
      </c>
      <c r="E28" s="43">
        <v>1604687</v>
      </c>
      <c r="F28" s="43" t="s">
        <v>13</v>
      </c>
      <c r="G28" s="44">
        <v>20313588</v>
      </c>
      <c r="H28" s="43" t="s">
        <v>30</v>
      </c>
      <c r="I28" s="44">
        <v>4</v>
      </c>
      <c r="J28" s="45">
        <v>8</v>
      </c>
      <c r="K28" s="45">
        <v>32</v>
      </c>
    </row>
    <row r="29" spans="4:11">
      <c r="D29" s="42">
        <v>46162</v>
      </c>
      <c r="E29" s="43">
        <v>1604687</v>
      </c>
      <c r="F29" s="43" t="s">
        <v>13</v>
      </c>
      <c r="G29" s="44">
        <v>20377357</v>
      </c>
      <c r="H29" s="43" t="s">
        <v>37</v>
      </c>
      <c r="I29" s="44">
        <v>4</v>
      </c>
      <c r="J29" s="45">
        <v>8</v>
      </c>
      <c r="K29" s="45">
        <v>32</v>
      </c>
    </row>
    <row r="30" spans="4:11">
      <c r="D30" s="42">
        <v>46163</v>
      </c>
      <c r="E30" s="43">
        <v>1604995</v>
      </c>
      <c r="F30" s="43" t="s">
        <v>13</v>
      </c>
      <c r="G30" s="44">
        <v>20406253</v>
      </c>
      <c r="H30" s="43" t="s">
        <v>50</v>
      </c>
      <c r="I30" s="44">
        <v>1</v>
      </c>
      <c r="J30" s="45">
        <v>13.5</v>
      </c>
      <c r="K30" s="45">
        <v>13.5</v>
      </c>
    </row>
    <row r="31" spans="4:11">
      <c r="D31" s="42">
        <v>46163</v>
      </c>
      <c r="E31" s="43">
        <v>1604995</v>
      </c>
      <c r="F31" s="43" t="s">
        <v>13</v>
      </c>
      <c r="G31" s="44">
        <v>20313588</v>
      </c>
      <c r="H31" s="43" t="s">
        <v>30</v>
      </c>
      <c r="I31" s="44">
        <v>7</v>
      </c>
      <c r="J31" s="45">
        <v>8</v>
      </c>
      <c r="K31" s="45">
        <v>56</v>
      </c>
    </row>
    <row r="32" spans="4:11">
      <c r="D32" s="42">
        <v>46163</v>
      </c>
      <c r="E32" s="43">
        <v>1604995</v>
      </c>
      <c r="F32" s="43" t="s">
        <v>13</v>
      </c>
      <c r="G32" s="44">
        <v>20376621</v>
      </c>
      <c r="H32" s="43" t="s">
        <v>65</v>
      </c>
      <c r="I32" s="44">
        <v>1</v>
      </c>
      <c r="J32" s="45">
        <v>8</v>
      </c>
      <c r="K32" s="45">
        <v>8</v>
      </c>
    </row>
    <row r="33" spans="4:11">
      <c r="D33" s="42">
        <v>46163</v>
      </c>
      <c r="E33" s="43">
        <v>1604995</v>
      </c>
      <c r="F33" s="43" t="s">
        <v>13</v>
      </c>
      <c r="G33" s="44">
        <v>20398525</v>
      </c>
      <c r="H33" s="43" t="s">
        <v>49</v>
      </c>
      <c r="I33" s="44">
        <v>1</v>
      </c>
      <c r="J33" s="45">
        <v>11</v>
      </c>
      <c r="K33" s="45">
        <v>11</v>
      </c>
    </row>
    <row r="34" spans="4:11">
      <c r="D34" s="42">
        <v>46163</v>
      </c>
      <c r="E34" s="43">
        <v>1605097</v>
      </c>
      <c r="F34" s="43" t="s">
        <v>13</v>
      </c>
      <c r="G34" s="44">
        <v>20406253</v>
      </c>
      <c r="H34" s="43" t="s">
        <v>50</v>
      </c>
      <c r="I34" s="44">
        <v>2</v>
      </c>
      <c r="J34" s="45">
        <v>13.5</v>
      </c>
      <c r="K34" s="45">
        <v>27</v>
      </c>
    </row>
    <row r="35" spans="4:11">
      <c r="D35" s="42">
        <v>46163</v>
      </c>
      <c r="E35" s="43">
        <v>1605097</v>
      </c>
      <c r="F35" s="43" t="s">
        <v>13</v>
      </c>
      <c r="G35" s="44">
        <v>20313588</v>
      </c>
      <c r="H35" s="43" t="s">
        <v>30</v>
      </c>
      <c r="I35" s="44">
        <v>6</v>
      </c>
      <c r="J35" s="45">
        <v>8</v>
      </c>
      <c r="K35" s="45">
        <v>48</v>
      </c>
    </row>
    <row r="36" spans="4:11">
      <c r="D36" s="42">
        <v>46163</v>
      </c>
      <c r="E36" s="43">
        <v>1605097</v>
      </c>
      <c r="F36" s="43" t="s">
        <v>13</v>
      </c>
      <c r="G36" s="44">
        <v>20377357</v>
      </c>
      <c r="H36" s="43" t="s">
        <v>37</v>
      </c>
      <c r="I36" s="44">
        <v>2</v>
      </c>
      <c r="J36" s="45">
        <v>8</v>
      </c>
      <c r="K36" s="45">
        <v>16</v>
      </c>
    </row>
    <row r="37" spans="4:11">
      <c r="D37" s="42">
        <v>46164</v>
      </c>
      <c r="E37" s="43">
        <v>1605367</v>
      </c>
      <c r="F37" s="43" t="s">
        <v>13</v>
      </c>
      <c r="G37" s="44">
        <v>20406253</v>
      </c>
      <c r="H37" s="43" t="s">
        <v>50</v>
      </c>
      <c r="I37" s="44">
        <v>2</v>
      </c>
      <c r="J37" s="45">
        <v>13.5</v>
      </c>
      <c r="K37" s="45">
        <v>27</v>
      </c>
    </row>
    <row r="38" spans="4:11">
      <c r="D38" s="42">
        <v>46164</v>
      </c>
      <c r="E38" s="43">
        <v>1605367</v>
      </c>
      <c r="F38" s="43" t="s">
        <v>13</v>
      </c>
      <c r="G38" s="44">
        <v>20394769</v>
      </c>
      <c r="H38" s="43" t="s">
        <v>67</v>
      </c>
      <c r="I38" s="44">
        <v>1</v>
      </c>
      <c r="J38" s="45">
        <v>8</v>
      </c>
      <c r="K38" s="45">
        <v>8</v>
      </c>
    </row>
    <row r="39" spans="4:11">
      <c r="D39" s="42">
        <v>46164</v>
      </c>
      <c r="E39" s="43">
        <v>1605367</v>
      </c>
      <c r="F39" s="43" t="s">
        <v>13</v>
      </c>
      <c r="G39" s="44">
        <v>20313588</v>
      </c>
      <c r="H39" s="43" t="s">
        <v>30</v>
      </c>
      <c r="I39" s="44">
        <v>4</v>
      </c>
      <c r="J39" s="45">
        <v>8</v>
      </c>
      <c r="K39" s="45">
        <v>32</v>
      </c>
    </row>
    <row r="40" spans="4:11">
      <c r="D40" s="42">
        <v>46164</v>
      </c>
      <c r="E40" s="43">
        <v>1605367</v>
      </c>
      <c r="F40" s="43" t="s">
        <v>13</v>
      </c>
      <c r="G40" s="44">
        <v>20409657</v>
      </c>
      <c r="H40" s="43" t="s">
        <v>72</v>
      </c>
      <c r="I40" s="44">
        <v>1</v>
      </c>
      <c r="J40" s="45">
        <v>16.5</v>
      </c>
      <c r="K40" s="45">
        <v>16.5</v>
      </c>
    </row>
    <row r="41" spans="4:11">
      <c r="D41" s="42">
        <v>46164</v>
      </c>
      <c r="E41" s="43">
        <v>1605367</v>
      </c>
      <c r="F41" s="43" t="s">
        <v>13</v>
      </c>
      <c r="G41" s="44">
        <v>20393917</v>
      </c>
      <c r="H41" s="43" t="s">
        <v>51</v>
      </c>
      <c r="I41" s="44">
        <v>1</v>
      </c>
      <c r="J41" s="45">
        <v>11</v>
      </c>
      <c r="K41" s="45">
        <v>11</v>
      </c>
    </row>
    <row r="42" spans="4:11">
      <c r="D42" s="42">
        <v>46164</v>
      </c>
      <c r="E42" s="43">
        <v>1605367</v>
      </c>
      <c r="F42" s="43" t="s">
        <v>13</v>
      </c>
      <c r="G42" s="44">
        <v>20376620</v>
      </c>
      <c r="H42" s="43" t="s">
        <v>65</v>
      </c>
      <c r="I42" s="44">
        <v>2</v>
      </c>
      <c r="J42" s="45">
        <v>8</v>
      </c>
      <c r="K42" s="45">
        <v>16</v>
      </c>
    </row>
    <row r="43" spans="4:11">
      <c r="D43" s="42">
        <v>46164</v>
      </c>
      <c r="E43" s="43">
        <v>1605367</v>
      </c>
      <c r="F43" s="43" t="s">
        <v>13</v>
      </c>
      <c r="G43" s="44">
        <v>20377357</v>
      </c>
      <c r="H43" s="43" t="s">
        <v>37</v>
      </c>
      <c r="I43" s="44">
        <v>3</v>
      </c>
      <c r="J43" s="45">
        <v>8</v>
      </c>
      <c r="K43" s="45">
        <v>24</v>
      </c>
    </row>
    <row r="44" spans="4:11">
      <c r="D44" s="42">
        <v>46164</v>
      </c>
      <c r="E44" s="43">
        <v>1605499</v>
      </c>
      <c r="F44" s="43" t="s">
        <v>13</v>
      </c>
      <c r="G44" s="44">
        <v>20406253</v>
      </c>
      <c r="H44" s="43" t="s">
        <v>50</v>
      </c>
      <c r="I44" s="44">
        <v>2</v>
      </c>
      <c r="J44" s="45">
        <v>13.5</v>
      </c>
      <c r="K44" s="45">
        <v>27</v>
      </c>
    </row>
    <row r="45" spans="4:11">
      <c r="D45" s="42">
        <v>46164</v>
      </c>
      <c r="E45" s="43">
        <v>1605499</v>
      </c>
      <c r="F45" s="43" t="s">
        <v>13</v>
      </c>
      <c r="G45" s="44">
        <v>20313588</v>
      </c>
      <c r="H45" s="43" t="s">
        <v>30</v>
      </c>
      <c r="I45" s="44">
        <v>2</v>
      </c>
      <c r="J45" s="45">
        <v>8</v>
      </c>
      <c r="K45" s="45">
        <v>16</v>
      </c>
    </row>
    <row r="46" spans="4:11">
      <c r="D46" s="42">
        <v>46164</v>
      </c>
      <c r="E46" s="43">
        <v>1605499</v>
      </c>
      <c r="F46" s="43" t="s">
        <v>13</v>
      </c>
      <c r="G46" s="44">
        <v>20377357</v>
      </c>
      <c r="H46" s="43" t="s">
        <v>37</v>
      </c>
      <c r="I46" s="44">
        <v>1</v>
      </c>
      <c r="J46" s="45">
        <v>8</v>
      </c>
      <c r="K46" s="45">
        <v>8</v>
      </c>
    </row>
    <row r="47" spans="4:11">
      <c r="D47" s="42">
        <v>46165</v>
      </c>
      <c r="E47" s="43">
        <v>1605732</v>
      </c>
      <c r="F47" s="43" t="s">
        <v>13</v>
      </c>
      <c r="G47" s="44">
        <v>20376624</v>
      </c>
      <c r="H47" s="43" t="s">
        <v>33</v>
      </c>
      <c r="I47" s="44">
        <v>1</v>
      </c>
      <c r="J47" s="45">
        <v>8</v>
      </c>
      <c r="K47" s="45">
        <v>8</v>
      </c>
    </row>
    <row r="48" spans="4:11">
      <c r="D48" s="42">
        <v>46165</v>
      </c>
      <c r="E48" s="43">
        <v>1605732</v>
      </c>
      <c r="F48" s="43" t="s">
        <v>13</v>
      </c>
      <c r="G48" s="44">
        <v>20406253</v>
      </c>
      <c r="H48" s="43" t="s">
        <v>50</v>
      </c>
      <c r="I48" s="44">
        <v>3</v>
      </c>
      <c r="J48" s="45">
        <v>13.5</v>
      </c>
      <c r="K48" s="45">
        <v>40.5</v>
      </c>
    </row>
    <row r="49" spans="4:11">
      <c r="D49" s="42">
        <v>46165</v>
      </c>
      <c r="E49" s="43">
        <v>1605732</v>
      </c>
      <c r="F49" s="43" t="s">
        <v>13</v>
      </c>
      <c r="G49" s="44">
        <v>20313588</v>
      </c>
      <c r="H49" s="43" t="s">
        <v>30</v>
      </c>
      <c r="I49" s="44">
        <v>3</v>
      </c>
      <c r="J49" s="45">
        <v>8</v>
      </c>
      <c r="K49" s="45">
        <v>24</v>
      </c>
    </row>
    <row r="50" spans="4:11">
      <c r="D50" s="42">
        <v>46165</v>
      </c>
      <c r="E50" s="43">
        <v>1605732</v>
      </c>
      <c r="F50" s="43" t="s">
        <v>13</v>
      </c>
      <c r="G50" s="44">
        <v>20377357</v>
      </c>
      <c r="H50" s="43" t="s">
        <v>37</v>
      </c>
      <c r="I50" s="44">
        <v>2</v>
      </c>
      <c r="J50" s="45">
        <v>8</v>
      </c>
      <c r="K50" s="45">
        <v>16</v>
      </c>
    </row>
    <row r="51" spans="4:11">
      <c r="D51" s="42">
        <v>46168</v>
      </c>
      <c r="E51" s="43">
        <v>1606377</v>
      </c>
      <c r="F51" s="43" t="s">
        <v>13</v>
      </c>
      <c r="G51" s="44">
        <v>20406253</v>
      </c>
      <c r="H51" s="43" t="s">
        <v>50</v>
      </c>
      <c r="I51" s="44">
        <v>2</v>
      </c>
      <c r="J51" s="45">
        <v>13.5</v>
      </c>
      <c r="K51" s="45">
        <v>27</v>
      </c>
    </row>
    <row r="52" spans="4:11">
      <c r="D52" s="42">
        <v>46168</v>
      </c>
      <c r="E52" s="43">
        <v>1606377</v>
      </c>
      <c r="F52" s="43" t="s">
        <v>13</v>
      </c>
      <c r="G52" s="44">
        <v>20313588</v>
      </c>
      <c r="H52" s="43" t="s">
        <v>30</v>
      </c>
      <c r="I52" s="44">
        <v>6</v>
      </c>
      <c r="J52" s="45">
        <v>8</v>
      </c>
      <c r="K52" s="45">
        <v>48</v>
      </c>
    </row>
    <row r="53" spans="4:11">
      <c r="D53" s="42">
        <v>46168</v>
      </c>
      <c r="E53" s="43">
        <v>1606377</v>
      </c>
      <c r="F53" s="43" t="s">
        <v>13</v>
      </c>
      <c r="G53" s="44">
        <v>20409657</v>
      </c>
      <c r="H53" s="43" t="s">
        <v>72</v>
      </c>
      <c r="I53" s="44">
        <v>1</v>
      </c>
      <c r="J53" s="45">
        <v>16.5</v>
      </c>
      <c r="K53" s="45">
        <v>16.5</v>
      </c>
    </row>
    <row r="54" spans="4:11">
      <c r="D54" s="42">
        <v>46168</v>
      </c>
      <c r="E54" s="43">
        <v>1606377</v>
      </c>
      <c r="F54" s="43" t="s">
        <v>13</v>
      </c>
      <c r="G54" s="44">
        <v>20395495</v>
      </c>
      <c r="H54" s="43" t="s">
        <v>36</v>
      </c>
      <c r="I54" s="44">
        <v>1</v>
      </c>
      <c r="J54" s="45">
        <v>13.5</v>
      </c>
      <c r="K54" s="45">
        <v>13.5</v>
      </c>
    </row>
    <row r="55" spans="4:11">
      <c r="D55" s="42">
        <v>46168</v>
      </c>
      <c r="E55" s="43">
        <v>1606377</v>
      </c>
      <c r="F55" s="43" t="s">
        <v>13</v>
      </c>
      <c r="G55" s="44">
        <v>20376620</v>
      </c>
      <c r="H55" s="43" t="s">
        <v>65</v>
      </c>
      <c r="I55" s="44">
        <v>1</v>
      </c>
      <c r="J55" s="45">
        <v>8</v>
      </c>
      <c r="K55" s="45">
        <v>8</v>
      </c>
    </row>
    <row r="56" spans="4:11">
      <c r="D56" s="42">
        <v>46168</v>
      </c>
      <c r="E56" s="43">
        <v>1606377</v>
      </c>
      <c r="F56" s="43" t="s">
        <v>13</v>
      </c>
      <c r="G56" s="44">
        <v>20377357</v>
      </c>
      <c r="H56" s="43" t="s">
        <v>37</v>
      </c>
      <c r="I56" s="44">
        <v>2</v>
      </c>
      <c r="J56" s="45">
        <v>8</v>
      </c>
      <c r="K56" s="45">
        <v>16</v>
      </c>
    </row>
    <row r="57" spans="4:11">
      <c r="D57" s="42">
        <v>46169</v>
      </c>
      <c r="E57" s="43">
        <v>1606698</v>
      </c>
      <c r="F57" s="43" t="s">
        <v>13</v>
      </c>
      <c r="G57" s="44">
        <v>20376624</v>
      </c>
      <c r="H57" s="43" t="s">
        <v>33</v>
      </c>
      <c r="I57" s="44">
        <v>1</v>
      </c>
      <c r="J57" s="45">
        <v>8</v>
      </c>
      <c r="K57" s="45">
        <v>8</v>
      </c>
    </row>
    <row r="58" spans="4:11">
      <c r="D58" s="42">
        <v>46169</v>
      </c>
      <c r="E58" s="43">
        <v>1606698</v>
      </c>
      <c r="F58" s="43" t="s">
        <v>13</v>
      </c>
      <c r="G58" s="44">
        <v>20406253</v>
      </c>
      <c r="H58" s="43" t="s">
        <v>50</v>
      </c>
      <c r="I58" s="44">
        <v>2</v>
      </c>
      <c r="J58" s="45">
        <v>13.5</v>
      </c>
      <c r="K58" s="45">
        <v>27</v>
      </c>
    </row>
    <row r="59" spans="4:11">
      <c r="D59" s="42">
        <v>46169</v>
      </c>
      <c r="E59" s="43">
        <v>1606698</v>
      </c>
      <c r="F59" s="43" t="s">
        <v>13</v>
      </c>
      <c r="G59" s="44">
        <v>20313588</v>
      </c>
      <c r="H59" s="43" t="s">
        <v>30</v>
      </c>
      <c r="I59" s="44">
        <v>7</v>
      </c>
      <c r="J59" s="45">
        <v>8</v>
      </c>
      <c r="K59" s="45">
        <v>56</v>
      </c>
    </row>
    <row r="60" spans="4:11">
      <c r="D60" s="42">
        <v>46169</v>
      </c>
      <c r="E60" s="43">
        <v>1606698</v>
      </c>
      <c r="F60" s="43" t="s">
        <v>13</v>
      </c>
      <c r="G60" s="44">
        <v>20409657</v>
      </c>
      <c r="H60" s="43" t="s">
        <v>72</v>
      </c>
      <c r="I60" s="44">
        <v>1</v>
      </c>
      <c r="J60" s="45">
        <v>16.5</v>
      </c>
      <c r="K60" s="45">
        <v>16.5</v>
      </c>
    </row>
    <row r="61" spans="4:11">
      <c r="D61" s="42">
        <v>46169</v>
      </c>
      <c r="E61" s="43">
        <v>1606698</v>
      </c>
      <c r="F61" s="43" t="s">
        <v>13</v>
      </c>
      <c r="G61" s="44">
        <v>20376620</v>
      </c>
      <c r="H61" s="43" t="s">
        <v>65</v>
      </c>
      <c r="I61" s="44">
        <v>1</v>
      </c>
      <c r="J61" s="45">
        <v>8</v>
      </c>
      <c r="K61" s="45">
        <v>8</v>
      </c>
    </row>
    <row r="62" spans="4:11">
      <c r="D62" s="42">
        <v>46169</v>
      </c>
      <c r="E62" s="43">
        <v>1606698</v>
      </c>
      <c r="F62" s="43" t="s">
        <v>13</v>
      </c>
      <c r="G62" s="44">
        <v>20377357</v>
      </c>
      <c r="H62" s="43" t="s">
        <v>37</v>
      </c>
      <c r="I62" s="44">
        <v>3</v>
      </c>
      <c r="J62" s="45">
        <v>8</v>
      </c>
      <c r="K62" s="45">
        <v>24</v>
      </c>
    </row>
    <row r="63" spans="4:11">
      <c r="D63" s="42">
        <v>46170</v>
      </c>
      <c r="E63" s="43">
        <v>1607010</v>
      </c>
      <c r="F63" s="43" t="s">
        <v>13</v>
      </c>
      <c r="G63" s="44">
        <v>20406253</v>
      </c>
      <c r="H63" s="43" t="s">
        <v>50</v>
      </c>
      <c r="I63" s="44">
        <v>2</v>
      </c>
      <c r="J63" s="45">
        <v>13.5</v>
      </c>
      <c r="K63" s="45">
        <v>27</v>
      </c>
    </row>
    <row r="64" spans="4:11">
      <c r="D64" s="42">
        <v>46170</v>
      </c>
      <c r="E64" s="43">
        <v>1607010</v>
      </c>
      <c r="F64" s="43" t="s">
        <v>13</v>
      </c>
      <c r="G64" s="44">
        <v>20313588</v>
      </c>
      <c r="H64" s="43" t="s">
        <v>30</v>
      </c>
      <c r="I64" s="44">
        <v>5</v>
      </c>
      <c r="J64" s="45">
        <v>8</v>
      </c>
      <c r="K64" s="45">
        <v>40</v>
      </c>
    </row>
    <row r="65" spans="4:11">
      <c r="D65" s="42">
        <v>46170</v>
      </c>
      <c r="E65" s="43">
        <v>1607010</v>
      </c>
      <c r="F65" s="43" t="s">
        <v>13</v>
      </c>
      <c r="G65" s="44">
        <v>20377357</v>
      </c>
      <c r="H65" s="43" t="s">
        <v>37</v>
      </c>
      <c r="I65" s="44">
        <v>3</v>
      </c>
      <c r="J65" s="45">
        <v>8</v>
      </c>
      <c r="K65" s="45">
        <v>24</v>
      </c>
    </row>
    <row r="66" spans="4:11">
      <c r="D66" s="42">
        <v>46171</v>
      </c>
      <c r="E66" s="43">
        <v>1607415</v>
      </c>
      <c r="F66" s="43" t="s">
        <v>13</v>
      </c>
      <c r="G66" s="44">
        <v>20406253</v>
      </c>
      <c r="H66" s="43" t="s">
        <v>50</v>
      </c>
      <c r="I66" s="44">
        <v>2</v>
      </c>
      <c r="J66" s="45">
        <v>13.5</v>
      </c>
      <c r="K66" s="45">
        <v>27</v>
      </c>
    </row>
    <row r="67" spans="4:11">
      <c r="D67" s="42">
        <v>46171</v>
      </c>
      <c r="E67" s="43">
        <v>1607415</v>
      </c>
      <c r="F67" s="43" t="s">
        <v>13</v>
      </c>
      <c r="G67" s="44">
        <v>20313588</v>
      </c>
      <c r="H67" s="43" t="s">
        <v>30</v>
      </c>
      <c r="I67" s="44">
        <v>6</v>
      </c>
      <c r="J67" s="45">
        <v>8</v>
      </c>
      <c r="K67" s="45">
        <v>48</v>
      </c>
    </row>
    <row r="68" spans="4:11">
      <c r="D68" s="42">
        <v>46171</v>
      </c>
      <c r="E68" s="43">
        <v>1607415</v>
      </c>
      <c r="F68" s="43" t="s">
        <v>13</v>
      </c>
      <c r="G68" s="44">
        <v>20409657</v>
      </c>
      <c r="H68" s="43" t="s">
        <v>72</v>
      </c>
      <c r="I68" s="44">
        <v>1</v>
      </c>
      <c r="J68" s="45">
        <v>16.5</v>
      </c>
      <c r="K68" s="45">
        <v>16.5</v>
      </c>
    </row>
    <row r="69" spans="4:11">
      <c r="D69" s="42">
        <v>46171</v>
      </c>
      <c r="E69" s="43">
        <v>1607415</v>
      </c>
      <c r="F69" s="43" t="s">
        <v>13</v>
      </c>
      <c r="G69" s="44">
        <v>20393917</v>
      </c>
      <c r="H69" s="43" t="s">
        <v>51</v>
      </c>
      <c r="I69" s="44">
        <v>2</v>
      </c>
      <c r="J69" s="45">
        <v>11</v>
      </c>
      <c r="K69" s="45">
        <v>22</v>
      </c>
    </row>
    <row r="70" spans="4:11">
      <c r="D70" s="42">
        <v>46171</v>
      </c>
      <c r="E70" s="43">
        <v>1607415</v>
      </c>
      <c r="F70" s="43" t="s">
        <v>13</v>
      </c>
      <c r="G70" s="44">
        <v>20376620</v>
      </c>
      <c r="H70" s="43" t="s">
        <v>65</v>
      </c>
      <c r="I70" s="44">
        <v>2</v>
      </c>
      <c r="J70" s="45">
        <v>8</v>
      </c>
      <c r="K70" s="45">
        <v>16</v>
      </c>
    </row>
    <row r="71" spans="4:11">
      <c r="D71" s="42">
        <v>46171</v>
      </c>
      <c r="E71" s="43">
        <v>1607415</v>
      </c>
      <c r="F71" s="43" t="s">
        <v>13</v>
      </c>
      <c r="G71" s="44">
        <v>20377357</v>
      </c>
      <c r="H71" s="43" t="s">
        <v>37</v>
      </c>
      <c r="I71" s="44">
        <v>2</v>
      </c>
      <c r="J71" s="45">
        <v>8</v>
      </c>
      <c r="K71" s="45">
        <v>16</v>
      </c>
    </row>
    <row r="72" spans="4:11">
      <c r="D72" s="42">
        <v>46171</v>
      </c>
      <c r="E72" s="43">
        <v>1607533</v>
      </c>
      <c r="F72" s="43" t="s">
        <v>13</v>
      </c>
      <c r="G72" s="44">
        <v>20313588</v>
      </c>
      <c r="H72" s="43" t="s">
        <v>30</v>
      </c>
      <c r="I72" s="44">
        <v>2</v>
      </c>
      <c r="J72" s="45">
        <v>8</v>
      </c>
      <c r="K72" s="45">
        <v>16</v>
      </c>
    </row>
    <row r="73" spans="4:11">
      <c r="D73" s="42">
        <v>46171</v>
      </c>
      <c r="E73" s="43">
        <v>1607533</v>
      </c>
      <c r="F73" s="43" t="s">
        <v>13</v>
      </c>
      <c r="G73" s="44">
        <v>20376620</v>
      </c>
      <c r="H73" s="43" t="s">
        <v>65</v>
      </c>
      <c r="I73" s="44">
        <v>2</v>
      </c>
      <c r="J73" s="45">
        <v>8</v>
      </c>
      <c r="K73" s="45">
        <v>16</v>
      </c>
    </row>
    <row r="74" spans="4:11">
      <c r="D74" s="42">
        <v>46171</v>
      </c>
      <c r="E74" s="43">
        <v>1607533</v>
      </c>
      <c r="F74" s="43" t="s">
        <v>13</v>
      </c>
      <c r="G74" s="44">
        <v>20377357</v>
      </c>
      <c r="H74" s="43" t="s">
        <v>37</v>
      </c>
      <c r="I74" s="44">
        <v>2</v>
      </c>
      <c r="J74" s="45">
        <v>8</v>
      </c>
      <c r="K74" s="45">
        <v>16</v>
      </c>
    </row>
    <row r="75" spans="4:11">
      <c r="D75" s="42">
        <v>46172</v>
      </c>
      <c r="E75" s="43">
        <v>1607772</v>
      </c>
      <c r="F75" s="43" t="s">
        <v>13</v>
      </c>
      <c r="G75" s="44">
        <v>20406253</v>
      </c>
      <c r="H75" s="43" t="s">
        <v>50</v>
      </c>
      <c r="I75" s="44">
        <v>3</v>
      </c>
      <c r="J75" s="45">
        <v>13.5</v>
      </c>
      <c r="K75" s="45">
        <v>40.5</v>
      </c>
    </row>
    <row r="76" spans="4:11">
      <c r="D76" s="42">
        <v>46172</v>
      </c>
      <c r="E76" s="43">
        <v>1607772</v>
      </c>
      <c r="F76" s="43" t="s">
        <v>13</v>
      </c>
      <c r="G76" s="44">
        <v>20313588</v>
      </c>
      <c r="H76" s="43" t="s">
        <v>30</v>
      </c>
      <c r="I76" s="44">
        <v>6</v>
      </c>
      <c r="J76" s="45">
        <v>8</v>
      </c>
      <c r="K76" s="45">
        <v>48</v>
      </c>
    </row>
    <row r="77" spans="4:11">
      <c r="D77" s="42">
        <v>46172</v>
      </c>
      <c r="E77" s="43">
        <v>1607772</v>
      </c>
      <c r="F77" s="43" t="s">
        <v>13</v>
      </c>
      <c r="G77" s="44">
        <v>20377357</v>
      </c>
      <c r="H77" s="43" t="s">
        <v>37</v>
      </c>
      <c r="I77" s="44">
        <v>1</v>
      </c>
      <c r="J77" s="45">
        <v>8</v>
      </c>
      <c r="K77" s="45">
        <v>8</v>
      </c>
    </row>
    <row r="78" spans="4:11">
      <c r="D78" s="42">
        <v>46175</v>
      </c>
      <c r="E78" s="43">
        <v>1608453</v>
      </c>
      <c r="F78" s="43" t="s">
        <v>13</v>
      </c>
      <c r="G78" s="44">
        <v>20406253</v>
      </c>
      <c r="H78" s="43" t="s">
        <v>50</v>
      </c>
      <c r="I78" s="44">
        <v>1</v>
      </c>
      <c r="J78" s="45">
        <v>13.5</v>
      </c>
      <c r="K78" s="45">
        <v>13.5</v>
      </c>
    </row>
    <row r="79" spans="4:11">
      <c r="D79" s="42">
        <v>46175</v>
      </c>
      <c r="E79" s="43">
        <v>1608453</v>
      </c>
      <c r="F79" s="43" t="s">
        <v>13</v>
      </c>
      <c r="G79" s="44">
        <v>20313588</v>
      </c>
      <c r="H79" s="43" t="s">
        <v>30</v>
      </c>
      <c r="I79" s="44">
        <v>1</v>
      </c>
      <c r="J79" s="45">
        <v>8</v>
      </c>
      <c r="K79" s="45">
        <v>8</v>
      </c>
    </row>
    <row r="80" spans="4:11">
      <c r="D80" s="42">
        <v>46175</v>
      </c>
      <c r="E80" s="43">
        <v>1608453</v>
      </c>
      <c r="F80" s="43" t="s">
        <v>13</v>
      </c>
      <c r="G80" s="44">
        <v>20397287</v>
      </c>
      <c r="H80" s="43" t="s">
        <v>43</v>
      </c>
      <c r="I80" s="44">
        <v>1</v>
      </c>
      <c r="J80" s="45">
        <v>13.5</v>
      </c>
      <c r="K80" s="45">
        <v>13.5</v>
      </c>
    </row>
    <row r="81" spans="4:11">
      <c r="D81" s="42">
        <v>46175</v>
      </c>
      <c r="E81" s="43">
        <v>1608453</v>
      </c>
      <c r="F81" s="43" t="s">
        <v>13</v>
      </c>
      <c r="G81" s="44">
        <v>20377357</v>
      </c>
      <c r="H81" s="43" t="s">
        <v>37</v>
      </c>
      <c r="I81" s="44">
        <v>2</v>
      </c>
      <c r="J81" s="45">
        <v>8</v>
      </c>
      <c r="K81" s="45">
        <v>16</v>
      </c>
    </row>
    <row r="82" spans="4:11">
      <c r="D82" s="42">
        <v>46176</v>
      </c>
      <c r="E82" s="43">
        <v>1608685</v>
      </c>
      <c r="F82" s="43" t="s">
        <v>13</v>
      </c>
      <c r="G82" s="44">
        <v>20406253</v>
      </c>
      <c r="H82" s="43" t="s">
        <v>50</v>
      </c>
      <c r="I82" s="44">
        <v>3</v>
      </c>
      <c r="J82" s="45">
        <v>13.5</v>
      </c>
      <c r="K82" s="45">
        <v>40.5</v>
      </c>
    </row>
    <row r="83" spans="4:11">
      <c r="D83" s="42">
        <v>46176</v>
      </c>
      <c r="E83" s="43">
        <v>1608685</v>
      </c>
      <c r="F83" s="43" t="s">
        <v>13</v>
      </c>
      <c r="G83" s="44">
        <v>20313588</v>
      </c>
      <c r="H83" s="43" t="s">
        <v>30</v>
      </c>
      <c r="I83" s="44">
        <v>5</v>
      </c>
      <c r="J83" s="45">
        <v>8</v>
      </c>
      <c r="K83" s="45">
        <v>40</v>
      </c>
    </row>
    <row r="84" spans="4:11">
      <c r="D84" s="42">
        <v>46176</v>
      </c>
      <c r="E84" s="43">
        <v>1608685</v>
      </c>
      <c r="F84" s="43" t="s">
        <v>13</v>
      </c>
      <c r="G84" s="44">
        <v>20376863</v>
      </c>
      <c r="H84" s="43" t="s">
        <v>73</v>
      </c>
      <c r="I84" s="44">
        <v>1</v>
      </c>
      <c r="J84" s="45">
        <v>13.5</v>
      </c>
      <c r="K84" s="45">
        <v>13.5</v>
      </c>
    </row>
    <row r="85" spans="4:11">
      <c r="D85" s="42">
        <v>46176</v>
      </c>
      <c r="E85" s="43">
        <v>1608685</v>
      </c>
      <c r="F85" s="43" t="s">
        <v>13</v>
      </c>
      <c r="G85" s="44">
        <v>20397287</v>
      </c>
      <c r="H85" s="43" t="s">
        <v>43</v>
      </c>
      <c r="I85" s="44">
        <v>1</v>
      </c>
      <c r="J85" s="45">
        <v>13.5</v>
      </c>
      <c r="K85" s="45">
        <v>13.5</v>
      </c>
    </row>
    <row r="86" spans="4:11">
      <c r="D86" s="42">
        <v>46176</v>
      </c>
      <c r="E86" s="43">
        <v>1608685</v>
      </c>
      <c r="F86" s="43" t="s">
        <v>13</v>
      </c>
      <c r="G86" s="44">
        <v>20377357</v>
      </c>
      <c r="H86" s="43" t="s">
        <v>37</v>
      </c>
      <c r="I86" s="44">
        <v>2</v>
      </c>
      <c r="J86" s="45">
        <v>8</v>
      </c>
      <c r="K86" s="45">
        <v>16</v>
      </c>
    </row>
    <row r="87" spans="4:11">
      <c r="D87" s="42">
        <v>46176</v>
      </c>
      <c r="E87" s="43">
        <v>1608817</v>
      </c>
      <c r="F87" s="43" t="s">
        <v>13</v>
      </c>
      <c r="G87" s="44">
        <v>20406253</v>
      </c>
      <c r="H87" s="43" t="s">
        <v>50</v>
      </c>
      <c r="I87" s="44">
        <v>1</v>
      </c>
      <c r="J87" s="45">
        <v>13.5</v>
      </c>
      <c r="K87" s="45">
        <v>13.5</v>
      </c>
    </row>
    <row r="88" spans="4:11">
      <c r="D88" s="42">
        <v>46176</v>
      </c>
      <c r="E88" s="43">
        <v>1608817</v>
      </c>
      <c r="F88" s="43" t="s">
        <v>13</v>
      </c>
      <c r="G88" s="44">
        <v>20313588</v>
      </c>
      <c r="H88" s="43" t="s">
        <v>30</v>
      </c>
      <c r="I88" s="44">
        <v>2</v>
      </c>
      <c r="J88" s="45">
        <v>8</v>
      </c>
      <c r="K88" s="45">
        <v>16</v>
      </c>
    </row>
    <row r="89" spans="4:11">
      <c r="D89" s="42">
        <v>46176</v>
      </c>
      <c r="E89" s="43">
        <v>1608817</v>
      </c>
      <c r="F89" s="43" t="s">
        <v>13</v>
      </c>
      <c r="G89" s="44">
        <v>20376621</v>
      </c>
      <c r="H89" s="43" t="s">
        <v>65</v>
      </c>
      <c r="I89" s="44">
        <v>1</v>
      </c>
      <c r="J89" s="45">
        <v>8</v>
      </c>
      <c r="K89" s="45">
        <v>8</v>
      </c>
    </row>
    <row r="90" spans="4:11">
      <c r="D90" s="42">
        <v>46176</v>
      </c>
      <c r="E90" s="43">
        <v>1608817</v>
      </c>
      <c r="F90" s="43" t="s">
        <v>13</v>
      </c>
      <c r="G90" s="44">
        <v>20377357</v>
      </c>
      <c r="H90" s="43" t="s">
        <v>37</v>
      </c>
      <c r="I90" s="44">
        <v>1</v>
      </c>
      <c r="J90" s="45">
        <v>8</v>
      </c>
      <c r="K90" s="45">
        <v>8</v>
      </c>
    </row>
    <row r="91" spans="4:11">
      <c r="D91" s="42">
        <v>46177</v>
      </c>
      <c r="E91" s="43">
        <v>1609093</v>
      </c>
      <c r="F91" s="43" t="s">
        <v>13</v>
      </c>
      <c r="G91" s="44">
        <v>20406253</v>
      </c>
      <c r="H91" s="43" t="s">
        <v>50</v>
      </c>
      <c r="I91" s="44">
        <v>2</v>
      </c>
      <c r="J91" s="45">
        <v>13.5</v>
      </c>
      <c r="K91" s="45">
        <v>27</v>
      </c>
    </row>
    <row r="92" spans="4:11">
      <c r="D92" s="42">
        <v>46177</v>
      </c>
      <c r="E92" s="43">
        <v>1609093</v>
      </c>
      <c r="F92" s="43" t="s">
        <v>13</v>
      </c>
      <c r="G92" s="44">
        <v>20313588</v>
      </c>
      <c r="H92" s="43" t="s">
        <v>30</v>
      </c>
      <c r="I92" s="44">
        <v>4</v>
      </c>
      <c r="J92" s="45">
        <v>8</v>
      </c>
      <c r="K92" s="45">
        <v>32</v>
      </c>
    </row>
    <row r="93" spans="4:11">
      <c r="D93" s="42">
        <v>46177</v>
      </c>
      <c r="E93" s="43">
        <v>1609093</v>
      </c>
      <c r="F93" s="43" t="s">
        <v>13</v>
      </c>
      <c r="G93" s="44">
        <v>20376863</v>
      </c>
      <c r="H93" s="43" t="s">
        <v>73</v>
      </c>
      <c r="I93" s="44">
        <v>1</v>
      </c>
      <c r="J93" s="45">
        <v>13.5</v>
      </c>
      <c r="K93" s="45">
        <v>13.5</v>
      </c>
    </row>
    <row r="94" spans="4:11">
      <c r="D94" s="42">
        <v>46177</v>
      </c>
      <c r="E94" s="43">
        <v>1609093</v>
      </c>
      <c r="F94" s="43" t="s">
        <v>13</v>
      </c>
      <c r="G94" s="44">
        <v>20393917</v>
      </c>
      <c r="H94" s="43" t="s">
        <v>51</v>
      </c>
      <c r="I94" s="44">
        <v>1</v>
      </c>
      <c r="J94" s="45">
        <v>11</v>
      </c>
      <c r="K94" s="45">
        <v>11</v>
      </c>
    </row>
    <row r="95" spans="4:11">
      <c r="D95" s="42">
        <v>46177</v>
      </c>
      <c r="E95" s="43">
        <v>1609093</v>
      </c>
      <c r="F95" s="43" t="s">
        <v>13</v>
      </c>
      <c r="G95" s="44">
        <v>20376621</v>
      </c>
      <c r="H95" s="43" t="s">
        <v>65</v>
      </c>
      <c r="I95" s="44">
        <v>1</v>
      </c>
      <c r="J95" s="45">
        <v>8</v>
      </c>
      <c r="K95" s="45">
        <v>8</v>
      </c>
    </row>
    <row r="96" spans="4:11">
      <c r="D96" s="42">
        <v>46177</v>
      </c>
      <c r="E96" s="43">
        <v>1609093</v>
      </c>
      <c r="F96" s="43" t="s">
        <v>13</v>
      </c>
      <c r="G96" s="44">
        <v>20377357</v>
      </c>
      <c r="H96" s="43" t="s">
        <v>37</v>
      </c>
      <c r="I96" s="44">
        <v>1</v>
      </c>
      <c r="J96" s="45">
        <v>8</v>
      </c>
      <c r="K96" s="45">
        <v>8</v>
      </c>
    </row>
    <row r="97" spans="4:11">
      <c r="D97" s="42">
        <v>46177</v>
      </c>
      <c r="E97" s="43">
        <v>1609197</v>
      </c>
      <c r="F97" s="43" t="s">
        <v>13</v>
      </c>
      <c r="G97" s="44">
        <v>20406253</v>
      </c>
      <c r="H97" s="43" t="s">
        <v>50</v>
      </c>
      <c r="I97" s="44">
        <v>1</v>
      </c>
      <c r="J97" s="45">
        <v>13.5</v>
      </c>
      <c r="K97" s="45">
        <v>13.5</v>
      </c>
    </row>
    <row r="98" spans="4:11">
      <c r="D98" s="42">
        <v>46177</v>
      </c>
      <c r="E98" s="43">
        <v>1609197</v>
      </c>
      <c r="F98" s="43" t="s">
        <v>13</v>
      </c>
      <c r="G98" s="44">
        <v>20313588</v>
      </c>
      <c r="H98" s="43" t="s">
        <v>30</v>
      </c>
      <c r="I98" s="44">
        <v>4</v>
      </c>
      <c r="J98" s="45">
        <v>8</v>
      </c>
      <c r="K98" s="45">
        <v>32</v>
      </c>
    </row>
    <row r="99" spans="4:11">
      <c r="D99" s="42">
        <v>46177</v>
      </c>
      <c r="E99" s="43">
        <v>1609197</v>
      </c>
      <c r="F99" s="43" t="s">
        <v>13</v>
      </c>
      <c r="G99" s="44">
        <v>20377357</v>
      </c>
      <c r="H99" s="43" t="s">
        <v>37</v>
      </c>
      <c r="I99" s="44">
        <v>4</v>
      </c>
      <c r="J99" s="45">
        <v>8</v>
      </c>
      <c r="K99" s="45">
        <v>32</v>
      </c>
    </row>
    <row r="100" spans="4:11">
      <c r="D100" s="42">
        <v>46178</v>
      </c>
      <c r="E100" s="43">
        <v>1609451</v>
      </c>
      <c r="F100" s="43" t="s">
        <v>13</v>
      </c>
      <c r="G100" s="44">
        <v>20406253</v>
      </c>
      <c r="H100" s="43" t="s">
        <v>50</v>
      </c>
      <c r="I100" s="44">
        <v>3</v>
      </c>
      <c r="J100" s="45">
        <v>13.5</v>
      </c>
      <c r="K100" s="45">
        <v>40.5</v>
      </c>
    </row>
    <row r="101" spans="4:11">
      <c r="D101" s="42">
        <v>46178</v>
      </c>
      <c r="E101" s="43">
        <v>1609451</v>
      </c>
      <c r="F101" s="43" t="s">
        <v>13</v>
      </c>
      <c r="G101" s="44">
        <v>20313588</v>
      </c>
      <c r="H101" s="43" t="s">
        <v>30</v>
      </c>
      <c r="I101" s="44">
        <v>10</v>
      </c>
      <c r="J101" s="45">
        <v>8</v>
      </c>
      <c r="K101" s="45">
        <v>80</v>
      </c>
    </row>
    <row r="102" spans="4:11">
      <c r="D102" s="42">
        <v>46178</v>
      </c>
      <c r="E102" s="43">
        <v>1609451</v>
      </c>
      <c r="F102" s="43" t="s">
        <v>13</v>
      </c>
      <c r="G102" s="44">
        <v>20377357</v>
      </c>
      <c r="H102" s="43" t="s">
        <v>37</v>
      </c>
      <c r="I102" s="44">
        <v>1</v>
      </c>
      <c r="J102" s="45">
        <v>8</v>
      </c>
      <c r="K102" s="45">
        <v>8</v>
      </c>
    </row>
    <row r="103" spans="4:11">
      <c r="D103" s="42">
        <v>46178</v>
      </c>
      <c r="E103" s="43">
        <v>1609583</v>
      </c>
      <c r="F103" s="43" t="s">
        <v>13</v>
      </c>
      <c r="G103" s="44">
        <v>20406253</v>
      </c>
      <c r="H103" s="43" t="s">
        <v>50</v>
      </c>
      <c r="I103" s="44">
        <v>1</v>
      </c>
      <c r="J103" s="45">
        <v>13.5</v>
      </c>
      <c r="K103" s="45">
        <v>13.5</v>
      </c>
    </row>
    <row r="104" spans="4:11">
      <c r="D104" s="42">
        <v>46178</v>
      </c>
      <c r="E104" s="43">
        <v>1609583</v>
      </c>
      <c r="F104" s="43" t="s">
        <v>13</v>
      </c>
      <c r="G104" s="44">
        <v>20313588</v>
      </c>
      <c r="H104" s="43" t="s">
        <v>30</v>
      </c>
      <c r="I104" s="44">
        <v>2</v>
      </c>
      <c r="J104" s="45">
        <v>8</v>
      </c>
      <c r="K104" s="45">
        <v>16</v>
      </c>
    </row>
    <row r="105" spans="4:11">
      <c r="D105" s="42">
        <v>46178</v>
      </c>
      <c r="E105" s="43">
        <v>1609583</v>
      </c>
      <c r="F105" s="43" t="s">
        <v>13</v>
      </c>
      <c r="G105" s="44">
        <v>20377357</v>
      </c>
      <c r="H105" s="43" t="s">
        <v>37</v>
      </c>
      <c r="I105" s="44">
        <v>2</v>
      </c>
      <c r="J105" s="45">
        <v>8</v>
      </c>
      <c r="K105" s="45">
        <v>16</v>
      </c>
    </row>
    <row r="106" spans="4:11">
      <c r="D106" s="42">
        <v>46182</v>
      </c>
      <c r="E106" s="43">
        <v>1610554</v>
      </c>
      <c r="F106" s="43" t="s">
        <v>13</v>
      </c>
      <c r="G106" s="44">
        <v>20406253</v>
      </c>
      <c r="H106" s="43" t="s">
        <v>50</v>
      </c>
      <c r="I106" s="44">
        <v>3</v>
      </c>
      <c r="J106" s="45">
        <v>13.5</v>
      </c>
      <c r="K106" s="45">
        <v>40.5</v>
      </c>
    </row>
    <row r="107" spans="4:11">
      <c r="D107" s="42">
        <v>46182</v>
      </c>
      <c r="E107" s="43">
        <v>1610554</v>
      </c>
      <c r="F107" s="43" t="s">
        <v>13</v>
      </c>
      <c r="G107" s="44">
        <v>20313588</v>
      </c>
      <c r="H107" s="43" t="s">
        <v>30</v>
      </c>
      <c r="I107" s="44">
        <v>11</v>
      </c>
      <c r="J107" s="45">
        <v>8</v>
      </c>
      <c r="K107" s="45">
        <v>88</v>
      </c>
    </row>
    <row r="108" spans="4:11">
      <c r="D108" s="42">
        <v>46182</v>
      </c>
      <c r="E108" s="43">
        <v>1610554</v>
      </c>
      <c r="F108" s="43" t="s">
        <v>13</v>
      </c>
      <c r="G108" s="44">
        <v>20397287</v>
      </c>
      <c r="H108" s="43" t="s">
        <v>43</v>
      </c>
      <c r="I108" s="44">
        <v>2</v>
      </c>
      <c r="J108" s="45">
        <v>13.5</v>
      </c>
      <c r="K108" s="45">
        <v>27</v>
      </c>
    </row>
    <row r="109" spans="4:11">
      <c r="D109" s="42">
        <v>46182</v>
      </c>
      <c r="E109" s="43">
        <v>1610554</v>
      </c>
      <c r="F109" s="43" t="s">
        <v>13</v>
      </c>
      <c r="G109" s="44">
        <v>20409657</v>
      </c>
      <c r="H109" s="43" t="s">
        <v>72</v>
      </c>
      <c r="I109" s="44">
        <v>1</v>
      </c>
      <c r="J109" s="45">
        <v>16.5</v>
      </c>
      <c r="K109" s="45">
        <v>16.5</v>
      </c>
    </row>
    <row r="110" spans="4:11">
      <c r="D110" s="42">
        <v>46182</v>
      </c>
      <c r="E110" s="43">
        <v>1610554</v>
      </c>
      <c r="F110" s="43" t="s">
        <v>13</v>
      </c>
      <c r="G110" s="44">
        <v>20376620</v>
      </c>
      <c r="H110" s="43" t="s">
        <v>65</v>
      </c>
      <c r="I110" s="44">
        <v>2</v>
      </c>
      <c r="J110" s="45">
        <v>8</v>
      </c>
      <c r="K110" s="45">
        <v>16</v>
      </c>
    </row>
    <row r="111" spans="4:11">
      <c r="D111" s="42">
        <v>46182</v>
      </c>
      <c r="E111" s="43">
        <v>1610554</v>
      </c>
      <c r="F111" s="43" t="s">
        <v>13</v>
      </c>
      <c r="G111" s="44">
        <v>20377357</v>
      </c>
      <c r="H111" s="43" t="s">
        <v>37</v>
      </c>
      <c r="I111" s="44">
        <v>2</v>
      </c>
      <c r="J111" s="45">
        <v>8</v>
      </c>
      <c r="K111" s="45">
        <v>16</v>
      </c>
    </row>
    <row r="112" spans="4:11">
      <c r="D112" s="42">
        <v>46182</v>
      </c>
      <c r="E112" s="43">
        <v>1610554</v>
      </c>
      <c r="F112" s="43" t="s">
        <v>13</v>
      </c>
      <c r="G112" s="44">
        <v>20398525</v>
      </c>
      <c r="H112" s="43" t="s">
        <v>49</v>
      </c>
      <c r="I112" s="44">
        <v>1</v>
      </c>
      <c r="J112" s="45">
        <v>11</v>
      </c>
      <c r="K112" s="45">
        <v>11</v>
      </c>
    </row>
    <row r="113" spans="4:11">
      <c r="D113" s="42">
        <v>46184</v>
      </c>
      <c r="E113" s="43">
        <v>1611297</v>
      </c>
      <c r="F113" s="43" t="s">
        <v>13</v>
      </c>
      <c r="G113" s="44">
        <v>20313588</v>
      </c>
      <c r="H113" s="43" t="s">
        <v>30</v>
      </c>
      <c r="I113" s="44">
        <v>2</v>
      </c>
      <c r="J113" s="45">
        <v>8</v>
      </c>
      <c r="K113" s="45">
        <v>16</v>
      </c>
    </row>
    <row r="114" spans="4:11">
      <c r="D114" s="42">
        <v>46184</v>
      </c>
      <c r="E114" s="43">
        <v>1611297</v>
      </c>
      <c r="F114" s="43" t="s">
        <v>13</v>
      </c>
      <c r="G114" s="44">
        <v>20376620</v>
      </c>
      <c r="H114" s="43" t="s">
        <v>65</v>
      </c>
      <c r="I114" s="44">
        <v>1</v>
      </c>
      <c r="J114" s="45">
        <v>8</v>
      </c>
      <c r="K114" s="45">
        <v>8</v>
      </c>
    </row>
    <row r="115" spans="4:11">
      <c r="D115" s="42">
        <v>46184</v>
      </c>
      <c r="E115" s="43">
        <v>1611297</v>
      </c>
      <c r="F115" s="43" t="s">
        <v>13</v>
      </c>
      <c r="G115" s="44">
        <v>20377357</v>
      </c>
      <c r="H115" s="43" t="s">
        <v>37</v>
      </c>
      <c r="I115" s="44">
        <v>1</v>
      </c>
      <c r="J115" s="45">
        <v>8</v>
      </c>
      <c r="K115" s="45">
        <v>8</v>
      </c>
    </row>
    <row r="116" spans="4:11">
      <c r="D116" s="42">
        <v>46184</v>
      </c>
      <c r="E116" s="43">
        <v>1611574</v>
      </c>
      <c r="F116" s="43" t="s">
        <v>13</v>
      </c>
      <c r="G116" s="44">
        <v>20406253</v>
      </c>
      <c r="H116" s="43" t="s">
        <v>50</v>
      </c>
      <c r="I116" s="44">
        <v>2</v>
      </c>
      <c r="J116" s="45">
        <v>13.5</v>
      </c>
      <c r="K116" s="45">
        <v>27</v>
      </c>
    </row>
    <row r="117" spans="4:11">
      <c r="D117" s="42">
        <v>46184</v>
      </c>
      <c r="E117" s="43">
        <v>1611574</v>
      </c>
      <c r="F117" s="43" t="s">
        <v>13</v>
      </c>
      <c r="G117" s="44">
        <v>20313588</v>
      </c>
      <c r="H117" s="43" t="s">
        <v>30</v>
      </c>
      <c r="I117" s="44">
        <v>2</v>
      </c>
      <c r="J117" s="45">
        <v>8</v>
      </c>
      <c r="K117" s="45">
        <v>16</v>
      </c>
    </row>
    <row r="118" spans="4:11">
      <c r="D118" s="42">
        <v>46184</v>
      </c>
      <c r="E118" s="43">
        <v>1611574</v>
      </c>
      <c r="F118" s="43" t="s">
        <v>13</v>
      </c>
      <c r="G118" s="44">
        <v>20395495</v>
      </c>
      <c r="H118" s="43" t="s">
        <v>36</v>
      </c>
      <c r="I118" s="44">
        <v>1</v>
      </c>
      <c r="J118" s="45">
        <v>13.5</v>
      </c>
      <c r="K118" s="45">
        <v>13.5</v>
      </c>
    </row>
    <row r="119" spans="4:11">
      <c r="D119" s="42">
        <v>46184</v>
      </c>
      <c r="E119" s="43">
        <v>1611574</v>
      </c>
      <c r="F119" s="43" t="s">
        <v>13</v>
      </c>
      <c r="G119" s="44">
        <v>20377357</v>
      </c>
      <c r="H119" s="43" t="s">
        <v>37</v>
      </c>
      <c r="I119" s="44">
        <v>1</v>
      </c>
      <c r="J119" s="45">
        <v>8</v>
      </c>
      <c r="K119" s="45">
        <v>8</v>
      </c>
    </row>
    <row r="120" spans="4:11">
      <c r="D120" s="42">
        <v>46185</v>
      </c>
      <c r="E120" s="43">
        <v>1611667</v>
      </c>
      <c r="F120" s="43" t="s">
        <v>13</v>
      </c>
      <c r="G120" s="44">
        <v>20313588</v>
      </c>
      <c r="H120" s="43" t="s">
        <v>30</v>
      </c>
      <c r="I120" s="44">
        <v>4</v>
      </c>
      <c r="J120" s="45">
        <v>8</v>
      </c>
      <c r="K120" s="45">
        <v>32</v>
      </c>
    </row>
    <row r="121" spans="4:11">
      <c r="D121" s="42">
        <v>46185</v>
      </c>
      <c r="E121" s="43">
        <v>1611667</v>
      </c>
      <c r="F121" s="43" t="s">
        <v>13</v>
      </c>
      <c r="G121" s="44">
        <v>20397287</v>
      </c>
      <c r="H121" s="43" t="s">
        <v>43</v>
      </c>
      <c r="I121" s="44">
        <v>1</v>
      </c>
      <c r="J121" s="45">
        <v>13.5</v>
      </c>
      <c r="K121" s="45">
        <v>13.5</v>
      </c>
    </row>
    <row r="122" ht="0.05" customHeight="1"/>
  </sheetData>
  <autoFilter xmlns:etc="http://www.wps.cn/officeDocument/2017/etCustomData" ref="A7:K121" etc:filterBottomFollowUsedRange="0">
    <extLst/>
  </autoFilter>
  <mergeCells count="5">
    <mergeCell ref="D8:H8"/>
    <mergeCell ref="C7:C121"/>
    <mergeCell ref="B4:H5"/>
    <mergeCell ref="A7:B1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74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467</v>
      </c>
      <c r="J8" s="41"/>
      <c r="K8" s="41">
        <v>4113.5</v>
      </c>
    </row>
    <row r="9" spans="1:11">
      <c r="D9" s="42">
        <v>46157</v>
      </c>
      <c r="E9" s="43">
        <v>1603273</v>
      </c>
      <c r="F9" s="43" t="s">
        <v>13</v>
      </c>
      <c r="G9" s="44">
        <v>20376624</v>
      </c>
      <c r="H9" s="43" t="s">
        <v>33</v>
      </c>
      <c r="I9" s="44">
        <v>1</v>
      </c>
      <c r="J9" s="45">
        <v>8</v>
      </c>
      <c r="K9" s="45">
        <v>8</v>
      </c>
    </row>
    <row r="10" spans="1:11">
      <c r="D10" s="42">
        <v>46157</v>
      </c>
      <c r="E10" s="43">
        <v>1603273</v>
      </c>
      <c r="F10" s="43" t="s">
        <v>13</v>
      </c>
      <c r="G10" s="44">
        <v>20406253</v>
      </c>
      <c r="H10" s="43" t="s">
        <v>50</v>
      </c>
      <c r="I10" s="44">
        <v>2</v>
      </c>
      <c r="J10" s="45">
        <v>13.5</v>
      </c>
      <c r="K10" s="45">
        <v>27</v>
      </c>
    </row>
    <row r="11" spans="1:11">
      <c r="D11" s="42">
        <v>46157</v>
      </c>
      <c r="E11" s="43">
        <v>1603273</v>
      </c>
      <c r="F11" s="43" t="s">
        <v>13</v>
      </c>
      <c r="G11" s="44">
        <v>20313588</v>
      </c>
      <c r="H11" s="43" t="s">
        <v>30</v>
      </c>
      <c r="I11" s="44">
        <v>11</v>
      </c>
      <c r="J11" s="45">
        <v>8</v>
      </c>
      <c r="K11" s="45">
        <v>88</v>
      </c>
    </row>
    <row r="12" spans="1:11">
      <c r="D12" s="42">
        <v>46157</v>
      </c>
      <c r="E12" s="43">
        <v>1603273</v>
      </c>
      <c r="F12" s="43" t="s">
        <v>13</v>
      </c>
      <c r="G12" s="44">
        <v>20395986</v>
      </c>
      <c r="H12" s="43" t="s">
        <v>75</v>
      </c>
      <c r="I12" s="44">
        <v>1</v>
      </c>
      <c r="J12" s="45">
        <v>13.5</v>
      </c>
      <c r="K12" s="45">
        <v>13.5</v>
      </c>
    </row>
    <row r="13" spans="1:11">
      <c r="D13" s="42">
        <v>46157</v>
      </c>
      <c r="E13" s="43">
        <v>1603273</v>
      </c>
      <c r="F13" s="43" t="s">
        <v>13</v>
      </c>
      <c r="G13" s="44">
        <v>20376621</v>
      </c>
      <c r="H13" s="43" t="s">
        <v>65</v>
      </c>
      <c r="I13" s="44">
        <v>3</v>
      </c>
      <c r="J13" s="45">
        <v>8</v>
      </c>
      <c r="K13" s="45">
        <v>24</v>
      </c>
    </row>
    <row r="14" spans="1:11">
      <c r="D14" s="42">
        <v>46157</v>
      </c>
      <c r="E14" s="43">
        <v>1603273</v>
      </c>
      <c r="F14" s="43" t="s">
        <v>13</v>
      </c>
      <c r="G14" s="44">
        <v>20377357</v>
      </c>
      <c r="H14" s="43" t="s">
        <v>37</v>
      </c>
      <c r="I14" s="44">
        <v>4</v>
      </c>
      <c r="J14" s="45">
        <v>8</v>
      </c>
      <c r="K14" s="45">
        <v>32</v>
      </c>
    </row>
    <row r="15" spans="1:11">
      <c r="D15" s="42">
        <v>46157</v>
      </c>
      <c r="E15" s="43">
        <v>1603431</v>
      </c>
      <c r="F15" s="43" t="s">
        <v>13</v>
      </c>
      <c r="G15" s="44">
        <v>20406253</v>
      </c>
      <c r="H15" s="43" t="s">
        <v>50</v>
      </c>
      <c r="I15" s="44">
        <v>1</v>
      </c>
      <c r="J15" s="45">
        <v>13.5</v>
      </c>
      <c r="K15" s="45">
        <v>13.5</v>
      </c>
    </row>
    <row r="16" spans="1:11">
      <c r="D16" s="42">
        <v>46157</v>
      </c>
      <c r="E16" s="43">
        <v>1603431</v>
      </c>
      <c r="F16" s="43" t="s">
        <v>13</v>
      </c>
      <c r="G16" s="44">
        <v>20313588</v>
      </c>
      <c r="H16" s="43" t="s">
        <v>30</v>
      </c>
      <c r="I16" s="44">
        <v>8</v>
      </c>
      <c r="J16" s="45">
        <v>8</v>
      </c>
      <c r="K16" s="45">
        <v>64</v>
      </c>
    </row>
    <row r="17" spans="4:11">
      <c r="D17" s="42">
        <v>46157</v>
      </c>
      <c r="E17" s="43">
        <v>1603431</v>
      </c>
      <c r="F17" s="43" t="s">
        <v>13</v>
      </c>
      <c r="G17" s="44">
        <v>20376620</v>
      </c>
      <c r="H17" s="43" t="s">
        <v>65</v>
      </c>
      <c r="I17" s="44">
        <v>1</v>
      </c>
      <c r="J17" s="45">
        <v>8</v>
      </c>
      <c r="K17" s="45">
        <v>8</v>
      </c>
    </row>
    <row r="18" spans="4:11">
      <c r="D18" s="42">
        <v>46157</v>
      </c>
      <c r="E18" s="43">
        <v>1603431</v>
      </c>
      <c r="F18" s="43" t="s">
        <v>13</v>
      </c>
      <c r="G18" s="44">
        <v>20377357</v>
      </c>
      <c r="H18" s="43" t="s">
        <v>37</v>
      </c>
      <c r="I18" s="44">
        <v>4</v>
      </c>
      <c r="J18" s="45">
        <v>8</v>
      </c>
      <c r="K18" s="45">
        <v>32</v>
      </c>
    </row>
    <row r="19" spans="4:11">
      <c r="D19" s="42">
        <v>46158</v>
      </c>
      <c r="E19" s="43">
        <v>1603665</v>
      </c>
      <c r="F19" s="43" t="s">
        <v>13</v>
      </c>
      <c r="G19" s="44">
        <v>20406253</v>
      </c>
      <c r="H19" s="43" t="s">
        <v>50</v>
      </c>
      <c r="I19" s="44">
        <v>2</v>
      </c>
      <c r="J19" s="45">
        <v>13.5</v>
      </c>
      <c r="K19" s="45">
        <v>27</v>
      </c>
    </row>
    <row r="20" spans="4:11">
      <c r="D20" s="42">
        <v>46158</v>
      </c>
      <c r="E20" s="43">
        <v>1603665</v>
      </c>
      <c r="F20" s="43" t="s">
        <v>13</v>
      </c>
      <c r="G20" s="44">
        <v>20313588</v>
      </c>
      <c r="H20" s="43" t="s">
        <v>30</v>
      </c>
      <c r="I20" s="44">
        <v>6</v>
      </c>
      <c r="J20" s="45">
        <v>8</v>
      </c>
      <c r="K20" s="45">
        <v>48</v>
      </c>
    </row>
    <row r="21" spans="4:11">
      <c r="D21" s="42">
        <v>46158</v>
      </c>
      <c r="E21" s="43">
        <v>1603665</v>
      </c>
      <c r="F21" s="43" t="s">
        <v>13</v>
      </c>
      <c r="G21" s="44">
        <v>20376620</v>
      </c>
      <c r="H21" s="43" t="s">
        <v>65</v>
      </c>
      <c r="I21" s="44">
        <v>2</v>
      </c>
      <c r="J21" s="45">
        <v>8</v>
      </c>
      <c r="K21" s="45">
        <v>16</v>
      </c>
    </row>
    <row r="22" spans="4:11">
      <c r="D22" s="42">
        <v>46158</v>
      </c>
      <c r="E22" s="43">
        <v>1603665</v>
      </c>
      <c r="F22" s="43" t="s">
        <v>13</v>
      </c>
      <c r="G22" s="44">
        <v>20377357</v>
      </c>
      <c r="H22" s="43" t="s">
        <v>37</v>
      </c>
      <c r="I22" s="44">
        <v>2</v>
      </c>
      <c r="J22" s="45">
        <v>8</v>
      </c>
      <c r="K22" s="45">
        <v>16</v>
      </c>
    </row>
    <row r="23" spans="4:11">
      <c r="D23" s="42">
        <v>46161</v>
      </c>
      <c r="E23" s="43">
        <v>1604326</v>
      </c>
      <c r="F23" s="43" t="s">
        <v>13</v>
      </c>
      <c r="G23" s="44">
        <v>20406253</v>
      </c>
      <c r="H23" s="43" t="s">
        <v>50</v>
      </c>
      <c r="I23" s="44">
        <v>1</v>
      </c>
      <c r="J23" s="45">
        <v>13.5</v>
      </c>
      <c r="K23" s="45">
        <v>13.5</v>
      </c>
    </row>
    <row r="24" spans="4:11">
      <c r="D24" s="42">
        <v>46161</v>
      </c>
      <c r="E24" s="43">
        <v>1604326</v>
      </c>
      <c r="F24" s="43" t="s">
        <v>13</v>
      </c>
      <c r="G24" s="44">
        <v>20313588</v>
      </c>
      <c r="H24" s="43" t="s">
        <v>30</v>
      </c>
      <c r="I24" s="44">
        <v>9</v>
      </c>
      <c r="J24" s="45">
        <v>8</v>
      </c>
      <c r="K24" s="45">
        <v>72</v>
      </c>
    </row>
    <row r="25" spans="4:11">
      <c r="D25" s="42">
        <v>46161</v>
      </c>
      <c r="E25" s="43">
        <v>1604326</v>
      </c>
      <c r="F25" s="43" t="s">
        <v>13</v>
      </c>
      <c r="G25" s="44">
        <v>20376621</v>
      </c>
      <c r="H25" s="43" t="s">
        <v>65</v>
      </c>
      <c r="I25" s="44">
        <v>3</v>
      </c>
      <c r="J25" s="45">
        <v>8</v>
      </c>
      <c r="K25" s="45">
        <v>24</v>
      </c>
    </row>
    <row r="26" spans="4:11">
      <c r="D26" s="42">
        <v>46161</v>
      </c>
      <c r="E26" s="43">
        <v>1604326</v>
      </c>
      <c r="F26" s="43" t="s">
        <v>13</v>
      </c>
      <c r="G26" s="44">
        <v>20377357</v>
      </c>
      <c r="H26" s="43" t="s">
        <v>37</v>
      </c>
      <c r="I26" s="44">
        <v>5</v>
      </c>
      <c r="J26" s="45">
        <v>8</v>
      </c>
      <c r="K26" s="45">
        <v>40</v>
      </c>
    </row>
    <row r="27" spans="4:11">
      <c r="D27" s="42">
        <v>46161</v>
      </c>
      <c r="E27" s="43">
        <v>1604326</v>
      </c>
      <c r="F27" s="43" t="s">
        <v>13</v>
      </c>
      <c r="G27" s="44">
        <v>20314990</v>
      </c>
      <c r="H27" s="43" t="s">
        <v>56</v>
      </c>
      <c r="I27" s="44">
        <v>4</v>
      </c>
      <c r="J27" s="45">
        <v>8</v>
      </c>
      <c r="K27" s="45">
        <v>32</v>
      </c>
    </row>
    <row r="28" spans="4:11">
      <c r="D28" s="42">
        <v>46162</v>
      </c>
      <c r="E28" s="43">
        <v>1604582</v>
      </c>
      <c r="F28" s="43" t="s">
        <v>13</v>
      </c>
      <c r="G28" s="44">
        <v>20376624</v>
      </c>
      <c r="H28" s="43" t="s">
        <v>33</v>
      </c>
      <c r="I28" s="44">
        <v>2</v>
      </c>
      <c r="J28" s="45">
        <v>8</v>
      </c>
      <c r="K28" s="45">
        <v>16</v>
      </c>
    </row>
    <row r="29" spans="4:11">
      <c r="D29" s="42">
        <v>46162</v>
      </c>
      <c r="E29" s="43">
        <v>1604582</v>
      </c>
      <c r="F29" s="43" t="s">
        <v>13</v>
      </c>
      <c r="G29" s="44">
        <v>20406253</v>
      </c>
      <c r="H29" s="43" t="s">
        <v>50</v>
      </c>
      <c r="I29" s="44">
        <v>2</v>
      </c>
      <c r="J29" s="45">
        <v>13.5</v>
      </c>
      <c r="K29" s="45">
        <v>27</v>
      </c>
    </row>
    <row r="30" spans="4:11">
      <c r="D30" s="42">
        <v>46162</v>
      </c>
      <c r="E30" s="43">
        <v>1604582</v>
      </c>
      <c r="F30" s="43" t="s">
        <v>13</v>
      </c>
      <c r="G30" s="44">
        <v>20313588</v>
      </c>
      <c r="H30" s="43" t="s">
        <v>30</v>
      </c>
      <c r="I30" s="44">
        <v>7</v>
      </c>
      <c r="J30" s="45">
        <v>8</v>
      </c>
      <c r="K30" s="45">
        <v>56</v>
      </c>
    </row>
    <row r="31" spans="4:11">
      <c r="D31" s="42">
        <v>46162</v>
      </c>
      <c r="E31" s="43">
        <v>1604582</v>
      </c>
      <c r="F31" s="43" t="s">
        <v>13</v>
      </c>
      <c r="G31" s="44">
        <v>20396160</v>
      </c>
      <c r="H31" s="43" t="s">
        <v>63</v>
      </c>
      <c r="I31" s="44">
        <v>1</v>
      </c>
      <c r="J31" s="45">
        <v>13.5</v>
      </c>
      <c r="K31" s="45">
        <v>13.5</v>
      </c>
    </row>
    <row r="32" spans="4:11">
      <c r="D32" s="42">
        <v>46162</v>
      </c>
      <c r="E32" s="43">
        <v>1604582</v>
      </c>
      <c r="F32" s="43" t="s">
        <v>13</v>
      </c>
      <c r="G32" s="44">
        <v>20324084</v>
      </c>
      <c r="H32" s="43" t="s">
        <v>24</v>
      </c>
      <c r="I32" s="44">
        <v>4</v>
      </c>
      <c r="J32" s="45">
        <v>8</v>
      </c>
      <c r="K32" s="45">
        <v>32</v>
      </c>
    </row>
    <row r="33" spans="4:11">
      <c r="D33" s="42">
        <v>46162</v>
      </c>
      <c r="E33" s="43">
        <v>1604582</v>
      </c>
      <c r="F33" s="43" t="s">
        <v>13</v>
      </c>
      <c r="G33" s="44">
        <v>20376620</v>
      </c>
      <c r="H33" s="43" t="s">
        <v>65</v>
      </c>
      <c r="I33" s="44">
        <v>2</v>
      </c>
      <c r="J33" s="45">
        <v>8</v>
      </c>
      <c r="K33" s="45">
        <v>16</v>
      </c>
    </row>
    <row r="34" spans="4:11">
      <c r="D34" s="42">
        <v>46162</v>
      </c>
      <c r="E34" s="43">
        <v>1604582</v>
      </c>
      <c r="F34" s="43" t="s">
        <v>13</v>
      </c>
      <c r="G34" s="44">
        <v>20377357</v>
      </c>
      <c r="H34" s="43" t="s">
        <v>37</v>
      </c>
      <c r="I34" s="44">
        <v>1</v>
      </c>
      <c r="J34" s="45">
        <v>8</v>
      </c>
      <c r="K34" s="45">
        <v>8</v>
      </c>
    </row>
    <row r="35" spans="4:11">
      <c r="D35" s="42">
        <v>46162</v>
      </c>
      <c r="E35" s="43">
        <v>1604688</v>
      </c>
      <c r="F35" s="43" t="s">
        <v>13</v>
      </c>
      <c r="G35" s="44">
        <v>20406253</v>
      </c>
      <c r="H35" s="43" t="s">
        <v>50</v>
      </c>
      <c r="I35" s="44">
        <v>1</v>
      </c>
      <c r="J35" s="45">
        <v>13.5</v>
      </c>
      <c r="K35" s="45">
        <v>13.5</v>
      </c>
    </row>
    <row r="36" spans="4:11">
      <c r="D36" s="42">
        <v>46162</v>
      </c>
      <c r="E36" s="43">
        <v>1604688</v>
      </c>
      <c r="F36" s="43" t="s">
        <v>13</v>
      </c>
      <c r="G36" s="44">
        <v>20313588</v>
      </c>
      <c r="H36" s="43" t="s">
        <v>30</v>
      </c>
      <c r="I36" s="44">
        <v>3</v>
      </c>
      <c r="J36" s="45">
        <v>8</v>
      </c>
      <c r="K36" s="45">
        <v>24</v>
      </c>
    </row>
    <row r="37" spans="4:11">
      <c r="D37" s="42">
        <v>46162</v>
      </c>
      <c r="E37" s="43">
        <v>1604688</v>
      </c>
      <c r="F37" s="43" t="s">
        <v>13</v>
      </c>
      <c r="G37" s="44">
        <v>20376621</v>
      </c>
      <c r="H37" s="43" t="s">
        <v>65</v>
      </c>
      <c r="I37" s="44">
        <v>2</v>
      </c>
      <c r="J37" s="45">
        <v>8</v>
      </c>
      <c r="K37" s="45">
        <v>16</v>
      </c>
    </row>
    <row r="38" spans="4:11">
      <c r="D38" s="42">
        <v>46162</v>
      </c>
      <c r="E38" s="43">
        <v>1604688</v>
      </c>
      <c r="F38" s="43" t="s">
        <v>13</v>
      </c>
      <c r="G38" s="44">
        <v>20377357</v>
      </c>
      <c r="H38" s="43" t="s">
        <v>37</v>
      </c>
      <c r="I38" s="44">
        <v>1</v>
      </c>
      <c r="J38" s="45">
        <v>8</v>
      </c>
      <c r="K38" s="45">
        <v>8</v>
      </c>
    </row>
    <row r="39" spans="4:11">
      <c r="D39" s="42">
        <v>46162</v>
      </c>
      <c r="E39" s="43">
        <v>1604688</v>
      </c>
      <c r="F39" s="43" t="s">
        <v>13</v>
      </c>
      <c r="G39" s="44">
        <v>20314990</v>
      </c>
      <c r="H39" s="43" t="s">
        <v>56</v>
      </c>
      <c r="I39" s="44">
        <v>2</v>
      </c>
      <c r="J39" s="45">
        <v>8</v>
      </c>
      <c r="K39" s="45">
        <v>16</v>
      </c>
    </row>
    <row r="40" spans="4:11">
      <c r="D40" s="42">
        <v>46164</v>
      </c>
      <c r="E40" s="43">
        <v>1605368</v>
      </c>
      <c r="F40" s="43" t="s">
        <v>13</v>
      </c>
      <c r="G40" s="44">
        <v>20406253</v>
      </c>
      <c r="H40" s="43" t="s">
        <v>50</v>
      </c>
      <c r="I40" s="44">
        <v>1</v>
      </c>
      <c r="J40" s="45">
        <v>13.5</v>
      </c>
      <c r="K40" s="45">
        <v>13.5</v>
      </c>
    </row>
    <row r="41" spans="4:11">
      <c r="D41" s="42">
        <v>46164</v>
      </c>
      <c r="E41" s="43">
        <v>1605368</v>
      </c>
      <c r="F41" s="43" t="s">
        <v>13</v>
      </c>
      <c r="G41" s="44">
        <v>20313588</v>
      </c>
      <c r="H41" s="43" t="s">
        <v>30</v>
      </c>
      <c r="I41" s="44">
        <v>6</v>
      </c>
      <c r="J41" s="45">
        <v>8</v>
      </c>
      <c r="K41" s="45">
        <v>48</v>
      </c>
    </row>
    <row r="42" spans="4:11">
      <c r="D42" s="42">
        <v>46164</v>
      </c>
      <c r="E42" s="43">
        <v>1605368</v>
      </c>
      <c r="F42" s="43" t="s">
        <v>13</v>
      </c>
      <c r="G42" s="44">
        <v>20396160</v>
      </c>
      <c r="H42" s="43" t="s">
        <v>63</v>
      </c>
      <c r="I42" s="44">
        <v>1</v>
      </c>
      <c r="J42" s="45">
        <v>13.5</v>
      </c>
      <c r="K42" s="45">
        <v>13.5</v>
      </c>
    </row>
    <row r="43" spans="4:11">
      <c r="D43" s="42">
        <v>46164</v>
      </c>
      <c r="E43" s="43">
        <v>1605368</v>
      </c>
      <c r="F43" s="43" t="s">
        <v>13</v>
      </c>
      <c r="G43" s="44">
        <v>20376621</v>
      </c>
      <c r="H43" s="43" t="s">
        <v>65</v>
      </c>
      <c r="I43" s="44">
        <v>2</v>
      </c>
      <c r="J43" s="45">
        <v>8</v>
      </c>
      <c r="K43" s="45">
        <v>16</v>
      </c>
    </row>
    <row r="44" spans="4:11">
      <c r="D44" s="42">
        <v>46164</v>
      </c>
      <c r="E44" s="43">
        <v>1605368</v>
      </c>
      <c r="F44" s="43" t="s">
        <v>13</v>
      </c>
      <c r="G44" s="44">
        <v>20377357</v>
      </c>
      <c r="H44" s="43" t="s">
        <v>37</v>
      </c>
      <c r="I44" s="44">
        <v>3</v>
      </c>
      <c r="J44" s="45">
        <v>8</v>
      </c>
      <c r="K44" s="45">
        <v>24</v>
      </c>
    </row>
    <row r="45" spans="4:11">
      <c r="D45" s="42">
        <v>46164</v>
      </c>
      <c r="E45" s="43">
        <v>1605500</v>
      </c>
      <c r="F45" s="43" t="s">
        <v>13</v>
      </c>
      <c r="G45" s="44">
        <v>20376624</v>
      </c>
      <c r="H45" s="43" t="s">
        <v>33</v>
      </c>
      <c r="I45" s="44">
        <v>1</v>
      </c>
      <c r="J45" s="45">
        <v>8</v>
      </c>
      <c r="K45" s="45">
        <v>8</v>
      </c>
    </row>
    <row r="46" spans="4:11">
      <c r="D46" s="42">
        <v>46164</v>
      </c>
      <c r="E46" s="43">
        <v>1605500</v>
      </c>
      <c r="F46" s="43" t="s">
        <v>13</v>
      </c>
      <c r="G46" s="44">
        <v>20406253</v>
      </c>
      <c r="H46" s="43" t="s">
        <v>50</v>
      </c>
      <c r="I46" s="44">
        <v>1</v>
      </c>
      <c r="J46" s="45">
        <v>13.5</v>
      </c>
      <c r="K46" s="45">
        <v>13.5</v>
      </c>
    </row>
    <row r="47" spans="4:11">
      <c r="D47" s="42">
        <v>46164</v>
      </c>
      <c r="E47" s="43">
        <v>1605500</v>
      </c>
      <c r="F47" s="43" t="s">
        <v>13</v>
      </c>
      <c r="G47" s="44">
        <v>20313588</v>
      </c>
      <c r="H47" s="43" t="s">
        <v>30</v>
      </c>
      <c r="I47" s="44">
        <v>10</v>
      </c>
      <c r="J47" s="45">
        <v>8</v>
      </c>
      <c r="K47" s="45">
        <v>80</v>
      </c>
    </row>
    <row r="48" spans="4:11">
      <c r="D48" s="42">
        <v>46164</v>
      </c>
      <c r="E48" s="43">
        <v>1605500</v>
      </c>
      <c r="F48" s="43" t="s">
        <v>13</v>
      </c>
      <c r="G48" s="44">
        <v>20396160</v>
      </c>
      <c r="H48" s="43" t="s">
        <v>63</v>
      </c>
      <c r="I48" s="44">
        <v>1</v>
      </c>
      <c r="J48" s="45">
        <v>13.5</v>
      </c>
      <c r="K48" s="45">
        <v>13.5</v>
      </c>
    </row>
    <row r="49" spans="4:11">
      <c r="D49" s="42">
        <v>46164</v>
      </c>
      <c r="E49" s="43">
        <v>1605500</v>
      </c>
      <c r="F49" s="43" t="s">
        <v>13</v>
      </c>
      <c r="G49" s="44">
        <v>20376620</v>
      </c>
      <c r="H49" s="43" t="s">
        <v>65</v>
      </c>
      <c r="I49" s="44">
        <v>5</v>
      </c>
      <c r="J49" s="45">
        <v>8</v>
      </c>
      <c r="K49" s="45">
        <v>40</v>
      </c>
    </row>
    <row r="50" spans="4:11">
      <c r="D50" s="42">
        <v>46164</v>
      </c>
      <c r="E50" s="43">
        <v>1605500</v>
      </c>
      <c r="F50" s="43" t="s">
        <v>13</v>
      </c>
      <c r="G50" s="44">
        <v>20377357</v>
      </c>
      <c r="H50" s="43" t="s">
        <v>37</v>
      </c>
      <c r="I50" s="44">
        <v>2</v>
      </c>
      <c r="J50" s="45">
        <v>8</v>
      </c>
      <c r="K50" s="45">
        <v>16</v>
      </c>
    </row>
    <row r="51" spans="4:11">
      <c r="D51" s="42">
        <v>46165</v>
      </c>
      <c r="E51" s="43">
        <v>1605733</v>
      </c>
      <c r="F51" s="43" t="s">
        <v>13</v>
      </c>
      <c r="G51" s="44">
        <v>20376624</v>
      </c>
      <c r="H51" s="43" t="s">
        <v>33</v>
      </c>
      <c r="I51" s="44">
        <v>1</v>
      </c>
      <c r="J51" s="45">
        <v>8</v>
      </c>
      <c r="K51" s="45">
        <v>8</v>
      </c>
    </row>
    <row r="52" spans="4:11">
      <c r="D52" s="42">
        <v>46165</v>
      </c>
      <c r="E52" s="43">
        <v>1605733</v>
      </c>
      <c r="F52" s="43" t="s">
        <v>13</v>
      </c>
      <c r="G52" s="44">
        <v>20406253</v>
      </c>
      <c r="H52" s="43" t="s">
        <v>50</v>
      </c>
      <c r="I52" s="44">
        <v>4</v>
      </c>
      <c r="J52" s="45">
        <v>13.5</v>
      </c>
      <c r="K52" s="45">
        <v>54</v>
      </c>
    </row>
    <row r="53" spans="4:11">
      <c r="D53" s="42">
        <v>46165</v>
      </c>
      <c r="E53" s="43">
        <v>1605733</v>
      </c>
      <c r="F53" s="43" t="s">
        <v>13</v>
      </c>
      <c r="G53" s="44">
        <v>20313588</v>
      </c>
      <c r="H53" s="43" t="s">
        <v>30</v>
      </c>
      <c r="I53" s="44">
        <v>7</v>
      </c>
      <c r="J53" s="45">
        <v>8</v>
      </c>
      <c r="K53" s="45">
        <v>56</v>
      </c>
    </row>
    <row r="54" spans="4:11">
      <c r="D54" s="42">
        <v>46165</v>
      </c>
      <c r="E54" s="43">
        <v>1605733</v>
      </c>
      <c r="F54" s="43" t="s">
        <v>13</v>
      </c>
      <c r="G54" s="44">
        <v>20396160</v>
      </c>
      <c r="H54" s="43" t="s">
        <v>63</v>
      </c>
      <c r="I54" s="44">
        <v>1</v>
      </c>
      <c r="J54" s="45">
        <v>13.5</v>
      </c>
      <c r="K54" s="45">
        <v>13.5</v>
      </c>
    </row>
    <row r="55" spans="4:11">
      <c r="D55" s="42">
        <v>46165</v>
      </c>
      <c r="E55" s="43">
        <v>1605733</v>
      </c>
      <c r="F55" s="43" t="s">
        <v>13</v>
      </c>
      <c r="G55" s="44">
        <v>20376620</v>
      </c>
      <c r="H55" s="43" t="s">
        <v>65</v>
      </c>
      <c r="I55" s="44">
        <v>1</v>
      </c>
      <c r="J55" s="45">
        <v>8</v>
      </c>
      <c r="K55" s="45">
        <v>8</v>
      </c>
    </row>
    <row r="56" spans="4:11">
      <c r="D56" s="42">
        <v>46165</v>
      </c>
      <c r="E56" s="43">
        <v>1605733</v>
      </c>
      <c r="F56" s="43" t="s">
        <v>13</v>
      </c>
      <c r="G56" s="44">
        <v>20377357</v>
      </c>
      <c r="H56" s="43" t="s">
        <v>37</v>
      </c>
      <c r="I56" s="44">
        <v>7</v>
      </c>
      <c r="J56" s="45">
        <v>8</v>
      </c>
      <c r="K56" s="45">
        <v>56</v>
      </c>
    </row>
    <row r="57" spans="4:11">
      <c r="D57" s="42">
        <v>46168</v>
      </c>
      <c r="E57" s="43">
        <v>1606378</v>
      </c>
      <c r="F57" s="43" t="s">
        <v>13</v>
      </c>
      <c r="G57" s="44">
        <v>20313588</v>
      </c>
      <c r="H57" s="43" t="s">
        <v>30</v>
      </c>
      <c r="I57" s="44">
        <v>5</v>
      </c>
      <c r="J57" s="45">
        <v>8</v>
      </c>
      <c r="K57" s="45">
        <v>40</v>
      </c>
    </row>
    <row r="58" spans="4:11">
      <c r="D58" s="42">
        <v>46168</v>
      </c>
      <c r="E58" s="43">
        <v>1606378</v>
      </c>
      <c r="F58" s="43" t="s">
        <v>13</v>
      </c>
      <c r="G58" s="44">
        <v>20376620</v>
      </c>
      <c r="H58" s="43" t="s">
        <v>65</v>
      </c>
      <c r="I58" s="44">
        <v>5</v>
      </c>
      <c r="J58" s="45">
        <v>8</v>
      </c>
      <c r="K58" s="45">
        <v>40</v>
      </c>
    </row>
    <row r="59" spans="4:11">
      <c r="D59" s="42">
        <v>46168</v>
      </c>
      <c r="E59" s="43">
        <v>1606378</v>
      </c>
      <c r="F59" s="43" t="s">
        <v>13</v>
      </c>
      <c r="G59" s="44">
        <v>20377357</v>
      </c>
      <c r="H59" s="43" t="s">
        <v>37</v>
      </c>
      <c r="I59" s="44">
        <v>2</v>
      </c>
      <c r="J59" s="45">
        <v>8</v>
      </c>
      <c r="K59" s="45">
        <v>16</v>
      </c>
    </row>
    <row r="60" spans="4:11">
      <c r="D60" s="42">
        <v>46169</v>
      </c>
      <c r="E60" s="43">
        <v>1606699</v>
      </c>
      <c r="F60" s="43" t="s">
        <v>13</v>
      </c>
      <c r="G60" s="44">
        <v>20376624</v>
      </c>
      <c r="H60" s="43" t="s">
        <v>33</v>
      </c>
      <c r="I60" s="44">
        <v>1</v>
      </c>
      <c r="J60" s="45">
        <v>8</v>
      </c>
      <c r="K60" s="45">
        <v>8</v>
      </c>
    </row>
    <row r="61" spans="4:11">
      <c r="D61" s="42">
        <v>46169</v>
      </c>
      <c r="E61" s="43">
        <v>1606699</v>
      </c>
      <c r="F61" s="43" t="s">
        <v>13</v>
      </c>
      <c r="G61" s="44">
        <v>20406253</v>
      </c>
      <c r="H61" s="43" t="s">
        <v>50</v>
      </c>
      <c r="I61" s="44">
        <v>5</v>
      </c>
      <c r="J61" s="45">
        <v>13.5</v>
      </c>
      <c r="K61" s="45">
        <v>67.5</v>
      </c>
    </row>
    <row r="62" spans="4:11">
      <c r="D62" s="42">
        <v>46169</v>
      </c>
      <c r="E62" s="43">
        <v>1606699</v>
      </c>
      <c r="F62" s="43" t="s">
        <v>13</v>
      </c>
      <c r="G62" s="44">
        <v>20313588</v>
      </c>
      <c r="H62" s="43" t="s">
        <v>30</v>
      </c>
      <c r="I62" s="44">
        <v>14</v>
      </c>
      <c r="J62" s="45">
        <v>8</v>
      </c>
      <c r="K62" s="45">
        <v>112</v>
      </c>
    </row>
    <row r="63" spans="4:11">
      <c r="D63" s="42">
        <v>46169</v>
      </c>
      <c r="E63" s="43">
        <v>1606699</v>
      </c>
      <c r="F63" s="43" t="s">
        <v>13</v>
      </c>
      <c r="G63" s="44">
        <v>20395986</v>
      </c>
      <c r="H63" s="43" t="s">
        <v>75</v>
      </c>
      <c r="I63" s="44">
        <v>1</v>
      </c>
      <c r="J63" s="45">
        <v>13.5</v>
      </c>
      <c r="K63" s="45">
        <v>13.5</v>
      </c>
    </row>
    <row r="64" spans="4:11">
      <c r="D64" s="42">
        <v>46169</v>
      </c>
      <c r="E64" s="43">
        <v>1606699</v>
      </c>
      <c r="F64" s="43" t="s">
        <v>13</v>
      </c>
      <c r="G64" s="44">
        <v>20396160</v>
      </c>
      <c r="H64" s="43" t="s">
        <v>63</v>
      </c>
      <c r="I64" s="44">
        <v>1</v>
      </c>
      <c r="J64" s="45">
        <v>13.5</v>
      </c>
      <c r="K64" s="45">
        <v>13.5</v>
      </c>
    </row>
    <row r="65" spans="4:11">
      <c r="D65" s="42">
        <v>46169</v>
      </c>
      <c r="E65" s="43">
        <v>1606699</v>
      </c>
      <c r="F65" s="43" t="s">
        <v>13</v>
      </c>
      <c r="G65" s="44">
        <v>20397287</v>
      </c>
      <c r="H65" s="43" t="s">
        <v>43</v>
      </c>
      <c r="I65" s="44">
        <v>1</v>
      </c>
      <c r="J65" s="45">
        <v>13.5</v>
      </c>
      <c r="K65" s="45">
        <v>13.5</v>
      </c>
    </row>
    <row r="66" spans="4:11">
      <c r="D66" s="42">
        <v>46169</v>
      </c>
      <c r="E66" s="43">
        <v>1606699</v>
      </c>
      <c r="F66" s="43" t="s">
        <v>13</v>
      </c>
      <c r="G66" s="44">
        <v>20377357</v>
      </c>
      <c r="H66" s="43" t="s">
        <v>37</v>
      </c>
      <c r="I66" s="44">
        <v>9</v>
      </c>
      <c r="J66" s="45">
        <v>8</v>
      </c>
      <c r="K66" s="45">
        <v>72</v>
      </c>
    </row>
    <row r="67" spans="4:11">
      <c r="D67" s="42">
        <v>46169</v>
      </c>
      <c r="E67" s="43">
        <v>1606789</v>
      </c>
      <c r="F67" s="43" t="s">
        <v>13</v>
      </c>
      <c r="G67" s="44">
        <v>20406253</v>
      </c>
      <c r="H67" s="43" t="s">
        <v>50</v>
      </c>
      <c r="I67" s="44">
        <v>1</v>
      </c>
      <c r="J67" s="45">
        <v>13.5</v>
      </c>
      <c r="K67" s="45">
        <v>13.5</v>
      </c>
    </row>
    <row r="68" spans="4:11">
      <c r="D68" s="42">
        <v>46169</v>
      </c>
      <c r="E68" s="43">
        <v>1606789</v>
      </c>
      <c r="F68" s="43" t="s">
        <v>13</v>
      </c>
      <c r="G68" s="44">
        <v>20313588</v>
      </c>
      <c r="H68" s="43" t="s">
        <v>30</v>
      </c>
      <c r="I68" s="44">
        <v>8</v>
      </c>
      <c r="J68" s="45">
        <v>8</v>
      </c>
      <c r="K68" s="45">
        <v>64</v>
      </c>
    </row>
    <row r="69" spans="4:11">
      <c r="D69" s="42">
        <v>46169</v>
      </c>
      <c r="E69" s="43">
        <v>1606789</v>
      </c>
      <c r="F69" s="43" t="s">
        <v>13</v>
      </c>
      <c r="G69" s="44">
        <v>20393917</v>
      </c>
      <c r="H69" s="43" t="s">
        <v>51</v>
      </c>
      <c r="I69" s="44">
        <v>1</v>
      </c>
      <c r="J69" s="45">
        <v>11</v>
      </c>
      <c r="K69" s="45">
        <v>11</v>
      </c>
    </row>
    <row r="70" spans="4:11">
      <c r="D70" s="42">
        <v>46169</v>
      </c>
      <c r="E70" s="43">
        <v>1606789</v>
      </c>
      <c r="F70" s="43" t="s">
        <v>13</v>
      </c>
      <c r="G70" s="44">
        <v>20376620</v>
      </c>
      <c r="H70" s="43" t="s">
        <v>65</v>
      </c>
      <c r="I70" s="44">
        <v>4</v>
      </c>
      <c r="J70" s="45">
        <v>8</v>
      </c>
      <c r="K70" s="45">
        <v>32</v>
      </c>
    </row>
    <row r="71" spans="4:11">
      <c r="D71" s="42">
        <v>46169</v>
      </c>
      <c r="E71" s="43">
        <v>1606789</v>
      </c>
      <c r="F71" s="43" t="s">
        <v>13</v>
      </c>
      <c r="G71" s="44">
        <v>20377357</v>
      </c>
      <c r="H71" s="43" t="s">
        <v>37</v>
      </c>
      <c r="I71" s="44">
        <v>4</v>
      </c>
      <c r="J71" s="45">
        <v>8</v>
      </c>
      <c r="K71" s="45">
        <v>32</v>
      </c>
    </row>
    <row r="72" spans="4:11">
      <c r="D72" s="42">
        <v>46170</v>
      </c>
      <c r="E72" s="43">
        <v>1607011</v>
      </c>
      <c r="F72" s="43" t="s">
        <v>13</v>
      </c>
      <c r="G72" s="44">
        <v>20376624</v>
      </c>
      <c r="H72" s="43" t="s">
        <v>33</v>
      </c>
      <c r="I72" s="44">
        <v>1</v>
      </c>
      <c r="J72" s="45">
        <v>8</v>
      </c>
      <c r="K72" s="45">
        <v>8</v>
      </c>
    </row>
    <row r="73" spans="4:11">
      <c r="D73" s="42">
        <v>46170</v>
      </c>
      <c r="E73" s="43">
        <v>1607011</v>
      </c>
      <c r="F73" s="43" t="s">
        <v>13</v>
      </c>
      <c r="G73" s="44">
        <v>20406253</v>
      </c>
      <c r="H73" s="43" t="s">
        <v>50</v>
      </c>
      <c r="I73" s="44">
        <v>3</v>
      </c>
      <c r="J73" s="45">
        <v>13.5</v>
      </c>
      <c r="K73" s="45">
        <v>40.5</v>
      </c>
    </row>
    <row r="74" spans="4:11">
      <c r="D74" s="42">
        <v>46170</v>
      </c>
      <c r="E74" s="43">
        <v>1607011</v>
      </c>
      <c r="F74" s="43" t="s">
        <v>13</v>
      </c>
      <c r="G74" s="44">
        <v>20313588</v>
      </c>
      <c r="H74" s="43" t="s">
        <v>30</v>
      </c>
      <c r="I74" s="44">
        <v>13</v>
      </c>
      <c r="J74" s="45">
        <v>8</v>
      </c>
      <c r="K74" s="45">
        <v>104</v>
      </c>
    </row>
    <row r="75" spans="4:11">
      <c r="D75" s="42">
        <v>46170</v>
      </c>
      <c r="E75" s="43">
        <v>1607011</v>
      </c>
      <c r="F75" s="43" t="s">
        <v>13</v>
      </c>
      <c r="G75" s="44">
        <v>20396160</v>
      </c>
      <c r="H75" s="43" t="s">
        <v>63</v>
      </c>
      <c r="I75" s="44">
        <v>1</v>
      </c>
      <c r="J75" s="45">
        <v>13.5</v>
      </c>
      <c r="K75" s="45">
        <v>13.5</v>
      </c>
    </row>
    <row r="76" spans="4:11">
      <c r="D76" s="42">
        <v>46170</v>
      </c>
      <c r="E76" s="43">
        <v>1607011</v>
      </c>
      <c r="F76" s="43" t="s">
        <v>13</v>
      </c>
      <c r="G76" s="44">
        <v>20376620</v>
      </c>
      <c r="H76" s="43" t="s">
        <v>65</v>
      </c>
      <c r="I76" s="44">
        <v>1</v>
      </c>
      <c r="J76" s="45">
        <v>8</v>
      </c>
      <c r="K76" s="45">
        <v>8</v>
      </c>
    </row>
    <row r="77" spans="4:11">
      <c r="D77" s="42">
        <v>46170</v>
      </c>
      <c r="E77" s="43">
        <v>1607011</v>
      </c>
      <c r="F77" s="43" t="s">
        <v>13</v>
      </c>
      <c r="G77" s="44">
        <v>20377357</v>
      </c>
      <c r="H77" s="43" t="s">
        <v>37</v>
      </c>
      <c r="I77" s="44">
        <v>1</v>
      </c>
      <c r="J77" s="45">
        <v>8</v>
      </c>
      <c r="K77" s="45">
        <v>8</v>
      </c>
    </row>
    <row r="78" spans="4:11">
      <c r="D78" s="42">
        <v>46170</v>
      </c>
      <c r="E78" s="43">
        <v>1607011</v>
      </c>
      <c r="F78" s="43" t="s">
        <v>13</v>
      </c>
      <c r="G78" s="44">
        <v>20314990</v>
      </c>
      <c r="H78" s="43" t="s">
        <v>56</v>
      </c>
      <c r="I78" s="44">
        <v>2</v>
      </c>
      <c r="J78" s="45">
        <v>8</v>
      </c>
      <c r="K78" s="45">
        <v>16</v>
      </c>
    </row>
    <row r="79" spans="4:11">
      <c r="D79" s="42">
        <v>46170</v>
      </c>
      <c r="E79" s="43">
        <v>1607134</v>
      </c>
      <c r="F79" s="43" t="s">
        <v>13</v>
      </c>
      <c r="G79" s="44">
        <v>20406253</v>
      </c>
      <c r="H79" s="43" t="s">
        <v>50</v>
      </c>
      <c r="I79" s="44">
        <v>2</v>
      </c>
      <c r="J79" s="45">
        <v>13.5</v>
      </c>
      <c r="K79" s="45">
        <v>27</v>
      </c>
    </row>
    <row r="80" spans="4:11">
      <c r="D80" s="42">
        <v>46170</v>
      </c>
      <c r="E80" s="43">
        <v>1607134</v>
      </c>
      <c r="F80" s="43" t="s">
        <v>13</v>
      </c>
      <c r="G80" s="44">
        <v>20313588</v>
      </c>
      <c r="H80" s="43" t="s">
        <v>30</v>
      </c>
      <c r="I80" s="44">
        <v>2</v>
      </c>
      <c r="J80" s="45">
        <v>8</v>
      </c>
      <c r="K80" s="45">
        <v>16</v>
      </c>
    </row>
    <row r="81" spans="4:11">
      <c r="D81" s="42">
        <v>46170</v>
      </c>
      <c r="E81" s="43">
        <v>1607134</v>
      </c>
      <c r="F81" s="43" t="s">
        <v>13</v>
      </c>
      <c r="G81" s="44">
        <v>20376620</v>
      </c>
      <c r="H81" s="43" t="s">
        <v>65</v>
      </c>
      <c r="I81" s="44">
        <v>2</v>
      </c>
      <c r="J81" s="45">
        <v>8</v>
      </c>
      <c r="K81" s="45">
        <v>16</v>
      </c>
    </row>
    <row r="82" spans="4:11">
      <c r="D82" s="42">
        <v>46170</v>
      </c>
      <c r="E82" s="43">
        <v>1607134</v>
      </c>
      <c r="F82" s="43" t="s">
        <v>13</v>
      </c>
      <c r="G82" s="44">
        <v>20377357</v>
      </c>
      <c r="H82" s="43" t="s">
        <v>37</v>
      </c>
      <c r="I82" s="44">
        <v>6</v>
      </c>
      <c r="J82" s="45">
        <v>8</v>
      </c>
      <c r="K82" s="45">
        <v>48</v>
      </c>
    </row>
    <row r="83" spans="4:11">
      <c r="D83" s="42">
        <v>46171</v>
      </c>
      <c r="E83" s="43">
        <v>1607416</v>
      </c>
      <c r="F83" s="43" t="s">
        <v>13</v>
      </c>
      <c r="G83" s="44">
        <v>20376624</v>
      </c>
      <c r="H83" s="43" t="s">
        <v>33</v>
      </c>
      <c r="I83" s="44">
        <v>2</v>
      </c>
      <c r="J83" s="45">
        <v>8</v>
      </c>
      <c r="K83" s="45">
        <v>16</v>
      </c>
    </row>
    <row r="84" spans="4:11">
      <c r="D84" s="42">
        <v>46171</v>
      </c>
      <c r="E84" s="43">
        <v>1607416</v>
      </c>
      <c r="F84" s="43" t="s">
        <v>13</v>
      </c>
      <c r="G84" s="44">
        <v>20406253</v>
      </c>
      <c r="H84" s="43" t="s">
        <v>50</v>
      </c>
      <c r="I84" s="44">
        <v>2</v>
      </c>
      <c r="J84" s="45">
        <v>13.5</v>
      </c>
      <c r="K84" s="45">
        <v>27</v>
      </c>
    </row>
    <row r="85" spans="4:11">
      <c r="D85" s="42">
        <v>46171</v>
      </c>
      <c r="E85" s="43">
        <v>1607416</v>
      </c>
      <c r="F85" s="43" t="s">
        <v>13</v>
      </c>
      <c r="G85" s="44">
        <v>20313588</v>
      </c>
      <c r="H85" s="43" t="s">
        <v>30</v>
      </c>
      <c r="I85" s="44">
        <v>10</v>
      </c>
      <c r="J85" s="45">
        <v>8</v>
      </c>
      <c r="K85" s="45">
        <v>80</v>
      </c>
    </row>
    <row r="86" spans="4:11">
      <c r="D86" s="42">
        <v>46171</v>
      </c>
      <c r="E86" s="43">
        <v>1607416</v>
      </c>
      <c r="F86" s="43" t="s">
        <v>13</v>
      </c>
      <c r="G86" s="44">
        <v>20376863</v>
      </c>
      <c r="H86" s="43" t="s">
        <v>73</v>
      </c>
      <c r="I86" s="44">
        <v>2</v>
      </c>
      <c r="J86" s="45">
        <v>13.5</v>
      </c>
      <c r="K86" s="45">
        <v>27</v>
      </c>
    </row>
    <row r="87" spans="4:11">
      <c r="D87" s="42">
        <v>46171</v>
      </c>
      <c r="E87" s="43">
        <v>1607416</v>
      </c>
      <c r="F87" s="43" t="s">
        <v>13</v>
      </c>
      <c r="G87" s="44">
        <v>20396160</v>
      </c>
      <c r="H87" s="43" t="s">
        <v>63</v>
      </c>
      <c r="I87" s="44">
        <v>1</v>
      </c>
      <c r="J87" s="45">
        <v>13.5</v>
      </c>
      <c r="K87" s="45">
        <v>13.5</v>
      </c>
    </row>
    <row r="88" spans="4:11">
      <c r="D88" s="42">
        <v>46171</v>
      </c>
      <c r="E88" s="43">
        <v>1607416</v>
      </c>
      <c r="F88" s="43" t="s">
        <v>13</v>
      </c>
      <c r="G88" s="44">
        <v>20376620</v>
      </c>
      <c r="H88" s="43" t="s">
        <v>65</v>
      </c>
      <c r="I88" s="44">
        <v>3</v>
      </c>
      <c r="J88" s="45">
        <v>8</v>
      </c>
      <c r="K88" s="45">
        <v>24</v>
      </c>
    </row>
    <row r="89" spans="4:11">
      <c r="D89" s="42">
        <v>46171</v>
      </c>
      <c r="E89" s="43">
        <v>1607416</v>
      </c>
      <c r="F89" s="43" t="s">
        <v>13</v>
      </c>
      <c r="G89" s="44">
        <v>20377357</v>
      </c>
      <c r="H89" s="43" t="s">
        <v>37</v>
      </c>
      <c r="I89" s="44">
        <v>5</v>
      </c>
      <c r="J89" s="45">
        <v>8</v>
      </c>
      <c r="K89" s="45">
        <v>40</v>
      </c>
    </row>
    <row r="90" spans="4:11">
      <c r="D90" s="42">
        <v>46171</v>
      </c>
      <c r="E90" s="43">
        <v>1607416</v>
      </c>
      <c r="F90" s="43" t="s">
        <v>13</v>
      </c>
      <c r="G90" s="44">
        <v>20314990</v>
      </c>
      <c r="H90" s="43" t="s">
        <v>56</v>
      </c>
      <c r="I90" s="44">
        <v>1</v>
      </c>
      <c r="J90" s="45">
        <v>8</v>
      </c>
      <c r="K90" s="45">
        <v>8</v>
      </c>
    </row>
    <row r="91" spans="4:11">
      <c r="D91" s="42">
        <v>46171</v>
      </c>
      <c r="E91" s="43">
        <v>1607534</v>
      </c>
      <c r="F91" s="43" t="s">
        <v>13</v>
      </c>
      <c r="G91" s="44">
        <v>20406253</v>
      </c>
      <c r="H91" s="43" t="s">
        <v>50</v>
      </c>
      <c r="I91" s="44">
        <v>1</v>
      </c>
      <c r="J91" s="45">
        <v>13.5</v>
      </c>
      <c r="K91" s="45">
        <v>13.5</v>
      </c>
    </row>
    <row r="92" spans="4:11">
      <c r="D92" s="42">
        <v>46171</v>
      </c>
      <c r="E92" s="43">
        <v>1607534</v>
      </c>
      <c r="F92" s="43" t="s">
        <v>13</v>
      </c>
      <c r="G92" s="44">
        <v>20313588</v>
      </c>
      <c r="H92" s="43" t="s">
        <v>30</v>
      </c>
      <c r="I92" s="44">
        <v>5</v>
      </c>
      <c r="J92" s="45">
        <v>8</v>
      </c>
      <c r="K92" s="45">
        <v>40</v>
      </c>
    </row>
    <row r="93" spans="4:11">
      <c r="D93" s="42">
        <v>46171</v>
      </c>
      <c r="E93" s="43">
        <v>1607534</v>
      </c>
      <c r="F93" s="43" t="s">
        <v>13</v>
      </c>
      <c r="G93" s="44">
        <v>20376620</v>
      </c>
      <c r="H93" s="43" t="s">
        <v>65</v>
      </c>
      <c r="I93" s="44">
        <v>2</v>
      </c>
      <c r="J93" s="45">
        <v>8</v>
      </c>
      <c r="K93" s="45">
        <v>16</v>
      </c>
    </row>
    <row r="94" spans="4:11">
      <c r="D94" s="42">
        <v>46171</v>
      </c>
      <c r="E94" s="43">
        <v>1607534</v>
      </c>
      <c r="F94" s="43" t="s">
        <v>13</v>
      </c>
      <c r="G94" s="44">
        <v>20377357</v>
      </c>
      <c r="H94" s="43" t="s">
        <v>37</v>
      </c>
      <c r="I94" s="44">
        <v>3</v>
      </c>
      <c r="J94" s="45">
        <v>8</v>
      </c>
      <c r="K94" s="45">
        <v>24</v>
      </c>
    </row>
    <row r="95" spans="4:11">
      <c r="D95" s="42">
        <v>46175</v>
      </c>
      <c r="E95" s="43">
        <v>1608454</v>
      </c>
      <c r="F95" s="43" t="s">
        <v>13</v>
      </c>
      <c r="G95" s="44">
        <v>20376624</v>
      </c>
      <c r="H95" s="43" t="s">
        <v>33</v>
      </c>
      <c r="I95" s="44">
        <v>1</v>
      </c>
      <c r="J95" s="45">
        <v>8</v>
      </c>
      <c r="K95" s="45">
        <v>8</v>
      </c>
    </row>
    <row r="96" spans="4:11">
      <c r="D96" s="42">
        <v>46175</v>
      </c>
      <c r="E96" s="43">
        <v>1608454</v>
      </c>
      <c r="F96" s="43" t="s">
        <v>13</v>
      </c>
      <c r="G96" s="44">
        <v>20406253</v>
      </c>
      <c r="H96" s="43" t="s">
        <v>50</v>
      </c>
      <c r="I96" s="44">
        <v>1</v>
      </c>
      <c r="J96" s="45">
        <v>13.5</v>
      </c>
      <c r="K96" s="45">
        <v>13.5</v>
      </c>
    </row>
    <row r="97" spans="4:11">
      <c r="D97" s="42">
        <v>46175</v>
      </c>
      <c r="E97" s="43">
        <v>1608454</v>
      </c>
      <c r="F97" s="43" t="s">
        <v>13</v>
      </c>
      <c r="G97" s="44">
        <v>20313588</v>
      </c>
      <c r="H97" s="43" t="s">
        <v>30</v>
      </c>
      <c r="I97" s="44">
        <v>5</v>
      </c>
      <c r="J97" s="45">
        <v>8</v>
      </c>
      <c r="K97" s="45">
        <v>40</v>
      </c>
    </row>
    <row r="98" spans="4:11">
      <c r="D98" s="42">
        <v>46175</v>
      </c>
      <c r="E98" s="43">
        <v>1608454</v>
      </c>
      <c r="F98" s="43" t="s">
        <v>13</v>
      </c>
      <c r="G98" s="44">
        <v>20396160</v>
      </c>
      <c r="H98" s="43" t="s">
        <v>63</v>
      </c>
      <c r="I98" s="44">
        <v>1</v>
      </c>
      <c r="J98" s="45">
        <v>13.5</v>
      </c>
      <c r="K98" s="45">
        <v>13.5</v>
      </c>
    </row>
    <row r="99" spans="4:11">
      <c r="D99" s="42">
        <v>46175</v>
      </c>
      <c r="E99" s="43">
        <v>1608454</v>
      </c>
      <c r="F99" s="43" t="s">
        <v>13</v>
      </c>
      <c r="G99" s="44">
        <v>20376620</v>
      </c>
      <c r="H99" s="43" t="s">
        <v>65</v>
      </c>
      <c r="I99" s="44">
        <v>2</v>
      </c>
      <c r="J99" s="45">
        <v>8</v>
      </c>
      <c r="K99" s="45">
        <v>16</v>
      </c>
    </row>
    <row r="100" spans="4:11">
      <c r="D100" s="42">
        <v>46175</v>
      </c>
      <c r="E100" s="43">
        <v>1608454</v>
      </c>
      <c r="F100" s="43" t="s">
        <v>13</v>
      </c>
      <c r="G100" s="44">
        <v>20377357</v>
      </c>
      <c r="H100" s="43" t="s">
        <v>37</v>
      </c>
      <c r="I100" s="44">
        <v>2</v>
      </c>
      <c r="J100" s="45">
        <v>8</v>
      </c>
      <c r="K100" s="45">
        <v>16</v>
      </c>
    </row>
    <row r="101" spans="4:11">
      <c r="D101" s="42">
        <v>46176</v>
      </c>
      <c r="E101" s="43">
        <v>1608686</v>
      </c>
      <c r="F101" s="43" t="s">
        <v>13</v>
      </c>
      <c r="G101" s="44">
        <v>20406253</v>
      </c>
      <c r="H101" s="43" t="s">
        <v>50</v>
      </c>
      <c r="I101" s="44">
        <v>3</v>
      </c>
      <c r="J101" s="45">
        <v>13.5</v>
      </c>
      <c r="K101" s="45">
        <v>40.5</v>
      </c>
    </row>
    <row r="102" spans="4:11">
      <c r="D102" s="42">
        <v>46176</v>
      </c>
      <c r="E102" s="43">
        <v>1608686</v>
      </c>
      <c r="F102" s="43" t="s">
        <v>13</v>
      </c>
      <c r="G102" s="44">
        <v>20313588</v>
      </c>
      <c r="H102" s="43" t="s">
        <v>30</v>
      </c>
      <c r="I102" s="44">
        <v>6</v>
      </c>
      <c r="J102" s="45">
        <v>8</v>
      </c>
      <c r="K102" s="45">
        <v>48</v>
      </c>
    </row>
    <row r="103" spans="4:11">
      <c r="D103" s="42">
        <v>46176</v>
      </c>
      <c r="E103" s="43">
        <v>1608686</v>
      </c>
      <c r="F103" s="43" t="s">
        <v>13</v>
      </c>
      <c r="G103" s="44">
        <v>20409657</v>
      </c>
      <c r="H103" s="43" t="s">
        <v>72</v>
      </c>
      <c r="I103" s="44">
        <v>1</v>
      </c>
      <c r="J103" s="45">
        <v>16.5</v>
      </c>
      <c r="K103" s="45">
        <v>16.5</v>
      </c>
    </row>
    <row r="104" spans="4:11">
      <c r="D104" s="42">
        <v>46176</v>
      </c>
      <c r="E104" s="43">
        <v>1608686</v>
      </c>
      <c r="F104" s="43" t="s">
        <v>13</v>
      </c>
      <c r="G104" s="44">
        <v>20376621</v>
      </c>
      <c r="H104" s="43" t="s">
        <v>65</v>
      </c>
      <c r="I104" s="44">
        <v>1</v>
      </c>
      <c r="J104" s="45">
        <v>8</v>
      </c>
      <c r="K104" s="45">
        <v>8</v>
      </c>
    </row>
    <row r="105" spans="4:11">
      <c r="D105" s="42">
        <v>46176</v>
      </c>
      <c r="E105" s="43">
        <v>1608686</v>
      </c>
      <c r="F105" s="43" t="s">
        <v>13</v>
      </c>
      <c r="G105" s="44">
        <v>20377357</v>
      </c>
      <c r="H105" s="43" t="s">
        <v>37</v>
      </c>
      <c r="I105" s="44">
        <v>3</v>
      </c>
      <c r="J105" s="45">
        <v>8</v>
      </c>
      <c r="K105" s="45">
        <v>24</v>
      </c>
    </row>
    <row r="106" spans="4:11">
      <c r="D106" s="42">
        <v>46176</v>
      </c>
      <c r="E106" s="43">
        <v>1608686</v>
      </c>
      <c r="F106" s="43" t="s">
        <v>13</v>
      </c>
      <c r="G106" s="44">
        <v>20314990</v>
      </c>
      <c r="H106" s="43" t="s">
        <v>56</v>
      </c>
      <c r="I106" s="44">
        <v>2</v>
      </c>
      <c r="J106" s="45">
        <v>8</v>
      </c>
      <c r="K106" s="45">
        <v>16</v>
      </c>
    </row>
    <row r="107" spans="4:11">
      <c r="D107" s="42">
        <v>46176</v>
      </c>
      <c r="E107" s="43">
        <v>1608818</v>
      </c>
      <c r="F107" s="43" t="s">
        <v>13</v>
      </c>
      <c r="G107" s="44">
        <v>20376624</v>
      </c>
      <c r="H107" s="43" t="s">
        <v>33</v>
      </c>
      <c r="I107" s="44">
        <v>1</v>
      </c>
      <c r="J107" s="45">
        <v>8</v>
      </c>
      <c r="K107" s="45">
        <v>8</v>
      </c>
    </row>
    <row r="108" spans="4:11">
      <c r="D108" s="42">
        <v>46176</v>
      </c>
      <c r="E108" s="43">
        <v>1608818</v>
      </c>
      <c r="F108" s="43" t="s">
        <v>13</v>
      </c>
      <c r="G108" s="44">
        <v>20406253</v>
      </c>
      <c r="H108" s="43" t="s">
        <v>50</v>
      </c>
      <c r="I108" s="44">
        <v>2</v>
      </c>
      <c r="J108" s="45">
        <v>13.5</v>
      </c>
      <c r="K108" s="45">
        <v>27</v>
      </c>
    </row>
    <row r="109" spans="4:11">
      <c r="D109" s="42">
        <v>46176</v>
      </c>
      <c r="E109" s="43">
        <v>1608818</v>
      </c>
      <c r="F109" s="43" t="s">
        <v>13</v>
      </c>
      <c r="G109" s="44">
        <v>20313588</v>
      </c>
      <c r="H109" s="43" t="s">
        <v>30</v>
      </c>
      <c r="I109" s="44">
        <v>12</v>
      </c>
      <c r="J109" s="45">
        <v>8</v>
      </c>
      <c r="K109" s="45">
        <v>96</v>
      </c>
    </row>
    <row r="110" spans="4:11">
      <c r="D110" s="42">
        <v>46176</v>
      </c>
      <c r="E110" s="43">
        <v>1608818</v>
      </c>
      <c r="F110" s="43" t="s">
        <v>13</v>
      </c>
      <c r="G110" s="44">
        <v>20395986</v>
      </c>
      <c r="H110" s="43" t="s">
        <v>75</v>
      </c>
      <c r="I110" s="44">
        <v>1</v>
      </c>
      <c r="J110" s="45">
        <v>13.5</v>
      </c>
      <c r="K110" s="45">
        <v>13.5</v>
      </c>
    </row>
    <row r="111" spans="4:11">
      <c r="D111" s="42">
        <v>46176</v>
      </c>
      <c r="E111" s="43">
        <v>1608818</v>
      </c>
      <c r="F111" s="43" t="s">
        <v>13</v>
      </c>
      <c r="G111" s="44">
        <v>20376621</v>
      </c>
      <c r="H111" s="43" t="s">
        <v>65</v>
      </c>
      <c r="I111" s="44">
        <v>4</v>
      </c>
      <c r="J111" s="45">
        <v>8</v>
      </c>
      <c r="K111" s="45">
        <v>32</v>
      </c>
    </row>
    <row r="112" spans="4:11">
      <c r="D112" s="42">
        <v>46176</v>
      </c>
      <c r="E112" s="43">
        <v>1608818</v>
      </c>
      <c r="F112" s="43" t="s">
        <v>13</v>
      </c>
      <c r="G112" s="44">
        <v>20377357</v>
      </c>
      <c r="H112" s="43" t="s">
        <v>37</v>
      </c>
      <c r="I112" s="44">
        <v>3</v>
      </c>
      <c r="J112" s="45">
        <v>8</v>
      </c>
      <c r="K112" s="45">
        <v>24</v>
      </c>
    </row>
    <row r="113" spans="4:11">
      <c r="D113" s="42">
        <v>46176</v>
      </c>
      <c r="E113" s="43">
        <v>1608818</v>
      </c>
      <c r="F113" s="43" t="s">
        <v>13</v>
      </c>
      <c r="G113" s="44">
        <v>20314990</v>
      </c>
      <c r="H113" s="43" t="s">
        <v>56</v>
      </c>
      <c r="I113" s="44">
        <v>2</v>
      </c>
      <c r="J113" s="45">
        <v>8</v>
      </c>
      <c r="K113" s="45">
        <v>16</v>
      </c>
    </row>
    <row r="114" spans="4:11">
      <c r="D114" s="42">
        <v>46177</v>
      </c>
      <c r="E114" s="43">
        <v>1609094</v>
      </c>
      <c r="F114" s="43" t="s">
        <v>13</v>
      </c>
      <c r="G114" s="44">
        <v>20376624</v>
      </c>
      <c r="H114" s="43" t="s">
        <v>33</v>
      </c>
      <c r="I114" s="44">
        <v>1</v>
      </c>
      <c r="J114" s="45">
        <v>8</v>
      </c>
      <c r="K114" s="45">
        <v>8</v>
      </c>
    </row>
    <row r="115" spans="4:11">
      <c r="D115" s="42">
        <v>46177</v>
      </c>
      <c r="E115" s="43">
        <v>1609094</v>
      </c>
      <c r="F115" s="43" t="s">
        <v>13</v>
      </c>
      <c r="G115" s="44">
        <v>20406253</v>
      </c>
      <c r="H115" s="43" t="s">
        <v>50</v>
      </c>
      <c r="I115" s="44">
        <v>2</v>
      </c>
      <c r="J115" s="45">
        <v>13.5</v>
      </c>
      <c r="K115" s="45">
        <v>27</v>
      </c>
    </row>
    <row r="116" spans="4:11">
      <c r="D116" s="42">
        <v>46177</v>
      </c>
      <c r="E116" s="43">
        <v>1609094</v>
      </c>
      <c r="F116" s="43" t="s">
        <v>13</v>
      </c>
      <c r="G116" s="44">
        <v>20313588</v>
      </c>
      <c r="H116" s="43" t="s">
        <v>30</v>
      </c>
      <c r="I116" s="44">
        <v>11</v>
      </c>
      <c r="J116" s="45">
        <v>8</v>
      </c>
      <c r="K116" s="45">
        <v>88</v>
      </c>
    </row>
    <row r="117" spans="4:11">
      <c r="D117" s="42">
        <v>46177</v>
      </c>
      <c r="E117" s="43">
        <v>1609094</v>
      </c>
      <c r="F117" s="43" t="s">
        <v>13</v>
      </c>
      <c r="G117" s="44">
        <v>20376863</v>
      </c>
      <c r="H117" s="43" t="s">
        <v>73</v>
      </c>
      <c r="I117" s="44">
        <v>1</v>
      </c>
      <c r="J117" s="45">
        <v>13.5</v>
      </c>
      <c r="K117" s="45">
        <v>13.5</v>
      </c>
    </row>
    <row r="118" spans="4:11">
      <c r="D118" s="42">
        <v>46177</v>
      </c>
      <c r="E118" s="43">
        <v>1609094</v>
      </c>
      <c r="F118" s="43" t="s">
        <v>13</v>
      </c>
      <c r="G118" s="44">
        <v>20376621</v>
      </c>
      <c r="H118" s="43" t="s">
        <v>65</v>
      </c>
      <c r="I118" s="44">
        <v>2</v>
      </c>
      <c r="J118" s="45">
        <v>8</v>
      </c>
      <c r="K118" s="45">
        <v>16</v>
      </c>
    </row>
    <row r="119" spans="4:11">
      <c r="D119" s="42">
        <v>46177</v>
      </c>
      <c r="E119" s="43">
        <v>1609094</v>
      </c>
      <c r="F119" s="43" t="s">
        <v>13</v>
      </c>
      <c r="G119" s="44">
        <v>20377357</v>
      </c>
      <c r="H119" s="43" t="s">
        <v>37</v>
      </c>
      <c r="I119" s="44">
        <v>5</v>
      </c>
      <c r="J119" s="45">
        <v>8</v>
      </c>
      <c r="K119" s="45">
        <v>40</v>
      </c>
    </row>
    <row r="120" spans="4:11">
      <c r="D120" s="42">
        <v>46177</v>
      </c>
      <c r="E120" s="43">
        <v>1609198</v>
      </c>
      <c r="F120" s="43" t="s">
        <v>13</v>
      </c>
      <c r="G120" s="44">
        <v>20406253</v>
      </c>
      <c r="H120" s="43" t="s">
        <v>50</v>
      </c>
      <c r="I120" s="44">
        <v>3</v>
      </c>
      <c r="J120" s="45">
        <v>13.5</v>
      </c>
      <c r="K120" s="45">
        <v>40.5</v>
      </c>
    </row>
    <row r="121" spans="4:11">
      <c r="D121" s="42">
        <v>46177</v>
      </c>
      <c r="E121" s="43">
        <v>1609198</v>
      </c>
      <c r="F121" s="43" t="s">
        <v>13</v>
      </c>
      <c r="G121" s="44">
        <v>20313588</v>
      </c>
      <c r="H121" s="43" t="s">
        <v>30</v>
      </c>
      <c r="I121" s="44">
        <v>8</v>
      </c>
      <c r="J121" s="45">
        <v>8</v>
      </c>
      <c r="K121" s="45">
        <v>64</v>
      </c>
    </row>
    <row r="122" spans="4:11">
      <c r="D122" s="42">
        <v>46177</v>
      </c>
      <c r="E122" s="43">
        <v>1609198</v>
      </c>
      <c r="F122" s="43" t="s">
        <v>13</v>
      </c>
      <c r="G122" s="44">
        <v>20324084</v>
      </c>
      <c r="H122" s="43" t="s">
        <v>24</v>
      </c>
      <c r="I122" s="44">
        <v>1</v>
      </c>
      <c r="J122" s="45">
        <v>8</v>
      </c>
      <c r="K122" s="45">
        <v>8</v>
      </c>
    </row>
    <row r="123" spans="4:11">
      <c r="D123" s="42">
        <v>46177</v>
      </c>
      <c r="E123" s="43">
        <v>1609198</v>
      </c>
      <c r="F123" s="43" t="s">
        <v>13</v>
      </c>
      <c r="G123" s="44">
        <v>20376621</v>
      </c>
      <c r="H123" s="43" t="s">
        <v>65</v>
      </c>
      <c r="I123" s="44">
        <v>3</v>
      </c>
      <c r="J123" s="45">
        <v>8</v>
      </c>
      <c r="K123" s="45">
        <v>24</v>
      </c>
    </row>
    <row r="124" spans="4:11">
      <c r="D124" s="42">
        <v>46177</v>
      </c>
      <c r="E124" s="43">
        <v>1609198</v>
      </c>
      <c r="F124" s="43" t="s">
        <v>13</v>
      </c>
      <c r="G124" s="44">
        <v>20377357</v>
      </c>
      <c r="H124" s="43" t="s">
        <v>37</v>
      </c>
      <c r="I124" s="44">
        <v>7</v>
      </c>
      <c r="J124" s="45">
        <v>8</v>
      </c>
      <c r="K124" s="45">
        <v>56</v>
      </c>
    </row>
    <row r="125" spans="4:11">
      <c r="D125" s="42">
        <v>46179</v>
      </c>
      <c r="E125" s="43">
        <v>1609875</v>
      </c>
      <c r="F125" s="43" t="s">
        <v>13</v>
      </c>
      <c r="G125" s="44">
        <v>20406253</v>
      </c>
      <c r="H125" s="43" t="s">
        <v>50</v>
      </c>
      <c r="I125" s="44">
        <v>1</v>
      </c>
      <c r="J125" s="45">
        <v>13.5</v>
      </c>
      <c r="K125" s="45">
        <v>13.5</v>
      </c>
    </row>
    <row r="126" spans="4:11">
      <c r="D126" s="42">
        <v>46179</v>
      </c>
      <c r="E126" s="43">
        <v>1609875</v>
      </c>
      <c r="F126" s="43" t="s">
        <v>13</v>
      </c>
      <c r="G126" s="44">
        <v>20313588</v>
      </c>
      <c r="H126" s="43" t="s">
        <v>30</v>
      </c>
      <c r="I126" s="44">
        <v>4</v>
      </c>
      <c r="J126" s="45">
        <v>8</v>
      </c>
      <c r="K126" s="45">
        <v>32</v>
      </c>
    </row>
    <row r="127" spans="4:11">
      <c r="D127" s="42">
        <v>46179</v>
      </c>
      <c r="E127" s="43">
        <v>1609875</v>
      </c>
      <c r="F127" s="43" t="s">
        <v>13</v>
      </c>
      <c r="G127" s="44">
        <v>20376863</v>
      </c>
      <c r="H127" s="43" t="s">
        <v>73</v>
      </c>
      <c r="I127" s="44">
        <v>1</v>
      </c>
      <c r="J127" s="45">
        <v>13.5</v>
      </c>
      <c r="K127" s="45">
        <v>13.5</v>
      </c>
    </row>
    <row r="128" spans="4:11">
      <c r="D128" s="42">
        <v>46179</v>
      </c>
      <c r="E128" s="43">
        <v>1609875</v>
      </c>
      <c r="F128" s="43" t="s">
        <v>13</v>
      </c>
      <c r="G128" s="44">
        <v>20376621</v>
      </c>
      <c r="H128" s="43" t="s">
        <v>65</v>
      </c>
      <c r="I128" s="44">
        <v>1</v>
      </c>
      <c r="J128" s="45">
        <v>8</v>
      </c>
      <c r="K128" s="45">
        <v>8</v>
      </c>
    </row>
    <row r="129" spans="4:11">
      <c r="D129" s="42">
        <v>46179</v>
      </c>
      <c r="E129" s="43">
        <v>1609875</v>
      </c>
      <c r="F129" s="43" t="s">
        <v>13</v>
      </c>
      <c r="G129" s="44">
        <v>20377357</v>
      </c>
      <c r="H129" s="43" t="s">
        <v>37</v>
      </c>
      <c r="I129" s="44">
        <v>1</v>
      </c>
      <c r="J129" s="45">
        <v>8</v>
      </c>
      <c r="K129" s="45">
        <v>8</v>
      </c>
    </row>
    <row r="130" spans="4:11">
      <c r="D130" s="42">
        <v>46182</v>
      </c>
      <c r="E130" s="43">
        <v>1610555</v>
      </c>
      <c r="F130" s="43" t="s">
        <v>13</v>
      </c>
      <c r="G130" s="44">
        <v>20313588</v>
      </c>
      <c r="H130" s="43" t="s">
        <v>30</v>
      </c>
      <c r="I130" s="44">
        <v>3</v>
      </c>
      <c r="J130" s="45">
        <v>8</v>
      </c>
      <c r="K130" s="45">
        <v>24</v>
      </c>
    </row>
    <row r="131" spans="4:11">
      <c r="D131" s="42">
        <v>46182</v>
      </c>
      <c r="E131" s="43">
        <v>1610555</v>
      </c>
      <c r="F131" s="43" t="s">
        <v>13</v>
      </c>
      <c r="G131" s="44">
        <v>20376620</v>
      </c>
      <c r="H131" s="43" t="s">
        <v>65</v>
      </c>
      <c r="I131" s="44">
        <v>4</v>
      </c>
      <c r="J131" s="45">
        <v>8</v>
      </c>
      <c r="K131" s="45">
        <v>32</v>
      </c>
    </row>
    <row r="132" spans="4:11">
      <c r="D132" s="42">
        <v>46182</v>
      </c>
      <c r="E132" s="43">
        <v>1610555</v>
      </c>
      <c r="F132" s="43" t="s">
        <v>13</v>
      </c>
      <c r="G132" s="44">
        <v>20377357</v>
      </c>
      <c r="H132" s="43" t="s">
        <v>37</v>
      </c>
      <c r="I132" s="44">
        <v>2</v>
      </c>
      <c r="J132" s="45">
        <v>8</v>
      </c>
      <c r="K132" s="45">
        <v>16</v>
      </c>
    </row>
    <row r="133" spans="4:11">
      <c r="D133" s="42">
        <v>46183</v>
      </c>
      <c r="E133" s="43">
        <v>1610824</v>
      </c>
      <c r="F133" s="43" t="s">
        <v>13</v>
      </c>
      <c r="G133" s="44">
        <v>20376624</v>
      </c>
      <c r="H133" s="43" t="s">
        <v>33</v>
      </c>
      <c r="I133" s="44">
        <v>1</v>
      </c>
      <c r="J133" s="45">
        <v>8</v>
      </c>
      <c r="K133" s="45">
        <v>8</v>
      </c>
    </row>
    <row r="134" spans="4:11">
      <c r="D134" s="42">
        <v>46183</v>
      </c>
      <c r="E134" s="43">
        <v>1610824</v>
      </c>
      <c r="F134" s="43" t="s">
        <v>13</v>
      </c>
      <c r="G134" s="44">
        <v>20406253</v>
      </c>
      <c r="H134" s="43" t="s">
        <v>50</v>
      </c>
      <c r="I134" s="44">
        <v>2</v>
      </c>
      <c r="J134" s="45">
        <v>13.5</v>
      </c>
      <c r="K134" s="45">
        <v>27</v>
      </c>
    </row>
    <row r="135" spans="4:11">
      <c r="D135" s="42">
        <v>46183</v>
      </c>
      <c r="E135" s="43">
        <v>1610824</v>
      </c>
      <c r="F135" s="43" t="s">
        <v>13</v>
      </c>
      <c r="G135" s="44">
        <v>20313588</v>
      </c>
      <c r="H135" s="43" t="s">
        <v>30</v>
      </c>
      <c r="I135" s="44">
        <v>10</v>
      </c>
      <c r="J135" s="45">
        <v>8</v>
      </c>
      <c r="K135" s="45">
        <v>80</v>
      </c>
    </row>
    <row r="136" spans="4:11">
      <c r="D136" s="42">
        <v>46183</v>
      </c>
      <c r="E136" s="43">
        <v>1610824</v>
      </c>
      <c r="F136" s="43" t="s">
        <v>13</v>
      </c>
      <c r="G136" s="44">
        <v>20377357</v>
      </c>
      <c r="H136" s="43" t="s">
        <v>37</v>
      </c>
      <c r="I136" s="44">
        <v>7</v>
      </c>
      <c r="J136" s="45">
        <v>8</v>
      </c>
      <c r="K136" s="45">
        <v>56</v>
      </c>
    </row>
    <row r="137" spans="4:11">
      <c r="D137" s="42">
        <v>46183</v>
      </c>
      <c r="E137" s="43">
        <v>1610937</v>
      </c>
      <c r="F137" s="43" t="s">
        <v>13</v>
      </c>
      <c r="G137" s="44">
        <v>20406253</v>
      </c>
      <c r="H137" s="43" t="s">
        <v>50</v>
      </c>
      <c r="I137" s="44">
        <v>1</v>
      </c>
      <c r="J137" s="45">
        <v>13.5</v>
      </c>
      <c r="K137" s="45">
        <v>13.5</v>
      </c>
    </row>
    <row r="138" spans="4:11">
      <c r="D138" s="42">
        <v>46183</v>
      </c>
      <c r="E138" s="43">
        <v>1610937</v>
      </c>
      <c r="F138" s="43" t="s">
        <v>13</v>
      </c>
      <c r="G138" s="44">
        <v>20313588</v>
      </c>
      <c r="H138" s="43" t="s">
        <v>30</v>
      </c>
      <c r="I138" s="44">
        <v>4</v>
      </c>
      <c r="J138" s="45">
        <v>8</v>
      </c>
      <c r="K138" s="45">
        <v>32</v>
      </c>
    </row>
    <row r="139" spans="4:11">
      <c r="D139" s="42">
        <v>46183</v>
      </c>
      <c r="E139" s="43">
        <v>1610937</v>
      </c>
      <c r="F139" s="43" t="s">
        <v>13</v>
      </c>
      <c r="G139" s="44">
        <v>20376621</v>
      </c>
      <c r="H139" s="43" t="s">
        <v>65</v>
      </c>
      <c r="I139" s="44">
        <v>1</v>
      </c>
      <c r="J139" s="45">
        <v>8</v>
      </c>
      <c r="K139" s="45">
        <v>8</v>
      </c>
    </row>
    <row r="140" spans="4:11">
      <c r="D140" s="42">
        <v>46183</v>
      </c>
      <c r="E140" s="43">
        <v>1610937</v>
      </c>
      <c r="F140" s="43" t="s">
        <v>13</v>
      </c>
      <c r="G140" s="44">
        <v>20377357</v>
      </c>
      <c r="H140" s="43" t="s">
        <v>37</v>
      </c>
      <c r="I140" s="44">
        <v>4</v>
      </c>
      <c r="J140" s="45">
        <v>8</v>
      </c>
      <c r="K140" s="45">
        <v>32</v>
      </c>
    </row>
    <row r="141" spans="4:11">
      <c r="D141" s="42">
        <v>46184</v>
      </c>
      <c r="E141" s="43">
        <v>1611298</v>
      </c>
      <c r="F141" s="43" t="s">
        <v>13</v>
      </c>
      <c r="G141" s="44">
        <v>20376624</v>
      </c>
      <c r="H141" s="43" t="s">
        <v>33</v>
      </c>
      <c r="I141" s="44">
        <v>2</v>
      </c>
      <c r="J141" s="45">
        <v>8</v>
      </c>
      <c r="K141" s="45">
        <v>16</v>
      </c>
    </row>
    <row r="142" spans="4:11">
      <c r="D142" s="42">
        <v>46184</v>
      </c>
      <c r="E142" s="43">
        <v>1611298</v>
      </c>
      <c r="F142" s="43" t="s">
        <v>13</v>
      </c>
      <c r="G142" s="44">
        <v>20406253</v>
      </c>
      <c r="H142" s="43" t="s">
        <v>50</v>
      </c>
      <c r="I142" s="44">
        <v>2</v>
      </c>
      <c r="J142" s="45">
        <v>13.5</v>
      </c>
      <c r="K142" s="45">
        <v>27</v>
      </c>
    </row>
    <row r="143" spans="4:11">
      <c r="D143" s="42">
        <v>46184</v>
      </c>
      <c r="E143" s="43">
        <v>1611298</v>
      </c>
      <c r="F143" s="43" t="s">
        <v>13</v>
      </c>
      <c r="G143" s="44">
        <v>20313588</v>
      </c>
      <c r="H143" s="43" t="s">
        <v>30</v>
      </c>
      <c r="I143" s="44">
        <v>8</v>
      </c>
      <c r="J143" s="45">
        <v>8</v>
      </c>
      <c r="K143" s="45">
        <v>64</v>
      </c>
    </row>
    <row r="144" spans="4:11">
      <c r="D144" s="42">
        <v>46184</v>
      </c>
      <c r="E144" s="43">
        <v>1611298</v>
      </c>
      <c r="F144" s="43" t="s">
        <v>13</v>
      </c>
      <c r="G144" s="44">
        <v>20397287</v>
      </c>
      <c r="H144" s="43" t="s">
        <v>43</v>
      </c>
      <c r="I144" s="44">
        <v>1</v>
      </c>
      <c r="J144" s="45">
        <v>13.5</v>
      </c>
      <c r="K144" s="45">
        <v>13.5</v>
      </c>
    </row>
    <row r="145" spans="4:11">
      <c r="D145" s="42">
        <v>46184</v>
      </c>
      <c r="E145" s="43">
        <v>1611298</v>
      </c>
      <c r="F145" s="43" t="s">
        <v>13</v>
      </c>
      <c r="G145" s="44">
        <v>20409657</v>
      </c>
      <c r="H145" s="43" t="s">
        <v>72</v>
      </c>
      <c r="I145" s="44">
        <v>1</v>
      </c>
      <c r="J145" s="45">
        <v>16.5</v>
      </c>
      <c r="K145" s="45">
        <v>16.5</v>
      </c>
    </row>
    <row r="146" spans="4:11">
      <c r="D146" s="42">
        <v>46184</v>
      </c>
      <c r="E146" s="43">
        <v>1611298</v>
      </c>
      <c r="F146" s="43" t="s">
        <v>13</v>
      </c>
      <c r="G146" s="44">
        <v>20376621</v>
      </c>
      <c r="H146" s="43" t="s">
        <v>65</v>
      </c>
      <c r="I146" s="44">
        <v>3</v>
      </c>
      <c r="J146" s="45">
        <v>8</v>
      </c>
      <c r="K146" s="45">
        <v>24</v>
      </c>
    </row>
    <row r="147" spans="4:11">
      <c r="D147" s="42">
        <v>46184</v>
      </c>
      <c r="E147" s="43">
        <v>1611298</v>
      </c>
      <c r="F147" s="43" t="s">
        <v>13</v>
      </c>
      <c r="G147" s="44">
        <v>20377357</v>
      </c>
      <c r="H147" s="43" t="s">
        <v>37</v>
      </c>
      <c r="I147" s="44">
        <v>3</v>
      </c>
      <c r="J147" s="45">
        <v>8</v>
      </c>
      <c r="K147" s="45">
        <v>24</v>
      </c>
    </row>
    <row r="148" spans="4:11">
      <c r="D148" s="42">
        <v>46184</v>
      </c>
      <c r="E148" s="43">
        <v>1611575</v>
      </c>
      <c r="F148" s="43" t="s">
        <v>13</v>
      </c>
      <c r="G148" s="44">
        <v>20406253</v>
      </c>
      <c r="H148" s="43" t="s">
        <v>50</v>
      </c>
      <c r="I148" s="44">
        <v>1</v>
      </c>
      <c r="J148" s="45">
        <v>13.5</v>
      </c>
      <c r="K148" s="45">
        <v>13.5</v>
      </c>
    </row>
    <row r="149" spans="4:11">
      <c r="D149" s="42">
        <v>46184</v>
      </c>
      <c r="E149" s="43">
        <v>1611575</v>
      </c>
      <c r="F149" s="43" t="s">
        <v>13</v>
      </c>
      <c r="G149" s="44">
        <v>20313588</v>
      </c>
      <c r="H149" s="43" t="s">
        <v>30</v>
      </c>
      <c r="I149" s="44">
        <v>3</v>
      </c>
      <c r="J149" s="45">
        <v>8</v>
      </c>
      <c r="K149" s="45">
        <v>24</v>
      </c>
    </row>
    <row r="150" spans="4:11">
      <c r="D150" s="42">
        <v>46184</v>
      </c>
      <c r="E150" s="43">
        <v>1611575</v>
      </c>
      <c r="F150" s="43" t="s">
        <v>13</v>
      </c>
      <c r="G150" s="44">
        <v>20324084</v>
      </c>
      <c r="H150" s="43" t="s">
        <v>24</v>
      </c>
      <c r="I150" s="44">
        <v>1</v>
      </c>
      <c r="J150" s="45">
        <v>8</v>
      </c>
      <c r="K150" s="45">
        <v>8</v>
      </c>
    </row>
    <row r="151" spans="4:11">
      <c r="D151" s="42">
        <v>46184</v>
      </c>
      <c r="E151" s="43">
        <v>1611575</v>
      </c>
      <c r="F151" s="43" t="s">
        <v>13</v>
      </c>
      <c r="G151" s="44">
        <v>20376621</v>
      </c>
      <c r="H151" s="43" t="s">
        <v>65</v>
      </c>
      <c r="I151" s="44">
        <v>2</v>
      </c>
      <c r="J151" s="45">
        <v>8</v>
      </c>
      <c r="K151" s="45">
        <v>16</v>
      </c>
    </row>
    <row r="152" spans="4:11">
      <c r="D152" s="42">
        <v>46184</v>
      </c>
      <c r="E152" s="43">
        <v>1611575</v>
      </c>
      <c r="F152" s="43" t="s">
        <v>13</v>
      </c>
      <c r="G152" s="44">
        <v>20377357</v>
      </c>
      <c r="H152" s="43" t="s">
        <v>37</v>
      </c>
      <c r="I152" s="44">
        <v>3</v>
      </c>
      <c r="J152" s="45">
        <v>8</v>
      </c>
      <c r="K152" s="45">
        <v>24</v>
      </c>
    </row>
    <row r="153" spans="4:11">
      <c r="D153" s="42">
        <v>46185</v>
      </c>
      <c r="E153" s="43">
        <v>1611668</v>
      </c>
      <c r="F153" s="43" t="s">
        <v>13</v>
      </c>
      <c r="G153" s="44">
        <v>20406253</v>
      </c>
      <c r="H153" s="43" t="s">
        <v>50</v>
      </c>
      <c r="I153" s="44">
        <v>1</v>
      </c>
      <c r="J153" s="45">
        <v>13.5</v>
      </c>
      <c r="K153" s="45">
        <v>13.5</v>
      </c>
    </row>
    <row r="154" spans="4:11">
      <c r="D154" s="42">
        <v>46185</v>
      </c>
      <c r="E154" s="43">
        <v>1611668</v>
      </c>
      <c r="F154" s="43" t="s">
        <v>13</v>
      </c>
      <c r="G154" s="44">
        <v>20313588</v>
      </c>
      <c r="H154" s="43" t="s">
        <v>30</v>
      </c>
      <c r="I154" s="44">
        <v>5</v>
      </c>
      <c r="J154" s="45">
        <v>8</v>
      </c>
      <c r="K154" s="45">
        <v>40</v>
      </c>
    </row>
    <row r="155" spans="4:11">
      <c r="D155" s="42">
        <v>46185</v>
      </c>
      <c r="E155" s="43">
        <v>1611668</v>
      </c>
      <c r="F155" s="43" t="s">
        <v>13</v>
      </c>
      <c r="G155" s="44">
        <v>20376620</v>
      </c>
      <c r="H155" s="43" t="s">
        <v>65</v>
      </c>
      <c r="I155" s="44">
        <v>2</v>
      </c>
      <c r="J155" s="45">
        <v>8</v>
      </c>
      <c r="K155" s="45">
        <v>16</v>
      </c>
    </row>
  </sheetData>
  <autoFilter xmlns:etc="http://www.wps.cn/officeDocument/2017/etCustomData" ref="A7:K155" etc:filterBottomFollowUsedRange="0">
    <extLst/>
  </autoFilter>
  <mergeCells count="5">
    <mergeCell ref="D8:H8"/>
    <mergeCell ref="C7:C155"/>
    <mergeCell ref="B4:H5"/>
    <mergeCell ref="A7:B15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76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221</v>
      </c>
      <c r="J8" s="41"/>
      <c r="K8" s="41">
        <v>1931</v>
      </c>
    </row>
    <row r="9" spans="1:11">
      <c r="D9" s="42">
        <v>46158</v>
      </c>
      <c r="E9" s="43">
        <v>1603666</v>
      </c>
      <c r="F9" s="43" t="s">
        <v>13</v>
      </c>
      <c r="G9" s="44">
        <v>20406253</v>
      </c>
      <c r="H9" s="43" t="s">
        <v>50</v>
      </c>
      <c r="I9" s="44">
        <v>1</v>
      </c>
      <c r="J9" s="45">
        <v>13.5</v>
      </c>
      <c r="K9" s="45">
        <v>13.5</v>
      </c>
    </row>
    <row r="10" spans="1:11">
      <c r="D10" s="42">
        <v>46158</v>
      </c>
      <c r="E10" s="43">
        <v>1603666</v>
      </c>
      <c r="F10" s="43" t="s">
        <v>13</v>
      </c>
      <c r="G10" s="44">
        <v>20313588</v>
      </c>
      <c r="H10" s="43" t="s">
        <v>30</v>
      </c>
      <c r="I10" s="44">
        <v>3</v>
      </c>
      <c r="J10" s="45">
        <v>8</v>
      </c>
      <c r="K10" s="45">
        <v>24</v>
      </c>
    </row>
    <row r="11" spans="1:11">
      <c r="D11" s="42">
        <v>46158</v>
      </c>
      <c r="E11" s="43">
        <v>1603666</v>
      </c>
      <c r="F11" s="43" t="s">
        <v>13</v>
      </c>
      <c r="G11" s="44">
        <v>20396337</v>
      </c>
      <c r="H11" s="43" t="s">
        <v>40</v>
      </c>
      <c r="I11" s="44">
        <v>1</v>
      </c>
      <c r="J11" s="45">
        <v>8</v>
      </c>
      <c r="K11" s="45">
        <v>8</v>
      </c>
    </row>
    <row r="12" spans="1:11">
      <c r="D12" s="42">
        <v>46158</v>
      </c>
      <c r="E12" s="43">
        <v>1603666</v>
      </c>
      <c r="F12" s="43" t="s">
        <v>13</v>
      </c>
      <c r="G12" s="44">
        <v>20377357</v>
      </c>
      <c r="H12" s="43" t="s">
        <v>37</v>
      </c>
      <c r="I12" s="44">
        <v>2</v>
      </c>
      <c r="J12" s="45">
        <v>8</v>
      </c>
      <c r="K12" s="45">
        <v>16</v>
      </c>
    </row>
    <row r="13" spans="1:11">
      <c r="D13" s="42">
        <v>46162</v>
      </c>
      <c r="E13" s="43">
        <v>1604583</v>
      </c>
      <c r="F13" s="43" t="s">
        <v>13</v>
      </c>
      <c r="G13" s="44">
        <v>20376624</v>
      </c>
      <c r="H13" s="43" t="s">
        <v>33</v>
      </c>
      <c r="I13" s="44">
        <v>1</v>
      </c>
      <c r="J13" s="45">
        <v>8</v>
      </c>
      <c r="K13" s="45">
        <v>8</v>
      </c>
    </row>
    <row r="14" spans="1:11">
      <c r="D14" s="42">
        <v>46162</v>
      </c>
      <c r="E14" s="43">
        <v>1604583</v>
      </c>
      <c r="F14" s="43" t="s">
        <v>13</v>
      </c>
      <c r="G14" s="44">
        <v>20406253</v>
      </c>
      <c r="H14" s="43" t="s">
        <v>50</v>
      </c>
      <c r="I14" s="44">
        <v>1</v>
      </c>
      <c r="J14" s="45">
        <v>13.5</v>
      </c>
      <c r="K14" s="45">
        <v>13.5</v>
      </c>
    </row>
    <row r="15" spans="1:11">
      <c r="D15" s="42">
        <v>46162</v>
      </c>
      <c r="E15" s="43">
        <v>1604583</v>
      </c>
      <c r="F15" s="43" t="s">
        <v>13</v>
      </c>
      <c r="G15" s="44">
        <v>20313588</v>
      </c>
      <c r="H15" s="43" t="s">
        <v>30</v>
      </c>
      <c r="I15" s="44">
        <v>1</v>
      </c>
      <c r="J15" s="45">
        <v>8</v>
      </c>
      <c r="K15" s="45">
        <v>8</v>
      </c>
    </row>
    <row r="16" spans="1:11">
      <c r="D16" s="42">
        <v>46162</v>
      </c>
      <c r="E16" s="43">
        <v>1604583</v>
      </c>
      <c r="F16" s="43" t="s">
        <v>13</v>
      </c>
      <c r="G16" s="44">
        <v>20377357</v>
      </c>
      <c r="H16" s="43" t="s">
        <v>37</v>
      </c>
      <c r="I16" s="44">
        <v>1</v>
      </c>
      <c r="J16" s="45">
        <v>8</v>
      </c>
      <c r="K16" s="45">
        <v>8</v>
      </c>
    </row>
    <row r="17" spans="4:11">
      <c r="D17" s="42">
        <v>46163</v>
      </c>
      <c r="E17" s="43">
        <v>1604996</v>
      </c>
      <c r="F17" s="43" t="s">
        <v>13</v>
      </c>
      <c r="G17" s="44">
        <v>20376624</v>
      </c>
      <c r="H17" s="43" t="s">
        <v>33</v>
      </c>
      <c r="I17" s="44">
        <v>1</v>
      </c>
      <c r="J17" s="45">
        <v>8</v>
      </c>
      <c r="K17" s="45">
        <v>8</v>
      </c>
    </row>
    <row r="18" spans="4:11">
      <c r="D18" s="42">
        <v>46163</v>
      </c>
      <c r="E18" s="43">
        <v>1604996</v>
      </c>
      <c r="F18" s="43" t="s">
        <v>13</v>
      </c>
      <c r="G18" s="44">
        <v>20406253</v>
      </c>
      <c r="H18" s="43" t="s">
        <v>50</v>
      </c>
      <c r="I18" s="44">
        <v>1</v>
      </c>
      <c r="J18" s="45">
        <v>13.5</v>
      </c>
      <c r="K18" s="45">
        <v>13.5</v>
      </c>
    </row>
    <row r="19" spans="4:11">
      <c r="D19" s="42">
        <v>46163</v>
      </c>
      <c r="E19" s="43">
        <v>1604996</v>
      </c>
      <c r="F19" s="43" t="s">
        <v>13</v>
      </c>
      <c r="G19" s="44">
        <v>20394769</v>
      </c>
      <c r="H19" s="43" t="s">
        <v>67</v>
      </c>
      <c r="I19" s="44">
        <v>1</v>
      </c>
      <c r="J19" s="45">
        <v>8</v>
      </c>
      <c r="K19" s="45">
        <v>8</v>
      </c>
    </row>
    <row r="20" spans="4:11">
      <c r="D20" s="42">
        <v>46163</v>
      </c>
      <c r="E20" s="43">
        <v>1604996</v>
      </c>
      <c r="F20" s="43" t="s">
        <v>13</v>
      </c>
      <c r="G20" s="44">
        <v>20313588</v>
      </c>
      <c r="H20" s="43" t="s">
        <v>30</v>
      </c>
      <c r="I20" s="44">
        <v>2</v>
      </c>
      <c r="J20" s="45">
        <v>8</v>
      </c>
      <c r="K20" s="45">
        <v>16</v>
      </c>
    </row>
    <row r="21" spans="4:11">
      <c r="D21" s="42">
        <v>46163</v>
      </c>
      <c r="E21" s="43">
        <v>1604996</v>
      </c>
      <c r="F21" s="43" t="s">
        <v>13</v>
      </c>
      <c r="G21" s="44">
        <v>20377357</v>
      </c>
      <c r="H21" s="43" t="s">
        <v>37</v>
      </c>
      <c r="I21" s="44">
        <v>4</v>
      </c>
      <c r="J21" s="45">
        <v>8</v>
      </c>
      <c r="K21" s="45">
        <v>32</v>
      </c>
    </row>
    <row r="22" spans="4:11">
      <c r="D22" s="42">
        <v>46164</v>
      </c>
      <c r="E22" s="43">
        <v>1605369</v>
      </c>
      <c r="F22" s="43" t="s">
        <v>13</v>
      </c>
      <c r="G22" s="44">
        <v>20376624</v>
      </c>
      <c r="H22" s="43" t="s">
        <v>33</v>
      </c>
      <c r="I22" s="44">
        <v>2</v>
      </c>
      <c r="J22" s="45">
        <v>8</v>
      </c>
      <c r="K22" s="45">
        <v>16</v>
      </c>
    </row>
    <row r="23" spans="4:11">
      <c r="D23" s="42">
        <v>46164</v>
      </c>
      <c r="E23" s="43">
        <v>1605369</v>
      </c>
      <c r="F23" s="43" t="s">
        <v>13</v>
      </c>
      <c r="G23" s="44">
        <v>20406253</v>
      </c>
      <c r="H23" s="43" t="s">
        <v>50</v>
      </c>
      <c r="I23" s="44">
        <v>3</v>
      </c>
      <c r="J23" s="45">
        <v>13.5</v>
      </c>
      <c r="K23" s="45">
        <v>40.5</v>
      </c>
    </row>
    <row r="24" spans="4:11">
      <c r="D24" s="42">
        <v>46164</v>
      </c>
      <c r="E24" s="43">
        <v>1605369</v>
      </c>
      <c r="F24" s="43" t="s">
        <v>13</v>
      </c>
      <c r="G24" s="44">
        <v>20313588</v>
      </c>
      <c r="H24" s="43" t="s">
        <v>30</v>
      </c>
      <c r="I24" s="44">
        <v>5</v>
      </c>
      <c r="J24" s="45">
        <v>8</v>
      </c>
      <c r="K24" s="45">
        <v>40</v>
      </c>
    </row>
    <row r="25" spans="4:11">
      <c r="D25" s="42">
        <v>46164</v>
      </c>
      <c r="E25" s="43">
        <v>1605369</v>
      </c>
      <c r="F25" s="43" t="s">
        <v>13</v>
      </c>
      <c r="G25" s="44">
        <v>20377357</v>
      </c>
      <c r="H25" s="43" t="s">
        <v>37</v>
      </c>
      <c r="I25" s="44">
        <v>4</v>
      </c>
      <c r="J25" s="45">
        <v>8</v>
      </c>
      <c r="K25" s="45">
        <v>32</v>
      </c>
    </row>
    <row r="26" spans="4:11">
      <c r="D26" s="42">
        <v>46164</v>
      </c>
      <c r="E26" s="43">
        <v>1605501</v>
      </c>
      <c r="F26" s="43" t="s">
        <v>13</v>
      </c>
      <c r="G26" s="44">
        <v>20376624</v>
      </c>
      <c r="H26" s="43" t="s">
        <v>33</v>
      </c>
      <c r="I26" s="44">
        <v>1</v>
      </c>
      <c r="J26" s="45">
        <v>8</v>
      </c>
      <c r="K26" s="45">
        <v>8</v>
      </c>
    </row>
    <row r="27" spans="4:11">
      <c r="D27" s="42">
        <v>46164</v>
      </c>
      <c r="E27" s="43">
        <v>1605501</v>
      </c>
      <c r="F27" s="43" t="s">
        <v>13</v>
      </c>
      <c r="G27" s="44">
        <v>20406253</v>
      </c>
      <c r="H27" s="43" t="s">
        <v>50</v>
      </c>
      <c r="I27" s="44">
        <v>1</v>
      </c>
      <c r="J27" s="45">
        <v>13.5</v>
      </c>
      <c r="K27" s="45">
        <v>13.5</v>
      </c>
    </row>
    <row r="28" spans="4:11">
      <c r="D28" s="42">
        <v>46164</v>
      </c>
      <c r="E28" s="43">
        <v>1605501</v>
      </c>
      <c r="F28" s="43" t="s">
        <v>13</v>
      </c>
      <c r="G28" s="44">
        <v>20313588</v>
      </c>
      <c r="H28" s="43" t="s">
        <v>30</v>
      </c>
      <c r="I28" s="44">
        <v>1</v>
      </c>
      <c r="J28" s="45">
        <v>8</v>
      </c>
      <c r="K28" s="45">
        <v>8</v>
      </c>
    </row>
    <row r="29" spans="4:11">
      <c r="D29" s="42">
        <v>46164</v>
      </c>
      <c r="E29" s="43">
        <v>1605501</v>
      </c>
      <c r="F29" s="43" t="s">
        <v>13</v>
      </c>
      <c r="G29" s="44">
        <v>20377357</v>
      </c>
      <c r="H29" s="43" t="s">
        <v>37</v>
      </c>
      <c r="I29" s="44">
        <v>2</v>
      </c>
      <c r="J29" s="45">
        <v>8</v>
      </c>
      <c r="K29" s="45">
        <v>16</v>
      </c>
    </row>
    <row r="30" spans="4:11">
      <c r="D30" s="42">
        <v>46165</v>
      </c>
      <c r="E30" s="43">
        <v>1605734</v>
      </c>
      <c r="F30" s="43" t="s">
        <v>13</v>
      </c>
      <c r="G30" s="44">
        <v>20406253</v>
      </c>
      <c r="H30" s="43" t="s">
        <v>50</v>
      </c>
      <c r="I30" s="44">
        <v>2</v>
      </c>
      <c r="J30" s="45">
        <v>13.5</v>
      </c>
      <c r="K30" s="45">
        <v>27</v>
      </c>
    </row>
    <row r="31" spans="4:11">
      <c r="D31" s="42">
        <v>46165</v>
      </c>
      <c r="E31" s="43">
        <v>1605734</v>
      </c>
      <c r="F31" s="43" t="s">
        <v>13</v>
      </c>
      <c r="G31" s="44">
        <v>20313588</v>
      </c>
      <c r="H31" s="43" t="s">
        <v>30</v>
      </c>
      <c r="I31" s="44">
        <v>5</v>
      </c>
      <c r="J31" s="45">
        <v>8</v>
      </c>
      <c r="K31" s="45">
        <v>40</v>
      </c>
    </row>
    <row r="32" spans="4:11">
      <c r="D32" s="42">
        <v>46165</v>
      </c>
      <c r="E32" s="43">
        <v>1605734</v>
      </c>
      <c r="F32" s="43" t="s">
        <v>13</v>
      </c>
      <c r="G32" s="44">
        <v>20377357</v>
      </c>
      <c r="H32" s="43" t="s">
        <v>37</v>
      </c>
      <c r="I32" s="44">
        <v>5</v>
      </c>
      <c r="J32" s="45">
        <v>8</v>
      </c>
      <c r="K32" s="45">
        <v>40</v>
      </c>
    </row>
    <row r="33" spans="4:11">
      <c r="D33" s="42">
        <v>46168</v>
      </c>
      <c r="E33" s="43">
        <v>1606379</v>
      </c>
      <c r="F33" s="43" t="s">
        <v>13</v>
      </c>
      <c r="G33" s="44">
        <v>20376624</v>
      </c>
      <c r="H33" s="43" t="s">
        <v>33</v>
      </c>
      <c r="I33" s="44">
        <v>1</v>
      </c>
      <c r="J33" s="45">
        <v>8</v>
      </c>
      <c r="K33" s="45">
        <v>8</v>
      </c>
    </row>
    <row r="34" spans="4:11">
      <c r="D34" s="42">
        <v>46168</v>
      </c>
      <c r="E34" s="43">
        <v>1606379</v>
      </c>
      <c r="F34" s="43" t="s">
        <v>13</v>
      </c>
      <c r="G34" s="44">
        <v>20406253</v>
      </c>
      <c r="H34" s="43" t="s">
        <v>50</v>
      </c>
      <c r="I34" s="44">
        <v>1</v>
      </c>
      <c r="J34" s="45">
        <v>13.5</v>
      </c>
      <c r="K34" s="45">
        <v>13.5</v>
      </c>
    </row>
    <row r="35" spans="4:11">
      <c r="D35" s="42">
        <v>46168</v>
      </c>
      <c r="E35" s="43">
        <v>1606379</v>
      </c>
      <c r="F35" s="43" t="s">
        <v>13</v>
      </c>
      <c r="G35" s="44">
        <v>20313588</v>
      </c>
      <c r="H35" s="43" t="s">
        <v>30</v>
      </c>
      <c r="I35" s="44">
        <v>3</v>
      </c>
      <c r="J35" s="45">
        <v>8</v>
      </c>
      <c r="K35" s="45">
        <v>24</v>
      </c>
    </row>
    <row r="36" spans="4:11">
      <c r="D36" s="42">
        <v>46168</v>
      </c>
      <c r="E36" s="43">
        <v>1606379</v>
      </c>
      <c r="F36" s="43" t="s">
        <v>13</v>
      </c>
      <c r="G36" s="44">
        <v>20377357</v>
      </c>
      <c r="H36" s="43" t="s">
        <v>37</v>
      </c>
      <c r="I36" s="44">
        <v>2</v>
      </c>
      <c r="J36" s="45">
        <v>8</v>
      </c>
      <c r="K36" s="45">
        <v>16</v>
      </c>
    </row>
    <row r="37" spans="4:11">
      <c r="D37" s="42">
        <v>46169</v>
      </c>
      <c r="E37" s="43">
        <v>1606700</v>
      </c>
      <c r="F37" s="43" t="s">
        <v>13</v>
      </c>
      <c r="G37" s="44">
        <v>20406253</v>
      </c>
      <c r="H37" s="43" t="s">
        <v>50</v>
      </c>
      <c r="I37" s="44">
        <v>1</v>
      </c>
      <c r="J37" s="45">
        <v>13.5</v>
      </c>
      <c r="K37" s="45">
        <v>13.5</v>
      </c>
    </row>
    <row r="38" spans="4:11">
      <c r="D38" s="42">
        <v>46169</v>
      </c>
      <c r="E38" s="43">
        <v>1606700</v>
      </c>
      <c r="F38" s="43" t="s">
        <v>13</v>
      </c>
      <c r="G38" s="44">
        <v>20313588</v>
      </c>
      <c r="H38" s="43" t="s">
        <v>30</v>
      </c>
      <c r="I38" s="44">
        <v>1</v>
      </c>
      <c r="J38" s="45">
        <v>8</v>
      </c>
      <c r="K38" s="45">
        <v>8</v>
      </c>
    </row>
    <row r="39" spans="4:11">
      <c r="D39" s="42">
        <v>46169</v>
      </c>
      <c r="E39" s="43">
        <v>1606700</v>
      </c>
      <c r="F39" s="43" t="s">
        <v>13</v>
      </c>
      <c r="G39" s="44">
        <v>20377357</v>
      </c>
      <c r="H39" s="43" t="s">
        <v>37</v>
      </c>
      <c r="I39" s="44">
        <v>2</v>
      </c>
      <c r="J39" s="45">
        <v>8</v>
      </c>
      <c r="K39" s="45">
        <v>16</v>
      </c>
    </row>
    <row r="40" spans="4:11">
      <c r="D40" s="42">
        <v>46170</v>
      </c>
      <c r="E40" s="43">
        <v>1607012</v>
      </c>
      <c r="F40" s="43" t="s">
        <v>13</v>
      </c>
      <c r="G40" s="44">
        <v>20406253</v>
      </c>
      <c r="H40" s="43" t="s">
        <v>50</v>
      </c>
      <c r="I40" s="44">
        <v>1</v>
      </c>
      <c r="J40" s="45">
        <v>13.5</v>
      </c>
      <c r="K40" s="45">
        <v>13.5</v>
      </c>
    </row>
    <row r="41" spans="4:11">
      <c r="D41" s="42">
        <v>46170</v>
      </c>
      <c r="E41" s="43">
        <v>1607012</v>
      </c>
      <c r="F41" s="43" t="s">
        <v>13</v>
      </c>
      <c r="G41" s="44">
        <v>20414939</v>
      </c>
      <c r="H41" s="43" t="s">
        <v>64</v>
      </c>
      <c r="I41" s="44">
        <v>2</v>
      </c>
      <c r="J41" s="45">
        <v>8</v>
      </c>
      <c r="K41" s="45">
        <v>16</v>
      </c>
    </row>
    <row r="42" spans="4:11">
      <c r="D42" s="42">
        <v>46170</v>
      </c>
      <c r="E42" s="43">
        <v>1607012</v>
      </c>
      <c r="F42" s="43" t="s">
        <v>13</v>
      </c>
      <c r="G42" s="44">
        <v>20376620</v>
      </c>
      <c r="H42" s="43" t="s">
        <v>65</v>
      </c>
      <c r="I42" s="44">
        <v>2</v>
      </c>
      <c r="J42" s="45">
        <v>8</v>
      </c>
      <c r="K42" s="45">
        <v>16</v>
      </c>
    </row>
    <row r="43" spans="4:11">
      <c r="D43" s="42">
        <v>46170</v>
      </c>
      <c r="E43" s="43">
        <v>1607012</v>
      </c>
      <c r="F43" s="43" t="s">
        <v>13</v>
      </c>
      <c r="G43" s="44">
        <v>20377357</v>
      </c>
      <c r="H43" s="43" t="s">
        <v>37</v>
      </c>
      <c r="I43" s="44">
        <v>2</v>
      </c>
      <c r="J43" s="45">
        <v>8</v>
      </c>
      <c r="K43" s="45">
        <v>16</v>
      </c>
    </row>
    <row r="44" spans="4:11">
      <c r="D44" s="42">
        <v>46170</v>
      </c>
      <c r="E44" s="43">
        <v>1607135</v>
      </c>
      <c r="F44" s="43" t="s">
        <v>13</v>
      </c>
      <c r="G44" s="44">
        <v>20376624</v>
      </c>
      <c r="H44" s="43" t="s">
        <v>33</v>
      </c>
      <c r="I44" s="44">
        <v>2</v>
      </c>
      <c r="J44" s="45">
        <v>8</v>
      </c>
      <c r="K44" s="45">
        <v>16</v>
      </c>
    </row>
    <row r="45" spans="4:11">
      <c r="D45" s="42">
        <v>46170</v>
      </c>
      <c r="E45" s="43">
        <v>1607135</v>
      </c>
      <c r="F45" s="43" t="s">
        <v>13</v>
      </c>
      <c r="G45" s="44">
        <v>20406253</v>
      </c>
      <c r="H45" s="43" t="s">
        <v>50</v>
      </c>
      <c r="I45" s="44">
        <v>1</v>
      </c>
      <c r="J45" s="45">
        <v>13.5</v>
      </c>
      <c r="K45" s="45">
        <v>13.5</v>
      </c>
    </row>
    <row r="46" spans="4:11">
      <c r="D46" s="42">
        <v>46170</v>
      </c>
      <c r="E46" s="43">
        <v>1607135</v>
      </c>
      <c r="F46" s="43" t="s">
        <v>13</v>
      </c>
      <c r="G46" s="44">
        <v>20313588</v>
      </c>
      <c r="H46" s="43" t="s">
        <v>30</v>
      </c>
      <c r="I46" s="44">
        <v>16</v>
      </c>
      <c r="J46" s="45">
        <v>8</v>
      </c>
      <c r="K46" s="45">
        <v>128</v>
      </c>
    </row>
    <row r="47" spans="4:11">
      <c r="D47" s="42">
        <v>46170</v>
      </c>
      <c r="E47" s="43">
        <v>1607135</v>
      </c>
      <c r="F47" s="43" t="s">
        <v>13</v>
      </c>
      <c r="G47" s="44">
        <v>20376621</v>
      </c>
      <c r="H47" s="43" t="s">
        <v>65</v>
      </c>
      <c r="I47" s="44">
        <v>5</v>
      </c>
      <c r="J47" s="45">
        <v>8</v>
      </c>
      <c r="K47" s="45">
        <v>40</v>
      </c>
    </row>
    <row r="48" spans="4:11">
      <c r="D48" s="42">
        <v>46170</v>
      </c>
      <c r="E48" s="43">
        <v>1607135</v>
      </c>
      <c r="F48" s="43" t="s">
        <v>13</v>
      </c>
      <c r="G48" s="44">
        <v>20377357</v>
      </c>
      <c r="H48" s="43" t="s">
        <v>37</v>
      </c>
      <c r="I48" s="44">
        <v>3</v>
      </c>
      <c r="J48" s="45">
        <v>8</v>
      </c>
      <c r="K48" s="45">
        <v>24</v>
      </c>
    </row>
    <row r="49" spans="4:11">
      <c r="D49" s="42">
        <v>46170</v>
      </c>
      <c r="E49" s="43">
        <v>1607135</v>
      </c>
      <c r="F49" s="43" t="s">
        <v>13</v>
      </c>
      <c r="G49" s="44">
        <v>20427394</v>
      </c>
      <c r="H49" s="43" t="s">
        <v>77</v>
      </c>
      <c r="I49" s="44">
        <v>3</v>
      </c>
      <c r="J49" s="45">
        <v>8</v>
      </c>
      <c r="K49" s="45">
        <v>24</v>
      </c>
    </row>
    <row r="50" spans="4:11">
      <c r="D50" s="42">
        <v>46171</v>
      </c>
      <c r="E50" s="43">
        <v>1607535</v>
      </c>
      <c r="F50" s="43" t="s">
        <v>13</v>
      </c>
      <c r="G50" s="44">
        <v>20376624</v>
      </c>
      <c r="H50" s="43" t="s">
        <v>33</v>
      </c>
      <c r="I50" s="44">
        <v>1</v>
      </c>
      <c r="J50" s="45">
        <v>8</v>
      </c>
      <c r="K50" s="45">
        <v>8</v>
      </c>
    </row>
    <row r="51" spans="4:11">
      <c r="D51" s="42">
        <v>46171</v>
      </c>
      <c r="E51" s="43">
        <v>1607535</v>
      </c>
      <c r="F51" s="43" t="s">
        <v>13</v>
      </c>
      <c r="G51" s="44">
        <v>20406253</v>
      </c>
      <c r="H51" s="43" t="s">
        <v>50</v>
      </c>
      <c r="I51" s="44">
        <v>1</v>
      </c>
      <c r="J51" s="45">
        <v>13.5</v>
      </c>
      <c r="K51" s="45">
        <v>13.5</v>
      </c>
    </row>
    <row r="52" spans="4:11">
      <c r="D52" s="42">
        <v>46171</v>
      </c>
      <c r="E52" s="43">
        <v>1607535</v>
      </c>
      <c r="F52" s="43" t="s">
        <v>13</v>
      </c>
      <c r="G52" s="44">
        <v>20394769</v>
      </c>
      <c r="H52" s="43" t="s">
        <v>67</v>
      </c>
      <c r="I52" s="44">
        <v>1</v>
      </c>
      <c r="J52" s="45">
        <v>8</v>
      </c>
      <c r="K52" s="45">
        <v>8</v>
      </c>
    </row>
    <row r="53" spans="4:11">
      <c r="D53" s="42">
        <v>46171</v>
      </c>
      <c r="E53" s="43">
        <v>1607535</v>
      </c>
      <c r="F53" s="43" t="s">
        <v>13</v>
      </c>
      <c r="G53" s="44">
        <v>20313588</v>
      </c>
      <c r="H53" s="43" t="s">
        <v>30</v>
      </c>
      <c r="I53" s="44">
        <v>2</v>
      </c>
      <c r="J53" s="45">
        <v>8</v>
      </c>
      <c r="K53" s="45">
        <v>16</v>
      </c>
    </row>
    <row r="54" spans="4:11">
      <c r="D54" s="42">
        <v>46171</v>
      </c>
      <c r="E54" s="43">
        <v>1607535</v>
      </c>
      <c r="F54" s="43" t="s">
        <v>13</v>
      </c>
      <c r="G54" s="44">
        <v>20393917</v>
      </c>
      <c r="H54" s="43" t="s">
        <v>51</v>
      </c>
      <c r="I54" s="44">
        <v>1</v>
      </c>
      <c r="J54" s="45">
        <v>11</v>
      </c>
      <c r="K54" s="45">
        <v>11</v>
      </c>
    </row>
    <row r="55" spans="4:11">
      <c r="D55" s="42">
        <v>46171</v>
      </c>
      <c r="E55" s="43">
        <v>1607535</v>
      </c>
      <c r="F55" s="43" t="s">
        <v>13</v>
      </c>
      <c r="G55" s="44">
        <v>20377357</v>
      </c>
      <c r="H55" s="43" t="s">
        <v>37</v>
      </c>
      <c r="I55" s="44">
        <v>3</v>
      </c>
      <c r="J55" s="45">
        <v>8</v>
      </c>
      <c r="K55" s="45">
        <v>24</v>
      </c>
    </row>
    <row r="56" spans="4:11">
      <c r="D56" s="42">
        <v>46172</v>
      </c>
      <c r="E56" s="43">
        <v>1607773</v>
      </c>
      <c r="F56" s="43" t="s">
        <v>13</v>
      </c>
      <c r="G56" s="44">
        <v>20376624</v>
      </c>
      <c r="H56" s="43" t="s">
        <v>33</v>
      </c>
      <c r="I56" s="44">
        <v>2</v>
      </c>
      <c r="J56" s="45">
        <v>8</v>
      </c>
      <c r="K56" s="45">
        <v>16</v>
      </c>
    </row>
    <row r="57" spans="4:11">
      <c r="D57" s="42">
        <v>46172</v>
      </c>
      <c r="E57" s="43">
        <v>1607773</v>
      </c>
      <c r="F57" s="43" t="s">
        <v>13</v>
      </c>
      <c r="G57" s="44">
        <v>20406253</v>
      </c>
      <c r="H57" s="43" t="s">
        <v>50</v>
      </c>
      <c r="I57" s="44">
        <v>1</v>
      </c>
      <c r="J57" s="45">
        <v>13.5</v>
      </c>
      <c r="K57" s="45">
        <v>13.5</v>
      </c>
    </row>
    <row r="58" spans="4:11">
      <c r="D58" s="42">
        <v>46172</v>
      </c>
      <c r="E58" s="43">
        <v>1607773</v>
      </c>
      <c r="F58" s="43" t="s">
        <v>13</v>
      </c>
      <c r="G58" s="44">
        <v>20313588</v>
      </c>
      <c r="H58" s="43" t="s">
        <v>30</v>
      </c>
      <c r="I58" s="44">
        <v>5</v>
      </c>
      <c r="J58" s="45">
        <v>8</v>
      </c>
      <c r="K58" s="45">
        <v>40</v>
      </c>
    </row>
    <row r="59" spans="4:11">
      <c r="D59" s="42">
        <v>46172</v>
      </c>
      <c r="E59" s="43">
        <v>1607773</v>
      </c>
      <c r="F59" s="43" t="s">
        <v>13</v>
      </c>
      <c r="G59" s="44">
        <v>20377357</v>
      </c>
      <c r="H59" s="43" t="s">
        <v>37</v>
      </c>
      <c r="I59" s="44">
        <v>2</v>
      </c>
      <c r="J59" s="45">
        <v>8</v>
      </c>
      <c r="K59" s="45">
        <v>16</v>
      </c>
    </row>
    <row r="60" spans="4:11">
      <c r="D60" s="42">
        <v>46176</v>
      </c>
      <c r="E60" s="43">
        <v>1608687</v>
      </c>
      <c r="F60" s="43" t="s">
        <v>13</v>
      </c>
      <c r="G60" s="44">
        <v>20406253</v>
      </c>
      <c r="H60" s="43" t="s">
        <v>50</v>
      </c>
      <c r="I60" s="44">
        <v>1</v>
      </c>
      <c r="J60" s="45">
        <v>13.5</v>
      </c>
      <c r="K60" s="45">
        <v>13.5</v>
      </c>
    </row>
    <row r="61" spans="4:11">
      <c r="D61" s="42">
        <v>46176</v>
      </c>
      <c r="E61" s="43">
        <v>1608687</v>
      </c>
      <c r="F61" s="43" t="s">
        <v>13</v>
      </c>
      <c r="G61" s="44">
        <v>20377357</v>
      </c>
      <c r="H61" s="43" t="s">
        <v>37</v>
      </c>
      <c r="I61" s="44">
        <v>6</v>
      </c>
      <c r="J61" s="45">
        <v>8</v>
      </c>
      <c r="K61" s="45">
        <v>48</v>
      </c>
    </row>
    <row r="62" spans="4:11">
      <c r="D62" s="42">
        <v>46176</v>
      </c>
      <c r="E62" s="43">
        <v>1608819</v>
      </c>
      <c r="F62" s="43" t="s">
        <v>13</v>
      </c>
      <c r="G62" s="44">
        <v>20406253</v>
      </c>
      <c r="H62" s="43" t="s">
        <v>50</v>
      </c>
      <c r="I62" s="44">
        <v>1</v>
      </c>
      <c r="J62" s="45">
        <v>13.5</v>
      </c>
      <c r="K62" s="45">
        <v>13.5</v>
      </c>
    </row>
    <row r="63" spans="4:11">
      <c r="D63" s="42">
        <v>46176</v>
      </c>
      <c r="E63" s="43">
        <v>1608819</v>
      </c>
      <c r="F63" s="43" t="s">
        <v>13</v>
      </c>
      <c r="G63" s="44">
        <v>20313588</v>
      </c>
      <c r="H63" s="43" t="s">
        <v>30</v>
      </c>
      <c r="I63" s="44">
        <v>2</v>
      </c>
      <c r="J63" s="45">
        <v>8</v>
      </c>
      <c r="K63" s="45">
        <v>16</v>
      </c>
    </row>
    <row r="64" spans="4:11">
      <c r="D64" s="42">
        <v>46176</v>
      </c>
      <c r="E64" s="43">
        <v>1608819</v>
      </c>
      <c r="F64" s="43" t="s">
        <v>13</v>
      </c>
      <c r="G64" s="44">
        <v>20393917</v>
      </c>
      <c r="H64" s="43" t="s">
        <v>51</v>
      </c>
      <c r="I64" s="44">
        <v>1</v>
      </c>
      <c r="J64" s="45">
        <v>11</v>
      </c>
      <c r="K64" s="45">
        <v>11</v>
      </c>
    </row>
    <row r="65" spans="4:11">
      <c r="D65" s="42">
        <v>46176</v>
      </c>
      <c r="E65" s="43">
        <v>1608819</v>
      </c>
      <c r="F65" s="43" t="s">
        <v>13</v>
      </c>
      <c r="G65" s="44">
        <v>20376621</v>
      </c>
      <c r="H65" s="43" t="s">
        <v>65</v>
      </c>
      <c r="I65" s="44">
        <v>1</v>
      </c>
      <c r="J65" s="45">
        <v>8</v>
      </c>
      <c r="K65" s="45">
        <v>8</v>
      </c>
    </row>
    <row r="66" spans="4:11">
      <c r="D66" s="42">
        <v>46176</v>
      </c>
      <c r="E66" s="43">
        <v>1608819</v>
      </c>
      <c r="F66" s="43" t="s">
        <v>13</v>
      </c>
      <c r="G66" s="44">
        <v>20377357</v>
      </c>
      <c r="H66" s="43" t="s">
        <v>37</v>
      </c>
      <c r="I66" s="44">
        <v>2</v>
      </c>
      <c r="J66" s="45">
        <v>8</v>
      </c>
      <c r="K66" s="45">
        <v>16</v>
      </c>
    </row>
    <row r="67" spans="4:11">
      <c r="D67" s="42">
        <v>46177</v>
      </c>
      <c r="E67" s="43">
        <v>1609095</v>
      </c>
      <c r="F67" s="43" t="s">
        <v>13</v>
      </c>
      <c r="G67" s="44">
        <v>20376624</v>
      </c>
      <c r="H67" s="43" t="s">
        <v>33</v>
      </c>
      <c r="I67" s="44">
        <v>1</v>
      </c>
      <c r="J67" s="45">
        <v>8</v>
      </c>
      <c r="K67" s="45">
        <v>8</v>
      </c>
    </row>
    <row r="68" spans="4:11">
      <c r="D68" s="42">
        <v>46177</v>
      </c>
      <c r="E68" s="43">
        <v>1609095</v>
      </c>
      <c r="F68" s="43" t="s">
        <v>13</v>
      </c>
      <c r="G68" s="44">
        <v>20406253</v>
      </c>
      <c r="H68" s="43" t="s">
        <v>50</v>
      </c>
      <c r="I68" s="44">
        <v>1</v>
      </c>
      <c r="J68" s="45">
        <v>13.5</v>
      </c>
      <c r="K68" s="45">
        <v>13.5</v>
      </c>
    </row>
    <row r="69" spans="4:11">
      <c r="D69" s="42">
        <v>46177</v>
      </c>
      <c r="E69" s="43">
        <v>1609095</v>
      </c>
      <c r="F69" s="43" t="s">
        <v>13</v>
      </c>
      <c r="G69" s="44">
        <v>20313588</v>
      </c>
      <c r="H69" s="43" t="s">
        <v>30</v>
      </c>
      <c r="I69" s="44">
        <v>4</v>
      </c>
      <c r="J69" s="45">
        <v>8</v>
      </c>
      <c r="K69" s="45">
        <v>32</v>
      </c>
    </row>
    <row r="70" spans="4:11">
      <c r="D70" s="42">
        <v>46177</v>
      </c>
      <c r="E70" s="43">
        <v>1609095</v>
      </c>
      <c r="F70" s="43" t="s">
        <v>13</v>
      </c>
      <c r="G70" s="44">
        <v>20376621</v>
      </c>
      <c r="H70" s="43" t="s">
        <v>65</v>
      </c>
      <c r="I70" s="44">
        <v>1</v>
      </c>
      <c r="J70" s="45">
        <v>8</v>
      </c>
      <c r="K70" s="45">
        <v>8</v>
      </c>
    </row>
    <row r="71" spans="4:11">
      <c r="D71" s="42">
        <v>46177</v>
      </c>
      <c r="E71" s="43">
        <v>1609095</v>
      </c>
      <c r="F71" s="43" t="s">
        <v>13</v>
      </c>
      <c r="G71" s="44">
        <v>20377357</v>
      </c>
      <c r="H71" s="43" t="s">
        <v>37</v>
      </c>
      <c r="I71" s="44">
        <v>3</v>
      </c>
      <c r="J71" s="45">
        <v>8</v>
      </c>
      <c r="K71" s="45">
        <v>24</v>
      </c>
    </row>
    <row r="72" spans="4:11">
      <c r="D72" s="42">
        <v>46177</v>
      </c>
      <c r="E72" s="43">
        <v>1609199</v>
      </c>
      <c r="F72" s="43" t="s">
        <v>13</v>
      </c>
      <c r="G72" s="44">
        <v>20376624</v>
      </c>
      <c r="H72" s="43" t="s">
        <v>33</v>
      </c>
      <c r="I72" s="44">
        <v>2</v>
      </c>
      <c r="J72" s="45">
        <v>8</v>
      </c>
      <c r="K72" s="45">
        <v>16</v>
      </c>
    </row>
    <row r="73" spans="4:11">
      <c r="D73" s="42">
        <v>46177</v>
      </c>
      <c r="E73" s="43">
        <v>1609199</v>
      </c>
      <c r="F73" s="43" t="s">
        <v>13</v>
      </c>
      <c r="G73" s="44">
        <v>20406253</v>
      </c>
      <c r="H73" s="43" t="s">
        <v>50</v>
      </c>
      <c r="I73" s="44">
        <v>1</v>
      </c>
      <c r="J73" s="45">
        <v>13.5</v>
      </c>
      <c r="K73" s="45">
        <v>13.5</v>
      </c>
    </row>
    <row r="74" spans="4:11">
      <c r="D74" s="42">
        <v>46177</v>
      </c>
      <c r="E74" s="43">
        <v>1609199</v>
      </c>
      <c r="F74" s="43" t="s">
        <v>13</v>
      </c>
      <c r="G74" s="44">
        <v>20313588</v>
      </c>
      <c r="H74" s="43" t="s">
        <v>30</v>
      </c>
      <c r="I74" s="44">
        <v>3</v>
      </c>
      <c r="J74" s="45">
        <v>8</v>
      </c>
      <c r="K74" s="45">
        <v>24</v>
      </c>
    </row>
    <row r="75" spans="4:11">
      <c r="D75" s="42">
        <v>46177</v>
      </c>
      <c r="E75" s="43">
        <v>1609199</v>
      </c>
      <c r="F75" s="43" t="s">
        <v>13</v>
      </c>
      <c r="G75" s="44">
        <v>20377357</v>
      </c>
      <c r="H75" s="43" t="s">
        <v>37</v>
      </c>
      <c r="I75" s="44">
        <v>1</v>
      </c>
      <c r="J75" s="45">
        <v>8</v>
      </c>
      <c r="K75" s="45">
        <v>8</v>
      </c>
    </row>
    <row r="76" spans="4:11">
      <c r="D76" s="42">
        <v>46178</v>
      </c>
      <c r="E76" s="43">
        <v>1609452</v>
      </c>
      <c r="F76" s="43" t="s">
        <v>13</v>
      </c>
      <c r="G76" s="44">
        <v>20376624</v>
      </c>
      <c r="H76" s="43" t="s">
        <v>33</v>
      </c>
      <c r="I76" s="44">
        <v>1</v>
      </c>
      <c r="J76" s="45">
        <v>8</v>
      </c>
      <c r="K76" s="45">
        <v>8</v>
      </c>
    </row>
    <row r="77" spans="4:11">
      <c r="D77" s="42">
        <v>46178</v>
      </c>
      <c r="E77" s="43">
        <v>1609452</v>
      </c>
      <c r="F77" s="43" t="s">
        <v>13</v>
      </c>
      <c r="G77" s="44">
        <v>20406253</v>
      </c>
      <c r="H77" s="43" t="s">
        <v>50</v>
      </c>
      <c r="I77" s="44">
        <v>1</v>
      </c>
      <c r="J77" s="45">
        <v>13.5</v>
      </c>
      <c r="K77" s="45">
        <v>13.5</v>
      </c>
    </row>
    <row r="78" spans="4:11">
      <c r="D78" s="42">
        <v>46178</v>
      </c>
      <c r="E78" s="43">
        <v>1609452</v>
      </c>
      <c r="F78" s="43" t="s">
        <v>13</v>
      </c>
      <c r="G78" s="44">
        <v>20313588</v>
      </c>
      <c r="H78" s="43" t="s">
        <v>30</v>
      </c>
      <c r="I78" s="44">
        <v>2</v>
      </c>
      <c r="J78" s="45">
        <v>8</v>
      </c>
      <c r="K78" s="45">
        <v>16</v>
      </c>
    </row>
    <row r="79" spans="4:11">
      <c r="D79" s="42">
        <v>46178</v>
      </c>
      <c r="E79" s="43">
        <v>1609452</v>
      </c>
      <c r="F79" s="43" t="s">
        <v>13</v>
      </c>
      <c r="G79" s="44">
        <v>20377357</v>
      </c>
      <c r="H79" s="43" t="s">
        <v>37</v>
      </c>
      <c r="I79" s="44">
        <v>2</v>
      </c>
      <c r="J79" s="45">
        <v>8</v>
      </c>
      <c r="K79" s="45">
        <v>16</v>
      </c>
    </row>
    <row r="80" spans="4:11">
      <c r="D80" s="42">
        <v>46178</v>
      </c>
      <c r="E80" s="43">
        <v>1609584</v>
      </c>
      <c r="F80" s="43" t="s">
        <v>13</v>
      </c>
      <c r="G80" s="44">
        <v>20376624</v>
      </c>
      <c r="H80" s="43" t="s">
        <v>33</v>
      </c>
      <c r="I80" s="44">
        <v>1</v>
      </c>
      <c r="J80" s="45">
        <v>8</v>
      </c>
      <c r="K80" s="45">
        <v>8</v>
      </c>
    </row>
    <row r="81" spans="4:11">
      <c r="D81" s="42">
        <v>46178</v>
      </c>
      <c r="E81" s="43">
        <v>1609584</v>
      </c>
      <c r="F81" s="43" t="s">
        <v>13</v>
      </c>
      <c r="G81" s="44">
        <v>20406253</v>
      </c>
      <c r="H81" s="43" t="s">
        <v>50</v>
      </c>
      <c r="I81" s="44">
        <v>1</v>
      </c>
      <c r="J81" s="45">
        <v>13.5</v>
      </c>
      <c r="K81" s="45">
        <v>13.5</v>
      </c>
    </row>
    <row r="82" spans="4:11">
      <c r="D82" s="42">
        <v>46178</v>
      </c>
      <c r="E82" s="43">
        <v>1609584</v>
      </c>
      <c r="F82" s="43" t="s">
        <v>13</v>
      </c>
      <c r="G82" s="44">
        <v>20313588</v>
      </c>
      <c r="H82" s="43" t="s">
        <v>30</v>
      </c>
      <c r="I82" s="44">
        <v>2</v>
      </c>
      <c r="J82" s="45">
        <v>8</v>
      </c>
      <c r="K82" s="45">
        <v>16</v>
      </c>
    </row>
    <row r="83" spans="4:11">
      <c r="D83" s="42">
        <v>46178</v>
      </c>
      <c r="E83" s="43">
        <v>1609584</v>
      </c>
      <c r="F83" s="43" t="s">
        <v>13</v>
      </c>
      <c r="G83" s="44">
        <v>20376621</v>
      </c>
      <c r="H83" s="43" t="s">
        <v>65</v>
      </c>
      <c r="I83" s="44">
        <v>1</v>
      </c>
      <c r="J83" s="45">
        <v>8</v>
      </c>
      <c r="K83" s="45">
        <v>8</v>
      </c>
    </row>
    <row r="84" spans="4:11">
      <c r="D84" s="42">
        <v>46178</v>
      </c>
      <c r="E84" s="43">
        <v>1609584</v>
      </c>
      <c r="F84" s="43" t="s">
        <v>13</v>
      </c>
      <c r="G84" s="44">
        <v>20377357</v>
      </c>
      <c r="H84" s="43" t="s">
        <v>37</v>
      </c>
      <c r="I84" s="44">
        <v>2</v>
      </c>
      <c r="J84" s="45">
        <v>8</v>
      </c>
      <c r="K84" s="45">
        <v>16</v>
      </c>
    </row>
    <row r="85" spans="4:11">
      <c r="D85" s="42">
        <v>46182</v>
      </c>
      <c r="E85" s="43">
        <v>1610556</v>
      </c>
      <c r="F85" s="43" t="s">
        <v>13</v>
      </c>
      <c r="G85" s="44">
        <v>20376624</v>
      </c>
      <c r="H85" s="43" t="s">
        <v>33</v>
      </c>
      <c r="I85" s="44">
        <v>1</v>
      </c>
      <c r="J85" s="45">
        <v>8</v>
      </c>
      <c r="K85" s="45">
        <v>8</v>
      </c>
    </row>
    <row r="86" spans="4:11">
      <c r="D86" s="42">
        <v>46182</v>
      </c>
      <c r="E86" s="43">
        <v>1610556</v>
      </c>
      <c r="F86" s="43" t="s">
        <v>13</v>
      </c>
      <c r="G86" s="44">
        <v>20406253</v>
      </c>
      <c r="H86" s="43" t="s">
        <v>50</v>
      </c>
      <c r="I86" s="44">
        <v>1</v>
      </c>
      <c r="J86" s="45">
        <v>13.5</v>
      </c>
      <c r="K86" s="45">
        <v>13.5</v>
      </c>
    </row>
    <row r="87" spans="4:11">
      <c r="D87" s="42">
        <v>46182</v>
      </c>
      <c r="E87" s="43">
        <v>1610556</v>
      </c>
      <c r="F87" s="43" t="s">
        <v>13</v>
      </c>
      <c r="G87" s="44">
        <v>20313588</v>
      </c>
      <c r="H87" s="43" t="s">
        <v>30</v>
      </c>
      <c r="I87" s="44">
        <v>6</v>
      </c>
      <c r="J87" s="45">
        <v>8</v>
      </c>
      <c r="K87" s="45">
        <v>48</v>
      </c>
    </row>
    <row r="88" spans="4:11">
      <c r="D88" s="42">
        <v>46182</v>
      </c>
      <c r="E88" s="43">
        <v>1610556</v>
      </c>
      <c r="F88" s="43" t="s">
        <v>13</v>
      </c>
      <c r="G88" s="44">
        <v>20393917</v>
      </c>
      <c r="H88" s="43" t="s">
        <v>51</v>
      </c>
      <c r="I88" s="44">
        <v>1</v>
      </c>
      <c r="J88" s="45">
        <v>11</v>
      </c>
      <c r="K88" s="45">
        <v>11</v>
      </c>
    </row>
    <row r="89" spans="4:11">
      <c r="D89" s="42">
        <v>46182</v>
      </c>
      <c r="E89" s="43">
        <v>1610556</v>
      </c>
      <c r="F89" s="43" t="s">
        <v>13</v>
      </c>
      <c r="G89" s="44">
        <v>20376621</v>
      </c>
      <c r="H89" s="43" t="s">
        <v>65</v>
      </c>
      <c r="I89" s="44">
        <v>1</v>
      </c>
      <c r="J89" s="45">
        <v>8</v>
      </c>
      <c r="K89" s="45">
        <v>8</v>
      </c>
    </row>
    <row r="90" spans="4:11">
      <c r="D90" s="42">
        <v>46182</v>
      </c>
      <c r="E90" s="43">
        <v>1610556</v>
      </c>
      <c r="F90" s="43" t="s">
        <v>13</v>
      </c>
      <c r="G90" s="44">
        <v>20377357</v>
      </c>
      <c r="H90" s="43" t="s">
        <v>37</v>
      </c>
      <c r="I90" s="44">
        <v>2</v>
      </c>
      <c r="J90" s="45">
        <v>8</v>
      </c>
      <c r="K90" s="45">
        <v>16</v>
      </c>
    </row>
    <row r="91" spans="4:11">
      <c r="D91" s="42">
        <v>46183</v>
      </c>
      <c r="E91" s="43">
        <v>1610825</v>
      </c>
      <c r="F91" s="43" t="s">
        <v>13</v>
      </c>
      <c r="G91" s="44">
        <v>20313588</v>
      </c>
      <c r="H91" s="43" t="s">
        <v>30</v>
      </c>
      <c r="I91" s="44">
        <v>6</v>
      </c>
      <c r="J91" s="45">
        <v>8</v>
      </c>
      <c r="K91" s="45">
        <v>48</v>
      </c>
    </row>
    <row r="92" spans="4:11">
      <c r="D92" s="42">
        <v>46183</v>
      </c>
      <c r="E92" s="43">
        <v>1610825</v>
      </c>
      <c r="F92" s="43" t="s">
        <v>13</v>
      </c>
      <c r="G92" s="44">
        <v>20396337</v>
      </c>
      <c r="H92" s="43" t="s">
        <v>40</v>
      </c>
      <c r="I92" s="44">
        <v>1</v>
      </c>
      <c r="J92" s="45">
        <v>8</v>
      </c>
      <c r="K92" s="45">
        <v>8</v>
      </c>
    </row>
    <row r="93" spans="4:11">
      <c r="D93" s="42">
        <v>46183</v>
      </c>
      <c r="E93" s="43">
        <v>1610825</v>
      </c>
      <c r="F93" s="43" t="s">
        <v>13</v>
      </c>
      <c r="G93" s="44">
        <v>20377357</v>
      </c>
      <c r="H93" s="43" t="s">
        <v>37</v>
      </c>
      <c r="I93" s="44">
        <v>8</v>
      </c>
      <c r="J93" s="45">
        <v>8</v>
      </c>
      <c r="K93" s="45">
        <v>64</v>
      </c>
    </row>
    <row r="94" spans="4:11">
      <c r="D94" s="42">
        <v>46183</v>
      </c>
      <c r="E94" s="43">
        <v>1610938</v>
      </c>
      <c r="F94" s="43" t="s">
        <v>13</v>
      </c>
      <c r="G94" s="44">
        <v>20406253</v>
      </c>
      <c r="H94" s="43" t="s">
        <v>50</v>
      </c>
      <c r="I94" s="44">
        <v>1</v>
      </c>
      <c r="J94" s="45">
        <v>13.5</v>
      </c>
      <c r="K94" s="45">
        <v>13.5</v>
      </c>
    </row>
    <row r="95" spans="4:11">
      <c r="D95" s="42">
        <v>46183</v>
      </c>
      <c r="E95" s="43">
        <v>1610938</v>
      </c>
      <c r="F95" s="43" t="s">
        <v>13</v>
      </c>
      <c r="G95" s="44">
        <v>20414939</v>
      </c>
      <c r="H95" s="43" t="s">
        <v>64</v>
      </c>
      <c r="I95" s="44">
        <v>1</v>
      </c>
      <c r="J95" s="45">
        <v>8</v>
      </c>
      <c r="K95" s="45">
        <v>8</v>
      </c>
    </row>
    <row r="96" spans="4:11">
      <c r="D96" s="42">
        <v>46183</v>
      </c>
      <c r="E96" s="43">
        <v>1610938</v>
      </c>
      <c r="F96" s="43" t="s">
        <v>13</v>
      </c>
      <c r="G96" s="44">
        <v>20313588</v>
      </c>
      <c r="H96" s="43" t="s">
        <v>30</v>
      </c>
      <c r="I96" s="44">
        <v>2</v>
      </c>
      <c r="J96" s="45">
        <v>8</v>
      </c>
      <c r="K96" s="45">
        <v>16</v>
      </c>
    </row>
    <row r="97" spans="4:11">
      <c r="D97" s="42">
        <v>46183</v>
      </c>
      <c r="E97" s="43">
        <v>1610938</v>
      </c>
      <c r="F97" s="43" t="s">
        <v>13</v>
      </c>
      <c r="G97" s="44">
        <v>20376620</v>
      </c>
      <c r="H97" s="43" t="s">
        <v>65</v>
      </c>
      <c r="I97" s="44">
        <v>1</v>
      </c>
      <c r="J97" s="45">
        <v>8</v>
      </c>
      <c r="K97" s="45">
        <v>8</v>
      </c>
    </row>
    <row r="98" spans="4:11">
      <c r="D98" s="42">
        <v>46183</v>
      </c>
      <c r="E98" s="43">
        <v>1610938</v>
      </c>
      <c r="F98" s="43" t="s">
        <v>13</v>
      </c>
      <c r="G98" s="44">
        <v>20377357</v>
      </c>
      <c r="H98" s="43" t="s">
        <v>37</v>
      </c>
      <c r="I98" s="44">
        <v>1</v>
      </c>
      <c r="J98" s="45">
        <v>8</v>
      </c>
      <c r="K98" s="45">
        <v>8</v>
      </c>
    </row>
    <row r="99" spans="4:11">
      <c r="D99" s="42">
        <v>46183</v>
      </c>
      <c r="E99" s="43">
        <v>1611138</v>
      </c>
      <c r="F99" s="43" t="s">
        <v>13</v>
      </c>
      <c r="G99" s="44">
        <v>20376624</v>
      </c>
      <c r="H99" s="43" t="s">
        <v>33</v>
      </c>
      <c r="I99" s="44">
        <v>1</v>
      </c>
      <c r="J99" s="45">
        <v>8</v>
      </c>
      <c r="K99" s="45">
        <v>8</v>
      </c>
    </row>
    <row r="100" spans="4:11">
      <c r="D100" s="42">
        <v>46183</v>
      </c>
      <c r="E100" s="43">
        <v>1611138</v>
      </c>
      <c r="F100" s="43" t="s">
        <v>13</v>
      </c>
      <c r="G100" s="44">
        <v>20406253</v>
      </c>
      <c r="H100" s="43" t="s">
        <v>50</v>
      </c>
      <c r="I100" s="44">
        <v>1</v>
      </c>
      <c r="J100" s="45">
        <v>13.5</v>
      </c>
      <c r="K100" s="45">
        <v>13.5</v>
      </c>
    </row>
    <row r="101" spans="4:11">
      <c r="D101" s="42">
        <v>46183</v>
      </c>
      <c r="E101" s="43">
        <v>1611138</v>
      </c>
      <c r="F101" s="43" t="s">
        <v>13</v>
      </c>
      <c r="G101" s="44">
        <v>20313588</v>
      </c>
      <c r="H101" s="43" t="s">
        <v>30</v>
      </c>
      <c r="I101" s="44">
        <v>5</v>
      </c>
      <c r="J101" s="45">
        <v>8</v>
      </c>
      <c r="K101" s="45">
        <v>40</v>
      </c>
    </row>
    <row r="102" spans="4:11">
      <c r="D102" s="42">
        <v>46183</v>
      </c>
      <c r="E102" s="43">
        <v>1611138</v>
      </c>
      <c r="F102" s="43" t="s">
        <v>13</v>
      </c>
      <c r="G102" s="44">
        <v>20377357</v>
      </c>
      <c r="H102" s="43" t="s">
        <v>37</v>
      </c>
      <c r="I102" s="44">
        <v>1</v>
      </c>
      <c r="J102" s="45">
        <v>8</v>
      </c>
      <c r="K102" s="45">
        <v>8</v>
      </c>
    </row>
    <row r="103" spans="4:11">
      <c r="D103" s="42">
        <v>46184</v>
      </c>
      <c r="E103" s="43">
        <v>1611299</v>
      </c>
      <c r="F103" s="43" t="s">
        <v>13</v>
      </c>
      <c r="G103" s="44">
        <v>20376624</v>
      </c>
      <c r="H103" s="43" t="s">
        <v>33</v>
      </c>
      <c r="I103" s="44">
        <v>2</v>
      </c>
      <c r="J103" s="45">
        <v>8</v>
      </c>
      <c r="K103" s="45">
        <v>16</v>
      </c>
    </row>
    <row r="104" spans="4:11">
      <c r="D104" s="42">
        <v>46184</v>
      </c>
      <c r="E104" s="43">
        <v>1611299</v>
      </c>
      <c r="F104" s="43" t="s">
        <v>13</v>
      </c>
      <c r="G104" s="44">
        <v>20406253</v>
      </c>
      <c r="H104" s="43" t="s">
        <v>50</v>
      </c>
      <c r="I104" s="44">
        <v>2</v>
      </c>
      <c r="J104" s="45">
        <v>13.5</v>
      </c>
      <c r="K104" s="45">
        <v>27</v>
      </c>
    </row>
    <row r="105" spans="4:11">
      <c r="D105" s="42">
        <v>46184</v>
      </c>
      <c r="E105" s="43">
        <v>1611299</v>
      </c>
      <c r="F105" s="43" t="s">
        <v>13</v>
      </c>
      <c r="G105" s="44">
        <v>20313588</v>
      </c>
      <c r="H105" s="43" t="s">
        <v>30</v>
      </c>
      <c r="I105" s="44">
        <v>2</v>
      </c>
      <c r="J105" s="45">
        <v>8</v>
      </c>
      <c r="K105" s="45">
        <v>16</v>
      </c>
    </row>
    <row r="106" spans="4:11">
      <c r="D106" s="42">
        <v>46184</v>
      </c>
      <c r="E106" s="43">
        <v>1611299</v>
      </c>
      <c r="F106" s="43" t="s">
        <v>13</v>
      </c>
      <c r="G106" s="44">
        <v>20377357</v>
      </c>
      <c r="H106" s="43" t="s">
        <v>37</v>
      </c>
      <c r="I106" s="44">
        <v>2</v>
      </c>
      <c r="J106" s="45">
        <v>8</v>
      </c>
      <c r="K106" s="45">
        <v>16</v>
      </c>
    </row>
    <row r="107" spans="4:11">
      <c r="D107" s="42">
        <v>46184</v>
      </c>
      <c r="E107" s="43">
        <v>1611576</v>
      </c>
      <c r="F107" s="43" t="s">
        <v>13</v>
      </c>
      <c r="G107" s="44">
        <v>20376624</v>
      </c>
      <c r="H107" s="43" t="s">
        <v>33</v>
      </c>
      <c r="I107" s="44">
        <v>1</v>
      </c>
      <c r="J107" s="45">
        <v>8</v>
      </c>
      <c r="K107" s="45">
        <v>8</v>
      </c>
    </row>
    <row r="108" spans="4:11">
      <c r="D108" s="42">
        <v>46184</v>
      </c>
      <c r="E108" s="43">
        <v>1611576</v>
      </c>
      <c r="F108" s="43" t="s">
        <v>13</v>
      </c>
      <c r="G108" s="44">
        <v>20406253</v>
      </c>
      <c r="H108" s="43" t="s">
        <v>50</v>
      </c>
      <c r="I108" s="44">
        <v>2</v>
      </c>
      <c r="J108" s="45">
        <v>13.5</v>
      </c>
      <c r="K108" s="45">
        <v>27</v>
      </c>
    </row>
    <row r="109" spans="4:11">
      <c r="D109" s="42">
        <v>46184</v>
      </c>
      <c r="E109" s="43">
        <v>1611576</v>
      </c>
      <c r="F109" s="43" t="s">
        <v>13</v>
      </c>
      <c r="G109" s="44">
        <v>20313588</v>
      </c>
      <c r="H109" s="43" t="s">
        <v>30</v>
      </c>
      <c r="I109" s="44">
        <v>5</v>
      </c>
      <c r="J109" s="45">
        <v>8</v>
      </c>
      <c r="K109" s="45">
        <v>40</v>
      </c>
    </row>
    <row r="110" spans="4:11">
      <c r="D110" s="42">
        <v>46184</v>
      </c>
      <c r="E110" s="43">
        <v>1611576</v>
      </c>
      <c r="F110" s="43" t="s">
        <v>13</v>
      </c>
      <c r="G110" s="44">
        <v>20376621</v>
      </c>
      <c r="H110" s="43" t="s">
        <v>65</v>
      </c>
      <c r="I110" s="44">
        <v>1</v>
      </c>
      <c r="J110" s="45">
        <v>8</v>
      </c>
      <c r="K110" s="45">
        <v>8</v>
      </c>
    </row>
    <row r="111" spans="4:11">
      <c r="D111" s="42">
        <v>46184</v>
      </c>
      <c r="E111" s="43">
        <v>1611576</v>
      </c>
      <c r="F111" s="43" t="s">
        <v>13</v>
      </c>
      <c r="G111" s="44">
        <v>20377357</v>
      </c>
      <c r="H111" s="43" t="s">
        <v>37</v>
      </c>
      <c r="I111" s="44">
        <v>1</v>
      </c>
      <c r="J111" s="45">
        <v>8</v>
      </c>
      <c r="K111" s="45">
        <v>8</v>
      </c>
    </row>
  </sheetData>
  <autoFilter xmlns:etc="http://www.wps.cn/officeDocument/2017/etCustomData" ref="A7:K111" etc:filterBottomFollowUsedRange="0">
    <extLst/>
  </autoFilter>
  <mergeCells count="5">
    <mergeCell ref="D8:H8"/>
    <mergeCell ref="C7:C111"/>
    <mergeCell ref="B4:H5"/>
    <mergeCell ref="A7:B1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78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201</v>
      </c>
      <c r="J8" s="41"/>
      <c r="K8" s="41">
        <v>1701.5</v>
      </c>
    </row>
    <row r="9" spans="1:11">
      <c r="D9" s="42">
        <v>46161</v>
      </c>
      <c r="E9" s="43">
        <v>1604327</v>
      </c>
      <c r="F9" s="43" t="s">
        <v>13</v>
      </c>
      <c r="G9" s="44">
        <v>20376624</v>
      </c>
      <c r="H9" s="43" t="s">
        <v>33</v>
      </c>
      <c r="I9" s="44">
        <v>1</v>
      </c>
      <c r="J9" s="45">
        <v>8</v>
      </c>
      <c r="K9" s="45">
        <v>8</v>
      </c>
    </row>
    <row r="10" spans="1:11">
      <c r="D10" s="42">
        <v>46161</v>
      </c>
      <c r="E10" s="43">
        <v>1604327</v>
      </c>
      <c r="F10" s="43" t="s">
        <v>13</v>
      </c>
      <c r="G10" s="44">
        <v>20406253</v>
      </c>
      <c r="H10" s="43" t="s">
        <v>50</v>
      </c>
      <c r="I10" s="44">
        <v>1</v>
      </c>
      <c r="J10" s="45">
        <v>13.5</v>
      </c>
      <c r="K10" s="45">
        <v>13.5</v>
      </c>
    </row>
    <row r="11" spans="1:11">
      <c r="D11" s="42">
        <v>46161</v>
      </c>
      <c r="E11" s="43">
        <v>1604327</v>
      </c>
      <c r="F11" s="43" t="s">
        <v>13</v>
      </c>
      <c r="G11" s="44">
        <v>20313588</v>
      </c>
      <c r="H11" s="43" t="s">
        <v>30</v>
      </c>
      <c r="I11" s="44">
        <v>4</v>
      </c>
      <c r="J11" s="45">
        <v>8</v>
      </c>
      <c r="K11" s="45">
        <v>32</v>
      </c>
    </row>
    <row r="12" spans="1:11">
      <c r="D12" s="42">
        <v>46161</v>
      </c>
      <c r="E12" s="43">
        <v>1604327</v>
      </c>
      <c r="F12" s="43" t="s">
        <v>13</v>
      </c>
      <c r="G12" s="44">
        <v>20377357</v>
      </c>
      <c r="H12" s="43" t="s">
        <v>37</v>
      </c>
      <c r="I12" s="44">
        <v>2</v>
      </c>
      <c r="J12" s="45">
        <v>8</v>
      </c>
      <c r="K12" s="45">
        <v>16</v>
      </c>
    </row>
    <row r="13" spans="1:11">
      <c r="D13" s="42">
        <v>46162</v>
      </c>
      <c r="E13" s="43">
        <v>1604584</v>
      </c>
      <c r="F13" s="43" t="s">
        <v>13</v>
      </c>
      <c r="G13" s="44">
        <v>20005208</v>
      </c>
      <c r="H13" s="43" t="s">
        <v>58</v>
      </c>
      <c r="I13" s="44">
        <v>1</v>
      </c>
      <c r="J13" s="45">
        <v>8</v>
      </c>
      <c r="K13" s="45">
        <v>8</v>
      </c>
    </row>
    <row r="14" spans="1:11">
      <c r="D14" s="42">
        <v>46162</v>
      </c>
      <c r="E14" s="43">
        <v>1604584</v>
      </c>
      <c r="F14" s="43" t="s">
        <v>13</v>
      </c>
      <c r="G14" s="44">
        <v>20406253</v>
      </c>
      <c r="H14" s="43" t="s">
        <v>50</v>
      </c>
      <c r="I14" s="44">
        <v>1</v>
      </c>
      <c r="J14" s="45">
        <v>13.5</v>
      </c>
      <c r="K14" s="45">
        <v>13.5</v>
      </c>
    </row>
    <row r="15" spans="1:11">
      <c r="D15" s="42">
        <v>46162</v>
      </c>
      <c r="E15" s="43">
        <v>1604584</v>
      </c>
      <c r="F15" s="43" t="s">
        <v>13</v>
      </c>
      <c r="G15" s="44">
        <v>20313588</v>
      </c>
      <c r="H15" s="43" t="s">
        <v>30</v>
      </c>
      <c r="I15" s="44">
        <v>2</v>
      </c>
      <c r="J15" s="45">
        <v>8</v>
      </c>
      <c r="K15" s="45">
        <v>16</v>
      </c>
    </row>
    <row r="16" spans="1:11">
      <c r="D16" s="42">
        <v>46162</v>
      </c>
      <c r="E16" s="43">
        <v>1604584</v>
      </c>
      <c r="F16" s="43" t="s">
        <v>13</v>
      </c>
      <c r="G16" s="44">
        <v>20376620</v>
      </c>
      <c r="H16" s="43" t="s">
        <v>65</v>
      </c>
      <c r="I16" s="44">
        <v>1</v>
      </c>
      <c r="J16" s="45">
        <v>8</v>
      </c>
      <c r="K16" s="45">
        <v>8</v>
      </c>
    </row>
    <row r="17" spans="4:11">
      <c r="D17" s="42">
        <v>46162</v>
      </c>
      <c r="E17" s="43">
        <v>1604584</v>
      </c>
      <c r="F17" s="43" t="s">
        <v>13</v>
      </c>
      <c r="G17" s="44">
        <v>20377357</v>
      </c>
      <c r="H17" s="43" t="s">
        <v>37</v>
      </c>
      <c r="I17" s="44">
        <v>2</v>
      </c>
      <c r="J17" s="45">
        <v>8</v>
      </c>
      <c r="K17" s="45">
        <v>16</v>
      </c>
    </row>
    <row r="18" spans="4:11">
      <c r="D18" s="42">
        <v>46162</v>
      </c>
      <c r="E18" s="43">
        <v>1604689</v>
      </c>
      <c r="F18" s="43" t="s">
        <v>13</v>
      </c>
      <c r="G18" s="44">
        <v>20376624</v>
      </c>
      <c r="H18" s="43" t="s">
        <v>33</v>
      </c>
      <c r="I18" s="44">
        <v>1</v>
      </c>
      <c r="J18" s="45">
        <v>8</v>
      </c>
      <c r="K18" s="45">
        <v>8</v>
      </c>
    </row>
    <row r="19" spans="4:11">
      <c r="D19" s="42">
        <v>46162</v>
      </c>
      <c r="E19" s="43">
        <v>1604689</v>
      </c>
      <c r="F19" s="43" t="s">
        <v>13</v>
      </c>
      <c r="G19" s="44">
        <v>20402943</v>
      </c>
      <c r="H19" s="43" t="s">
        <v>79</v>
      </c>
      <c r="I19" s="44">
        <v>1</v>
      </c>
      <c r="J19" s="45">
        <v>8</v>
      </c>
      <c r="K19" s="45">
        <v>8</v>
      </c>
    </row>
    <row r="20" spans="4:11">
      <c r="D20" s="42">
        <v>46162</v>
      </c>
      <c r="E20" s="43">
        <v>1604689</v>
      </c>
      <c r="F20" s="43" t="s">
        <v>13</v>
      </c>
      <c r="G20" s="44">
        <v>20377357</v>
      </c>
      <c r="H20" s="43" t="s">
        <v>37</v>
      </c>
      <c r="I20" s="44">
        <v>1</v>
      </c>
      <c r="J20" s="45">
        <v>8</v>
      </c>
      <c r="K20" s="45">
        <v>8</v>
      </c>
    </row>
    <row r="21" spans="4:11">
      <c r="D21" s="42">
        <v>46163</v>
      </c>
      <c r="E21" s="43">
        <v>1604997</v>
      </c>
      <c r="F21" s="43" t="s">
        <v>13</v>
      </c>
      <c r="G21" s="44">
        <v>20406253</v>
      </c>
      <c r="H21" s="43" t="s">
        <v>50</v>
      </c>
      <c r="I21" s="44">
        <v>1</v>
      </c>
      <c r="J21" s="45">
        <v>13.5</v>
      </c>
      <c r="K21" s="45">
        <v>13.5</v>
      </c>
    </row>
    <row r="22" spans="4:11">
      <c r="D22" s="42">
        <v>46163</v>
      </c>
      <c r="E22" s="43">
        <v>1604997</v>
      </c>
      <c r="F22" s="43" t="s">
        <v>13</v>
      </c>
      <c r="G22" s="44">
        <v>20313588</v>
      </c>
      <c r="H22" s="43" t="s">
        <v>30</v>
      </c>
      <c r="I22" s="44">
        <v>5</v>
      </c>
      <c r="J22" s="45">
        <v>8</v>
      </c>
      <c r="K22" s="45">
        <v>40</v>
      </c>
    </row>
    <row r="23" spans="4:11">
      <c r="D23" s="42">
        <v>46163</v>
      </c>
      <c r="E23" s="43">
        <v>1604997</v>
      </c>
      <c r="F23" s="43" t="s">
        <v>13</v>
      </c>
      <c r="G23" s="44">
        <v>20377357</v>
      </c>
      <c r="H23" s="43" t="s">
        <v>37</v>
      </c>
      <c r="I23" s="44">
        <v>3</v>
      </c>
      <c r="J23" s="45">
        <v>8</v>
      </c>
      <c r="K23" s="45">
        <v>24</v>
      </c>
    </row>
    <row r="24" spans="4:11">
      <c r="D24" s="42">
        <v>46163</v>
      </c>
      <c r="E24" s="43">
        <v>1605098</v>
      </c>
      <c r="F24" s="43" t="s">
        <v>13</v>
      </c>
      <c r="G24" s="44">
        <v>20005208</v>
      </c>
      <c r="H24" s="43" t="s">
        <v>58</v>
      </c>
      <c r="I24" s="44">
        <v>1</v>
      </c>
      <c r="J24" s="45">
        <v>8</v>
      </c>
      <c r="K24" s="45">
        <v>8</v>
      </c>
    </row>
    <row r="25" spans="4:11">
      <c r="D25" s="42">
        <v>46163</v>
      </c>
      <c r="E25" s="43">
        <v>1605098</v>
      </c>
      <c r="F25" s="43" t="s">
        <v>13</v>
      </c>
      <c r="G25" s="44">
        <v>20313588</v>
      </c>
      <c r="H25" s="43" t="s">
        <v>30</v>
      </c>
      <c r="I25" s="44">
        <v>2</v>
      </c>
      <c r="J25" s="45">
        <v>8</v>
      </c>
      <c r="K25" s="45">
        <v>16</v>
      </c>
    </row>
    <row r="26" spans="4:11">
      <c r="D26" s="42">
        <v>46163</v>
      </c>
      <c r="E26" s="43">
        <v>1605098</v>
      </c>
      <c r="F26" s="43" t="s">
        <v>13</v>
      </c>
      <c r="G26" s="44">
        <v>20376620</v>
      </c>
      <c r="H26" s="43" t="s">
        <v>65</v>
      </c>
      <c r="I26" s="44">
        <v>1</v>
      </c>
      <c r="J26" s="45">
        <v>8</v>
      </c>
      <c r="K26" s="45">
        <v>8</v>
      </c>
    </row>
    <row r="27" spans="4:11">
      <c r="D27" s="42">
        <v>46163</v>
      </c>
      <c r="E27" s="43">
        <v>1605098</v>
      </c>
      <c r="F27" s="43" t="s">
        <v>13</v>
      </c>
      <c r="G27" s="44">
        <v>20303839</v>
      </c>
      <c r="H27" s="43" t="s">
        <v>80</v>
      </c>
      <c r="I27" s="44">
        <v>1</v>
      </c>
      <c r="J27" s="45">
        <v>8</v>
      </c>
      <c r="K27" s="45">
        <v>8</v>
      </c>
    </row>
    <row r="28" spans="4:11">
      <c r="D28" s="42">
        <v>46163</v>
      </c>
      <c r="E28" s="43">
        <v>1605098</v>
      </c>
      <c r="F28" s="43" t="s">
        <v>13</v>
      </c>
      <c r="G28" s="44">
        <v>20005849</v>
      </c>
      <c r="H28" s="43" t="s">
        <v>57</v>
      </c>
      <c r="I28" s="44">
        <v>1</v>
      </c>
      <c r="J28" s="45">
        <v>8</v>
      </c>
      <c r="K28" s="45">
        <v>8</v>
      </c>
    </row>
    <row r="29" spans="4:11">
      <c r="D29" s="42">
        <v>46164</v>
      </c>
      <c r="E29" s="43">
        <v>1605370</v>
      </c>
      <c r="F29" s="43" t="s">
        <v>13</v>
      </c>
      <c r="G29" s="44">
        <v>20376624</v>
      </c>
      <c r="H29" s="43" t="s">
        <v>33</v>
      </c>
      <c r="I29" s="44">
        <v>1</v>
      </c>
      <c r="J29" s="45">
        <v>8</v>
      </c>
      <c r="K29" s="45">
        <v>8</v>
      </c>
    </row>
    <row r="30" spans="4:11">
      <c r="D30" s="42">
        <v>46164</v>
      </c>
      <c r="E30" s="43">
        <v>1605370</v>
      </c>
      <c r="F30" s="43" t="s">
        <v>13</v>
      </c>
      <c r="G30" s="44">
        <v>20406253</v>
      </c>
      <c r="H30" s="43" t="s">
        <v>50</v>
      </c>
      <c r="I30" s="44">
        <v>2</v>
      </c>
      <c r="J30" s="45">
        <v>13.5</v>
      </c>
      <c r="K30" s="45">
        <v>27</v>
      </c>
    </row>
    <row r="31" spans="4:11">
      <c r="D31" s="42">
        <v>46164</v>
      </c>
      <c r="E31" s="43">
        <v>1605370</v>
      </c>
      <c r="F31" s="43" t="s">
        <v>13</v>
      </c>
      <c r="G31" s="44">
        <v>20313588</v>
      </c>
      <c r="H31" s="43" t="s">
        <v>30</v>
      </c>
      <c r="I31" s="44">
        <v>3</v>
      </c>
      <c r="J31" s="45">
        <v>8</v>
      </c>
      <c r="K31" s="45">
        <v>24</v>
      </c>
    </row>
    <row r="32" spans="4:11">
      <c r="D32" s="42">
        <v>46164</v>
      </c>
      <c r="E32" s="43">
        <v>1605370</v>
      </c>
      <c r="F32" s="43" t="s">
        <v>13</v>
      </c>
      <c r="G32" s="44">
        <v>20376621</v>
      </c>
      <c r="H32" s="43" t="s">
        <v>65</v>
      </c>
      <c r="I32" s="44">
        <v>1</v>
      </c>
      <c r="J32" s="45">
        <v>8</v>
      </c>
      <c r="K32" s="45">
        <v>8</v>
      </c>
    </row>
    <row r="33" spans="4:11">
      <c r="D33" s="42">
        <v>46164</v>
      </c>
      <c r="E33" s="43">
        <v>1605370</v>
      </c>
      <c r="F33" s="43" t="s">
        <v>13</v>
      </c>
      <c r="G33" s="44">
        <v>20377357</v>
      </c>
      <c r="H33" s="43" t="s">
        <v>37</v>
      </c>
      <c r="I33" s="44">
        <v>3</v>
      </c>
      <c r="J33" s="45">
        <v>8</v>
      </c>
      <c r="K33" s="45">
        <v>24</v>
      </c>
    </row>
    <row r="34" spans="4:11">
      <c r="D34" s="42">
        <v>46164</v>
      </c>
      <c r="E34" s="43">
        <v>1605502</v>
      </c>
      <c r="F34" s="43" t="s">
        <v>13</v>
      </c>
      <c r="G34" s="44">
        <v>20005208</v>
      </c>
      <c r="H34" s="43" t="s">
        <v>58</v>
      </c>
      <c r="I34" s="44">
        <v>2</v>
      </c>
      <c r="J34" s="45">
        <v>8</v>
      </c>
      <c r="K34" s="45">
        <v>16</v>
      </c>
    </row>
    <row r="35" spans="4:11">
      <c r="D35" s="42">
        <v>46164</v>
      </c>
      <c r="E35" s="43">
        <v>1605502</v>
      </c>
      <c r="F35" s="43" t="s">
        <v>13</v>
      </c>
      <c r="G35" s="44">
        <v>20406253</v>
      </c>
      <c r="H35" s="43" t="s">
        <v>50</v>
      </c>
      <c r="I35" s="44">
        <v>1</v>
      </c>
      <c r="J35" s="45">
        <v>13.5</v>
      </c>
      <c r="K35" s="45">
        <v>13.5</v>
      </c>
    </row>
    <row r="36" spans="4:11">
      <c r="D36" s="42">
        <v>46164</v>
      </c>
      <c r="E36" s="43">
        <v>1605502</v>
      </c>
      <c r="F36" s="43" t="s">
        <v>13</v>
      </c>
      <c r="G36" s="44">
        <v>20313588</v>
      </c>
      <c r="H36" s="43" t="s">
        <v>30</v>
      </c>
      <c r="I36" s="44">
        <v>1</v>
      </c>
      <c r="J36" s="45">
        <v>8</v>
      </c>
      <c r="K36" s="45">
        <v>8</v>
      </c>
    </row>
    <row r="37" spans="4:11">
      <c r="D37" s="42">
        <v>46164</v>
      </c>
      <c r="E37" s="43">
        <v>1605502</v>
      </c>
      <c r="F37" s="43" t="s">
        <v>13</v>
      </c>
      <c r="G37" s="44">
        <v>20376620</v>
      </c>
      <c r="H37" s="43" t="s">
        <v>65</v>
      </c>
      <c r="I37" s="44">
        <v>1</v>
      </c>
      <c r="J37" s="45">
        <v>8</v>
      </c>
      <c r="K37" s="45">
        <v>8</v>
      </c>
    </row>
    <row r="38" spans="4:11">
      <c r="D38" s="42">
        <v>46164</v>
      </c>
      <c r="E38" s="43">
        <v>1605502</v>
      </c>
      <c r="F38" s="43" t="s">
        <v>13</v>
      </c>
      <c r="G38" s="44">
        <v>20377357</v>
      </c>
      <c r="H38" s="43" t="s">
        <v>37</v>
      </c>
      <c r="I38" s="44">
        <v>1</v>
      </c>
      <c r="J38" s="45">
        <v>8</v>
      </c>
      <c r="K38" s="45">
        <v>8</v>
      </c>
    </row>
    <row r="39" spans="4:11">
      <c r="D39" s="42">
        <v>46164</v>
      </c>
      <c r="E39" s="43">
        <v>1605502</v>
      </c>
      <c r="F39" s="43" t="s">
        <v>13</v>
      </c>
      <c r="G39" s="44">
        <v>20303839</v>
      </c>
      <c r="H39" s="43" t="s">
        <v>80</v>
      </c>
      <c r="I39" s="44">
        <v>1</v>
      </c>
      <c r="J39" s="45">
        <v>8</v>
      </c>
      <c r="K39" s="45">
        <v>8</v>
      </c>
    </row>
    <row r="40" spans="4:11">
      <c r="D40" s="42">
        <v>46165</v>
      </c>
      <c r="E40" s="43">
        <v>1605735</v>
      </c>
      <c r="F40" s="43" t="s">
        <v>13</v>
      </c>
      <c r="G40" s="44">
        <v>20005208</v>
      </c>
      <c r="H40" s="43" t="s">
        <v>58</v>
      </c>
      <c r="I40" s="44">
        <v>1</v>
      </c>
      <c r="J40" s="45">
        <v>8</v>
      </c>
      <c r="K40" s="45">
        <v>8</v>
      </c>
    </row>
    <row r="41" spans="4:11">
      <c r="D41" s="42">
        <v>46165</v>
      </c>
      <c r="E41" s="43">
        <v>1605735</v>
      </c>
      <c r="F41" s="43" t="s">
        <v>13</v>
      </c>
      <c r="G41" s="44">
        <v>20376624</v>
      </c>
      <c r="H41" s="43" t="s">
        <v>33</v>
      </c>
      <c r="I41" s="44">
        <v>1</v>
      </c>
      <c r="J41" s="45">
        <v>8</v>
      </c>
      <c r="K41" s="45">
        <v>8</v>
      </c>
    </row>
    <row r="42" spans="4:11">
      <c r="D42" s="42">
        <v>46165</v>
      </c>
      <c r="E42" s="43">
        <v>1605735</v>
      </c>
      <c r="F42" s="43" t="s">
        <v>13</v>
      </c>
      <c r="G42" s="44">
        <v>20313588</v>
      </c>
      <c r="H42" s="43" t="s">
        <v>30</v>
      </c>
      <c r="I42" s="44">
        <v>3</v>
      </c>
      <c r="J42" s="45">
        <v>8</v>
      </c>
      <c r="K42" s="45">
        <v>24</v>
      </c>
    </row>
    <row r="43" spans="4:11">
      <c r="D43" s="42">
        <v>46165</v>
      </c>
      <c r="E43" s="43">
        <v>1605735</v>
      </c>
      <c r="F43" s="43" t="s">
        <v>13</v>
      </c>
      <c r="G43" s="44">
        <v>20376620</v>
      </c>
      <c r="H43" s="43" t="s">
        <v>65</v>
      </c>
      <c r="I43" s="44">
        <v>1</v>
      </c>
      <c r="J43" s="45">
        <v>8</v>
      </c>
      <c r="K43" s="45">
        <v>8</v>
      </c>
    </row>
    <row r="44" spans="4:11">
      <c r="D44" s="42">
        <v>46165</v>
      </c>
      <c r="E44" s="43">
        <v>1605735</v>
      </c>
      <c r="F44" s="43" t="s">
        <v>13</v>
      </c>
      <c r="G44" s="44">
        <v>20377357</v>
      </c>
      <c r="H44" s="43" t="s">
        <v>37</v>
      </c>
      <c r="I44" s="44">
        <v>3</v>
      </c>
      <c r="J44" s="45">
        <v>8</v>
      </c>
      <c r="K44" s="45">
        <v>24</v>
      </c>
    </row>
    <row r="45" spans="4:11">
      <c r="D45" s="42">
        <v>46165</v>
      </c>
      <c r="E45" s="43">
        <v>1605735</v>
      </c>
      <c r="F45" s="43" t="s">
        <v>13</v>
      </c>
      <c r="G45" s="44">
        <v>20303839</v>
      </c>
      <c r="H45" s="43" t="s">
        <v>80</v>
      </c>
      <c r="I45" s="44">
        <v>1</v>
      </c>
      <c r="J45" s="45">
        <v>8</v>
      </c>
      <c r="K45" s="45">
        <v>8</v>
      </c>
    </row>
    <row r="46" spans="4:11">
      <c r="D46" s="42">
        <v>46168</v>
      </c>
      <c r="E46" s="43">
        <v>1606380</v>
      </c>
      <c r="F46" s="43" t="s">
        <v>13</v>
      </c>
      <c r="G46" s="44">
        <v>20005208</v>
      </c>
      <c r="H46" s="43" t="s">
        <v>58</v>
      </c>
      <c r="I46" s="44">
        <v>2</v>
      </c>
      <c r="J46" s="45">
        <v>8</v>
      </c>
      <c r="K46" s="45">
        <v>16</v>
      </c>
    </row>
    <row r="47" spans="4:11">
      <c r="D47" s="42">
        <v>46168</v>
      </c>
      <c r="E47" s="43">
        <v>1606380</v>
      </c>
      <c r="F47" s="43" t="s">
        <v>13</v>
      </c>
      <c r="G47" s="44">
        <v>20313588</v>
      </c>
      <c r="H47" s="43" t="s">
        <v>30</v>
      </c>
      <c r="I47" s="44">
        <v>3</v>
      </c>
      <c r="J47" s="45">
        <v>8</v>
      </c>
      <c r="K47" s="45">
        <v>24</v>
      </c>
    </row>
    <row r="48" spans="4:11">
      <c r="D48" s="42">
        <v>46168</v>
      </c>
      <c r="E48" s="43">
        <v>1606380</v>
      </c>
      <c r="F48" s="43" t="s">
        <v>13</v>
      </c>
      <c r="G48" s="44">
        <v>20376621</v>
      </c>
      <c r="H48" s="43" t="s">
        <v>65</v>
      </c>
      <c r="I48" s="44">
        <v>1</v>
      </c>
      <c r="J48" s="45">
        <v>8</v>
      </c>
      <c r="K48" s="45">
        <v>8</v>
      </c>
    </row>
    <row r="49" spans="4:11">
      <c r="D49" s="42">
        <v>46168</v>
      </c>
      <c r="E49" s="43">
        <v>1606380</v>
      </c>
      <c r="F49" s="43" t="s">
        <v>13</v>
      </c>
      <c r="G49" s="44">
        <v>20377357</v>
      </c>
      <c r="H49" s="43" t="s">
        <v>37</v>
      </c>
      <c r="I49" s="44">
        <v>2</v>
      </c>
      <c r="J49" s="45">
        <v>8</v>
      </c>
      <c r="K49" s="45">
        <v>16</v>
      </c>
    </row>
    <row r="50" spans="4:11">
      <c r="D50" s="42">
        <v>46168</v>
      </c>
      <c r="E50" s="43">
        <v>1606380</v>
      </c>
      <c r="F50" s="43" t="s">
        <v>13</v>
      </c>
      <c r="G50" s="44">
        <v>20303839</v>
      </c>
      <c r="H50" s="43" t="s">
        <v>80</v>
      </c>
      <c r="I50" s="44">
        <v>2</v>
      </c>
      <c r="J50" s="45">
        <v>8</v>
      </c>
      <c r="K50" s="45">
        <v>16</v>
      </c>
    </row>
    <row r="51" spans="4:11">
      <c r="D51" s="42">
        <v>46168</v>
      </c>
      <c r="E51" s="43">
        <v>1606380</v>
      </c>
      <c r="F51" s="43" t="s">
        <v>13</v>
      </c>
      <c r="G51" s="44">
        <v>20005849</v>
      </c>
      <c r="H51" s="43" t="s">
        <v>57</v>
      </c>
      <c r="I51" s="44">
        <v>1</v>
      </c>
      <c r="J51" s="45">
        <v>8</v>
      </c>
      <c r="K51" s="45">
        <v>8</v>
      </c>
    </row>
    <row r="52" spans="4:11">
      <c r="D52" s="42">
        <v>46169</v>
      </c>
      <c r="E52" s="43">
        <v>1606701</v>
      </c>
      <c r="F52" s="43" t="s">
        <v>13</v>
      </c>
      <c r="G52" s="44">
        <v>20376624</v>
      </c>
      <c r="H52" s="43" t="s">
        <v>33</v>
      </c>
      <c r="I52" s="44">
        <v>1</v>
      </c>
      <c r="J52" s="45">
        <v>8</v>
      </c>
      <c r="K52" s="45">
        <v>8</v>
      </c>
    </row>
    <row r="53" spans="4:11">
      <c r="D53" s="42">
        <v>46169</v>
      </c>
      <c r="E53" s="43">
        <v>1606701</v>
      </c>
      <c r="F53" s="43" t="s">
        <v>13</v>
      </c>
      <c r="G53" s="44">
        <v>20398872</v>
      </c>
      <c r="H53" s="43" t="s">
        <v>81</v>
      </c>
      <c r="I53" s="44">
        <v>1</v>
      </c>
      <c r="J53" s="45">
        <v>8</v>
      </c>
      <c r="K53" s="45">
        <v>8</v>
      </c>
    </row>
    <row r="54" spans="4:11">
      <c r="D54" s="42">
        <v>46169</v>
      </c>
      <c r="E54" s="43">
        <v>1606701</v>
      </c>
      <c r="F54" s="43" t="s">
        <v>13</v>
      </c>
      <c r="G54" s="44">
        <v>20406253</v>
      </c>
      <c r="H54" s="43" t="s">
        <v>50</v>
      </c>
      <c r="I54" s="44">
        <v>1</v>
      </c>
      <c r="J54" s="45">
        <v>13.5</v>
      </c>
      <c r="K54" s="45">
        <v>13.5</v>
      </c>
    </row>
    <row r="55" spans="4:11">
      <c r="D55" s="42">
        <v>46169</v>
      </c>
      <c r="E55" s="43">
        <v>1606701</v>
      </c>
      <c r="F55" s="43" t="s">
        <v>13</v>
      </c>
      <c r="G55" s="44">
        <v>20313588</v>
      </c>
      <c r="H55" s="43" t="s">
        <v>30</v>
      </c>
      <c r="I55" s="44">
        <v>2</v>
      </c>
      <c r="J55" s="45">
        <v>8</v>
      </c>
      <c r="K55" s="45">
        <v>16</v>
      </c>
    </row>
    <row r="56" spans="4:11">
      <c r="D56" s="42">
        <v>46169</v>
      </c>
      <c r="E56" s="43">
        <v>1606701</v>
      </c>
      <c r="F56" s="43" t="s">
        <v>13</v>
      </c>
      <c r="G56" s="44">
        <v>20376620</v>
      </c>
      <c r="H56" s="43" t="s">
        <v>65</v>
      </c>
      <c r="I56" s="44">
        <v>1</v>
      </c>
      <c r="J56" s="45">
        <v>8</v>
      </c>
      <c r="K56" s="45">
        <v>8</v>
      </c>
    </row>
    <row r="57" spans="4:11">
      <c r="D57" s="42">
        <v>46169</v>
      </c>
      <c r="E57" s="43">
        <v>1606701</v>
      </c>
      <c r="F57" s="43" t="s">
        <v>13</v>
      </c>
      <c r="G57" s="44">
        <v>20377357</v>
      </c>
      <c r="H57" s="43" t="s">
        <v>37</v>
      </c>
      <c r="I57" s="44">
        <v>1</v>
      </c>
      <c r="J57" s="45">
        <v>8</v>
      </c>
      <c r="K57" s="45">
        <v>8</v>
      </c>
    </row>
    <row r="58" spans="4:11">
      <c r="D58" s="42">
        <v>46169</v>
      </c>
      <c r="E58" s="43">
        <v>1606790</v>
      </c>
      <c r="F58" s="43" t="s">
        <v>13</v>
      </c>
      <c r="G58" s="44">
        <v>20376624</v>
      </c>
      <c r="H58" s="43" t="s">
        <v>33</v>
      </c>
      <c r="I58" s="44">
        <v>2</v>
      </c>
      <c r="J58" s="45">
        <v>8</v>
      </c>
      <c r="K58" s="45">
        <v>16</v>
      </c>
    </row>
    <row r="59" spans="4:11">
      <c r="D59" s="42">
        <v>46169</v>
      </c>
      <c r="E59" s="43">
        <v>1606790</v>
      </c>
      <c r="F59" s="43" t="s">
        <v>13</v>
      </c>
      <c r="G59" s="44">
        <v>20406253</v>
      </c>
      <c r="H59" s="43" t="s">
        <v>50</v>
      </c>
      <c r="I59" s="44">
        <v>1</v>
      </c>
      <c r="J59" s="45">
        <v>13.5</v>
      </c>
      <c r="K59" s="45">
        <v>13.5</v>
      </c>
    </row>
    <row r="60" spans="4:11">
      <c r="D60" s="42">
        <v>46169</v>
      </c>
      <c r="E60" s="43">
        <v>1606790</v>
      </c>
      <c r="F60" s="43" t="s">
        <v>13</v>
      </c>
      <c r="G60" s="44">
        <v>20400912</v>
      </c>
      <c r="H60" s="43" t="s">
        <v>66</v>
      </c>
      <c r="I60" s="44">
        <v>1</v>
      </c>
      <c r="J60" s="45">
        <v>8</v>
      </c>
      <c r="K60" s="45">
        <v>8</v>
      </c>
    </row>
    <row r="61" spans="4:11">
      <c r="D61" s="42">
        <v>46169</v>
      </c>
      <c r="E61" s="43">
        <v>1606790</v>
      </c>
      <c r="F61" s="43" t="s">
        <v>13</v>
      </c>
      <c r="G61" s="44">
        <v>20313588</v>
      </c>
      <c r="H61" s="43" t="s">
        <v>30</v>
      </c>
      <c r="I61" s="44">
        <v>4</v>
      </c>
      <c r="J61" s="45">
        <v>8</v>
      </c>
      <c r="K61" s="45">
        <v>32</v>
      </c>
    </row>
    <row r="62" spans="4:11">
      <c r="D62" s="42">
        <v>46169</v>
      </c>
      <c r="E62" s="43">
        <v>1606790</v>
      </c>
      <c r="F62" s="43" t="s">
        <v>13</v>
      </c>
      <c r="G62" s="44">
        <v>20377357</v>
      </c>
      <c r="H62" s="43" t="s">
        <v>37</v>
      </c>
      <c r="I62" s="44">
        <v>3</v>
      </c>
      <c r="J62" s="45">
        <v>8</v>
      </c>
      <c r="K62" s="45">
        <v>24</v>
      </c>
    </row>
    <row r="63" spans="4:11">
      <c r="D63" s="42">
        <v>46170</v>
      </c>
      <c r="E63" s="43">
        <v>1607013</v>
      </c>
      <c r="F63" s="43" t="s">
        <v>13</v>
      </c>
      <c r="G63" s="44">
        <v>20005208</v>
      </c>
      <c r="H63" s="43" t="s">
        <v>58</v>
      </c>
      <c r="I63" s="44">
        <v>2</v>
      </c>
      <c r="J63" s="45">
        <v>8</v>
      </c>
      <c r="K63" s="45">
        <v>16</v>
      </c>
    </row>
    <row r="64" spans="4:11">
      <c r="D64" s="42">
        <v>46170</v>
      </c>
      <c r="E64" s="43">
        <v>1607013</v>
      </c>
      <c r="F64" s="43" t="s">
        <v>13</v>
      </c>
      <c r="G64" s="44">
        <v>20313588</v>
      </c>
      <c r="H64" s="43" t="s">
        <v>30</v>
      </c>
      <c r="I64" s="44">
        <v>2</v>
      </c>
      <c r="J64" s="45">
        <v>8</v>
      </c>
      <c r="K64" s="45">
        <v>16</v>
      </c>
    </row>
    <row r="65" spans="4:11">
      <c r="D65" s="42">
        <v>46170</v>
      </c>
      <c r="E65" s="43">
        <v>1607013</v>
      </c>
      <c r="F65" s="43" t="s">
        <v>13</v>
      </c>
      <c r="G65" s="44">
        <v>20324084</v>
      </c>
      <c r="H65" s="43" t="s">
        <v>24</v>
      </c>
      <c r="I65" s="44">
        <v>1</v>
      </c>
      <c r="J65" s="45">
        <v>8</v>
      </c>
      <c r="K65" s="45">
        <v>8</v>
      </c>
    </row>
    <row r="66" spans="4:11">
      <c r="D66" s="42">
        <v>46170</v>
      </c>
      <c r="E66" s="43">
        <v>1607013</v>
      </c>
      <c r="F66" s="43" t="s">
        <v>13</v>
      </c>
      <c r="G66" s="44">
        <v>20377357</v>
      </c>
      <c r="H66" s="43" t="s">
        <v>37</v>
      </c>
      <c r="I66" s="44">
        <v>1</v>
      </c>
      <c r="J66" s="45">
        <v>8</v>
      </c>
      <c r="K66" s="45">
        <v>8</v>
      </c>
    </row>
    <row r="67" spans="4:11">
      <c r="D67" s="42">
        <v>46170</v>
      </c>
      <c r="E67" s="43">
        <v>1607136</v>
      </c>
      <c r="F67" s="43" t="s">
        <v>13</v>
      </c>
      <c r="G67" s="44">
        <v>20005208</v>
      </c>
      <c r="H67" s="43" t="s">
        <v>58</v>
      </c>
      <c r="I67" s="44">
        <v>1</v>
      </c>
      <c r="J67" s="45">
        <v>8</v>
      </c>
      <c r="K67" s="45">
        <v>8</v>
      </c>
    </row>
    <row r="68" spans="4:11">
      <c r="D68" s="42">
        <v>46170</v>
      </c>
      <c r="E68" s="43">
        <v>1607136</v>
      </c>
      <c r="F68" s="43" t="s">
        <v>13</v>
      </c>
      <c r="G68" s="44">
        <v>20406253</v>
      </c>
      <c r="H68" s="43" t="s">
        <v>50</v>
      </c>
      <c r="I68" s="44">
        <v>1</v>
      </c>
      <c r="J68" s="45">
        <v>13.5</v>
      </c>
      <c r="K68" s="45">
        <v>13.5</v>
      </c>
    </row>
    <row r="69" spans="4:11">
      <c r="D69" s="42">
        <v>46170</v>
      </c>
      <c r="E69" s="43">
        <v>1607136</v>
      </c>
      <c r="F69" s="43" t="s">
        <v>13</v>
      </c>
      <c r="G69" s="44">
        <v>20313588</v>
      </c>
      <c r="H69" s="43" t="s">
        <v>30</v>
      </c>
      <c r="I69" s="44">
        <v>1</v>
      </c>
      <c r="J69" s="45">
        <v>8</v>
      </c>
      <c r="K69" s="45">
        <v>8</v>
      </c>
    </row>
    <row r="70" spans="4:11">
      <c r="D70" s="42">
        <v>46170</v>
      </c>
      <c r="E70" s="43">
        <v>1607136</v>
      </c>
      <c r="F70" s="43" t="s">
        <v>13</v>
      </c>
      <c r="G70" s="44">
        <v>20377357</v>
      </c>
      <c r="H70" s="43" t="s">
        <v>37</v>
      </c>
      <c r="I70" s="44">
        <v>1</v>
      </c>
      <c r="J70" s="45">
        <v>8</v>
      </c>
      <c r="K70" s="45">
        <v>8</v>
      </c>
    </row>
    <row r="71" spans="4:11">
      <c r="D71" s="42">
        <v>46170</v>
      </c>
      <c r="E71" s="43">
        <v>1607136</v>
      </c>
      <c r="F71" s="43" t="s">
        <v>13</v>
      </c>
      <c r="G71" s="44">
        <v>20005849</v>
      </c>
      <c r="H71" s="43" t="s">
        <v>57</v>
      </c>
      <c r="I71" s="44">
        <v>1</v>
      </c>
      <c r="J71" s="45">
        <v>8</v>
      </c>
      <c r="K71" s="45">
        <v>8</v>
      </c>
    </row>
    <row r="72" spans="4:11">
      <c r="D72" s="42">
        <v>46171</v>
      </c>
      <c r="E72" s="43">
        <v>1607417</v>
      </c>
      <c r="F72" s="43" t="s">
        <v>13</v>
      </c>
      <c r="G72" s="44">
        <v>20313588</v>
      </c>
      <c r="H72" s="43" t="s">
        <v>30</v>
      </c>
      <c r="I72" s="44">
        <v>1</v>
      </c>
      <c r="J72" s="45">
        <v>8</v>
      </c>
      <c r="K72" s="45">
        <v>8</v>
      </c>
    </row>
    <row r="73" spans="4:11">
      <c r="D73" s="42">
        <v>46171</v>
      </c>
      <c r="E73" s="43">
        <v>1607417</v>
      </c>
      <c r="F73" s="43" t="s">
        <v>13</v>
      </c>
      <c r="G73" s="44">
        <v>20377357</v>
      </c>
      <c r="H73" s="43" t="s">
        <v>37</v>
      </c>
      <c r="I73" s="44">
        <v>2</v>
      </c>
      <c r="J73" s="45">
        <v>8</v>
      </c>
      <c r="K73" s="45">
        <v>16</v>
      </c>
    </row>
    <row r="74" spans="4:11">
      <c r="D74" s="42">
        <v>46171</v>
      </c>
      <c r="E74" s="43">
        <v>1607536</v>
      </c>
      <c r="F74" s="43" t="s">
        <v>13</v>
      </c>
      <c r="G74" s="44">
        <v>20406253</v>
      </c>
      <c r="H74" s="43" t="s">
        <v>50</v>
      </c>
      <c r="I74" s="44">
        <v>1</v>
      </c>
      <c r="J74" s="45">
        <v>13.5</v>
      </c>
      <c r="K74" s="45">
        <v>13.5</v>
      </c>
    </row>
    <row r="75" spans="4:11">
      <c r="D75" s="42">
        <v>46171</v>
      </c>
      <c r="E75" s="43">
        <v>1607536</v>
      </c>
      <c r="F75" s="43" t="s">
        <v>13</v>
      </c>
      <c r="G75" s="44">
        <v>20313588</v>
      </c>
      <c r="H75" s="43" t="s">
        <v>30</v>
      </c>
      <c r="I75" s="44">
        <v>6</v>
      </c>
      <c r="J75" s="45">
        <v>8</v>
      </c>
      <c r="K75" s="45">
        <v>48</v>
      </c>
    </row>
    <row r="76" spans="4:11">
      <c r="D76" s="42">
        <v>46171</v>
      </c>
      <c r="E76" s="43">
        <v>1607536</v>
      </c>
      <c r="F76" s="43" t="s">
        <v>13</v>
      </c>
      <c r="G76" s="44">
        <v>20377357</v>
      </c>
      <c r="H76" s="43" t="s">
        <v>37</v>
      </c>
      <c r="I76" s="44">
        <v>4</v>
      </c>
      <c r="J76" s="45">
        <v>8</v>
      </c>
      <c r="K76" s="45">
        <v>32</v>
      </c>
    </row>
    <row r="77" spans="4:11">
      <c r="D77" s="42">
        <v>46175</v>
      </c>
      <c r="E77" s="43">
        <v>1608455</v>
      </c>
      <c r="F77" s="43" t="s">
        <v>13</v>
      </c>
      <c r="G77" s="44">
        <v>20005208</v>
      </c>
      <c r="H77" s="43" t="s">
        <v>58</v>
      </c>
      <c r="I77" s="44">
        <v>1</v>
      </c>
      <c r="J77" s="45">
        <v>8</v>
      </c>
      <c r="K77" s="45">
        <v>8</v>
      </c>
    </row>
    <row r="78" spans="4:11">
      <c r="D78" s="42">
        <v>46175</v>
      </c>
      <c r="E78" s="43">
        <v>1608455</v>
      </c>
      <c r="F78" s="43" t="s">
        <v>13</v>
      </c>
      <c r="G78" s="44">
        <v>20313588</v>
      </c>
      <c r="H78" s="43" t="s">
        <v>30</v>
      </c>
      <c r="I78" s="44">
        <v>1</v>
      </c>
      <c r="J78" s="45">
        <v>8</v>
      </c>
      <c r="K78" s="45">
        <v>8</v>
      </c>
    </row>
    <row r="79" spans="4:11">
      <c r="D79" s="42">
        <v>46175</v>
      </c>
      <c r="E79" s="43">
        <v>1608455</v>
      </c>
      <c r="F79" s="43" t="s">
        <v>13</v>
      </c>
      <c r="G79" s="44">
        <v>20377357</v>
      </c>
      <c r="H79" s="43" t="s">
        <v>37</v>
      </c>
      <c r="I79" s="44">
        <v>1</v>
      </c>
      <c r="J79" s="45">
        <v>8</v>
      </c>
      <c r="K79" s="45">
        <v>8</v>
      </c>
    </row>
    <row r="80" spans="4:11">
      <c r="D80" s="42">
        <v>46175</v>
      </c>
      <c r="E80" s="43">
        <v>1608455</v>
      </c>
      <c r="F80" s="43" t="s">
        <v>13</v>
      </c>
      <c r="G80" s="44">
        <v>20303839</v>
      </c>
      <c r="H80" s="43" t="s">
        <v>80</v>
      </c>
      <c r="I80" s="44">
        <v>1</v>
      </c>
      <c r="J80" s="45">
        <v>8</v>
      </c>
      <c r="K80" s="45">
        <v>8</v>
      </c>
    </row>
    <row r="81" spans="4:11">
      <c r="D81" s="42">
        <v>46176</v>
      </c>
      <c r="E81" s="43">
        <v>1608688</v>
      </c>
      <c r="F81" s="43" t="s">
        <v>13</v>
      </c>
      <c r="G81" s="44">
        <v>20005208</v>
      </c>
      <c r="H81" s="43" t="s">
        <v>58</v>
      </c>
      <c r="I81" s="44">
        <v>1</v>
      </c>
      <c r="J81" s="45">
        <v>8</v>
      </c>
      <c r="K81" s="45">
        <v>8</v>
      </c>
    </row>
    <row r="82" spans="4:11">
      <c r="D82" s="42">
        <v>46176</v>
      </c>
      <c r="E82" s="43">
        <v>1608688</v>
      </c>
      <c r="F82" s="43" t="s">
        <v>13</v>
      </c>
      <c r="G82" s="44">
        <v>20013630</v>
      </c>
      <c r="H82" s="43" t="s">
        <v>82</v>
      </c>
      <c r="I82" s="44">
        <v>1</v>
      </c>
      <c r="J82" s="45">
        <v>8</v>
      </c>
      <c r="K82" s="45">
        <v>8</v>
      </c>
    </row>
    <row r="83" spans="4:11">
      <c r="D83" s="42">
        <v>46176</v>
      </c>
      <c r="E83" s="43">
        <v>1608688</v>
      </c>
      <c r="F83" s="43" t="s">
        <v>13</v>
      </c>
      <c r="G83" s="44">
        <v>20313588</v>
      </c>
      <c r="H83" s="43" t="s">
        <v>30</v>
      </c>
      <c r="I83" s="44">
        <v>1</v>
      </c>
      <c r="J83" s="45">
        <v>8</v>
      </c>
      <c r="K83" s="45">
        <v>8</v>
      </c>
    </row>
    <row r="84" spans="4:11">
      <c r="D84" s="42">
        <v>46176</v>
      </c>
      <c r="E84" s="43">
        <v>1608688</v>
      </c>
      <c r="F84" s="43" t="s">
        <v>13</v>
      </c>
      <c r="G84" s="44">
        <v>20376621</v>
      </c>
      <c r="H84" s="43" t="s">
        <v>65</v>
      </c>
      <c r="I84" s="44">
        <v>1</v>
      </c>
      <c r="J84" s="45">
        <v>8</v>
      </c>
      <c r="K84" s="45">
        <v>8</v>
      </c>
    </row>
    <row r="85" spans="4:11">
      <c r="D85" s="42">
        <v>46176</v>
      </c>
      <c r="E85" s="43">
        <v>1608732</v>
      </c>
      <c r="F85" s="43" t="s">
        <v>13</v>
      </c>
      <c r="G85" s="44">
        <v>20005208</v>
      </c>
      <c r="H85" s="43" t="s">
        <v>58</v>
      </c>
      <c r="I85" s="44">
        <v>1</v>
      </c>
      <c r="J85" s="45">
        <v>8</v>
      </c>
      <c r="K85" s="45">
        <v>8</v>
      </c>
    </row>
    <row r="86" spans="4:11">
      <c r="D86" s="42">
        <v>46176</v>
      </c>
      <c r="E86" s="43">
        <v>1608732</v>
      </c>
      <c r="F86" s="43" t="s">
        <v>13</v>
      </c>
      <c r="G86" s="44">
        <v>20303839</v>
      </c>
      <c r="H86" s="43" t="s">
        <v>80</v>
      </c>
      <c r="I86" s="44">
        <v>1</v>
      </c>
      <c r="J86" s="45">
        <v>8</v>
      </c>
      <c r="K86" s="45">
        <v>8</v>
      </c>
    </row>
    <row r="87" spans="4:11">
      <c r="D87" s="42">
        <v>46176</v>
      </c>
      <c r="E87" s="43">
        <v>1608820</v>
      </c>
      <c r="F87" s="43" t="s">
        <v>13</v>
      </c>
      <c r="G87" s="44">
        <v>20313588</v>
      </c>
      <c r="H87" s="43" t="s">
        <v>30</v>
      </c>
      <c r="I87" s="44">
        <v>4</v>
      </c>
      <c r="J87" s="45">
        <v>8</v>
      </c>
      <c r="K87" s="45">
        <v>32</v>
      </c>
    </row>
    <row r="88" spans="4:11">
      <c r="D88" s="42">
        <v>46176</v>
      </c>
      <c r="E88" s="43">
        <v>1608820</v>
      </c>
      <c r="F88" s="43" t="s">
        <v>13</v>
      </c>
      <c r="G88" s="44">
        <v>20376621</v>
      </c>
      <c r="H88" s="43" t="s">
        <v>65</v>
      </c>
      <c r="I88" s="44">
        <v>1</v>
      </c>
      <c r="J88" s="45">
        <v>8</v>
      </c>
      <c r="K88" s="45">
        <v>8</v>
      </c>
    </row>
    <row r="89" spans="4:11">
      <c r="D89" s="42">
        <v>46176</v>
      </c>
      <c r="E89" s="43">
        <v>1608820</v>
      </c>
      <c r="F89" s="43" t="s">
        <v>13</v>
      </c>
      <c r="G89" s="44">
        <v>20377357</v>
      </c>
      <c r="H89" s="43" t="s">
        <v>37</v>
      </c>
      <c r="I89" s="44">
        <v>2</v>
      </c>
      <c r="J89" s="45">
        <v>8</v>
      </c>
      <c r="K89" s="45">
        <v>16</v>
      </c>
    </row>
    <row r="90" spans="4:11">
      <c r="D90" s="42">
        <v>46177</v>
      </c>
      <c r="E90" s="43">
        <v>1609096</v>
      </c>
      <c r="F90" s="43" t="s">
        <v>13</v>
      </c>
      <c r="G90" s="44">
        <v>20376624</v>
      </c>
      <c r="H90" s="43" t="s">
        <v>33</v>
      </c>
      <c r="I90" s="44">
        <v>1</v>
      </c>
      <c r="J90" s="45">
        <v>8</v>
      </c>
      <c r="K90" s="45">
        <v>8</v>
      </c>
    </row>
    <row r="91" spans="4:11">
      <c r="D91" s="42">
        <v>46177</v>
      </c>
      <c r="E91" s="43">
        <v>1609096</v>
      </c>
      <c r="F91" s="43" t="s">
        <v>13</v>
      </c>
      <c r="G91" s="44">
        <v>20406253</v>
      </c>
      <c r="H91" s="43" t="s">
        <v>50</v>
      </c>
      <c r="I91" s="44">
        <v>1</v>
      </c>
      <c r="J91" s="45">
        <v>13.5</v>
      </c>
      <c r="K91" s="45">
        <v>13.5</v>
      </c>
    </row>
    <row r="92" spans="4:11">
      <c r="D92" s="42">
        <v>46177</v>
      </c>
      <c r="E92" s="43">
        <v>1609096</v>
      </c>
      <c r="F92" s="43" t="s">
        <v>13</v>
      </c>
      <c r="G92" s="44">
        <v>20402943</v>
      </c>
      <c r="H92" s="43" t="s">
        <v>79</v>
      </c>
      <c r="I92" s="44">
        <v>1</v>
      </c>
      <c r="J92" s="45">
        <v>8</v>
      </c>
      <c r="K92" s="45">
        <v>8</v>
      </c>
    </row>
    <row r="93" spans="4:11">
      <c r="D93" s="42">
        <v>46177</v>
      </c>
      <c r="E93" s="43">
        <v>1609096</v>
      </c>
      <c r="F93" s="43" t="s">
        <v>13</v>
      </c>
      <c r="G93" s="44">
        <v>20313588</v>
      </c>
      <c r="H93" s="43" t="s">
        <v>30</v>
      </c>
      <c r="I93" s="44">
        <v>3</v>
      </c>
      <c r="J93" s="45">
        <v>8</v>
      </c>
      <c r="K93" s="45">
        <v>24</v>
      </c>
    </row>
    <row r="94" spans="4:11">
      <c r="D94" s="42">
        <v>46177</v>
      </c>
      <c r="E94" s="43">
        <v>1609096</v>
      </c>
      <c r="F94" s="43" t="s">
        <v>13</v>
      </c>
      <c r="G94" s="44">
        <v>20377357</v>
      </c>
      <c r="H94" s="43" t="s">
        <v>37</v>
      </c>
      <c r="I94" s="44">
        <v>2</v>
      </c>
      <c r="J94" s="45">
        <v>8</v>
      </c>
      <c r="K94" s="45">
        <v>16</v>
      </c>
    </row>
    <row r="95" spans="4:11">
      <c r="D95" s="42">
        <v>46178</v>
      </c>
      <c r="E95" s="43">
        <v>1609585</v>
      </c>
      <c r="F95" s="43" t="s">
        <v>13</v>
      </c>
      <c r="G95" s="44">
        <v>20005208</v>
      </c>
      <c r="H95" s="43" t="s">
        <v>58</v>
      </c>
      <c r="I95" s="44">
        <v>2</v>
      </c>
      <c r="J95" s="45">
        <v>8</v>
      </c>
      <c r="K95" s="45">
        <v>16</v>
      </c>
    </row>
    <row r="96" spans="4:11">
      <c r="D96" s="42">
        <v>46178</v>
      </c>
      <c r="E96" s="43">
        <v>1609585</v>
      </c>
      <c r="F96" s="43" t="s">
        <v>13</v>
      </c>
      <c r="G96" s="44">
        <v>20376624</v>
      </c>
      <c r="H96" s="43" t="s">
        <v>33</v>
      </c>
      <c r="I96" s="44">
        <v>2</v>
      </c>
      <c r="J96" s="45">
        <v>8</v>
      </c>
      <c r="K96" s="45">
        <v>16</v>
      </c>
    </row>
    <row r="97" spans="4:11">
      <c r="D97" s="42">
        <v>46178</v>
      </c>
      <c r="E97" s="43">
        <v>1609585</v>
      </c>
      <c r="F97" s="43" t="s">
        <v>13</v>
      </c>
      <c r="G97" s="44">
        <v>20313588</v>
      </c>
      <c r="H97" s="43" t="s">
        <v>30</v>
      </c>
      <c r="I97" s="44">
        <v>3</v>
      </c>
      <c r="J97" s="45">
        <v>8</v>
      </c>
      <c r="K97" s="45">
        <v>24</v>
      </c>
    </row>
    <row r="98" spans="4:11">
      <c r="D98" s="42">
        <v>46178</v>
      </c>
      <c r="E98" s="43">
        <v>1609585</v>
      </c>
      <c r="F98" s="43" t="s">
        <v>13</v>
      </c>
      <c r="G98" s="44">
        <v>20376863</v>
      </c>
      <c r="H98" s="43" t="s">
        <v>73</v>
      </c>
      <c r="I98" s="44">
        <v>1</v>
      </c>
      <c r="J98" s="45">
        <v>13.5</v>
      </c>
      <c r="K98" s="45">
        <v>13.5</v>
      </c>
    </row>
    <row r="99" spans="4:11">
      <c r="D99" s="42">
        <v>46178</v>
      </c>
      <c r="E99" s="43">
        <v>1609585</v>
      </c>
      <c r="F99" s="43" t="s">
        <v>13</v>
      </c>
      <c r="G99" s="44">
        <v>20377357</v>
      </c>
      <c r="H99" s="43" t="s">
        <v>37</v>
      </c>
      <c r="I99" s="44">
        <v>2</v>
      </c>
      <c r="J99" s="45">
        <v>8</v>
      </c>
      <c r="K99" s="45">
        <v>16</v>
      </c>
    </row>
    <row r="100" spans="4:11">
      <c r="D100" s="42">
        <v>46179</v>
      </c>
      <c r="E100" s="43">
        <v>1609876</v>
      </c>
      <c r="F100" s="43" t="s">
        <v>13</v>
      </c>
      <c r="G100" s="44">
        <v>20376624</v>
      </c>
      <c r="H100" s="43" t="s">
        <v>33</v>
      </c>
      <c r="I100" s="44">
        <v>1</v>
      </c>
      <c r="J100" s="45">
        <v>8</v>
      </c>
      <c r="K100" s="45">
        <v>8</v>
      </c>
    </row>
    <row r="101" spans="4:11">
      <c r="D101" s="42">
        <v>46179</v>
      </c>
      <c r="E101" s="43">
        <v>1609876</v>
      </c>
      <c r="F101" s="43" t="s">
        <v>13</v>
      </c>
      <c r="G101" s="44">
        <v>20406253</v>
      </c>
      <c r="H101" s="43" t="s">
        <v>50</v>
      </c>
      <c r="I101" s="44">
        <v>1</v>
      </c>
      <c r="J101" s="45">
        <v>13.5</v>
      </c>
      <c r="K101" s="45">
        <v>13.5</v>
      </c>
    </row>
    <row r="102" spans="4:11">
      <c r="D102" s="42">
        <v>46179</v>
      </c>
      <c r="E102" s="43">
        <v>1609876</v>
      </c>
      <c r="F102" s="43" t="s">
        <v>13</v>
      </c>
      <c r="G102" s="44">
        <v>20400912</v>
      </c>
      <c r="H102" s="43" t="s">
        <v>66</v>
      </c>
      <c r="I102" s="44">
        <v>1</v>
      </c>
      <c r="J102" s="45">
        <v>8</v>
      </c>
      <c r="K102" s="45">
        <v>8</v>
      </c>
    </row>
    <row r="103" spans="4:11">
      <c r="D103" s="42">
        <v>46179</v>
      </c>
      <c r="E103" s="43">
        <v>1609876</v>
      </c>
      <c r="F103" s="43" t="s">
        <v>13</v>
      </c>
      <c r="G103" s="44">
        <v>20313588</v>
      </c>
      <c r="H103" s="43" t="s">
        <v>30</v>
      </c>
      <c r="I103" s="44">
        <v>1</v>
      </c>
      <c r="J103" s="45">
        <v>8</v>
      </c>
      <c r="K103" s="45">
        <v>8</v>
      </c>
    </row>
    <row r="104" spans="4:11">
      <c r="D104" s="42">
        <v>46179</v>
      </c>
      <c r="E104" s="43">
        <v>1609876</v>
      </c>
      <c r="F104" s="43" t="s">
        <v>13</v>
      </c>
      <c r="G104" s="44">
        <v>20377357</v>
      </c>
      <c r="H104" s="43" t="s">
        <v>37</v>
      </c>
      <c r="I104" s="44">
        <v>2</v>
      </c>
      <c r="J104" s="45">
        <v>8</v>
      </c>
      <c r="K104" s="45">
        <v>16</v>
      </c>
    </row>
    <row r="105" spans="4:11">
      <c r="D105" s="42">
        <v>46182</v>
      </c>
      <c r="E105" s="43">
        <v>1610557</v>
      </c>
      <c r="F105" s="43" t="s">
        <v>13</v>
      </c>
      <c r="G105" s="44">
        <v>20005208</v>
      </c>
      <c r="H105" s="43" t="s">
        <v>58</v>
      </c>
      <c r="I105" s="44">
        <v>1</v>
      </c>
      <c r="J105" s="45">
        <v>8</v>
      </c>
      <c r="K105" s="45">
        <v>8</v>
      </c>
    </row>
    <row r="106" spans="4:11">
      <c r="D106" s="42">
        <v>46182</v>
      </c>
      <c r="E106" s="43">
        <v>1610557</v>
      </c>
      <c r="F106" s="43" t="s">
        <v>13</v>
      </c>
      <c r="G106" s="44">
        <v>20414939</v>
      </c>
      <c r="H106" s="43" t="s">
        <v>64</v>
      </c>
      <c r="I106" s="44">
        <v>1</v>
      </c>
      <c r="J106" s="45">
        <v>8</v>
      </c>
      <c r="K106" s="45">
        <v>8</v>
      </c>
    </row>
    <row r="107" spans="4:11">
      <c r="D107" s="42">
        <v>46182</v>
      </c>
      <c r="E107" s="43">
        <v>1610557</v>
      </c>
      <c r="F107" s="43" t="s">
        <v>13</v>
      </c>
      <c r="G107" s="44">
        <v>20313588</v>
      </c>
      <c r="H107" s="43" t="s">
        <v>30</v>
      </c>
      <c r="I107" s="44">
        <v>1</v>
      </c>
      <c r="J107" s="45">
        <v>8</v>
      </c>
      <c r="K107" s="45">
        <v>8</v>
      </c>
    </row>
    <row r="108" spans="4:11">
      <c r="D108" s="42">
        <v>46182</v>
      </c>
      <c r="E108" s="43">
        <v>1610557</v>
      </c>
      <c r="F108" s="43" t="s">
        <v>13</v>
      </c>
      <c r="G108" s="44">
        <v>20303839</v>
      </c>
      <c r="H108" s="43" t="s">
        <v>80</v>
      </c>
      <c r="I108" s="44">
        <v>1</v>
      </c>
      <c r="J108" s="45">
        <v>8</v>
      </c>
      <c r="K108" s="45">
        <v>8</v>
      </c>
    </row>
    <row r="109" spans="4:11">
      <c r="D109" s="42">
        <v>46183</v>
      </c>
      <c r="E109" s="43">
        <v>1610826</v>
      </c>
      <c r="F109" s="43" t="s">
        <v>13</v>
      </c>
      <c r="G109" s="44">
        <v>20376624</v>
      </c>
      <c r="H109" s="43" t="s">
        <v>33</v>
      </c>
      <c r="I109" s="44">
        <v>2</v>
      </c>
      <c r="J109" s="45">
        <v>8</v>
      </c>
      <c r="K109" s="45">
        <v>16</v>
      </c>
    </row>
    <row r="110" spans="4:11">
      <c r="D110" s="42">
        <v>46183</v>
      </c>
      <c r="E110" s="43">
        <v>1610826</v>
      </c>
      <c r="F110" s="43" t="s">
        <v>13</v>
      </c>
      <c r="G110" s="44">
        <v>20398872</v>
      </c>
      <c r="H110" s="43" t="s">
        <v>81</v>
      </c>
      <c r="I110" s="44">
        <v>1</v>
      </c>
      <c r="J110" s="45">
        <v>8</v>
      </c>
      <c r="K110" s="45">
        <v>8</v>
      </c>
    </row>
    <row r="111" spans="4:11">
      <c r="D111" s="42">
        <v>46183</v>
      </c>
      <c r="E111" s="43">
        <v>1610826</v>
      </c>
      <c r="F111" s="43" t="s">
        <v>13</v>
      </c>
      <c r="G111" s="44">
        <v>20406253</v>
      </c>
      <c r="H111" s="43" t="s">
        <v>50</v>
      </c>
      <c r="I111" s="44">
        <v>1</v>
      </c>
      <c r="J111" s="45">
        <v>13.5</v>
      </c>
      <c r="K111" s="45">
        <v>13.5</v>
      </c>
    </row>
    <row r="112" spans="4:11">
      <c r="D112" s="42">
        <v>46183</v>
      </c>
      <c r="E112" s="43">
        <v>1610826</v>
      </c>
      <c r="F112" s="43" t="s">
        <v>13</v>
      </c>
      <c r="G112" s="44">
        <v>20313588</v>
      </c>
      <c r="H112" s="43" t="s">
        <v>30</v>
      </c>
      <c r="I112" s="44">
        <v>5</v>
      </c>
      <c r="J112" s="45">
        <v>8</v>
      </c>
      <c r="K112" s="45">
        <v>40</v>
      </c>
    </row>
    <row r="113" spans="4:11">
      <c r="D113" s="42">
        <v>46183</v>
      </c>
      <c r="E113" s="43">
        <v>1610826</v>
      </c>
      <c r="F113" s="43" t="s">
        <v>13</v>
      </c>
      <c r="G113" s="44">
        <v>20324084</v>
      </c>
      <c r="H113" s="43" t="s">
        <v>24</v>
      </c>
      <c r="I113" s="44">
        <v>1</v>
      </c>
      <c r="J113" s="45">
        <v>8</v>
      </c>
      <c r="K113" s="45">
        <v>8</v>
      </c>
    </row>
    <row r="114" spans="4:11">
      <c r="D114" s="42">
        <v>46183</v>
      </c>
      <c r="E114" s="43">
        <v>1610826</v>
      </c>
      <c r="F114" s="43" t="s">
        <v>13</v>
      </c>
      <c r="G114" s="44">
        <v>20377357</v>
      </c>
      <c r="H114" s="43" t="s">
        <v>37</v>
      </c>
      <c r="I114" s="44">
        <v>3</v>
      </c>
      <c r="J114" s="45">
        <v>8</v>
      </c>
      <c r="K114" s="45">
        <v>24</v>
      </c>
    </row>
    <row r="115" spans="4:11">
      <c r="D115" s="42">
        <v>46183</v>
      </c>
      <c r="E115" s="43">
        <v>1610826</v>
      </c>
      <c r="F115" s="43" t="s">
        <v>13</v>
      </c>
      <c r="G115" s="44">
        <v>20005849</v>
      </c>
      <c r="H115" s="43" t="s">
        <v>57</v>
      </c>
      <c r="I115" s="44">
        <v>1</v>
      </c>
      <c r="J115" s="45">
        <v>8</v>
      </c>
      <c r="K115" s="45">
        <v>8</v>
      </c>
    </row>
    <row r="116" spans="4:11">
      <c r="D116" s="42">
        <v>46183</v>
      </c>
      <c r="E116" s="43">
        <v>1610939</v>
      </c>
      <c r="F116" s="43" t="s">
        <v>13</v>
      </c>
      <c r="G116" s="44">
        <v>20406253</v>
      </c>
      <c r="H116" s="43" t="s">
        <v>50</v>
      </c>
      <c r="I116" s="44">
        <v>1</v>
      </c>
      <c r="J116" s="45">
        <v>13.5</v>
      </c>
      <c r="K116" s="45">
        <v>13.5</v>
      </c>
    </row>
    <row r="117" spans="4:11">
      <c r="D117" s="42">
        <v>46183</v>
      </c>
      <c r="E117" s="43">
        <v>1610939</v>
      </c>
      <c r="F117" s="43" t="s">
        <v>13</v>
      </c>
      <c r="G117" s="44">
        <v>20313588</v>
      </c>
      <c r="H117" s="43" t="s">
        <v>30</v>
      </c>
      <c r="I117" s="44">
        <v>4</v>
      </c>
      <c r="J117" s="45">
        <v>8</v>
      </c>
      <c r="K117" s="45">
        <v>32</v>
      </c>
    </row>
    <row r="118" spans="4:11">
      <c r="D118" s="42">
        <v>46183</v>
      </c>
      <c r="E118" s="43">
        <v>1610939</v>
      </c>
      <c r="F118" s="43" t="s">
        <v>13</v>
      </c>
      <c r="G118" s="44">
        <v>20377357</v>
      </c>
      <c r="H118" s="43" t="s">
        <v>37</v>
      </c>
      <c r="I118" s="44">
        <v>1</v>
      </c>
      <c r="J118" s="45">
        <v>8</v>
      </c>
      <c r="K118" s="45">
        <v>8</v>
      </c>
    </row>
    <row r="119" spans="4:11">
      <c r="D119" s="42">
        <v>46184</v>
      </c>
      <c r="E119" s="43">
        <v>1611300</v>
      </c>
      <c r="F119" s="43" t="s">
        <v>13</v>
      </c>
      <c r="G119" s="44">
        <v>20005208</v>
      </c>
      <c r="H119" s="43" t="s">
        <v>58</v>
      </c>
      <c r="I119" s="44">
        <v>2</v>
      </c>
      <c r="J119" s="45">
        <v>8</v>
      </c>
      <c r="K119" s="45">
        <v>16</v>
      </c>
    </row>
    <row r="120" spans="4:11">
      <c r="D120" s="42">
        <v>46184</v>
      </c>
      <c r="E120" s="43">
        <v>1611300</v>
      </c>
      <c r="F120" s="43" t="s">
        <v>13</v>
      </c>
      <c r="G120" s="44">
        <v>20406253</v>
      </c>
      <c r="H120" s="43" t="s">
        <v>50</v>
      </c>
      <c r="I120" s="44">
        <v>1</v>
      </c>
      <c r="J120" s="45">
        <v>13.5</v>
      </c>
      <c r="K120" s="45">
        <v>13.5</v>
      </c>
    </row>
    <row r="121" spans="4:11">
      <c r="D121" s="42">
        <v>46184</v>
      </c>
      <c r="E121" s="43">
        <v>1611300</v>
      </c>
      <c r="F121" s="43" t="s">
        <v>13</v>
      </c>
      <c r="G121" s="44">
        <v>20313588</v>
      </c>
      <c r="H121" s="43" t="s">
        <v>30</v>
      </c>
      <c r="I121" s="44">
        <v>7</v>
      </c>
      <c r="J121" s="45">
        <v>8</v>
      </c>
      <c r="K121" s="45">
        <v>56</v>
      </c>
    </row>
    <row r="122" spans="4:11">
      <c r="D122" s="42">
        <v>46184</v>
      </c>
      <c r="E122" s="43">
        <v>1611300</v>
      </c>
      <c r="F122" s="43" t="s">
        <v>13</v>
      </c>
      <c r="G122" s="44">
        <v>20324084</v>
      </c>
      <c r="H122" s="43" t="s">
        <v>24</v>
      </c>
      <c r="I122" s="44">
        <v>1</v>
      </c>
      <c r="J122" s="45">
        <v>8</v>
      </c>
      <c r="K122" s="45">
        <v>8</v>
      </c>
    </row>
    <row r="123" spans="4:11">
      <c r="D123" s="42">
        <v>46184</v>
      </c>
      <c r="E123" s="43">
        <v>1611300</v>
      </c>
      <c r="F123" s="43" t="s">
        <v>13</v>
      </c>
      <c r="G123" s="44">
        <v>20376620</v>
      </c>
      <c r="H123" s="43" t="s">
        <v>65</v>
      </c>
      <c r="I123" s="44">
        <v>1</v>
      </c>
      <c r="J123" s="45">
        <v>8</v>
      </c>
      <c r="K123" s="45">
        <v>8</v>
      </c>
    </row>
    <row r="124" spans="4:11">
      <c r="D124" s="42">
        <v>46184</v>
      </c>
      <c r="E124" s="43">
        <v>1611300</v>
      </c>
      <c r="F124" s="43" t="s">
        <v>13</v>
      </c>
      <c r="G124" s="44">
        <v>20377357</v>
      </c>
      <c r="H124" s="43" t="s">
        <v>37</v>
      </c>
      <c r="I124" s="44">
        <v>3</v>
      </c>
      <c r="J124" s="45">
        <v>8</v>
      </c>
      <c r="K124" s="45">
        <v>24</v>
      </c>
    </row>
    <row r="125" spans="4:11">
      <c r="D125" s="42">
        <v>46184</v>
      </c>
      <c r="E125" s="43">
        <v>1611300</v>
      </c>
      <c r="F125" s="43" t="s">
        <v>13</v>
      </c>
      <c r="G125" s="44">
        <v>20303839</v>
      </c>
      <c r="H125" s="43" t="s">
        <v>80</v>
      </c>
      <c r="I125" s="44">
        <v>1</v>
      </c>
      <c r="J125" s="45">
        <v>8</v>
      </c>
      <c r="K125" s="45">
        <v>8</v>
      </c>
    </row>
    <row r="126" spans="4:11">
      <c r="D126" s="42">
        <v>46184</v>
      </c>
      <c r="E126" s="43">
        <v>1611577</v>
      </c>
      <c r="F126" s="43" t="s">
        <v>13</v>
      </c>
      <c r="G126" s="44">
        <v>20376624</v>
      </c>
      <c r="H126" s="43" t="s">
        <v>33</v>
      </c>
      <c r="I126" s="44">
        <v>1</v>
      </c>
      <c r="J126" s="45">
        <v>8</v>
      </c>
      <c r="K126" s="45">
        <v>8</v>
      </c>
    </row>
    <row r="127" spans="4:11">
      <c r="D127" s="42">
        <v>46184</v>
      </c>
      <c r="E127" s="43">
        <v>1611577</v>
      </c>
      <c r="F127" s="43" t="s">
        <v>13</v>
      </c>
      <c r="G127" s="44">
        <v>20398872</v>
      </c>
      <c r="H127" s="43" t="s">
        <v>81</v>
      </c>
      <c r="I127" s="44">
        <v>1</v>
      </c>
      <c r="J127" s="45">
        <v>8</v>
      </c>
      <c r="K127" s="45">
        <v>8</v>
      </c>
    </row>
    <row r="128" spans="4:11">
      <c r="D128" s="42">
        <v>46184</v>
      </c>
      <c r="E128" s="43">
        <v>1611577</v>
      </c>
      <c r="F128" s="43" t="s">
        <v>13</v>
      </c>
      <c r="G128" s="44">
        <v>20406253</v>
      </c>
      <c r="H128" s="43" t="s">
        <v>50</v>
      </c>
      <c r="I128" s="44">
        <v>1</v>
      </c>
      <c r="J128" s="45">
        <v>13.5</v>
      </c>
      <c r="K128" s="45">
        <v>13.5</v>
      </c>
    </row>
    <row r="129" spans="4:11">
      <c r="D129" s="42">
        <v>46184</v>
      </c>
      <c r="E129" s="43">
        <v>1611577</v>
      </c>
      <c r="F129" s="43" t="s">
        <v>13</v>
      </c>
      <c r="G129" s="44">
        <v>20313588</v>
      </c>
      <c r="H129" s="43" t="s">
        <v>30</v>
      </c>
      <c r="I129" s="44">
        <v>3</v>
      </c>
      <c r="J129" s="45">
        <v>8</v>
      </c>
      <c r="K129" s="45">
        <v>24</v>
      </c>
    </row>
  </sheetData>
  <autoFilter xmlns:etc="http://www.wps.cn/officeDocument/2017/etCustomData" ref="A7:K129" etc:filterBottomFollowUsedRange="0">
    <extLst/>
  </autoFilter>
  <mergeCells count="5">
    <mergeCell ref="D8:H8"/>
    <mergeCell ref="C7:C129"/>
    <mergeCell ref="B4:H5"/>
    <mergeCell ref="A7:B1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83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199</v>
      </c>
      <c r="J8" s="41"/>
      <c r="K8" s="41">
        <v>1884.5</v>
      </c>
    </row>
    <row r="9" spans="1:11">
      <c r="D9" s="42">
        <v>46157</v>
      </c>
      <c r="E9" s="43">
        <v>1603432</v>
      </c>
      <c r="F9" s="43" t="s">
        <v>13</v>
      </c>
      <c r="G9" s="44">
        <v>20406253</v>
      </c>
      <c r="H9" s="43" t="s">
        <v>50</v>
      </c>
      <c r="I9" s="44">
        <v>2</v>
      </c>
      <c r="J9" s="45">
        <v>13.5</v>
      </c>
      <c r="K9" s="45">
        <v>27</v>
      </c>
    </row>
    <row r="10" spans="1:11">
      <c r="D10" s="42">
        <v>46157</v>
      </c>
      <c r="E10" s="43">
        <v>1603432</v>
      </c>
      <c r="F10" s="43" t="s">
        <v>13</v>
      </c>
      <c r="G10" s="44">
        <v>20394769</v>
      </c>
      <c r="H10" s="43" t="s">
        <v>67</v>
      </c>
      <c r="I10" s="44">
        <v>1</v>
      </c>
      <c r="J10" s="45">
        <v>8</v>
      </c>
      <c r="K10" s="45">
        <v>8</v>
      </c>
    </row>
    <row r="11" spans="1:11">
      <c r="D11" s="42">
        <v>46157</v>
      </c>
      <c r="E11" s="43">
        <v>1603432</v>
      </c>
      <c r="F11" s="43" t="s">
        <v>13</v>
      </c>
      <c r="G11" s="44">
        <v>20313588</v>
      </c>
      <c r="H11" s="43" t="s">
        <v>30</v>
      </c>
      <c r="I11" s="44">
        <v>3</v>
      </c>
      <c r="J11" s="45">
        <v>8</v>
      </c>
      <c r="K11" s="45">
        <v>24</v>
      </c>
    </row>
    <row r="12" spans="1:11">
      <c r="D12" s="42">
        <v>46157</v>
      </c>
      <c r="E12" s="43">
        <v>1603432</v>
      </c>
      <c r="F12" s="43" t="s">
        <v>13</v>
      </c>
      <c r="G12" s="44">
        <v>20376620</v>
      </c>
      <c r="H12" s="43" t="s">
        <v>65</v>
      </c>
      <c r="I12" s="44">
        <v>1</v>
      </c>
      <c r="J12" s="45">
        <v>8</v>
      </c>
      <c r="K12" s="45">
        <v>8</v>
      </c>
    </row>
    <row r="13" spans="1:11">
      <c r="D13" s="42">
        <v>46157</v>
      </c>
      <c r="E13" s="43">
        <v>1603432</v>
      </c>
      <c r="F13" s="43" t="s">
        <v>13</v>
      </c>
      <c r="G13" s="44">
        <v>20377357</v>
      </c>
      <c r="H13" s="43" t="s">
        <v>37</v>
      </c>
      <c r="I13" s="44">
        <v>3</v>
      </c>
      <c r="J13" s="45">
        <v>8</v>
      </c>
      <c r="K13" s="45">
        <v>24</v>
      </c>
    </row>
    <row r="14" spans="1:11">
      <c r="D14" s="42">
        <v>46158</v>
      </c>
      <c r="E14" s="43">
        <v>1603667</v>
      </c>
      <c r="F14" s="43" t="s">
        <v>13</v>
      </c>
      <c r="G14" s="44">
        <v>20406253</v>
      </c>
      <c r="H14" s="43" t="s">
        <v>50</v>
      </c>
      <c r="I14" s="44">
        <v>3</v>
      </c>
      <c r="J14" s="45">
        <v>13.5</v>
      </c>
      <c r="K14" s="45">
        <v>40.5</v>
      </c>
    </row>
    <row r="15" spans="1:11">
      <c r="D15" s="42">
        <v>46158</v>
      </c>
      <c r="E15" s="43">
        <v>1603667</v>
      </c>
      <c r="F15" s="43" t="s">
        <v>13</v>
      </c>
      <c r="G15" s="44">
        <v>20313588</v>
      </c>
      <c r="H15" s="43" t="s">
        <v>30</v>
      </c>
      <c r="I15" s="44">
        <v>3</v>
      </c>
      <c r="J15" s="45">
        <v>8</v>
      </c>
      <c r="K15" s="45">
        <v>24</v>
      </c>
    </row>
    <row r="16" spans="1:11">
      <c r="D16" s="42">
        <v>46158</v>
      </c>
      <c r="E16" s="43">
        <v>1603667</v>
      </c>
      <c r="F16" s="43" t="s">
        <v>13</v>
      </c>
      <c r="G16" s="44">
        <v>20377357</v>
      </c>
      <c r="H16" s="43" t="s">
        <v>37</v>
      </c>
      <c r="I16" s="44">
        <v>4</v>
      </c>
      <c r="J16" s="45">
        <v>8</v>
      </c>
      <c r="K16" s="45">
        <v>32</v>
      </c>
    </row>
    <row r="17" spans="4:11">
      <c r="D17" s="42">
        <v>46162</v>
      </c>
      <c r="E17" s="43">
        <v>1604585</v>
      </c>
      <c r="F17" s="43" t="s">
        <v>13</v>
      </c>
      <c r="G17" s="44">
        <v>20406253</v>
      </c>
      <c r="H17" s="43" t="s">
        <v>50</v>
      </c>
      <c r="I17" s="44">
        <v>4</v>
      </c>
      <c r="J17" s="45">
        <v>13.5</v>
      </c>
      <c r="K17" s="45">
        <v>54</v>
      </c>
    </row>
    <row r="18" spans="4:11">
      <c r="D18" s="42">
        <v>46162</v>
      </c>
      <c r="E18" s="43">
        <v>1604585</v>
      </c>
      <c r="F18" s="43" t="s">
        <v>13</v>
      </c>
      <c r="G18" s="44">
        <v>20313588</v>
      </c>
      <c r="H18" s="43" t="s">
        <v>30</v>
      </c>
      <c r="I18" s="44">
        <v>2</v>
      </c>
      <c r="J18" s="45">
        <v>8</v>
      </c>
      <c r="K18" s="45">
        <v>16</v>
      </c>
    </row>
    <row r="19" spans="4:11">
      <c r="D19" s="42">
        <v>46162</v>
      </c>
      <c r="E19" s="43">
        <v>1604585</v>
      </c>
      <c r="F19" s="43" t="s">
        <v>13</v>
      </c>
      <c r="G19" s="44">
        <v>20377357</v>
      </c>
      <c r="H19" s="43" t="s">
        <v>37</v>
      </c>
      <c r="I19" s="44">
        <v>2</v>
      </c>
      <c r="J19" s="45">
        <v>8</v>
      </c>
      <c r="K19" s="45">
        <v>16</v>
      </c>
    </row>
    <row r="20" spans="4:11">
      <c r="D20" s="42">
        <v>46162</v>
      </c>
      <c r="E20" s="43">
        <v>1604690</v>
      </c>
      <c r="F20" s="43" t="s">
        <v>13</v>
      </c>
      <c r="G20" s="44">
        <v>20406253</v>
      </c>
      <c r="H20" s="43" t="s">
        <v>50</v>
      </c>
      <c r="I20" s="44">
        <v>3</v>
      </c>
      <c r="J20" s="45">
        <v>13.5</v>
      </c>
      <c r="K20" s="45">
        <v>40.5</v>
      </c>
    </row>
    <row r="21" spans="4:11">
      <c r="D21" s="42">
        <v>46162</v>
      </c>
      <c r="E21" s="43">
        <v>1604690</v>
      </c>
      <c r="F21" s="43" t="s">
        <v>13</v>
      </c>
      <c r="G21" s="44">
        <v>20377357</v>
      </c>
      <c r="H21" s="43" t="s">
        <v>37</v>
      </c>
      <c r="I21" s="44">
        <v>3</v>
      </c>
      <c r="J21" s="45">
        <v>8</v>
      </c>
      <c r="K21" s="45">
        <v>24</v>
      </c>
    </row>
    <row r="22" spans="4:11">
      <c r="D22" s="42">
        <v>46163</v>
      </c>
      <c r="E22" s="43">
        <v>1604998</v>
      </c>
      <c r="F22" s="43" t="s">
        <v>13</v>
      </c>
      <c r="G22" s="44">
        <v>20376624</v>
      </c>
      <c r="H22" s="43" t="s">
        <v>33</v>
      </c>
      <c r="I22" s="44">
        <v>1</v>
      </c>
      <c r="J22" s="45">
        <v>8</v>
      </c>
      <c r="K22" s="45">
        <v>8</v>
      </c>
    </row>
    <row r="23" spans="4:11">
      <c r="D23" s="42">
        <v>46163</v>
      </c>
      <c r="E23" s="43">
        <v>1604998</v>
      </c>
      <c r="F23" s="43" t="s">
        <v>13</v>
      </c>
      <c r="G23" s="44">
        <v>20406253</v>
      </c>
      <c r="H23" s="43" t="s">
        <v>50</v>
      </c>
      <c r="I23" s="44">
        <v>4</v>
      </c>
      <c r="J23" s="45">
        <v>13.5</v>
      </c>
      <c r="K23" s="45">
        <v>54</v>
      </c>
    </row>
    <row r="24" spans="4:11">
      <c r="D24" s="42">
        <v>46163</v>
      </c>
      <c r="E24" s="43">
        <v>1604998</v>
      </c>
      <c r="F24" s="43" t="s">
        <v>13</v>
      </c>
      <c r="G24" s="44">
        <v>20313588</v>
      </c>
      <c r="H24" s="43" t="s">
        <v>30</v>
      </c>
      <c r="I24" s="44">
        <v>7</v>
      </c>
      <c r="J24" s="45">
        <v>8</v>
      </c>
      <c r="K24" s="45">
        <v>56</v>
      </c>
    </row>
    <row r="25" spans="4:11">
      <c r="D25" s="42">
        <v>46163</v>
      </c>
      <c r="E25" s="43">
        <v>1604998</v>
      </c>
      <c r="F25" s="43" t="s">
        <v>13</v>
      </c>
      <c r="G25" s="44">
        <v>20376620</v>
      </c>
      <c r="H25" s="43" t="s">
        <v>65</v>
      </c>
      <c r="I25" s="44">
        <v>1</v>
      </c>
      <c r="J25" s="45">
        <v>8</v>
      </c>
      <c r="K25" s="45">
        <v>8</v>
      </c>
    </row>
    <row r="26" spans="4:11">
      <c r="D26" s="42">
        <v>46163</v>
      </c>
      <c r="E26" s="43">
        <v>1604998</v>
      </c>
      <c r="F26" s="43" t="s">
        <v>13</v>
      </c>
      <c r="G26" s="44">
        <v>20377357</v>
      </c>
      <c r="H26" s="43" t="s">
        <v>37</v>
      </c>
      <c r="I26" s="44">
        <v>2</v>
      </c>
      <c r="J26" s="45">
        <v>8</v>
      </c>
      <c r="K26" s="45">
        <v>16</v>
      </c>
    </row>
    <row r="27" spans="4:11">
      <c r="D27" s="42">
        <v>46163</v>
      </c>
      <c r="E27" s="43">
        <v>1605099</v>
      </c>
      <c r="F27" s="43" t="s">
        <v>13</v>
      </c>
      <c r="G27" s="44">
        <v>20406253</v>
      </c>
      <c r="H27" s="43" t="s">
        <v>50</v>
      </c>
      <c r="I27" s="44">
        <v>1</v>
      </c>
      <c r="J27" s="45">
        <v>13.5</v>
      </c>
      <c r="K27" s="45">
        <v>13.5</v>
      </c>
    </row>
    <row r="28" spans="4:11">
      <c r="D28" s="42">
        <v>46163</v>
      </c>
      <c r="E28" s="43">
        <v>1605099</v>
      </c>
      <c r="F28" s="43" t="s">
        <v>13</v>
      </c>
      <c r="G28" s="44">
        <v>20313588</v>
      </c>
      <c r="H28" s="43" t="s">
        <v>30</v>
      </c>
      <c r="I28" s="44">
        <v>1</v>
      </c>
      <c r="J28" s="45">
        <v>8</v>
      </c>
      <c r="K28" s="45">
        <v>8</v>
      </c>
    </row>
    <row r="29" spans="4:11">
      <c r="D29" s="42">
        <v>46163</v>
      </c>
      <c r="E29" s="43">
        <v>1605099</v>
      </c>
      <c r="F29" s="43" t="s">
        <v>13</v>
      </c>
      <c r="G29" s="44">
        <v>20393917</v>
      </c>
      <c r="H29" s="43" t="s">
        <v>51</v>
      </c>
      <c r="I29" s="44">
        <v>1</v>
      </c>
      <c r="J29" s="45">
        <v>11</v>
      </c>
      <c r="K29" s="45">
        <v>11</v>
      </c>
    </row>
    <row r="30" spans="4:11">
      <c r="D30" s="42">
        <v>46163</v>
      </c>
      <c r="E30" s="43">
        <v>1605099</v>
      </c>
      <c r="F30" s="43" t="s">
        <v>13</v>
      </c>
      <c r="G30" s="44">
        <v>20377357</v>
      </c>
      <c r="H30" s="43" t="s">
        <v>37</v>
      </c>
      <c r="I30" s="44">
        <v>1</v>
      </c>
      <c r="J30" s="45">
        <v>8</v>
      </c>
      <c r="K30" s="45">
        <v>8</v>
      </c>
    </row>
    <row r="31" spans="4:11">
      <c r="D31" s="42">
        <v>46164</v>
      </c>
      <c r="E31" s="43">
        <v>1605371</v>
      </c>
      <c r="F31" s="43" t="s">
        <v>13</v>
      </c>
      <c r="G31" s="44">
        <v>20406253</v>
      </c>
      <c r="H31" s="43" t="s">
        <v>50</v>
      </c>
      <c r="I31" s="44">
        <v>3</v>
      </c>
      <c r="J31" s="45">
        <v>13.5</v>
      </c>
      <c r="K31" s="45">
        <v>40.5</v>
      </c>
    </row>
    <row r="32" spans="4:11">
      <c r="D32" s="42">
        <v>46164</v>
      </c>
      <c r="E32" s="43">
        <v>1605371</v>
      </c>
      <c r="F32" s="43" t="s">
        <v>13</v>
      </c>
      <c r="G32" s="44">
        <v>20313588</v>
      </c>
      <c r="H32" s="43" t="s">
        <v>30</v>
      </c>
      <c r="I32" s="44">
        <v>5</v>
      </c>
      <c r="J32" s="45">
        <v>8</v>
      </c>
      <c r="K32" s="45">
        <v>40</v>
      </c>
    </row>
    <row r="33" spans="4:11">
      <c r="D33" s="42">
        <v>46164</v>
      </c>
      <c r="E33" s="43">
        <v>1605371</v>
      </c>
      <c r="F33" s="43" t="s">
        <v>13</v>
      </c>
      <c r="G33" s="44">
        <v>20377357</v>
      </c>
      <c r="H33" s="43" t="s">
        <v>37</v>
      </c>
      <c r="I33" s="44">
        <v>2</v>
      </c>
      <c r="J33" s="45">
        <v>8</v>
      </c>
      <c r="K33" s="45">
        <v>16</v>
      </c>
    </row>
    <row r="34" spans="4:11">
      <c r="D34" s="42">
        <v>46164</v>
      </c>
      <c r="E34" s="43">
        <v>1605503</v>
      </c>
      <c r="F34" s="43" t="s">
        <v>13</v>
      </c>
      <c r="G34" s="44">
        <v>20406253</v>
      </c>
      <c r="H34" s="43" t="s">
        <v>50</v>
      </c>
      <c r="I34" s="44">
        <v>1</v>
      </c>
      <c r="J34" s="45">
        <v>13.5</v>
      </c>
      <c r="K34" s="45">
        <v>13.5</v>
      </c>
    </row>
    <row r="35" spans="4:11">
      <c r="D35" s="42">
        <v>46164</v>
      </c>
      <c r="E35" s="43">
        <v>1605503</v>
      </c>
      <c r="F35" s="43" t="s">
        <v>13</v>
      </c>
      <c r="G35" s="44">
        <v>20313588</v>
      </c>
      <c r="H35" s="43" t="s">
        <v>30</v>
      </c>
      <c r="I35" s="44">
        <v>2</v>
      </c>
      <c r="J35" s="45">
        <v>8</v>
      </c>
      <c r="K35" s="45">
        <v>16</v>
      </c>
    </row>
    <row r="36" spans="4:11">
      <c r="D36" s="42">
        <v>46168</v>
      </c>
      <c r="E36" s="43">
        <v>1606381</v>
      </c>
      <c r="F36" s="43" t="s">
        <v>13</v>
      </c>
      <c r="G36" s="44">
        <v>20376624</v>
      </c>
      <c r="H36" s="43" t="s">
        <v>33</v>
      </c>
      <c r="I36" s="44">
        <v>1</v>
      </c>
      <c r="J36" s="45">
        <v>8</v>
      </c>
      <c r="K36" s="45">
        <v>8</v>
      </c>
    </row>
    <row r="37" spans="4:11">
      <c r="D37" s="42">
        <v>46168</v>
      </c>
      <c r="E37" s="43">
        <v>1606381</v>
      </c>
      <c r="F37" s="43" t="s">
        <v>13</v>
      </c>
      <c r="G37" s="44">
        <v>20406253</v>
      </c>
      <c r="H37" s="43" t="s">
        <v>50</v>
      </c>
      <c r="I37" s="44">
        <v>2</v>
      </c>
      <c r="J37" s="45">
        <v>13.5</v>
      </c>
      <c r="K37" s="45">
        <v>27</v>
      </c>
    </row>
    <row r="38" spans="4:11">
      <c r="D38" s="42">
        <v>46168</v>
      </c>
      <c r="E38" s="43">
        <v>1606381</v>
      </c>
      <c r="F38" s="43" t="s">
        <v>13</v>
      </c>
      <c r="G38" s="44">
        <v>20394769</v>
      </c>
      <c r="H38" s="43" t="s">
        <v>67</v>
      </c>
      <c r="I38" s="44">
        <v>1</v>
      </c>
      <c r="J38" s="45">
        <v>8</v>
      </c>
      <c r="K38" s="45">
        <v>8</v>
      </c>
    </row>
    <row r="39" spans="4:11">
      <c r="D39" s="42">
        <v>46168</v>
      </c>
      <c r="E39" s="43">
        <v>1606381</v>
      </c>
      <c r="F39" s="43" t="s">
        <v>13</v>
      </c>
      <c r="G39" s="44">
        <v>20313588</v>
      </c>
      <c r="H39" s="43" t="s">
        <v>30</v>
      </c>
      <c r="I39" s="44">
        <v>5</v>
      </c>
      <c r="J39" s="45">
        <v>8</v>
      </c>
      <c r="K39" s="45">
        <v>40</v>
      </c>
    </row>
    <row r="40" spans="4:11">
      <c r="D40" s="42">
        <v>46168</v>
      </c>
      <c r="E40" s="43">
        <v>1606381</v>
      </c>
      <c r="F40" s="43" t="s">
        <v>13</v>
      </c>
      <c r="G40" s="44">
        <v>20376620</v>
      </c>
      <c r="H40" s="43" t="s">
        <v>65</v>
      </c>
      <c r="I40" s="44">
        <v>1</v>
      </c>
      <c r="J40" s="45">
        <v>8</v>
      </c>
      <c r="K40" s="45">
        <v>8</v>
      </c>
    </row>
    <row r="41" spans="4:11">
      <c r="D41" s="42">
        <v>46168</v>
      </c>
      <c r="E41" s="43">
        <v>1606381</v>
      </c>
      <c r="F41" s="43" t="s">
        <v>13</v>
      </c>
      <c r="G41" s="44">
        <v>20377357</v>
      </c>
      <c r="H41" s="43" t="s">
        <v>37</v>
      </c>
      <c r="I41" s="44">
        <v>1</v>
      </c>
      <c r="J41" s="45">
        <v>8</v>
      </c>
      <c r="K41" s="45">
        <v>8</v>
      </c>
    </row>
    <row r="42" spans="4:11">
      <c r="D42" s="42">
        <v>46169</v>
      </c>
      <c r="E42" s="43">
        <v>1606702</v>
      </c>
      <c r="F42" s="43" t="s">
        <v>13</v>
      </c>
      <c r="G42" s="44">
        <v>20406253</v>
      </c>
      <c r="H42" s="43" t="s">
        <v>50</v>
      </c>
      <c r="I42" s="44">
        <v>2</v>
      </c>
      <c r="J42" s="45">
        <v>13.5</v>
      </c>
      <c r="K42" s="45">
        <v>27</v>
      </c>
    </row>
    <row r="43" spans="4:11">
      <c r="D43" s="42">
        <v>46169</v>
      </c>
      <c r="E43" s="43">
        <v>1606702</v>
      </c>
      <c r="F43" s="43" t="s">
        <v>13</v>
      </c>
      <c r="G43" s="44">
        <v>20313588</v>
      </c>
      <c r="H43" s="43" t="s">
        <v>30</v>
      </c>
      <c r="I43" s="44">
        <v>4</v>
      </c>
      <c r="J43" s="45">
        <v>8</v>
      </c>
      <c r="K43" s="45">
        <v>32</v>
      </c>
    </row>
    <row r="44" spans="4:11">
      <c r="D44" s="42">
        <v>46169</v>
      </c>
      <c r="E44" s="43">
        <v>1606702</v>
      </c>
      <c r="F44" s="43" t="s">
        <v>13</v>
      </c>
      <c r="G44" s="44">
        <v>20377357</v>
      </c>
      <c r="H44" s="43" t="s">
        <v>37</v>
      </c>
      <c r="I44" s="44">
        <v>1</v>
      </c>
      <c r="J44" s="45">
        <v>8</v>
      </c>
      <c r="K44" s="45">
        <v>8</v>
      </c>
    </row>
    <row r="45" spans="4:11">
      <c r="D45" s="42">
        <v>46169</v>
      </c>
      <c r="E45" s="43">
        <v>1606791</v>
      </c>
      <c r="F45" s="43" t="s">
        <v>13</v>
      </c>
      <c r="G45" s="44">
        <v>20406253</v>
      </c>
      <c r="H45" s="43" t="s">
        <v>50</v>
      </c>
      <c r="I45" s="44">
        <v>2</v>
      </c>
      <c r="J45" s="45">
        <v>13.5</v>
      </c>
      <c r="K45" s="45">
        <v>27</v>
      </c>
    </row>
    <row r="46" spans="4:11">
      <c r="D46" s="42">
        <v>46169</v>
      </c>
      <c r="E46" s="43">
        <v>1606791</v>
      </c>
      <c r="F46" s="43" t="s">
        <v>13</v>
      </c>
      <c r="G46" s="44">
        <v>20414939</v>
      </c>
      <c r="H46" s="43" t="s">
        <v>64</v>
      </c>
      <c r="I46" s="44">
        <v>1</v>
      </c>
      <c r="J46" s="45">
        <v>8</v>
      </c>
      <c r="K46" s="45">
        <v>8</v>
      </c>
    </row>
    <row r="47" spans="4:11">
      <c r="D47" s="42">
        <v>46169</v>
      </c>
      <c r="E47" s="43">
        <v>1606791</v>
      </c>
      <c r="F47" s="43" t="s">
        <v>13</v>
      </c>
      <c r="G47" s="44">
        <v>20394943</v>
      </c>
      <c r="H47" s="43" t="s">
        <v>35</v>
      </c>
      <c r="I47" s="44">
        <v>1</v>
      </c>
      <c r="J47" s="45">
        <v>11</v>
      </c>
      <c r="K47" s="45">
        <v>11</v>
      </c>
    </row>
    <row r="48" spans="4:11">
      <c r="D48" s="42">
        <v>46169</v>
      </c>
      <c r="E48" s="43">
        <v>1606791</v>
      </c>
      <c r="F48" s="43" t="s">
        <v>13</v>
      </c>
      <c r="G48" s="44">
        <v>20313588</v>
      </c>
      <c r="H48" s="43" t="s">
        <v>30</v>
      </c>
      <c r="I48" s="44">
        <v>6</v>
      </c>
      <c r="J48" s="45">
        <v>8</v>
      </c>
      <c r="K48" s="45">
        <v>48</v>
      </c>
    </row>
    <row r="49" spans="4:11">
      <c r="D49" s="42">
        <v>46169</v>
      </c>
      <c r="E49" s="43">
        <v>1606791</v>
      </c>
      <c r="F49" s="43" t="s">
        <v>13</v>
      </c>
      <c r="G49" s="44">
        <v>20377357</v>
      </c>
      <c r="H49" s="43" t="s">
        <v>37</v>
      </c>
      <c r="I49" s="44">
        <v>1</v>
      </c>
      <c r="J49" s="45">
        <v>8</v>
      </c>
      <c r="K49" s="45">
        <v>8</v>
      </c>
    </row>
    <row r="50" spans="4:11">
      <c r="D50" s="42">
        <v>46170</v>
      </c>
      <c r="E50" s="43">
        <v>1607014</v>
      </c>
      <c r="F50" s="43" t="s">
        <v>13</v>
      </c>
      <c r="G50" s="44">
        <v>20406253</v>
      </c>
      <c r="H50" s="43" t="s">
        <v>50</v>
      </c>
      <c r="I50" s="44">
        <v>1</v>
      </c>
      <c r="J50" s="45">
        <v>13.5</v>
      </c>
      <c r="K50" s="45">
        <v>13.5</v>
      </c>
    </row>
    <row r="51" spans="4:11">
      <c r="D51" s="42">
        <v>46170</v>
      </c>
      <c r="E51" s="43">
        <v>1607014</v>
      </c>
      <c r="F51" s="43" t="s">
        <v>13</v>
      </c>
      <c r="G51" s="44">
        <v>20313588</v>
      </c>
      <c r="H51" s="43" t="s">
        <v>30</v>
      </c>
      <c r="I51" s="44">
        <v>3</v>
      </c>
      <c r="J51" s="45">
        <v>8</v>
      </c>
      <c r="K51" s="45">
        <v>24</v>
      </c>
    </row>
    <row r="52" spans="4:11">
      <c r="D52" s="42">
        <v>46170</v>
      </c>
      <c r="E52" s="43">
        <v>1607014</v>
      </c>
      <c r="F52" s="43" t="s">
        <v>13</v>
      </c>
      <c r="G52" s="44">
        <v>20396337</v>
      </c>
      <c r="H52" s="43" t="s">
        <v>40</v>
      </c>
      <c r="I52" s="44">
        <v>1</v>
      </c>
      <c r="J52" s="45">
        <v>8</v>
      </c>
      <c r="K52" s="45">
        <v>8</v>
      </c>
    </row>
    <row r="53" spans="4:11">
      <c r="D53" s="42">
        <v>46170</v>
      </c>
      <c r="E53" s="43">
        <v>1607014</v>
      </c>
      <c r="F53" s="43" t="s">
        <v>13</v>
      </c>
      <c r="G53" s="44">
        <v>20395495</v>
      </c>
      <c r="H53" s="43" t="s">
        <v>36</v>
      </c>
      <c r="I53" s="44">
        <v>2</v>
      </c>
      <c r="J53" s="45">
        <v>13.5</v>
      </c>
      <c r="K53" s="45">
        <v>27</v>
      </c>
    </row>
    <row r="54" spans="4:11">
      <c r="D54" s="42">
        <v>46170</v>
      </c>
      <c r="E54" s="43">
        <v>1607014</v>
      </c>
      <c r="F54" s="43" t="s">
        <v>13</v>
      </c>
      <c r="G54" s="44">
        <v>20377357</v>
      </c>
      <c r="H54" s="43" t="s">
        <v>37</v>
      </c>
      <c r="I54" s="44">
        <v>3</v>
      </c>
      <c r="J54" s="45">
        <v>8</v>
      </c>
      <c r="K54" s="45">
        <v>24</v>
      </c>
    </row>
    <row r="55" spans="4:11">
      <c r="D55" s="42">
        <v>46170</v>
      </c>
      <c r="E55" s="43">
        <v>1607044</v>
      </c>
      <c r="F55" s="43" t="s">
        <v>13</v>
      </c>
      <c r="G55" s="44">
        <v>20406253</v>
      </c>
      <c r="H55" s="43" t="s">
        <v>50</v>
      </c>
      <c r="I55" s="44">
        <v>1</v>
      </c>
      <c r="J55" s="45">
        <v>13.5</v>
      </c>
      <c r="K55" s="45">
        <v>13.5</v>
      </c>
    </row>
    <row r="56" spans="4:11">
      <c r="D56" s="42">
        <v>46170</v>
      </c>
      <c r="E56" s="43">
        <v>1607137</v>
      </c>
      <c r="F56" s="43" t="s">
        <v>13</v>
      </c>
      <c r="G56" s="44">
        <v>20406253</v>
      </c>
      <c r="H56" s="43" t="s">
        <v>50</v>
      </c>
      <c r="I56" s="44">
        <v>2</v>
      </c>
      <c r="J56" s="45">
        <v>13.5</v>
      </c>
      <c r="K56" s="45">
        <v>27</v>
      </c>
    </row>
    <row r="57" spans="4:11">
      <c r="D57" s="42">
        <v>46170</v>
      </c>
      <c r="E57" s="43">
        <v>1607137</v>
      </c>
      <c r="F57" s="43" t="s">
        <v>13</v>
      </c>
      <c r="G57" s="44">
        <v>20313588</v>
      </c>
      <c r="H57" s="43" t="s">
        <v>30</v>
      </c>
      <c r="I57" s="44">
        <v>6</v>
      </c>
      <c r="J57" s="45">
        <v>8</v>
      </c>
      <c r="K57" s="45">
        <v>48</v>
      </c>
    </row>
    <row r="58" spans="4:11">
      <c r="D58" s="42">
        <v>46171</v>
      </c>
      <c r="E58" s="43">
        <v>1607418</v>
      </c>
      <c r="F58" s="43" t="s">
        <v>13</v>
      </c>
      <c r="G58" s="44">
        <v>20376624</v>
      </c>
      <c r="H58" s="43" t="s">
        <v>33</v>
      </c>
      <c r="I58" s="44">
        <v>1</v>
      </c>
      <c r="J58" s="45">
        <v>8</v>
      </c>
      <c r="K58" s="45">
        <v>8</v>
      </c>
    </row>
    <row r="59" spans="4:11">
      <c r="D59" s="42">
        <v>46171</v>
      </c>
      <c r="E59" s="43">
        <v>1607418</v>
      </c>
      <c r="F59" s="43" t="s">
        <v>13</v>
      </c>
      <c r="G59" s="44">
        <v>20406253</v>
      </c>
      <c r="H59" s="43" t="s">
        <v>50</v>
      </c>
      <c r="I59" s="44">
        <v>4</v>
      </c>
      <c r="J59" s="45">
        <v>13.5</v>
      </c>
      <c r="K59" s="45">
        <v>54</v>
      </c>
    </row>
    <row r="60" spans="4:11">
      <c r="D60" s="42">
        <v>46171</v>
      </c>
      <c r="E60" s="43">
        <v>1607418</v>
      </c>
      <c r="F60" s="43" t="s">
        <v>13</v>
      </c>
      <c r="G60" s="44">
        <v>20313588</v>
      </c>
      <c r="H60" s="43" t="s">
        <v>30</v>
      </c>
      <c r="I60" s="44">
        <v>5</v>
      </c>
      <c r="J60" s="45">
        <v>8</v>
      </c>
      <c r="K60" s="45">
        <v>40</v>
      </c>
    </row>
    <row r="61" spans="4:11">
      <c r="D61" s="42">
        <v>46171</v>
      </c>
      <c r="E61" s="43">
        <v>1607418</v>
      </c>
      <c r="F61" s="43" t="s">
        <v>13</v>
      </c>
      <c r="G61" s="44">
        <v>20376620</v>
      </c>
      <c r="H61" s="43" t="s">
        <v>65</v>
      </c>
      <c r="I61" s="44">
        <v>2</v>
      </c>
      <c r="J61" s="45">
        <v>8</v>
      </c>
      <c r="K61" s="45">
        <v>16</v>
      </c>
    </row>
    <row r="62" spans="4:11">
      <c r="D62" s="42">
        <v>46172</v>
      </c>
      <c r="E62" s="43">
        <v>1607774</v>
      </c>
      <c r="F62" s="43" t="s">
        <v>13</v>
      </c>
      <c r="G62" s="44">
        <v>20313588</v>
      </c>
      <c r="H62" s="43" t="s">
        <v>30</v>
      </c>
      <c r="I62" s="44">
        <v>2</v>
      </c>
      <c r="J62" s="45">
        <v>8</v>
      </c>
      <c r="K62" s="45">
        <v>16</v>
      </c>
    </row>
    <row r="63" spans="4:11">
      <c r="D63" s="42">
        <v>46172</v>
      </c>
      <c r="E63" s="43">
        <v>1607774</v>
      </c>
      <c r="F63" s="43" t="s">
        <v>13</v>
      </c>
      <c r="G63" s="44">
        <v>20396337</v>
      </c>
      <c r="H63" s="43" t="s">
        <v>40</v>
      </c>
      <c r="I63" s="44">
        <v>1</v>
      </c>
      <c r="J63" s="45">
        <v>8</v>
      </c>
      <c r="K63" s="45">
        <v>8</v>
      </c>
    </row>
    <row r="64" spans="4:11">
      <c r="D64" s="42">
        <v>46177</v>
      </c>
      <c r="E64" s="43">
        <v>1609097</v>
      </c>
      <c r="F64" s="43" t="s">
        <v>13</v>
      </c>
      <c r="G64" s="44">
        <v>20406253</v>
      </c>
      <c r="H64" s="43" t="s">
        <v>50</v>
      </c>
      <c r="I64" s="44">
        <v>1</v>
      </c>
      <c r="J64" s="45">
        <v>13.5</v>
      </c>
      <c r="K64" s="45">
        <v>13.5</v>
      </c>
    </row>
    <row r="65" spans="4:11">
      <c r="D65" s="42">
        <v>46177</v>
      </c>
      <c r="E65" s="43">
        <v>1609097</v>
      </c>
      <c r="F65" s="43" t="s">
        <v>13</v>
      </c>
      <c r="G65" s="44">
        <v>20313588</v>
      </c>
      <c r="H65" s="43" t="s">
        <v>30</v>
      </c>
      <c r="I65" s="44">
        <v>4</v>
      </c>
      <c r="J65" s="45">
        <v>8</v>
      </c>
      <c r="K65" s="45">
        <v>32</v>
      </c>
    </row>
    <row r="66" spans="4:11">
      <c r="D66" s="42">
        <v>46177</v>
      </c>
      <c r="E66" s="43">
        <v>1609200</v>
      </c>
      <c r="F66" s="43" t="s">
        <v>13</v>
      </c>
      <c r="G66" s="44">
        <v>20406253</v>
      </c>
      <c r="H66" s="43" t="s">
        <v>50</v>
      </c>
      <c r="I66" s="44">
        <v>2</v>
      </c>
      <c r="J66" s="45">
        <v>13.5</v>
      </c>
      <c r="K66" s="45">
        <v>27</v>
      </c>
    </row>
    <row r="67" spans="4:11">
      <c r="D67" s="42">
        <v>46177</v>
      </c>
      <c r="E67" s="43">
        <v>1609200</v>
      </c>
      <c r="F67" s="43" t="s">
        <v>13</v>
      </c>
      <c r="G67" s="44">
        <v>20313588</v>
      </c>
      <c r="H67" s="43" t="s">
        <v>30</v>
      </c>
      <c r="I67" s="44">
        <v>6</v>
      </c>
      <c r="J67" s="45">
        <v>8</v>
      </c>
      <c r="K67" s="45">
        <v>48</v>
      </c>
    </row>
    <row r="68" spans="4:11">
      <c r="D68" s="42">
        <v>46177</v>
      </c>
      <c r="E68" s="43">
        <v>1609200</v>
      </c>
      <c r="F68" s="43" t="s">
        <v>13</v>
      </c>
      <c r="G68" s="44">
        <v>20377357</v>
      </c>
      <c r="H68" s="43" t="s">
        <v>37</v>
      </c>
      <c r="I68" s="44">
        <v>6</v>
      </c>
      <c r="J68" s="45">
        <v>8</v>
      </c>
      <c r="K68" s="45">
        <v>48</v>
      </c>
    </row>
    <row r="69" spans="4:11">
      <c r="D69" s="42">
        <v>46178</v>
      </c>
      <c r="E69" s="43">
        <v>1609453</v>
      </c>
      <c r="F69" s="43" t="s">
        <v>13</v>
      </c>
      <c r="G69" s="44">
        <v>20376624</v>
      </c>
      <c r="H69" s="43" t="s">
        <v>33</v>
      </c>
      <c r="I69" s="44">
        <v>1</v>
      </c>
      <c r="J69" s="45">
        <v>8</v>
      </c>
      <c r="K69" s="45">
        <v>8</v>
      </c>
    </row>
    <row r="70" spans="4:11">
      <c r="D70" s="42">
        <v>46178</v>
      </c>
      <c r="E70" s="43">
        <v>1609453</v>
      </c>
      <c r="F70" s="43" t="s">
        <v>13</v>
      </c>
      <c r="G70" s="44">
        <v>20406253</v>
      </c>
      <c r="H70" s="43" t="s">
        <v>50</v>
      </c>
      <c r="I70" s="44">
        <v>4</v>
      </c>
      <c r="J70" s="45">
        <v>13.5</v>
      </c>
      <c r="K70" s="45">
        <v>54</v>
      </c>
    </row>
    <row r="71" spans="4:11">
      <c r="D71" s="42">
        <v>46178</v>
      </c>
      <c r="E71" s="43">
        <v>1609453</v>
      </c>
      <c r="F71" s="43" t="s">
        <v>13</v>
      </c>
      <c r="G71" s="44">
        <v>20313588</v>
      </c>
      <c r="H71" s="43" t="s">
        <v>30</v>
      </c>
      <c r="I71" s="44">
        <v>4</v>
      </c>
      <c r="J71" s="45">
        <v>8</v>
      </c>
      <c r="K71" s="45">
        <v>32</v>
      </c>
    </row>
    <row r="72" spans="4:11">
      <c r="D72" s="42">
        <v>46178</v>
      </c>
      <c r="E72" s="43">
        <v>1609453</v>
      </c>
      <c r="F72" s="43" t="s">
        <v>13</v>
      </c>
      <c r="G72" s="44">
        <v>20376621</v>
      </c>
      <c r="H72" s="43" t="s">
        <v>65</v>
      </c>
      <c r="I72" s="44">
        <v>1</v>
      </c>
      <c r="J72" s="45">
        <v>8</v>
      </c>
      <c r="K72" s="45">
        <v>8</v>
      </c>
    </row>
    <row r="73" spans="4:11">
      <c r="D73" s="42">
        <v>46182</v>
      </c>
      <c r="E73" s="43">
        <v>1610558</v>
      </c>
      <c r="F73" s="43" t="s">
        <v>13</v>
      </c>
      <c r="G73" s="44">
        <v>20313588</v>
      </c>
      <c r="H73" s="43" t="s">
        <v>30</v>
      </c>
      <c r="I73" s="44">
        <v>2</v>
      </c>
      <c r="J73" s="45">
        <v>8</v>
      </c>
      <c r="K73" s="45">
        <v>16</v>
      </c>
    </row>
    <row r="74" spans="4:11">
      <c r="D74" s="42">
        <v>46182</v>
      </c>
      <c r="E74" s="43">
        <v>1610558</v>
      </c>
      <c r="F74" s="43" t="s">
        <v>13</v>
      </c>
      <c r="G74" s="44">
        <v>20376621</v>
      </c>
      <c r="H74" s="43" t="s">
        <v>65</v>
      </c>
      <c r="I74" s="44">
        <v>2</v>
      </c>
      <c r="J74" s="45">
        <v>8</v>
      </c>
      <c r="K74" s="45">
        <v>16</v>
      </c>
    </row>
    <row r="75" spans="4:11">
      <c r="D75" s="42">
        <v>46183</v>
      </c>
      <c r="E75" s="43">
        <v>1610827</v>
      </c>
      <c r="F75" s="43" t="s">
        <v>13</v>
      </c>
      <c r="G75" s="44">
        <v>20406253</v>
      </c>
      <c r="H75" s="43" t="s">
        <v>50</v>
      </c>
      <c r="I75" s="44">
        <v>2</v>
      </c>
      <c r="J75" s="45">
        <v>13.5</v>
      </c>
      <c r="K75" s="45">
        <v>27</v>
      </c>
    </row>
    <row r="76" spans="4:11">
      <c r="D76" s="42">
        <v>46183</v>
      </c>
      <c r="E76" s="43">
        <v>1610827</v>
      </c>
      <c r="F76" s="43" t="s">
        <v>13</v>
      </c>
      <c r="G76" s="44">
        <v>20313588</v>
      </c>
      <c r="H76" s="43" t="s">
        <v>30</v>
      </c>
      <c r="I76" s="44">
        <v>3</v>
      </c>
      <c r="J76" s="45">
        <v>8</v>
      </c>
      <c r="K76" s="45">
        <v>24</v>
      </c>
    </row>
    <row r="77" spans="4:11">
      <c r="D77" s="42">
        <v>46183</v>
      </c>
      <c r="E77" s="43">
        <v>1610827</v>
      </c>
      <c r="F77" s="43" t="s">
        <v>13</v>
      </c>
      <c r="G77" s="44">
        <v>20393917</v>
      </c>
      <c r="H77" s="43" t="s">
        <v>51</v>
      </c>
      <c r="I77" s="44">
        <v>1</v>
      </c>
      <c r="J77" s="45">
        <v>11</v>
      </c>
      <c r="K77" s="45">
        <v>11</v>
      </c>
    </row>
    <row r="78" spans="4:11">
      <c r="D78" s="42">
        <v>46183</v>
      </c>
      <c r="E78" s="43">
        <v>1610827</v>
      </c>
      <c r="F78" s="43" t="s">
        <v>13</v>
      </c>
      <c r="G78" s="44">
        <v>20376621</v>
      </c>
      <c r="H78" s="43" t="s">
        <v>65</v>
      </c>
      <c r="I78" s="44">
        <v>1</v>
      </c>
      <c r="J78" s="45">
        <v>8</v>
      </c>
      <c r="K78" s="45">
        <v>8</v>
      </c>
    </row>
    <row r="79" spans="4:11">
      <c r="D79" s="42">
        <v>46183</v>
      </c>
      <c r="E79" s="43">
        <v>1610827</v>
      </c>
      <c r="F79" s="43" t="s">
        <v>13</v>
      </c>
      <c r="G79" s="44">
        <v>20377357</v>
      </c>
      <c r="H79" s="43" t="s">
        <v>37</v>
      </c>
      <c r="I79" s="44">
        <v>1</v>
      </c>
      <c r="J79" s="45">
        <v>8</v>
      </c>
      <c r="K79" s="45">
        <v>8</v>
      </c>
    </row>
    <row r="80" spans="4:11">
      <c r="D80" s="42">
        <v>46183</v>
      </c>
      <c r="E80" s="43">
        <v>1611139</v>
      </c>
      <c r="F80" s="43" t="s">
        <v>13</v>
      </c>
      <c r="G80" s="44">
        <v>20406253</v>
      </c>
      <c r="H80" s="43" t="s">
        <v>50</v>
      </c>
      <c r="I80" s="44">
        <v>2</v>
      </c>
      <c r="J80" s="45">
        <v>13.5</v>
      </c>
      <c r="K80" s="45">
        <v>27</v>
      </c>
    </row>
    <row r="81" spans="4:11">
      <c r="D81" s="42">
        <v>46183</v>
      </c>
      <c r="E81" s="43">
        <v>1611139</v>
      </c>
      <c r="F81" s="43" t="s">
        <v>13</v>
      </c>
      <c r="G81" s="44">
        <v>20414939</v>
      </c>
      <c r="H81" s="43" t="s">
        <v>64</v>
      </c>
      <c r="I81" s="44">
        <v>1</v>
      </c>
      <c r="J81" s="45">
        <v>8</v>
      </c>
      <c r="K81" s="45">
        <v>8</v>
      </c>
    </row>
    <row r="82" spans="4:11">
      <c r="D82" s="42">
        <v>46183</v>
      </c>
      <c r="E82" s="43">
        <v>1611139</v>
      </c>
      <c r="F82" s="43" t="s">
        <v>13</v>
      </c>
      <c r="G82" s="44">
        <v>20313588</v>
      </c>
      <c r="H82" s="43" t="s">
        <v>30</v>
      </c>
      <c r="I82" s="44">
        <v>5</v>
      </c>
      <c r="J82" s="45">
        <v>8</v>
      </c>
      <c r="K82" s="45">
        <v>40</v>
      </c>
    </row>
    <row r="83" spans="4:11">
      <c r="D83" s="42">
        <v>46183</v>
      </c>
      <c r="E83" s="43">
        <v>1611139</v>
      </c>
      <c r="F83" s="43" t="s">
        <v>13</v>
      </c>
      <c r="G83" s="44">
        <v>20376621</v>
      </c>
      <c r="H83" s="43" t="s">
        <v>65</v>
      </c>
      <c r="I83" s="44">
        <v>1</v>
      </c>
      <c r="J83" s="45">
        <v>8</v>
      </c>
      <c r="K83" s="45">
        <v>8</v>
      </c>
    </row>
    <row r="84" spans="4:11">
      <c r="D84" s="42">
        <v>46183</v>
      </c>
      <c r="E84" s="43">
        <v>1611139</v>
      </c>
      <c r="F84" s="43" t="s">
        <v>13</v>
      </c>
      <c r="G84" s="44">
        <v>20377357</v>
      </c>
      <c r="H84" s="43" t="s">
        <v>37</v>
      </c>
      <c r="I84" s="44">
        <v>4</v>
      </c>
      <c r="J84" s="45">
        <v>8</v>
      </c>
      <c r="K84" s="45">
        <v>32</v>
      </c>
    </row>
    <row r="85" spans="4:11">
      <c r="D85" s="42">
        <v>46184</v>
      </c>
      <c r="E85" s="43">
        <v>1611301</v>
      </c>
      <c r="F85" s="43" t="s">
        <v>13</v>
      </c>
      <c r="G85" s="44">
        <v>20406253</v>
      </c>
      <c r="H85" s="43" t="s">
        <v>50</v>
      </c>
      <c r="I85" s="44">
        <v>2</v>
      </c>
      <c r="J85" s="45">
        <v>13.5</v>
      </c>
      <c r="K85" s="45">
        <v>27</v>
      </c>
    </row>
    <row r="86" spans="4:11">
      <c r="D86" s="42">
        <v>46184</v>
      </c>
      <c r="E86" s="43">
        <v>1611301</v>
      </c>
      <c r="F86" s="43" t="s">
        <v>13</v>
      </c>
      <c r="G86" s="44">
        <v>20414939</v>
      </c>
      <c r="H86" s="43" t="s">
        <v>64</v>
      </c>
      <c r="I86" s="44">
        <v>1</v>
      </c>
      <c r="J86" s="45">
        <v>8</v>
      </c>
      <c r="K86" s="45">
        <v>8</v>
      </c>
    </row>
    <row r="87" spans="4:11">
      <c r="D87" s="42">
        <v>46184</v>
      </c>
      <c r="E87" s="43">
        <v>1611301</v>
      </c>
      <c r="F87" s="43" t="s">
        <v>13</v>
      </c>
      <c r="G87" s="44">
        <v>20313588</v>
      </c>
      <c r="H87" s="43" t="s">
        <v>30</v>
      </c>
      <c r="I87" s="44">
        <v>3</v>
      </c>
      <c r="J87" s="45">
        <v>8</v>
      </c>
      <c r="K87" s="45">
        <v>24</v>
      </c>
    </row>
    <row r="88" spans="4:11">
      <c r="D88" s="42">
        <v>46184</v>
      </c>
      <c r="E88" s="43">
        <v>1611301</v>
      </c>
      <c r="F88" s="43" t="s">
        <v>13</v>
      </c>
      <c r="G88" s="44">
        <v>20396339</v>
      </c>
      <c r="H88" s="43" t="s">
        <v>32</v>
      </c>
      <c r="I88" s="44">
        <v>1</v>
      </c>
      <c r="J88" s="45">
        <v>11</v>
      </c>
      <c r="K88" s="45">
        <v>11</v>
      </c>
    </row>
    <row r="89" spans="4:11">
      <c r="D89" s="42">
        <v>46184</v>
      </c>
      <c r="E89" s="43">
        <v>1611578</v>
      </c>
      <c r="F89" s="43" t="s">
        <v>13</v>
      </c>
      <c r="G89" s="44">
        <v>20406253</v>
      </c>
      <c r="H89" s="43" t="s">
        <v>50</v>
      </c>
      <c r="I89" s="44">
        <v>1</v>
      </c>
      <c r="J89" s="45">
        <v>13.5</v>
      </c>
      <c r="K89" s="45">
        <v>13.5</v>
      </c>
    </row>
    <row r="90" spans="4:11">
      <c r="D90" s="42">
        <v>46184</v>
      </c>
      <c r="E90" s="43">
        <v>1611578</v>
      </c>
      <c r="F90" s="43" t="s">
        <v>13</v>
      </c>
      <c r="G90" s="44">
        <v>20394769</v>
      </c>
      <c r="H90" s="43" t="s">
        <v>67</v>
      </c>
      <c r="I90" s="44">
        <v>1</v>
      </c>
      <c r="J90" s="45">
        <v>8</v>
      </c>
      <c r="K90" s="45">
        <v>8</v>
      </c>
    </row>
    <row r="91" spans="4:11">
      <c r="D91" s="42">
        <v>46184</v>
      </c>
      <c r="E91" s="43">
        <v>1611578</v>
      </c>
      <c r="F91" s="43" t="s">
        <v>13</v>
      </c>
      <c r="G91" s="44">
        <v>20313588</v>
      </c>
      <c r="H91" s="43" t="s">
        <v>30</v>
      </c>
      <c r="I91" s="44">
        <v>5</v>
      </c>
      <c r="J91" s="45">
        <v>8</v>
      </c>
      <c r="K91" s="45">
        <v>40</v>
      </c>
    </row>
    <row r="92" spans="4:11">
      <c r="D92" s="42">
        <v>46184</v>
      </c>
      <c r="E92" s="43">
        <v>1611578</v>
      </c>
      <c r="F92" s="43" t="s">
        <v>13</v>
      </c>
      <c r="G92" s="44">
        <v>20376621</v>
      </c>
      <c r="H92" s="43" t="s">
        <v>65</v>
      </c>
      <c r="I92" s="44">
        <v>1</v>
      </c>
      <c r="J92" s="45">
        <v>8</v>
      </c>
      <c r="K92" s="45">
        <v>8</v>
      </c>
    </row>
    <row r="93" spans="4:11">
      <c r="D93" s="42">
        <v>46184</v>
      </c>
      <c r="E93" s="43">
        <v>1611578</v>
      </c>
      <c r="F93" s="43" t="s">
        <v>13</v>
      </c>
      <c r="G93" s="44">
        <v>20377357</v>
      </c>
      <c r="H93" s="43" t="s">
        <v>37</v>
      </c>
      <c r="I93" s="44">
        <v>1</v>
      </c>
      <c r="J93" s="45">
        <v>8</v>
      </c>
      <c r="K93" s="45">
        <v>8</v>
      </c>
    </row>
    <row r="94" ht="0.05" customHeight="1"/>
  </sheetData>
  <autoFilter xmlns:etc="http://www.wps.cn/officeDocument/2017/etCustomData" ref="A7:K93" etc:filterBottomFollowUsedRange="0">
    <extLst/>
  </autoFilter>
  <mergeCells count="5">
    <mergeCell ref="D8:H8"/>
    <mergeCell ref="C7:C93"/>
    <mergeCell ref="B4:H5"/>
    <mergeCell ref="A7:B9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84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246</v>
      </c>
      <c r="J8" s="41"/>
      <c r="K8" s="41">
        <v>2262.5</v>
      </c>
    </row>
    <row r="9" spans="1:11">
      <c r="D9" s="42">
        <v>46157</v>
      </c>
      <c r="E9" s="43">
        <v>1603274</v>
      </c>
      <c r="F9" s="43" t="s">
        <v>13</v>
      </c>
      <c r="G9" s="44">
        <v>20406253</v>
      </c>
      <c r="H9" s="43" t="s">
        <v>50</v>
      </c>
      <c r="I9" s="44">
        <v>3</v>
      </c>
      <c r="J9" s="45">
        <v>13.5</v>
      </c>
      <c r="K9" s="45">
        <v>40.5</v>
      </c>
    </row>
    <row r="10" spans="1:11">
      <c r="D10" s="42">
        <v>46157</v>
      </c>
      <c r="E10" s="43">
        <v>1603274</v>
      </c>
      <c r="F10" s="43" t="s">
        <v>13</v>
      </c>
      <c r="G10" s="44">
        <v>20313588</v>
      </c>
      <c r="H10" s="43" t="s">
        <v>30</v>
      </c>
      <c r="I10" s="44">
        <v>5</v>
      </c>
      <c r="J10" s="45">
        <v>8</v>
      </c>
      <c r="K10" s="45">
        <v>40</v>
      </c>
    </row>
    <row r="11" spans="1:11">
      <c r="D11" s="42">
        <v>46161</v>
      </c>
      <c r="E11" s="43">
        <v>1604328</v>
      </c>
      <c r="F11" s="43" t="s">
        <v>13</v>
      </c>
      <c r="G11" s="44">
        <v>20406253</v>
      </c>
      <c r="H11" s="43" t="s">
        <v>50</v>
      </c>
      <c r="I11" s="44">
        <v>2</v>
      </c>
      <c r="J11" s="45">
        <v>13.5</v>
      </c>
      <c r="K11" s="45">
        <v>27</v>
      </c>
    </row>
    <row r="12" spans="1:11">
      <c r="D12" s="42">
        <v>46161</v>
      </c>
      <c r="E12" s="43">
        <v>1604328</v>
      </c>
      <c r="F12" s="43" t="s">
        <v>13</v>
      </c>
      <c r="G12" s="44">
        <v>20313588</v>
      </c>
      <c r="H12" s="43" t="s">
        <v>30</v>
      </c>
      <c r="I12" s="44">
        <v>5</v>
      </c>
      <c r="J12" s="45">
        <v>8</v>
      </c>
      <c r="K12" s="45">
        <v>40</v>
      </c>
    </row>
    <row r="13" spans="1:11">
      <c r="D13" s="42">
        <v>46161</v>
      </c>
      <c r="E13" s="43">
        <v>1604328</v>
      </c>
      <c r="F13" s="43" t="s">
        <v>13</v>
      </c>
      <c r="G13" s="44">
        <v>20377357</v>
      </c>
      <c r="H13" s="43" t="s">
        <v>37</v>
      </c>
      <c r="I13" s="44">
        <v>5</v>
      </c>
      <c r="J13" s="45">
        <v>8</v>
      </c>
      <c r="K13" s="45">
        <v>40</v>
      </c>
    </row>
    <row r="14" spans="1:11">
      <c r="D14" s="42">
        <v>46162</v>
      </c>
      <c r="E14" s="43">
        <v>1604586</v>
      </c>
      <c r="F14" s="43" t="s">
        <v>13</v>
      </c>
      <c r="G14" s="44">
        <v>20406253</v>
      </c>
      <c r="H14" s="43" t="s">
        <v>50</v>
      </c>
      <c r="I14" s="44">
        <v>2</v>
      </c>
      <c r="J14" s="45">
        <v>13.5</v>
      </c>
      <c r="K14" s="45">
        <v>27</v>
      </c>
    </row>
    <row r="15" spans="1:11">
      <c r="D15" s="42">
        <v>46162</v>
      </c>
      <c r="E15" s="43">
        <v>1604586</v>
      </c>
      <c r="F15" s="43" t="s">
        <v>13</v>
      </c>
      <c r="G15" s="44">
        <v>20313588</v>
      </c>
      <c r="H15" s="43" t="s">
        <v>30</v>
      </c>
      <c r="I15" s="44">
        <v>3</v>
      </c>
      <c r="J15" s="45">
        <v>8</v>
      </c>
      <c r="K15" s="45">
        <v>24</v>
      </c>
    </row>
    <row r="16" spans="1:11">
      <c r="D16" s="42">
        <v>46162</v>
      </c>
      <c r="E16" s="43">
        <v>1604586</v>
      </c>
      <c r="F16" s="43" t="s">
        <v>13</v>
      </c>
      <c r="G16" s="44">
        <v>20401202</v>
      </c>
      <c r="H16" s="43" t="s">
        <v>85</v>
      </c>
      <c r="I16" s="44">
        <v>1</v>
      </c>
      <c r="J16" s="45">
        <v>13.5</v>
      </c>
      <c r="K16" s="45">
        <v>13.5</v>
      </c>
    </row>
    <row r="17" spans="4:11">
      <c r="D17" s="42">
        <v>46162</v>
      </c>
      <c r="E17" s="43">
        <v>1604586</v>
      </c>
      <c r="F17" s="43" t="s">
        <v>13</v>
      </c>
      <c r="G17" s="44">
        <v>20377357</v>
      </c>
      <c r="H17" s="43" t="s">
        <v>37</v>
      </c>
      <c r="I17" s="44">
        <v>1</v>
      </c>
      <c r="J17" s="45">
        <v>8</v>
      </c>
      <c r="K17" s="45">
        <v>8</v>
      </c>
    </row>
    <row r="18" spans="4:11">
      <c r="D18" s="42">
        <v>46162</v>
      </c>
      <c r="E18" s="43">
        <v>1604691</v>
      </c>
      <c r="F18" s="43" t="s">
        <v>13</v>
      </c>
      <c r="G18" s="44">
        <v>20406253</v>
      </c>
      <c r="H18" s="43" t="s">
        <v>50</v>
      </c>
      <c r="I18" s="44">
        <v>1</v>
      </c>
      <c r="J18" s="45">
        <v>13.5</v>
      </c>
      <c r="K18" s="45">
        <v>13.5</v>
      </c>
    </row>
    <row r="19" spans="4:11">
      <c r="D19" s="42">
        <v>46162</v>
      </c>
      <c r="E19" s="43">
        <v>1604691</v>
      </c>
      <c r="F19" s="43" t="s">
        <v>13</v>
      </c>
      <c r="G19" s="44">
        <v>20313588</v>
      </c>
      <c r="H19" s="43" t="s">
        <v>30</v>
      </c>
      <c r="I19" s="44">
        <v>2</v>
      </c>
      <c r="J19" s="45">
        <v>8</v>
      </c>
      <c r="K19" s="45">
        <v>16</v>
      </c>
    </row>
    <row r="20" spans="4:11">
      <c r="D20" s="42">
        <v>46163</v>
      </c>
      <c r="E20" s="43">
        <v>1604999</v>
      </c>
      <c r="F20" s="43" t="s">
        <v>13</v>
      </c>
      <c r="G20" s="44">
        <v>20406253</v>
      </c>
      <c r="H20" s="43" t="s">
        <v>50</v>
      </c>
      <c r="I20" s="44">
        <v>2</v>
      </c>
      <c r="J20" s="45">
        <v>13.5</v>
      </c>
      <c r="K20" s="45">
        <v>27</v>
      </c>
    </row>
    <row r="21" spans="4:11">
      <c r="D21" s="42">
        <v>46163</v>
      </c>
      <c r="E21" s="43">
        <v>1604999</v>
      </c>
      <c r="F21" s="43" t="s">
        <v>13</v>
      </c>
      <c r="G21" s="44">
        <v>20313588</v>
      </c>
      <c r="H21" s="43" t="s">
        <v>30</v>
      </c>
      <c r="I21" s="44">
        <v>3</v>
      </c>
      <c r="J21" s="45">
        <v>8</v>
      </c>
      <c r="K21" s="45">
        <v>24</v>
      </c>
    </row>
    <row r="22" spans="4:11">
      <c r="D22" s="42">
        <v>46163</v>
      </c>
      <c r="E22" s="43">
        <v>1604999</v>
      </c>
      <c r="F22" s="43" t="s">
        <v>13</v>
      </c>
      <c r="G22" s="44">
        <v>20377357</v>
      </c>
      <c r="H22" s="43" t="s">
        <v>37</v>
      </c>
      <c r="I22" s="44">
        <v>1</v>
      </c>
      <c r="J22" s="45">
        <v>8</v>
      </c>
      <c r="K22" s="45">
        <v>8</v>
      </c>
    </row>
    <row r="23" spans="4:11">
      <c r="D23" s="42">
        <v>46163</v>
      </c>
      <c r="E23" s="43">
        <v>1605100</v>
      </c>
      <c r="F23" s="43" t="s">
        <v>13</v>
      </c>
      <c r="G23" s="44">
        <v>20406253</v>
      </c>
      <c r="H23" s="43" t="s">
        <v>50</v>
      </c>
      <c r="I23" s="44">
        <v>2</v>
      </c>
      <c r="J23" s="45">
        <v>13.5</v>
      </c>
      <c r="K23" s="45">
        <v>27</v>
      </c>
    </row>
    <row r="24" spans="4:11">
      <c r="D24" s="42">
        <v>46163</v>
      </c>
      <c r="E24" s="43">
        <v>1605100</v>
      </c>
      <c r="F24" s="43" t="s">
        <v>13</v>
      </c>
      <c r="G24" s="44">
        <v>20313588</v>
      </c>
      <c r="H24" s="43" t="s">
        <v>30</v>
      </c>
      <c r="I24" s="44">
        <v>5</v>
      </c>
      <c r="J24" s="45">
        <v>8</v>
      </c>
      <c r="K24" s="45">
        <v>40</v>
      </c>
    </row>
    <row r="25" spans="4:11">
      <c r="D25" s="42">
        <v>46163</v>
      </c>
      <c r="E25" s="43">
        <v>1605100</v>
      </c>
      <c r="F25" s="43" t="s">
        <v>13</v>
      </c>
      <c r="G25" s="44">
        <v>20377357</v>
      </c>
      <c r="H25" s="43" t="s">
        <v>37</v>
      </c>
      <c r="I25" s="44">
        <v>3</v>
      </c>
      <c r="J25" s="45">
        <v>8</v>
      </c>
      <c r="K25" s="45">
        <v>24</v>
      </c>
    </row>
    <row r="26" spans="4:11">
      <c r="D26" s="42">
        <v>46164</v>
      </c>
      <c r="E26" s="43">
        <v>1605372</v>
      </c>
      <c r="F26" s="43" t="s">
        <v>13</v>
      </c>
      <c r="G26" s="44">
        <v>20406253</v>
      </c>
      <c r="H26" s="43" t="s">
        <v>50</v>
      </c>
      <c r="I26" s="44">
        <v>2</v>
      </c>
      <c r="J26" s="45">
        <v>13.5</v>
      </c>
      <c r="K26" s="45">
        <v>27</v>
      </c>
    </row>
    <row r="27" spans="4:11">
      <c r="D27" s="42">
        <v>46164</v>
      </c>
      <c r="E27" s="43">
        <v>1605372</v>
      </c>
      <c r="F27" s="43" t="s">
        <v>13</v>
      </c>
      <c r="G27" s="44">
        <v>20313588</v>
      </c>
      <c r="H27" s="43" t="s">
        <v>30</v>
      </c>
      <c r="I27" s="44">
        <v>2</v>
      </c>
      <c r="J27" s="45">
        <v>8</v>
      </c>
      <c r="K27" s="45">
        <v>16</v>
      </c>
    </row>
    <row r="28" spans="4:11">
      <c r="D28" s="42">
        <v>46164</v>
      </c>
      <c r="E28" s="43">
        <v>1605372</v>
      </c>
      <c r="F28" s="43" t="s">
        <v>13</v>
      </c>
      <c r="G28" s="44">
        <v>20377357</v>
      </c>
      <c r="H28" s="43" t="s">
        <v>37</v>
      </c>
      <c r="I28" s="44">
        <v>2</v>
      </c>
      <c r="J28" s="45">
        <v>8</v>
      </c>
      <c r="K28" s="45">
        <v>16</v>
      </c>
    </row>
    <row r="29" spans="4:11">
      <c r="D29" s="42">
        <v>46164</v>
      </c>
      <c r="E29" s="43">
        <v>1605504</v>
      </c>
      <c r="F29" s="43" t="s">
        <v>13</v>
      </c>
      <c r="G29" s="44">
        <v>20406253</v>
      </c>
      <c r="H29" s="43" t="s">
        <v>50</v>
      </c>
      <c r="I29" s="44">
        <v>1</v>
      </c>
      <c r="J29" s="45">
        <v>13.5</v>
      </c>
      <c r="K29" s="45">
        <v>13.5</v>
      </c>
    </row>
    <row r="30" spans="4:11">
      <c r="D30" s="42">
        <v>46164</v>
      </c>
      <c r="E30" s="43">
        <v>1605504</v>
      </c>
      <c r="F30" s="43" t="s">
        <v>13</v>
      </c>
      <c r="G30" s="44">
        <v>20313588</v>
      </c>
      <c r="H30" s="43" t="s">
        <v>30</v>
      </c>
      <c r="I30" s="44">
        <v>2</v>
      </c>
      <c r="J30" s="45">
        <v>8</v>
      </c>
      <c r="K30" s="45">
        <v>16</v>
      </c>
    </row>
    <row r="31" spans="4:11">
      <c r="D31" s="42">
        <v>46164</v>
      </c>
      <c r="E31" s="43">
        <v>1605504</v>
      </c>
      <c r="F31" s="43" t="s">
        <v>13</v>
      </c>
      <c r="G31" s="44">
        <v>20377357</v>
      </c>
      <c r="H31" s="43" t="s">
        <v>37</v>
      </c>
      <c r="I31" s="44">
        <v>1</v>
      </c>
      <c r="J31" s="45">
        <v>8</v>
      </c>
      <c r="K31" s="45">
        <v>8</v>
      </c>
    </row>
    <row r="32" spans="4:11">
      <c r="D32" s="42">
        <v>46165</v>
      </c>
      <c r="E32" s="43">
        <v>1605736</v>
      </c>
      <c r="F32" s="43" t="s">
        <v>13</v>
      </c>
      <c r="G32" s="44">
        <v>20406253</v>
      </c>
      <c r="H32" s="43" t="s">
        <v>50</v>
      </c>
      <c r="I32" s="44">
        <v>1</v>
      </c>
      <c r="J32" s="45">
        <v>13.5</v>
      </c>
      <c r="K32" s="45">
        <v>13.5</v>
      </c>
    </row>
    <row r="33" spans="4:11">
      <c r="D33" s="42">
        <v>46165</v>
      </c>
      <c r="E33" s="43">
        <v>1605736</v>
      </c>
      <c r="F33" s="43" t="s">
        <v>13</v>
      </c>
      <c r="G33" s="44">
        <v>20313588</v>
      </c>
      <c r="H33" s="43" t="s">
        <v>30</v>
      </c>
      <c r="I33" s="44">
        <v>6</v>
      </c>
      <c r="J33" s="45">
        <v>8</v>
      </c>
      <c r="K33" s="45">
        <v>48</v>
      </c>
    </row>
    <row r="34" spans="4:11">
      <c r="D34" s="42">
        <v>46165</v>
      </c>
      <c r="E34" s="43">
        <v>1605736</v>
      </c>
      <c r="F34" s="43" t="s">
        <v>13</v>
      </c>
      <c r="G34" s="44">
        <v>20377357</v>
      </c>
      <c r="H34" s="43" t="s">
        <v>37</v>
      </c>
      <c r="I34" s="44">
        <v>1</v>
      </c>
      <c r="J34" s="45">
        <v>8</v>
      </c>
      <c r="K34" s="45">
        <v>8</v>
      </c>
    </row>
    <row r="35" spans="4:11">
      <c r="D35" s="42">
        <v>46168</v>
      </c>
      <c r="E35" s="43">
        <v>1606382</v>
      </c>
      <c r="F35" s="43" t="s">
        <v>13</v>
      </c>
      <c r="G35" s="44">
        <v>20406253</v>
      </c>
      <c r="H35" s="43" t="s">
        <v>50</v>
      </c>
      <c r="I35" s="44">
        <v>1</v>
      </c>
      <c r="J35" s="45">
        <v>13.5</v>
      </c>
      <c r="K35" s="45">
        <v>13.5</v>
      </c>
    </row>
    <row r="36" spans="4:11">
      <c r="D36" s="42">
        <v>46168</v>
      </c>
      <c r="E36" s="43">
        <v>1606382</v>
      </c>
      <c r="F36" s="43" t="s">
        <v>13</v>
      </c>
      <c r="G36" s="44">
        <v>20313588</v>
      </c>
      <c r="H36" s="43" t="s">
        <v>30</v>
      </c>
      <c r="I36" s="44">
        <v>5</v>
      </c>
      <c r="J36" s="45">
        <v>8</v>
      </c>
      <c r="K36" s="45">
        <v>40</v>
      </c>
    </row>
    <row r="37" spans="4:11">
      <c r="D37" s="42">
        <v>46168</v>
      </c>
      <c r="E37" s="43">
        <v>1606382</v>
      </c>
      <c r="F37" s="43" t="s">
        <v>13</v>
      </c>
      <c r="G37" s="44">
        <v>20376620</v>
      </c>
      <c r="H37" s="43" t="s">
        <v>65</v>
      </c>
      <c r="I37" s="44">
        <v>1</v>
      </c>
      <c r="J37" s="45">
        <v>8</v>
      </c>
      <c r="K37" s="45">
        <v>8</v>
      </c>
    </row>
    <row r="38" spans="4:11">
      <c r="D38" s="42">
        <v>46168</v>
      </c>
      <c r="E38" s="43">
        <v>1606382</v>
      </c>
      <c r="F38" s="43" t="s">
        <v>13</v>
      </c>
      <c r="G38" s="44">
        <v>20377357</v>
      </c>
      <c r="H38" s="43" t="s">
        <v>37</v>
      </c>
      <c r="I38" s="44">
        <v>1</v>
      </c>
      <c r="J38" s="45">
        <v>8</v>
      </c>
      <c r="K38" s="45">
        <v>8</v>
      </c>
    </row>
    <row r="39" spans="4:11">
      <c r="D39" s="42">
        <v>46168</v>
      </c>
      <c r="E39" s="43">
        <v>1606382</v>
      </c>
      <c r="F39" s="43" t="s">
        <v>13</v>
      </c>
      <c r="G39" s="44">
        <v>20303839</v>
      </c>
      <c r="H39" s="43" t="s">
        <v>80</v>
      </c>
      <c r="I39" s="44">
        <v>1</v>
      </c>
      <c r="J39" s="45">
        <v>8</v>
      </c>
      <c r="K39" s="45">
        <v>8</v>
      </c>
    </row>
    <row r="40" spans="4:11">
      <c r="D40" s="42">
        <v>46169</v>
      </c>
      <c r="E40" s="43">
        <v>1606703</v>
      </c>
      <c r="F40" s="43" t="s">
        <v>13</v>
      </c>
      <c r="G40" s="44">
        <v>20376624</v>
      </c>
      <c r="H40" s="43" t="s">
        <v>33</v>
      </c>
      <c r="I40" s="44">
        <v>2</v>
      </c>
      <c r="J40" s="45">
        <v>8</v>
      </c>
      <c r="K40" s="45">
        <v>16</v>
      </c>
    </row>
    <row r="41" spans="4:11">
      <c r="D41" s="42">
        <v>46169</v>
      </c>
      <c r="E41" s="43">
        <v>1606703</v>
      </c>
      <c r="F41" s="43" t="s">
        <v>13</v>
      </c>
      <c r="G41" s="44">
        <v>20406253</v>
      </c>
      <c r="H41" s="43" t="s">
        <v>50</v>
      </c>
      <c r="I41" s="44">
        <v>1</v>
      </c>
      <c r="J41" s="45">
        <v>13.5</v>
      </c>
      <c r="K41" s="45">
        <v>13.5</v>
      </c>
    </row>
    <row r="42" spans="4:11">
      <c r="D42" s="42">
        <v>46169</v>
      </c>
      <c r="E42" s="43">
        <v>1606703</v>
      </c>
      <c r="F42" s="43" t="s">
        <v>13</v>
      </c>
      <c r="G42" s="44">
        <v>20313588</v>
      </c>
      <c r="H42" s="43" t="s">
        <v>30</v>
      </c>
      <c r="I42" s="44">
        <v>5</v>
      </c>
      <c r="J42" s="45">
        <v>8</v>
      </c>
      <c r="K42" s="45">
        <v>40</v>
      </c>
    </row>
    <row r="43" spans="4:11">
      <c r="D43" s="42">
        <v>46169</v>
      </c>
      <c r="E43" s="43">
        <v>1606703</v>
      </c>
      <c r="F43" s="43" t="s">
        <v>13</v>
      </c>
      <c r="G43" s="44">
        <v>20404173</v>
      </c>
      <c r="H43" s="43" t="s">
        <v>86</v>
      </c>
      <c r="I43" s="44">
        <v>1</v>
      </c>
      <c r="J43" s="45">
        <v>27.5</v>
      </c>
      <c r="K43" s="45">
        <v>27.5</v>
      </c>
    </row>
    <row r="44" spans="4:11">
      <c r="D44" s="42">
        <v>46169</v>
      </c>
      <c r="E44" s="43">
        <v>1606703</v>
      </c>
      <c r="F44" s="43" t="s">
        <v>13</v>
      </c>
      <c r="G44" s="44">
        <v>20377357</v>
      </c>
      <c r="H44" s="43" t="s">
        <v>37</v>
      </c>
      <c r="I44" s="44">
        <v>3</v>
      </c>
      <c r="J44" s="45">
        <v>8</v>
      </c>
      <c r="K44" s="45">
        <v>24</v>
      </c>
    </row>
    <row r="45" spans="4:11">
      <c r="D45" s="42">
        <v>46169</v>
      </c>
      <c r="E45" s="43">
        <v>1606792</v>
      </c>
      <c r="F45" s="43" t="s">
        <v>13</v>
      </c>
      <c r="G45" s="44">
        <v>20406253</v>
      </c>
      <c r="H45" s="43" t="s">
        <v>50</v>
      </c>
      <c r="I45" s="44">
        <v>2</v>
      </c>
      <c r="J45" s="45">
        <v>13.5</v>
      </c>
      <c r="K45" s="45">
        <v>27</v>
      </c>
    </row>
    <row r="46" spans="4:11">
      <c r="D46" s="42">
        <v>46169</v>
      </c>
      <c r="E46" s="43">
        <v>1606792</v>
      </c>
      <c r="F46" s="43" t="s">
        <v>13</v>
      </c>
      <c r="G46" s="44">
        <v>20313588</v>
      </c>
      <c r="H46" s="43" t="s">
        <v>30</v>
      </c>
      <c r="I46" s="44">
        <v>4</v>
      </c>
      <c r="J46" s="45">
        <v>8</v>
      </c>
      <c r="K46" s="45">
        <v>32</v>
      </c>
    </row>
    <row r="47" spans="4:11">
      <c r="D47" s="42">
        <v>46169</v>
      </c>
      <c r="E47" s="43">
        <v>1606792</v>
      </c>
      <c r="F47" s="43" t="s">
        <v>13</v>
      </c>
      <c r="G47" s="44">
        <v>20377357</v>
      </c>
      <c r="H47" s="43" t="s">
        <v>37</v>
      </c>
      <c r="I47" s="44">
        <v>1</v>
      </c>
      <c r="J47" s="45">
        <v>8</v>
      </c>
      <c r="K47" s="45">
        <v>8</v>
      </c>
    </row>
    <row r="48" spans="4:11">
      <c r="D48" s="42">
        <v>46170</v>
      </c>
      <c r="E48" s="43">
        <v>1607015</v>
      </c>
      <c r="F48" s="43" t="s">
        <v>13</v>
      </c>
      <c r="G48" s="44">
        <v>20406253</v>
      </c>
      <c r="H48" s="43" t="s">
        <v>50</v>
      </c>
      <c r="I48" s="44">
        <v>2</v>
      </c>
      <c r="J48" s="45">
        <v>13.5</v>
      </c>
      <c r="K48" s="45">
        <v>27</v>
      </c>
    </row>
    <row r="49" spans="4:11">
      <c r="D49" s="42">
        <v>46170</v>
      </c>
      <c r="E49" s="43">
        <v>1607015</v>
      </c>
      <c r="F49" s="43" t="s">
        <v>13</v>
      </c>
      <c r="G49" s="44">
        <v>20313588</v>
      </c>
      <c r="H49" s="43" t="s">
        <v>30</v>
      </c>
      <c r="I49" s="44">
        <v>3</v>
      </c>
      <c r="J49" s="45">
        <v>8</v>
      </c>
      <c r="K49" s="45">
        <v>24</v>
      </c>
    </row>
    <row r="50" spans="4:11">
      <c r="D50" s="42">
        <v>46170</v>
      </c>
      <c r="E50" s="43">
        <v>1607015</v>
      </c>
      <c r="F50" s="43" t="s">
        <v>13</v>
      </c>
      <c r="G50" s="44">
        <v>20377357</v>
      </c>
      <c r="H50" s="43" t="s">
        <v>37</v>
      </c>
      <c r="I50" s="44">
        <v>1</v>
      </c>
      <c r="J50" s="45">
        <v>8</v>
      </c>
      <c r="K50" s="45">
        <v>8</v>
      </c>
    </row>
    <row r="51" spans="4:11">
      <c r="D51" s="42">
        <v>46170</v>
      </c>
      <c r="E51" s="43">
        <v>1607138</v>
      </c>
      <c r="F51" s="43" t="s">
        <v>13</v>
      </c>
      <c r="G51" s="44">
        <v>20406253</v>
      </c>
      <c r="H51" s="43" t="s">
        <v>50</v>
      </c>
      <c r="I51" s="44">
        <v>1</v>
      </c>
      <c r="J51" s="45">
        <v>13.5</v>
      </c>
      <c r="K51" s="45">
        <v>13.5</v>
      </c>
    </row>
    <row r="52" spans="4:11">
      <c r="D52" s="42">
        <v>46170</v>
      </c>
      <c r="E52" s="43">
        <v>1607138</v>
      </c>
      <c r="F52" s="43" t="s">
        <v>13</v>
      </c>
      <c r="G52" s="44">
        <v>20313588</v>
      </c>
      <c r="H52" s="43" t="s">
        <v>30</v>
      </c>
      <c r="I52" s="44">
        <v>1</v>
      </c>
      <c r="J52" s="45">
        <v>8</v>
      </c>
      <c r="K52" s="45">
        <v>8</v>
      </c>
    </row>
    <row r="53" spans="4:11">
      <c r="D53" s="42">
        <v>46170</v>
      </c>
      <c r="E53" s="43">
        <v>1607138</v>
      </c>
      <c r="F53" s="43" t="s">
        <v>13</v>
      </c>
      <c r="G53" s="44">
        <v>20377357</v>
      </c>
      <c r="H53" s="43" t="s">
        <v>37</v>
      </c>
      <c r="I53" s="44">
        <v>2</v>
      </c>
      <c r="J53" s="45">
        <v>8</v>
      </c>
      <c r="K53" s="45">
        <v>16</v>
      </c>
    </row>
    <row r="54" spans="4:11">
      <c r="D54" s="42">
        <v>46171</v>
      </c>
      <c r="E54" s="43">
        <v>1607419</v>
      </c>
      <c r="F54" s="43" t="s">
        <v>13</v>
      </c>
      <c r="G54" s="44">
        <v>20406253</v>
      </c>
      <c r="H54" s="43" t="s">
        <v>50</v>
      </c>
      <c r="I54" s="44">
        <v>3</v>
      </c>
      <c r="J54" s="45">
        <v>13.5</v>
      </c>
      <c r="K54" s="45">
        <v>40.5</v>
      </c>
    </row>
    <row r="55" spans="4:11">
      <c r="D55" s="42">
        <v>46171</v>
      </c>
      <c r="E55" s="43">
        <v>1607419</v>
      </c>
      <c r="F55" s="43" t="s">
        <v>13</v>
      </c>
      <c r="G55" s="44">
        <v>20313588</v>
      </c>
      <c r="H55" s="43" t="s">
        <v>30</v>
      </c>
      <c r="I55" s="44">
        <v>5</v>
      </c>
      <c r="J55" s="45">
        <v>8</v>
      </c>
      <c r="K55" s="45">
        <v>40</v>
      </c>
    </row>
    <row r="56" spans="4:11">
      <c r="D56" s="42">
        <v>46171</v>
      </c>
      <c r="E56" s="43">
        <v>1607419</v>
      </c>
      <c r="F56" s="43" t="s">
        <v>13</v>
      </c>
      <c r="G56" s="44">
        <v>20401202</v>
      </c>
      <c r="H56" s="43" t="s">
        <v>85</v>
      </c>
      <c r="I56" s="44">
        <v>2</v>
      </c>
      <c r="J56" s="45">
        <v>13.5</v>
      </c>
      <c r="K56" s="45">
        <v>27</v>
      </c>
    </row>
    <row r="57" spans="4:11">
      <c r="D57" s="42">
        <v>46171</v>
      </c>
      <c r="E57" s="43">
        <v>1607419</v>
      </c>
      <c r="F57" s="43" t="s">
        <v>13</v>
      </c>
      <c r="G57" s="44">
        <v>20377357</v>
      </c>
      <c r="H57" s="43" t="s">
        <v>37</v>
      </c>
      <c r="I57" s="44">
        <v>1</v>
      </c>
      <c r="J57" s="45">
        <v>8</v>
      </c>
      <c r="K57" s="45">
        <v>8</v>
      </c>
    </row>
    <row r="58" spans="4:11">
      <c r="D58" s="42">
        <v>46171</v>
      </c>
      <c r="E58" s="43">
        <v>1607537</v>
      </c>
      <c r="F58" s="43" t="s">
        <v>13</v>
      </c>
      <c r="G58" s="44">
        <v>20313588</v>
      </c>
      <c r="H58" s="43" t="s">
        <v>30</v>
      </c>
      <c r="I58" s="44">
        <v>8</v>
      </c>
      <c r="J58" s="45">
        <v>8</v>
      </c>
      <c r="K58" s="45">
        <v>64</v>
      </c>
    </row>
    <row r="59" spans="4:11">
      <c r="D59" s="42">
        <v>46171</v>
      </c>
      <c r="E59" s="43">
        <v>1607537</v>
      </c>
      <c r="F59" s="43" t="s">
        <v>13</v>
      </c>
      <c r="G59" s="44">
        <v>20376620</v>
      </c>
      <c r="H59" s="43" t="s">
        <v>65</v>
      </c>
      <c r="I59" s="44">
        <v>2</v>
      </c>
      <c r="J59" s="45">
        <v>8</v>
      </c>
      <c r="K59" s="45">
        <v>16</v>
      </c>
    </row>
    <row r="60" spans="4:11">
      <c r="D60" s="42">
        <v>46171</v>
      </c>
      <c r="E60" s="43">
        <v>1607537</v>
      </c>
      <c r="F60" s="43" t="s">
        <v>13</v>
      </c>
      <c r="G60" s="44">
        <v>20377357</v>
      </c>
      <c r="H60" s="43" t="s">
        <v>37</v>
      </c>
      <c r="I60" s="44">
        <v>1</v>
      </c>
      <c r="J60" s="45">
        <v>8</v>
      </c>
      <c r="K60" s="45">
        <v>8</v>
      </c>
    </row>
    <row r="61" spans="4:11">
      <c r="D61" s="42">
        <v>46171</v>
      </c>
      <c r="E61" s="43">
        <v>1607537</v>
      </c>
      <c r="F61" s="43" t="s">
        <v>13</v>
      </c>
      <c r="G61" s="44">
        <v>20303839</v>
      </c>
      <c r="H61" s="43" t="s">
        <v>80</v>
      </c>
      <c r="I61" s="44">
        <v>2</v>
      </c>
      <c r="J61" s="45">
        <v>8</v>
      </c>
      <c r="K61" s="45">
        <v>16</v>
      </c>
    </row>
    <row r="62" spans="4:11">
      <c r="D62" s="42">
        <v>46172</v>
      </c>
      <c r="E62" s="43">
        <v>1607775</v>
      </c>
      <c r="F62" s="43" t="s">
        <v>13</v>
      </c>
      <c r="G62" s="44">
        <v>20406253</v>
      </c>
      <c r="H62" s="43" t="s">
        <v>50</v>
      </c>
      <c r="I62" s="44">
        <v>2</v>
      </c>
      <c r="J62" s="45">
        <v>13.5</v>
      </c>
      <c r="K62" s="45">
        <v>27</v>
      </c>
    </row>
    <row r="63" spans="4:11">
      <c r="D63" s="42">
        <v>46172</v>
      </c>
      <c r="E63" s="43">
        <v>1607775</v>
      </c>
      <c r="F63" s="43" t="s">
        <v>13</v>
      </c>
      <c r="G63" s="44">
        <v>20313588</v>
      </c>
      <c r="H63" s="43" t="s">
        <v>30</v>
      </c>
      <c r="I63" s="44">
        <v>9</v>
      </c>
      <c r="J63" s="45">
        <v>8</v>
      </c>
      <c r="K63" s="45">
        <v>72</v>
      </c>
    </row>
    <row r="64" spans="4:11">
      <c r="D64" s="42">
        <v>46172</v>
      </c>
      <c r="E64" s="43">
        <v>1607775</v>
      </c>
      <c r="F64" s="43" t="s">
        <v>13</v>
      </c>
      <c r="G64" s="44">
        <v>20376620</v>
      </c>
      <c r="H64" s="43" t="s">
        <v>65</v>
      </c>
      <c r="I64" s="44">
        <v>1</v>
      </c>
      <c r="J64" s="45">
        <v>8</v>
      </c>
      <c r="K64" s="45">
        <v>8</v>
      </c>
    </row>
    <row r="65" spans="4:11">
      <c r="D65" s="42">
        <v>46172</v>
      </c>
      <c r="E65" s="43">
        <v>1607775</v>
      </c>
      <c r="F65" s="43" t="s">
        <v>13</v>
      </c>
      <c r="G65" s="44">
        <v>20377357</v>
      </c>
      <c r="H65" s="43" t="s">
        <v>37</v>
      </c>
      <c r="I65" s="44">
        <v>2</v>
      </c>
      <c r="J65" s="45">
        <v>8</v>
      </c>
      <c r="K65" s="45">
        <v>16</v>
      </c>
    </row>
    <row r="66" spans="4:11">
      <c r="D66" s="42">
        <v>46172</v>
      </c>
      <c r="E66" s="43">
        <v>1607775</v>
      </c>
      <c r="F66" s="43" t="s">
        <v>13</v>
      </c>
      <c r="G66" s="44">
        <v>20303839</v>
      </c>
      <c r="H66" s="43" t="s">
        <v>80</v>
      </c>
      <c r="I66" s="44">
        <v>1</v>
      </c>
      <c r="J66" s="45">
        <v>8</v>
      </c>
      <c r="K66" s="45">
        <v>8</v>
      </c>
    </row>
    <row r="67" spans="4:11">
      <c r="D67" s="42">
        <v>46175</v>
      </c>
      <c r="E67" s="43">
        <v>1608456</v>
      </c>
      <c r="F67" s="43" t="s">
        <v>13</v>
      </c>
      <c r="G67" s="44">
        <v>20406253</v>
      </c>
      <c r="H67" s="43" t="s">
        <v>50</v>
      </c>
      <c r="I67" s="44">
        <v>2</v>
      </c>
      <c r="J67" s="45">
        <v>13.5</v>
      </c>
      <c r="K67" s="45">
        <v>27</v>
      </c>
    </row>
    <row r="68" spans="4:11">
      <c r="D68" s="42">
        <v>46175</v>
      </c>
      <c r="E68" s="43">
        <v>1608456</v>
      </c>
      <c r="F68" s="43" t="s">
        <v>13</v>
      </c>
      <c r="G68" s="44">
        <v>20414939</v>
      </c>
      <c r="H68" s="43" t="s">
        <v>64</v>
      </c>
      <c r="I68" s="44">
        <v>1</v>
      </c>
      <c r="J68" s="45">
        <v>8</v>
      </c>
      <c r="K68" s="45">
        <v>8</v>
      </c>
    </row>
    <row r="69" spans="4:11">
      <c r="D69" s="42">
        <v>46175</v>
      </c>
      <c r="E69" s="43">
        <v>1608456</v>
      </c>
      <c r="F69" s="43" t="s">
        <v>13</v>
      </c>
      <c r="G69" s="44">
        <v>20313588</v>
      </c>
      <c r="H69" s="43" t="s">
        <v>30</v>
      </c>
      <c r="I69" s="44">
        <v>2</v>
      </c>
      <c r="J69" s="45">
        <v>8</v>
      </c>
      <c r="K69" s="45">
        <v>16</v>
      </c>
    </row>
    <row r="70" spans="4:11">
      <c r="D70" s="42">
        <v>46175</v>
      </c>
      <c r="E70" s="43">
        <v>1608456</v>
      </c>
      <c r="F70" s="43" t="s">
        <v>13</v>
      </c>
      <c r="G70" s="44">
        <v>20377357</v>
      </c>
      <c r="H70" s="43" t="s">
        <v>37</v>
      </c>
      <c r="I70" s="44">
        <v>2</v>
      </c>
      <c r="J70" s="45">
        <v>8</v>
      </c>
      <c r="K70" s="45">
        <v>16</v>
      </c>
    </row>
    <row r="71" spans="4:11">
      <c r="D71" s="42">
        <v>46176</v>
      </c>
      <c r="E71" s="43">
        <v>1608689</v>
      </c>
      <c r="F71" s="43" t="s">
        <v>13</v>
      </c>
      <c r="G71" s="44">
        <v>20406253</v>
      </c>
      <c r="H71" s="43" t="s">
        <v>50</v>
      </c>
      <c r="I71" s="44">
        <v>2</v>
      </c>
      <c r="J71" s="45">
        <v>13.5</v>
      </c>
      <c r="K71" s="45">
        <v>27</v>
      </c>
    </row>
    <row r="72" spans="4:11">
      <c r="D72" s="42">
        <v>46176</v>
      </c>
      <c r="E72" s="43">
        <v>1608689</v>
      </c>
      <c r="F72" s="43" t="s">
        <v>13</v>
      </c>
      <c r="G72" s="44">
        <v>20313588</v>
      </c>
      <c r="H72" s="43" t="s">
        <v>30</v>
      </c>
      <c r="I72" s="44">
        <v>3</v>
      </c>
      <c r="J72" s="45">
        <v>8</v>
      </c>
      <c r="K72" s="45">
        <v>24</v>
      </c>
    </row>
    <row r="73" spans="4:11">
      <c r="D73" s="42">
        <v>46176</v>
      </c>
      <c r="E73" s="43">
        <v>1608689</v>
      </c>
      <c r="F73" s="43" t="s">
        <v>13</v>
      </c>
      <c r="G73" s="44">
        <v>20377357</v>
      </c>
      <c r="H73" s="43" t="s">
        <v>37</v>
      </c>
      <c r="I73" s="44">
        <v>1</v>
      </c>
      <c r="J73" s="45">
        <v>8</v>
      </c>
      <c r="K73" s="45">
        <v>8</v>
      </c>
    </row>
    <row r="74" spans="4:11">
      <c r="D74" s="42">
        <v>46177</v>
      </c>
      <c r="E74" s="43">
        <v>1609098</v>
      </c>
      <c r="F74" s="43" t="s">
        <v>13</v>
      </c>
      <c r="G74" s="44">
        <v>20398872</v>
      </c>
      <c r="H74" s="43" t="s">
        <v>81</v>
      </c>
      <c r="I74" s="44">
        <v>1</v>
      </c>
      <c r="J74" s="45">
        <v>8</v>
      </c>
      <c r="K74" s="45">
        <v>8</v>
      </c>
    </row>
    <row r="75" spans="4:11">
      <c r="D75" s="42">
        <v>46177</v>
      </c>
      <c r="E75" s="43">
        <v>1609098</v>
      </c>
      <c r="F75" s="43" t="s">
        <v>13</v>
      </c>
      <c r="G75" s="44">
        <v>20406253</v>
      </c>
      <c r="H75" s="43" t="s">
        <v>50</v>
      </c>
      <c r="I75" s="44">
        <v>4</v>
      </c>
      <c r="J75" s="45">
        <v>13.5</v>
      </c>
      <c r="K75" s="45">
        <v>54</v>
      </c>
    </row>
    <row r="76" spans="4:11">
      <c r="D76" s="42">
        <v>46177</v>
      </c>
      <c r="E76" s="43">
        <v>1609098</v>
      </c>
      <c r="F76" s="43" t="s">
        <v>13</v>
      </c>
      <c r="G76" s="44">
        <v>20313588</v>
      </c>
      <c r="H76" s="43" t="s">
        <v>30</v>
      </c>
      <c r="I76" s="44">
        <v>12</v>
      </c>
      <c r="J76" s="45">
        <v>8</v>
      </c>
      <c r="K76" s="45">
        <v>96</v>
      </c>
    </row>
    <row r="77" spans="4:11">
      <c r="D77" s="42">
        <v>46177</v>
      </c>
      <c r="E77" s="43">
        <v>1609098</v>
      </c>
      <c r="F77" s="43" t="s">
        <v>13</v>
      </c>
      <c r="G77" s="44">
        <v>20395836</v>
      </c>
      <c r="H77" s="43" t="s">
        <v>44</v>
      </c>
      <c r="I77" s="44">
        <v>1</v>
      </c>
      <c r="J77" s="45">
        <v>8</v>
      </c>
      <c r="K77" s="45">
        <v>8</v>
      </c>
    </row>
    <row r="78" spans="4:11">
      <c r="D78" s="42">
        <v>46177</v>
      </c>
      <c r="E78" s="43">
        <v>1609098</v>
      </c>
      <c r="F78" s="43" t="s">
        <v>13</v>
      </c>
      <c r="G78" s="44">
        <v>20377357</v>
      </c>
      <c r="H78" s="43" t="s">
        <v>37</v>
      </c>
      <c r="I78" s="44">
        <v>3</v>
      </c>
      <c r="J78" s="45">
        <v>8</v>
      </c>
      <c r="K78" s="45">
        <v>24</v>
      </c>
    </row>
    <row r="79" spans="4:11">
      <c r="D79" s="42">
        <v>46177</v>
      </c>
      <c r="E79" s="43">
        <v>1609201</v>
      </c>
      <c r="F79" s="43" t="s">
        <v>13</v>
      </c>
      <c r="G79" s="44">
        <v>20406253</v>
      </c>
      <c r="H79" s="43" t="s">
        <v>50</v>
      </c>
      <c r="I79" s="44">
        <v>2</v>
      </c>
      <c r="J79" s="45">
        <v>13.5</v>
      </c>
      <c r="K79" s="45">
        <v>27</v>
      </c>
    </row>
    <row r="80" spans="4:11">
      <c r="D80" s="42">
        <v>46177</v>
      </c>
      <c r="E80" s="43">
        <v>1609201</v>
      </c>
      <c r="F80" s="43" t="s">
        <v>13</v>
      </c>
      <c r="G80" s="44">
        <v>20313588</v>
      </c>
      <c r="H80" s="43" t="s">
        <v>30</v>
      </c>
      <c r="I80" s="44">
        <v>2</v>
      </c>
      <c r="J80" s="45">
        <v>8</v>
      </c>
      <c r="K80" s="45">
        <v>16</v>
      </c>
    </row>
    <row r="81" spans="4:11">
      <c r="D81" s="42">
        <v>46177</v>
      </c>
      <c r="E81" s="43">
        <v>1609201</v>
      </c>
      <c r="F81" s="43" t="s">
        <v>13</v>
      </c>
      <c r="G81" s="44">
        <v>20377357</v>
      </c>
      <c r="H81" s="43" t="s">
        <v>37</v>
      </c>
      <c r="I81" s="44">
        <v>1</v>
      </c>
      <c r="J81" s="45">
        <v>8</v>
      </c>
      <c r="K81" s="45">
        <v>8</v>
      </c>
    </row>
    <row r="82" spans="4:11">
      <c r="D82" s="42">
        <v>46178</v>
      </c>
      <c r="E82" s="43">
        <v>1609454</v>
      </c>
      <c r="F82" s="43" t="s">
        <v>13</v>
      </c>
      <c r="G82" s="44">
        <v>20406253</v>
      </c>
      <c r="H82" s="43" t="s">
        <v>50</v>
      </c>
      <c r="I82" s="44">
        <v>1</v>
      </c>
      <c r="J82" s="45">
        <v>13.5</v>
      </c>
      <c r="K82" s="45">
        <v>13.5</v>
      </c>
    </row>
    <row r="83" spans="4:11">
      <c r="D83" s="42">
        <v>46178</v>
      </c>
      <c r="E83" s="43">
        <v>1609454</v>
      </c>
      <c r="F83" s="43" t="s">
        <v>13</v>
      </c>
      <c r="G83" s="44">
        <v>20313588</v>
      </c>
      <c r="H83" s="43" t="s">
        <v>30</v>
      </c>
      <c r="I83" s="44">
        <v>6</v>
      </c>
      <c r="J83" s="45">
        <v>8</v>
      </c>
      <c r="K83" s="45">
        <v>48</v>
      </c>
    </row>
    <row r="84" spans="4:11">
      <c r="D84" s="42">
        <v>46178</v>
      </c>
      <c r="E84" s="43">
        <v>1609454</v>
      </c>
      <c r="F84" s="43" t="s">
        <v>13</v>
      </c>
      <c r="G84" s="44">
        <v>20376621</v>
      </c>
      <c r="H84" s="43" t="s">
        <v>65</v>
      </c>
      <c r="I84" s="44">
        <v>2</v>
      </c>
      <c r="J84" s="45">
        <v>8</v>
      </c>
      <c r="K84" s="45">
        <v>16</v>
      </c>
    </row>
    <row r="85" spans="4:11">
      <c r="D85" s="42">
        <v>46178</v>
      </c>
      <c r="E85" s="43">
        <v>1609454</v>
      </c>
      <c r="F85" s="43" t="s">
        <v>13</v>
      </c>
      <c r="G85" s="44">
        <v>20377357</v>
      </c>
      <c r="H85" s="43" t="s">
        <v>37</v>
      </c>
      <c r="I85" s="44">
        <v>2</v>
      </c>
      <c r="J85" s="45">
        <v>8</v>
      </c>
      <c r="K85" s="45">
        <v>16</v>
      </c>
    </row>
    <row r="86" spans="4:11">
      <c r="D86" s="42">
        <v>46178</v>
      </c>
      <c r="E86" s="43">
        <v>1609454</v>
      </c>
      <c r="F86" s="43" t="s">
        <v>13</v>
      </c>
      <c r="G86" s="44">
        <v>20303839</v>
      </c>
      <c r="H86" s="43" t="s">
        <v>80</v>
      </c>
      <c r="I86" s="44">
        <v>2</v>
      </c>
      <c r="J86" s="45">
        <v>8</v>
      </c>
      <c r="K86" s="45">
        <v>16</v>
      </c>
    </row>
    <row r="87" spans="4:11">
      <c r="D87" s="42">
        <v>46178</v>
      </c>
      <c r="E87" s="43">
        <v>1609586</v>
      </c>
      <c r="F87" s="43" t="s">
        <v>13</v>
      </c>
      <c r="G87" s="44">
        <v>20313588</v>
      </c>
      <c r="H87" s="43" t="s">
        <v>30</v>
      </c>
      <c r="I87" s="44">
        <v>2</v>
      </c>
      <c r="J87" s="45">
        <v>8</v>
      </c>
      <c r="K87" s="45">
        <v>16</v>
      </c>
    </row>
    <row r="88" spans="4:11">
      <c r="D88" s="42">
        <v>46178</v>
      </c>
      <c r="E88" s="43">
        <v>1609586</v>
      </c>
      <c r="F88" s="43" t="s">
        <v>13</v>
      </c>
      <c r="G88" s="44">
        <v>20376621</v>
      </c>
      <c r="H88" s="43" t="s">
        <v>65</v>
      </c>
      <c r="I88" s="44">
        <v>1</v>
      </c>
      <c r="J88" s="45">
        <v>8</v>
      </c>
      <c r="K88" s="45">
        <v>8</v>
      </c>
    </row>
    <row r="89" spans="4:11">
      <c r="D89" s="42">
        <v>46178</v>
      </c>
      <c r="E89" s="43">
        <v>1609586</v>
      </c>
      <c r="F89" s="43" t="s">
        <v>13</v>
      </c>
      <c r="G89" s="44">
        <v>20303839</v>
      </c>
      <c r="H89" s="43" t="s">
        <v>80</v>
      </c>
      <c r="I89" s="44">
        <v>1</v>
      </c>
      <c r="J89" s="45">
        <v>8</v>
      </c>
      <c r="K89" s="45">
        <v>8</v>
      </c>
    </row>
    <row r="90" spans="4:11">
      <c r="D90" s="42">
        <v>46179</v>
      </c>
      <c r="E90" s="43">
        <v>1609877</v>
      </c>
      <c r="F90" s="43" t="s">
        <v>13</v>
      </c>
      <c r="G90" s="44">
        <v>20406253</v>
      </c>
      <c r="H90" s="43" t="s">
        <v>50</v>
      </c>
      <c r="I90" s="44">
        <v>1</v>
      </c>
      <c r="J90" s="45">
        <v>13.5</v>
      </c>
      <c r="K90" s="45">
        <v>13.5</v>
      </c>
    </row>
    <row r="91" spans="4:11">
      <c r="D91" s="42">
        <v>46179</v>
      </c>
      <c r="E91" s="43">
        <v>1609877</v>
      </c>
      <c r="F91" s="43" t="s">
        <v>13</v>
      </c>
      <c r="G91" s="44">
        <v>20313588</v>
      </c>
      <c r="H91" s="43" t="s">
        <v>30</v>
      </c>
      <c r="I91" s="44">
        <v>9</v>
      </c>
      <c r="J91" s="45">
        <v>8</v>
      </c>
      <c r="K91" s="45">
        <v>72</v>
      </c>
    </row>
    <row r="92" spans="4:11">
      <c r="D92" s="42">
        <v>46179</v>
      </c>
      <c r="E92" s="43">
        <v>1609877</v>
      </c>
      <c r="F92" s="43" t="s">
        <v>13</v>
      </c>
      <c r="G92" s="44">
        <v>20376620</v>
      </c>
      <c r="H92" s="43" t="s">
        <v>65</v>
      </c>
      <c r="I92" s="44">
        <v>1</v>
      </c>
      <c r="J92" s="45">
        <v>8</v>
      </c>
      <c r="K92" s="45">
        <v>8</v>
      </c>
    </row>
    <row r="93" spans="4:11">
      <c r="D93" s="42">
        <v>46182</v>
      </c>
      <c r="E93" s="43">
        <v>1610559</v>
      </c>
      <c r="F93" s="43" t="s">
        <v>13</v>
      </c>
      <c r="G93" s="44">
        <v>20313588</v>
      </c>
      <c r="H93" s="43" t="s">
        <v>30</v>
      </c>
      <c r="I93" s="44">
        <v>4</v>
      </c>
      <c r="J93" s="45">
        <v>8</v>
      </c>
      <c r="K93" s="45">
        <v>32</v>
      </c>
    </row>
    <row r="94" spans="4:11">
      <c r="D94" s="42">
        <v>46182</v>
      </c>
      <c r="E94" s="43">
        <v>1610559</v>
      </c>
      <c r="F94" s="43" t="s">
        <v>13</v>
      </c>
      <c r="G94" s="44">
        <v>20377357</v>
      </c>
      <c r="H94" s="43" t="s">
        <v>37</v>
      </c>
      <c r="I94" s="44">
        <v>1</v>
      </c>
      <c r="J94" s="45">
        <v>8</v>
      </c>
      <c r="K94" s="45">
        <v>8</v>
      </c>
    </row>
    <row r="95" spans="4:11">
      <c r="D95" s="42">
        <v>46183</v>
      </c>
      <c r="E95" s="43">
        <v>1610828</v>
      </c>
      <c r="F95" s="43" t="s">
        <v>13</v>
      </c>
      <c r="G95" s="44">
        <v>20398872</v>
      </c>
      <c r="H95" s="43" t="s">
        <v>81</v>
      </c>
      <c r="I95" s="44">
        <v>1</v>
      </c>
      <c r="J95" s="45">
        <v>8</v>
      </c>
      <c r="K95" s="45">
        <v>8</v>
      </c>
    </row>
    <row r="96" spans="4:11">
      <c r="D96" s="42">
        <v>46183</v>
      </c>
      <c r="E96" s="43">
        <v>1610828</v>
      </c>
      <c r="F96" s="43" t="s">
        <v>13</v>
      </c>
      <c r="G96" s="44">
        <v>20406253</v>
      </c>
      <c r="H96" s="43" t="s">
        <v>50</v>
      </c>
      <c r="I96" s="44">
        <v>4</v>
      </c>
      <c r="J96" s="45">
        <v>13.5</v>
      </c>
      <c r="K96" s="45">
        <v>54</v>
      </c>
    </row>
    <row r="97" spans="4:11">
      <c r="D97" s="42">
        <v>46183</v>
      </c>
      <c r="E97" s="43">
        <v>1610828</v>
      </c>
      <c r="F97" s="43" t="s">
        <v>13</v>
      </c>
      <c r="G97" s="44">
        <v>20313588</v>
      </c>
      <c r="H97" s="43" t="s">
        <v>30</v>
      </c>
      <c r="I97" s="44">
        <v>6</v>
      </c>
      <c r="J97" s="45">
        <v>8</v>
      </c>
      <c r="K97" s="45">
        <v>48</v>
      </c>
    </row>
    <row r="98" spans="4:11">
      <c r="D98" s="42">
        <v>46183</v>
      </c>
      <c r="E98" s="43">
        <v>1610828</v>
      </c>
      <c r="F98" s="43" t="s">
        <v>13</v>
      </c>
      <c r="G98" s="44">
        <v>20377357</v>
      </c>
      <c r="H98" s="43" t="s">
        <v>37</v>
      </c>
      <c r="I98" s="44">
        <v>4</v>
      </c>
      <c r="J98" s="45">
        <v>8</v>
      </c>
      <c r="K98" s="45">
        <v>32</v>
      </c>
    </row>
    <row r="99" spans="4:11">
      <c r="D99" s="42">
        <v>46183</v>
      </c>
      <c r="E99" s="43">
        <v>1610940</v>
      </c>
      <c r="F99" s="43" t="s">
        <v>13</v>
      </c>
      <c r="G99" s="44">
        <v>20406253</v>
      </c>
      <c r="H99" s="43" t="s">
        <v>50</v>
      </c>
      <c r="I99" s="44">
        <v>1</v>
      </c>
      <c r="J99" s="45">
        <v>13.5</v>
      </c>
      <c r="K99" s="45">
        <v>13.5</v>
      </c>
    </row>
    <row r="100" spans="4:11">
      <c r="D100" s="42">
        <v>46183</v>
      </c>
      <c r="E100" s="43">
        <v>1610940</v>
      </c>
      <c r="F100" s="43" t="s">
        <v>13</v>
      </c>
      <c r="G100" s="44">
        <v>20414939</v>
      </c>
      <c r="H100" s="43" t="s">
        <v>64</v>
      </c>
      <c r="I100" s="44">
        <v>1</v>
      </c>
      <c r="J100" s="45">
        <v>8</v>
      </c>
      <c r="K100" s="45">
        <v>8</v>
      </c>
    </row>
    <row r="101" spans="4:11">
      <c r="D101" s="42">
        <v>46183</v>
      </c>
      <c r="E101" s="43">
        <v>1610940</v>
      </c>
      <c r="F101" s="43" t="s">
        <v>13</v>
      </c>
      <c r="G101" s="44">
        <v>20313588</v>
      </c>
      <c r="H101" s="43" t="s">
        <v>30</v>
      </c>
      <c r="I101" s="44">
        <v>2</v>
      </c>
      <c r="J101" s="45">
        <v>8</v>
      </c>
      <c r="K101" s="45">
        <v>16</v>
      </c>
    </row>
    <row r="102" spans="4:11">
      <c r="D102" s="42">
        <v>46183</v>
      </c>
      <c r="E102" s="43">
        <v>1610940</v>
      </c>
      <c r="F102" s="43" t="s">
        <v>13</v>
      </c>
      <c r="G102" s="44">
        <v>20377357</v>
      </c>
      <c r="H102" s="43" t="s">
        <v>37</v>
      </c>
      <c r="I102" s="44">
        <v>1</v>
      </c>
      <c r="J102" s="45">
        <v>8</v>
      </c>
      <c r="K102" s="45">
        <v>8</v>
      </c>
    </row>
    <row r="103" spans="4:11">
      <c r="D103" s="42">
        <v>46184</v>
      </c>
      <c r="E103" s="43">
        <v>1611302</v>
      </c>
      <c r="F103" s="43" t="s">
        <v>13</v>
      </c>
      <c r="G103" s="44">
        <v>20398872</v>
      </c>
      <c r="H103" s="43" t="s">
        <v>81</v>
      </c>
      <c r="I103" s="44">
        <v>1</v>
      </c>
      <c r="J103" s="45">
        <v>8</v>
      </c>
      <c r="K103" s="45">
        <v>8</v>
      </c>
    </row>
    <row r="104" spans="4:11">
      <c r="D104" s="42">
        <v>46184</v>
      </c>
      <c r="E104" s="43">
        <v>1611302</v>
      </c>
      <c r="F104" s="43" t="s">
        <v>13</v>
      </c>
      <c r="G104" s="44">
        <v>20406253</v>
      </c>
      <c r="H104" s="43" t="s">
        <v>50</v>
      </c>
      <c r="I104" s="44">
        <v>2</v>
      </c>
      <c r="J104" s="45">
        <v>13.5</v>
      </c>
      <c r="K104" s="45">
        <v>27</v>
      </c>
    </row>
    <row r="105" spans="4:11">
      <c r="D105" s="42">
        <v>46184</v>
      </c>
      <c r="E105" s="43">
        <v>1611302</v>
      </c>
      <c r="F105" s="43" t="s">
        <v>13</v>
      </c>
      <c r="G105" s="44">
        <v>20313588</v>
      </c>
      <c r="H105" s="43" t="s">
        <v>30</v>
      </c>
      <c r="I105" s="44">
        <v>7</v>
      </c>
      <c r="J105" s="45">
        <v>8</v>
      </c>
      <c r="K105" s="45">
        <v>56</v>
      </c>
    </row>
    <row r="106" spans="4:11">
      <c r="D106" s="42">
        <v>46185</v>
      </c>
      <c r="E106" s="43">
        <v>1611669</v>
      </c>
      <c r="F106" s="43" t="s">
        <v>13</v>
      </c>
      <c r="G106" s="44">
        <v>20313588</v>
      </c>
      <c r="H106" s="43" t="s">
        <v>30</v>
      </c>
      <c r="I106" s="44">
        <v>3</v>
      </c>
      <c r="J106" s="45">
        <v>8</v>
      </c>
      <c r="K106" s="45">
        <v>24</v>
      </c>
    </row>
  </sheetData>
  <autoFilter xmlns:etc="http://www.wps.cn/officeDocument/2017/etCustomData" ref="A7:K106" etc:filterBottomFollowUsedRange="0">
    <extLst/>
  </autoFilter>
  <mergeCells count="5">
    <mergeCell ref="D8:H8"/>
    <mergeCell ref="C7:C106"/>
    <mergeCell ref="B4:H5"/>
    <mergeCell ref="A7:B10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87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96</v>
      </c>
      <c r="J8" s="41"/>
      <c r="K8" s="41">
        <v>845</v>
      </c>
    </row>
    <row r="9" spans="1:11">
      <c r="D9" s="42">
        <v>46158</v>
      </c>
      <c r="E9" s="43">
        <v>1603668</v>
      </c>
      <c r="F9" s="43" t="s">
        <v>13</v>
      </c>
      <c r="G9" s="44">
        <v>20406253</v>
      </c>
      <c r="H9" s="43" t="s">
        <v>50</v>
      </c>
      <c r="I9" s="44">
        <v>1</v>
      </c>
      <c r="J9" s="45">
        <v>13.5</v>
      </c>
      <c r="K9" s="45">
        <v>13.5</v>
      </c>
    </row>
    <row r="10" spans="1:11">
      <c r="D10" s="42">
        <v>46158</v>
      </c>
      <c r="E10" s="43">
        <v>1603668</v>
      </c>
      <c r="F10" s="43" t="s">
        <v>13</v>
      </c>
      <c r="G10" s="44">
        <v>20313588</v>
      </c>
      <c r="H10" s="43" t="s">
        <v>30</v>
      </c>
      <c r="I10" s="44">
        <v>4</v>
      </c>
      <c r="J10" s="45">
        <v>8</v>
      </c>
      <c r="K10" s="45">
        <v>32</v>
      </c>
    </row>
    <row r="11" spans="1:11">
      <c r="D11" s="42">
        <v>46158</v>
      </c>
      <c r="E11" s="43">
        <v>1603668</v>
      </c>
      <c r="F11" s="43" t="s">
        <v>13</v>
      </c>
      <c r="G11" s="44">
        <v>20377357</v>
      </c>
      <c r="H11" s="43" t="s">
        <v>37</v>
      </c>
      <c r="I11" s="44">
        <v>4</v>
      </c>
      <c r="J11" s="45">
        <v>8</v>
      </c>
      <c r="K11" s="45">
        <v>32</v>
      </c>
    </row>
    <row r="12" spans="1:11">
      <c r="D12" s="42">
        <v>46162</v>
      </c>
      <c r="E12" s="43">
        <v>1604692</v>
      </c>
      <c r="F12" s="43" t="s">
        <v>13</v>
      </c>
      <c r="G12" s="44">
        <v>20406253</v>
      </c>
      <c r="H12" s="43" t="s">
        <v>50</v>
      </c>
      <c r="I12" s="44">
        <v>1</v>
      </c>
      <c r="J12" s="45">
        <v>13.5</v>
      </c>
      <c r="K12" s="45">
        <v>13.5</v>
      </c>
    </row>
    <row r="13" spans="1:11">
      <c r="D13" s="42">
        <v>46162</v>
      </c>
      <c r="E13" s="43">
        <v>1604692</v>
      </c>
      <c r="F13" s="43" t="s">
        <v>13</v>
      </c>
      <c r="G13" s="44">
        <v>20377357</v>
      </c>
      <c r="H13" s="43" t="s">
        <v>37</v>
      </c>
      <c r="I13" s="44">
        <v>2</v>
      </c>
      <c r="J13" s="45">
        <v>8</v>
      </c>
      <c r="K13" s="45">
        <v>16</v>
      </c>
    </row>
    <row r="14" spans="1:11">
      <c r="D14" s="42">
        <v>46163</v>
      </c>
      <c r="E14" s="43">
        <v>1605000</v>
      </c>
      <c r="F14" s="43" t="s">
        <v>13</v>
      </c>
      <c r="G14" s="44">
        <v>20313588</v>
      </c>
      <c r="H14" s="43" t="s">
        <v>30</v>
      </c>
      <c r="I14" s="44">
        <v>3</v>
      </c>
      <c r="J14" s="45">
        <v>8</v>
      </c>
      <c r="K14" s="45">
        <v>24</v>
      </c>
    </row>
    <row r="15" spans="1:11">
      <c r="D15" s="42">
        <v>46163</v>
      </c>
      <c r="E15" s="43">
        <v>1605000</v>
      </c>
      <c r="F15" s="43" t="s">
        <v>13</v>
      </c>
      <c r="G15" s="44">
        <v>20377357</v>
      </c>
      <c r="H15" s="43" t="s">
        <v>37</v>
      </c>
      <c r="I15" s="44">
        <v>3</v>
      </c>
      <c r="J15" s="45">
        <v>8</v>
      </c>
      <c r="K15" s="45">
        <v>24</v>
      </c>
    </row>
    <row r="16" spans="1:11">
      <c r="D16" s="42">
        <v>46163</v>
      </c>
      <c r="E16" s="43">
        <v>1605101</v>
      </c>
      <c r="F16" s="43" t="s">
        <v>13</v>
      </c>
      <c r="G16" s="44">
        <v>20406253</v>
      </c>
      <c r="H16" s="43" t="s">
        <v>50</v>
      </c>
      <c r="I16" s="44">
        <v>1</v>
      </c>
      <c r="J16" s="45">
        <v>13.5</v>
      </c>
      <c r="K16" s="45">
        <v>13.5</v>
      </c>
    </row>
    <row r="17" spans="4:11">
      <c r="D17" s="42">
        <v>46163</v>
      </c>
      <c r="E17" s="43">
        <v>1605101</v>
      </c>
      <c r="F17" s="43" t="s">
        <v>13</v>
      </c>
      <c r="G17" s="44">
        <v>20313588</v>
      </c>
      <c r="H17" s="43" t="s">
        <v>30</v>
      </c>
      <c r="I17" s="44">
        <v>1</v>
      </c>
      <c r="J17" s="45">
        <v>8</v>
      </c>
      <c r="K17" s="45">
        <v>8</v>
      </c>
    </row>
    <row r="18" spans="4:11">
      <c r="D18" s="42">
        <v>46163</v>
      </c>
      <c r="E18" s="43">
        <v>1605101</v>
      </c>
      <c r="F18" s="43" t="s">
        <v>13</v>
      </c>
      <c r="G18" s="44">
        <v>20376620</v>
      </c>
      <c r="H18" s="43" t="s">
        <v>65</v>
      </c>
      <c r="I18" s="44">
        <v>1</v>
      </c>
      <c r="J18" s="45">
        <v>8</v>
      </c>
      <c r="K18" s="45">
        <v>8</v>
      </c>
    </row>
    <row r="19" spans="4:11">
      <c r="D19" s="42">
        <v>46164</v>
      </c>
      <c r="E19" s="43">
        <v>1605373</v>
      </c>
      <c r="F19" s="43" t="s">
        <v>13</v>
      </c>
      <c r="G19" s="44">
        <v>20313588</v>
      </c>
      <c r="H19" s="43" t="s">
        <v>30</v>
      </c>
      <c r="I19" s="44">
        <v>2</v>
      </c>
      <c r="J19" s="45">
        <v>8</v>
      </c>
      <c r="K19" s="45">
        <v>16</v>
      </c>
    </row>
    <row r="20" spans="4:11">
      <c r="D20" s="42">
        <v>46164</v>
      </c>
      <c r="E20" s="43">
        <v>1605373</v>
      </c>
      <c r="F20" s="43" t="s">
        <v>13</v>
      </c>
      <c r="G20" s="44">
        <v>20376620</v>
      </c>
      <c r="H20" s="43" t="s">
        <v>65</v>
      </c>
      <c r="I20" s="44">
        <v>1</v>
      </c>
      <c r="J20" s="45">
        <v>8</v>
      </c>
      <c r="K20" s="45">
        <v>8</v>
      </c>
    </row>
    <row r="21" spans="4:11">
      <c r="D21" s="42">
        <v>46164</v>
      </c>
      <c r="E21" s="43">
        <v>1605373</v>
      </c>
      <c r="F21" s="43" t="s">
        <v>13</v>
      </c>
      <c r="G21" s="44">
        <v>20377357</v>
      </c>
      <c r="H21" s="43" t="s">
        <v>37</v>
      </c>
      <c r="I21" s="44">
        <v>2</v>
      </c>
      <c r="J21" s="45">
        <v>8</v>
      </c>
      <c r="K21" s="45">
        <v>16</v>
      </c>
    </row>
    <row r="22" spans="4:11">
      <c r="D22" s="42">
        <v>46164</v>
      </c>
      <c r="E22" s="43">
        <v>1605505</v>
      </c>
      <c r="F22" s="43" t="s">
        <v>13</v>
      </c>
      <c r="G22" s="44">
        <v>20313588</v>
      </c>
      <c r="H22" s="43" t="s">
        <v>30</v>
      </c>
      <c r="I22" s="44">
        <v>2</v>
      </c>
      <c r="J22" s="45">
        <v>8</v>
      </c>
      <c r="K22" s="45">
        <v>16</v>
      </c>
    </row>
    <row r="23" spans="4:11">
      <c r="D23" s="42">
        <v>46164</v>
      </c>
      <c r="E23" s="43">
        <v>1605505</v>
      </c>
      <c r="F23" s="43" t="s">
        <v>13</v>
      </c>
      <c r="G23" s="44">
        <v>20377357</v>
      </c>
      <c r="H23" s="43" t="s">
        <v>37</v>
      </c>
      <c r="I23" s="44">
        <v>2</v>
      </c>
      <c r="J23" s="45">
        <v>8</v>
      </c>
      <c r="K23" s="45">
        <v>16</v>
      </c>
    </row>
    <row r="24" spans="4:11">
      <c r="D24" s="42">
        <v>46168</v>
      </c>
      <c r="E24" s="43">
        <v>1606383</v>
      </c>
      <c r="F24" s="43" t="s">
        <v>13</v>
      </c>
      <c r="G24" s="44">
        <v>20406253</v>
      </c>
      <c r="H24" s="43" t="s">
        <v>50</v>
      </c>
      <c r="I24" s="44">
        <v>1</v>
      </c>
      <c r="J24" s="45">
        <v>13.5</v>
      </c>
      <c r="K24" s="45">
        <v>13.5</v>
      </c>
    </row>
    <row r="25" spans="4:11">
      <c r="D25" s="42">
        <v>46168</v>
      </c>
      <c r="E25" s="43">
        <v>1606383</v>
      </c>
      <c r="F25" s="43" t="s">
        <v>13</v>
      </c>
      <c r="G25" s="44">
        <v>20313588</v>
      </c>
      <c r="H25" s="43" t="s">
        <v>30</v>
      </c>
      <c r="I25" s="44">
        <v>1</v>
      </c>
      <c r="J25" s="45">
        <v>8</v>
      </c>
      <c r="K25" s="45">
        <v>8</v>
      </c>
    </row>
    <row r="26" spans="4:11">
      <c r="D26" s="42">
        <v>46168</v>
      </c>
      <c r="E26" s="43">
        <v>1606383</v>
      </c>
      <c r="F26" s="43" t="s">
        <v>13</v>
      </c>
      <c r="G26" s="44">
        <v>20376621</v>
      </c>
      <c r="H26" s="43" t="s">
        <v>65</v>
      </c>
      <c r="I26" s="44">
        <v>1</v>
      </c>
      <c r="J26" s="45">
        <v>8</v>
      </c>
      <c r="K26" s="45">
        <v>8</v>
      </c>
    </row>
    <row r="27" spans="4:11">
      <c r="D27" s="42">
        <v>46168</v>
      </c>
      <c r="E27" s="43">
        <v>1606383</v>
      </c>
      <c r="F27" s="43" t="s">
        <v>13</v>
      </c>
      <c r="G27" s="44">
        <v>20377357</v>
      </c>
      <c r="H27" s="43" t="s">
        <v>37</v>
      </c>
      <c r="I27" s="44">
        <v>2</v>
      </c>
      <c r="J27" s="45">
        <v>8</v>
      </c>
      <c r="K27" s="45">
        <v>16</v>
      </c>
    </row>
    <row r="28" spans="4:11">
      <c r="D28" s="42">
        <v>46169</v>
      </c>
      <c r="E28" s="43">
        <v>1606704</v>
      </c>
      <c r="F28" s="43" t="s">
        <v>13</v>
      </c>
      <c r="G28" s="44">
        <v>20406253</v>
      </c>
      <c r="H28" s="43" t="s">
        <v>50</v>
      </c>
      <c r="I28" s="44">
        <v>1</v>
      </c>
      <c r="J28" s="45">
        <v>13.5</v>
      </c>
      <c r="K28" s="45">
        <v>13.5</v>
      </c>
    </row>
    <row r="29" spans="4:11">
      <c r="D29" s="42">
        <v>46169</v>
      </c>
      <c r="E29" s="43">
        <v>1606704</v>
      </c>
      <c r="F29" s="43" t="s">
        <v>13</v>
      </c>
      <c r="G29" s="44">
        <v>20313588</v>
      </c>
      <c r="H29" s="43" t="s">
        <v>30</v>
      </c>
      <c r="I29" s="44">
        <v>2</v>
      </c>
      <c r="J29" s="45">
        <v>8</v>
      </c>
      <c r="K29" s="45">
        <v>16</v>
      </c>
    </row>
    <row r="30" spans="4:11">
      <c r="D30" s="42">
        <v>46169</v>
      </c>
      <c r="E30" s="43">
        <v>1606704</v>
      </c>
      <c r="F30" s="43" t="s">
        <v>13</v>
      </c>
      <c r="G30" s="44">
        <v>20377357</v>
      </c>
      <c r="H30" s="43" t="s">
        <v>37</v>
      </c>
      <c r="I30" s="44">
        <v>2</v>
      </c>
      <c r="J30" s="45">
        <v>8</v>
      </c>
      <c r="K30" s="45">
        <v>16</v>
      </c>
    </row>
    <row r="31" spans="4:11">
      <c r="D31" s="42">
        <v>46169</v>
      </c>
      <c r="E31" s="43">
        <v>1606793</v>
      </c>
      <c r="F31" s="43" t="s">
        <v>13</v>
      </c>
      <c r="G31" s="44">
        <v>20313588</v>
      </c>
      <c r="H31" s="43" t="s">
        <v>30</v>
      </c>
      <c r="I31" s="44">
        <v>2</v>
      </c>
      <c r="J31" s="45">
        <v>8</v>
      </c>
      <c r="K31" s="45">
        <v>16</v>
      </c>
    </row>
    <row r="32" spans="4:11">
      <c r="D32" s="42">
        <v>46169</v>
      </c>
      <c r="E32" s="43">
        <v>1606793</v>
      </c>
      <c r="F32" s="43" t="s">
        <v>13</v>
      </c>
      <c r="G32" s="44">
        <v>20376620</v>
      </c>
      <c r="H32" s="43" t="s">
        <v>65</v>
      </c>
      <c r="I32" s="44">
        <v>1</v>
      </c>
      <c r="J32" s="45">
        <v>8</v>
      </c>
      <c r="K32" s="45">
        <v>8</v>
      </c>
    </row>
    <row r="33" spans="4:11">
      <c r="D33" s="42">
        <v>46169</v>
      </c>
      <c r="E33" s="43">
        <v>1606793</v>
      </c>
      <c r="F33" s="43" t="s">
        <v>13</v>
      </c>
      <c r="G33" s="44">
        <v>20377357</v>
      </c>
      <c r="H33" s="43" t="s">
        <v>37</v>
      </c>
      <c r="I33" s="44">
        <v>1</v>
      </c>
      <c r="J33" s="45">
        <v>8</v>
      </c>
      <c r="K33" s="45">
        <v>8</v>
      </c>
    </row>
    <row r="34" spans="4:11">
      <c r="D34" s="42">
        <v>46171</v>
      </c>
      <c r="E34" s="43">
        <v>1607538</v>
      </c>
      <c r="F34" s="43" t="s">
        <v>13</v>
      </c>
      <c r="G34" s="44">
        <v>20406253</v>
      </c>
      <c r="H34" s="43" t="s">
        <v>50</v>
      </c>
      <c r="I34" s="44">
        <v>1</v>
      </c>
      <c r="J34" s="45">
        <v>13.5</v>
      </c>
      <c r="K34" s="45">
        <v>13.5</v>
      </c>
    </row>
    <row r="35" spans="4:11">
      <c r="D35" s="42">
        <v>46171</v>
      </c>
      <c r="E35" s="43">
        <v>1607538</v>
      </c>
      <c r="F35" s="43" t="s">
        <v>13</v>
      </c>
      <c r="G35" s="44">
        <v>20313588</v>
      </c>
      <c r="H35" s="43" t="s">
        <v>30</v>
      </c>
      <c r="I35" s="44">
        <v>3</v>
      </c>
      <c r="J35" s="45">
        <v>8</v>
      </c>
      <c r="K35" s="45">
        <v>24</v>
      </c>
    </row>
    <row r="36" spans="4:11">
      <c r="D36" s="42">
        <v>46171</v>
      </c>
      <c r="E36" s="43">
        <v>1607538</v>
      </c>
      <c r="F36" s="43" t="s">
        <v>13</v>
      </c>
      <c r="G36" s="44">
        <v>20377357</v>
      </c>
      <c r="H36" s="43" t="s">
        <v>37</v>
      </c>
      <c r="I36" s="44">
        <v>4</v>
      </c>
      <c r="J36" s="45">
        <v>8</v>
      </c>
      <c r="K36" s="45">
        <v>32</v>
      </c>
    </row>
    <row r="37" spans="4:11">
      <c r="D37" s="42">
        <v>46172</v>
      </c>
      <c r="E37" s="43">
        <v>1607776</v>
      </c>
      <c r="F37" s="43" t="s">
        <v>13</v>
      </c>
      <c r="G37" s="44">
        <v>20406253</v>
      </c>
      <c r="H37" s="43" t="s">
        <v>50</v>
      </c>
      <c r="I37" s="44">
        <v>2</v>
      </c>
      <c r="J37" s="45">
        <v>13.5</v>
      </c>
      <c r="K37" s="45">
        <v>27</v>
      </c>
    </row>
    <row r="38" spans="4:11">
      <c r="D38" s="42">
        <v>46172</v>
      </c>
      <c r="E38" s="43">
        <v>1607776</v>
      </c>
      <c r="F38" s="43" t="s">
        <v>13</v>
      </c>
      <c r="G38" s="44">
        <v>20313588</v>
      </c>
      <c r="H38" s="43" t="s">
        <v>30</v>
      </c>
      <c r="I38" s="44">
        <v>2</v>
      </c>
      <c r="J38" s="45">
        <v>8</v>
      </c>
      <c r="K38" s="45">
        <v>16</v>
      </c>
    </row>
    <row r="39" spans="4:11">
      <c r="D39" s="42">
        <v>46172</v>
      </c>
      <c r="E39" s="43">
        <v>1607776</v>
      </c>
      <c r="F39" s="43" t="s">
        <v>13</v>
      </c>
      <c r="G39" s="44">
        <v>20377357</v>
      </c>
      <c r="H39" s="43" t="s">
        <v>37</v>
      </c>
      <c r="I39" s="44">
        <v>2</v>
      </c>
      <c r="J39" s="45">
        <v>8</v>
      </c>
      <c r="K39" s="45">
        <v>16</v>
      </c>
    </row>
    <row r="40" spans="4:11">
      <c r="D40" s="42">
        <v>46175</v>
      </c>
      <c r="E40" s="43">
        <v>1608457</v>
      </c>
      <c r="F40" s="43" t="s">
        <v>13</v>
      </c>
      <c r="G40" s="44">
        <v>20313588</v>
      </c>
      <c r="H40" s="43" t="s">
        <v>30</v>
      </c>
      <c r="I40" s="44">
        <v>1</v>
      </c>
      <c r="J40" s="45">
        <v>8</v>
      </c>
      <c r="K40" s="45">
        <v>8</v>
      </c>
    </row>
    <row r="41" spans="4:11">
      <c r="D41" s="42">
        <v>46175</v>
      </c>
      <c r="E41" s="43">
        <v>1608457</v>
      </c>
      <c r="F41" s="43" t="s">
        <v>13</v>
      </c>
      <c r="G41" s="44">
        <v>20377357</v>
      </c>
      <c r="H41" s="43" t="s">
        <v>37</v>
      </c>
      <c r="I41" s="44">
        <v>3</v>
      </c>
      <c r="J41" s="45">
        <v>8</v>
      </c>
      <c r="K41" s="45">
        <v>24</v>
      </c>
    </row>
    <row r="42" spans="4:11">
      <c r="D42" s="42">
        <v>46176</v>
      </c>
      <c r="E42" s="43">
        <v>1608821</v>
      </c>
      <c r="F42" s="43" t="s">
        <v>13</v>
      </c>
      <c r="G42" s="44">
        <v>20406253</v>
      </c>
      <c r="H42" s="43" t="s">
        <v>50</v>
      </c>
      <c r="I42" s="44">
        <v>1</v>
      </c>
      <c r="J42" s="45">
        <v>13.5</v>
      </c>
      <c r="K42" s="45">
        <v>13.5</v>
      </c>
    </row>
    <row r="43" spans="4:11">
      <c r="D43" s="42">
        <v>46176</v>
      </c>
      <c r="E43" s="43">
        <v>1608821</v>
      </c>
      <c r="F43" s="43" t="s">
        <v>13</v>
      </c>
      <c r="G43" s="44">
        <v>20313588</v>
      </c>
      <c r="H43" s="43" t="s">
        <v>30</v>
      </c>
      <c r="I43" s="44">
        <v>2</v>
      </c>
      <c r="J43" s="45">
        <v>8</v>
      </c>
      <c r="K43" s="45">
        <v>16</v>
      </c>
    </row>
    <row r="44" spans="4:11">
      <c r="D44" s="42">
        <v>46176</v>
      </c>
      <c r="E44" s="43">
        <v>1608821</v>
      </c>
      <c r="F44" s="43" t="s">
        <v>13</v>
      </c>
      <c r="G44" s="44">
        <v>20376621</v>
      </c>
      <c r="H44" s="43" t="s">
        <v>65</v>
      </c>
      <c r="I44" s="44">
        <v>1</v>
      </c>
      <c r="J44" s="45">
        <v>8</v>
      </c>
      <c r="K44" s="45">
        <v>8</v>
      </c>
    </row>
    <row r="45" spans="4:11">
      <c r="D45" s="42">
        <v>46176</v>
      </c>
      <c r="E45" s="43">
        <v>1608821</v>
      </c>
      <c r="F45" s="43" t="s">
        <v>13</v>
      </c>
      <c r="G45" s="44">
        <v>20377357</v>
      </c>
      <c r="H45" s="43" t="s">
        <v>37</v>
      </c>
      <c r="I45" s="44">
        <v>1</v>
      </c>
      <c r="J45" s="45">
        <v>8</v>
      </c>
      <c r="K45" s="45">
        <v>8</v>
      </c>
    </row>
    <row r="46" spans="4:11">
      <c r="D46" s="42">
        <v>46178</v>
      </c>
      <c r="E46" s="43">
        <v>1609455</v>
      </c>
      <c r="F46" s="43" t="s">
        <v>13</v>
      </c>
      <c r="G46" s="44">
        <v>20313588</v>
      </c>
      <c r="H46" s="43" t="s">
        <v>30</v>
      </c>
      <c r="I46" s="44">
        <v>2</v>
      </c>
      <c r="J46" s="45">
        <v>8</v>
      </c>
      <c r="K46" s="45">
        <v>16</v>
      </c>
    </row>
    <row r="47" spans="4:11">
      <c r="D47" s="42">
        <v>46178</v>
      </c>
      <c r="E47" s="43">
        <v>1609455</v>
      </c>
      <c r="F47" s="43" t="s">
        <v>13</v>
      </c>
      <c r="G47" s="44">
        <v>20377357</v>
      </c>
      <c r="H47" s="43" t="s">
        <v>37</v>
      </c>
      <c r="I47" s="44">
        <v>2</v>
      </c>
      <c r="J47" s="45">
        <v>8</v>
      </c>
      <c r="K47" s="45">
        <v>16</v>
      </c>
    </row>
    <row r="48" spans="4:11">
      <c r="D48" s="42">
        <v>46179</v>
      </c>
      <c r="E48" s="43">
        <v>1609878</v>
      </c>
      <c r="F48" s="43" t="s">
        <v>13</v>
      </c>
      <c r="G48" s="44">
        <v>20406253</v>
      </c>
      <c r="H48" s="43" t="s">
        <v>50</v>
      </c>
      <c r="I48" s="44">
        <v>1</v>
      </c>
      <c r="J48" s="45">
        <v>13.5</v>
      </c>
      <c r="K48" s="45">
        <v>13.5</v>
      </c>
    </row>
    <row r="49" spans="4:11">
      <c r="D49" s="42">
        <v>46179</v>
      </c>
      <c r="E49" s="43">
        <v>1609878</v>
      </c>
      <c r="F49" s="43" t="s">
        <v>13</v>
      </c>
      <c r="G49" s="44">
        <v>20313588</v>
      </c>
      <c r="H49" s="43" t="s">
        <v>30</v>
      </c>
      <c r="I49" s="44">
        <v>3</v>
      </c>
      <c r="J49" s="45">
        <v>8</v>
      </c>
      <c r="K49" s="45">
        <v>24</v>
      </c>
    </row>
    <row r="50" spans="4:11">
      <c r="D50" s="42">
        <v>46179</v>
      </c>
      <c r="E50" s="43">
        <v>1609878</v>
      </c>
      <c r="F50" s="43" t="s">
        <v>13</v>
      </c>
      <c r="G50" s="44">
        <v>20377357</v>
      </c>
      <c r="H50" s="43" t="s">
        <v>37</v>
      </c>
      <c r="I50" s="44">
        <v>2</v>
      </c>
      <c r="J50" s="45">
        <v>8</v>
      </c>
      <c r="K50" s="45">
        <v>16</v>
      </c>
    </row>
    <row r="51" spans="4:11">
      <c r="D51" s="42">
        <v>46182</v>
      </c>
      <c r="E51" s="43">
        <v>1610560</v>
      </c>
      <c r="F51" s="43" t="s">
        <v>13</v>
      </c>
      <c r="G51" s="44">
        <v>20406253</v>
      </c>
      <c r="H51" s="43" t="s">
        <v>50</v>
      </c>
      <c r="I51" s="44">
        <v>1</v>
      </c>
      <c r="J51" s="45">
        <v>13.5</v>
      </c>
      <c r="K51" s="45">
        <v>13.5</v>
      </c>
    </row>
    <row r="52" spans="4:11">
      <c r="D52" s="42">
        <v>46182</v>
      </c>
      <c r="E52" s="43">
        <v>1610560</v>
      </c>
      <c r="F52" s="43" t="s">
        <v>13</v>
      </c>
      <c r="G52" s="44">
        <v>20313588</v>
      </c>
      <c r="H52" s="43" t="s">
        <v>30</v>
      </c>
      <c r="I52" s="44">
        <v>1</v>
      </c>
      <c r="J52" s="45">
        <v>8</v>
      </c>
      <c r="K52" s="45">
        <v>8</v>
      </c>
    </row>
    <row r="53" spans="4:11">
      <c r="D53" s="42">
        <v>46182</v>
      </c>
      <c r="E53" s="43">
        <v>1610560</v>
      </c>
      <c r="F53" s="43" t="s">
        <v>13</v>
      </c>
      <c r="G53" s="44">
        <v>20377357</v>
      </c>
      <c r="H53" s="43" t="s">
        <v>37</v>
      </c>
      <c r="I53" s="44">
        <v>3</v>
      </c>
      <c r="J53" s="45">
        <v>8</v>
      </c>
      <c r="K53" s="45">
        <v>24</v>
      </c>
    </row>
    <row r="54" spans="4:11">
      <c r="D54" s="42">
        <v>46183</v>
      </c>
      <c r="E54" s="43">
        <v>1610829</v>
      </c>
      <c r="F54" s="43" t="s">
        <v>13</v>
      </c>
      <c r="G54" s="44">
        <v>20406253</v>
      </c>
      <c r="H54" s="43" t="s">
        <v>50</v>
      </c>
      <c r="I54" s="44">
        <v>1</v>
      </c>
      <c r="J54" s="45">
        <v>13.5</v>
      </c>
      <c r="K54" s="45">
        <v>13.5</v>
      </c>
    </row>
    <row r="55" spans="4:11">
      <c r="D55" s="42">
        <v>46183</v>
      </c>
      <c r="E55" s="43">
        <v>1610829</v>
      </c>
      <c r="F55" s="43" t="s">
        <v>13</v>
      </c>
      <c r="G55" s="44">
        <v>20313588</v>
      </c>
      <c r="H55" s="43" t="s">
        <v>30</v>
      </c>
      <c r="I55" s="44">
        <v>2</v>
      </c>
      <c r="J55" s="45">
        <v>8</v>
      </c>
      <c r="K55" s="45">
        <v>16</v>
      </c>
    </row>
    <row r="56" spans="4:11">
      <c r="D56" s="42">
        <v>46183</v>
      </c>
      <c r="E56" s="43">
        <v>1610829</v>
      </c>
      <c r="F56" s="43" t="s">
        <v>13</v>
      </c>
      <c r="G56" s="44">
        <v>20377357</v>
      </c>
      <c r="H56" s="43" t="s">
        <v>37</v>
      </c>
      <c r="I56" s="44">
        <v>3</v>
      </c>
      <c r="J56" s="45">
        <v>8</v>
      </c>
      <c r="K56" s="45">
        <v>24</v>
      </c>
    </row>
    <row r="57" spans="4:11">
      <c r="D57" s="42">
        <v>46184</v>
      </c>
      <c r="E57" s="43">
        <v>1611303</v>
      </c>
      <c r="F57" s="43" t="s">
        <v>13</v>
      </c>
      <c r="G57" s="44">
        <v>20406253</v>
      </c>
      <c r="H57" s="43" t="s">
        <v>50</v>
      </c>
      <c r="I57" s="44">
        <v>2</v>
      </c>
      <c r="J57" s="45">
        <v>13.5</v>
      </c>
      <c r="K57" s="45">
        <v>27</v>
      </c>
    </row>
    <row r="58" spans="4:11">
      <c r="D58" s="42">
        <v>46184</v>
      </c>
      <c r="E58" s="43">
        <v>1611303</v>
      </c>
      <c r="F58" s="43" t="s">
        <v>13</v>
      </c>
      <c r="G58" s="44">
        <v>20313588</v>
      </c>
      <c r="H58" s="43" t="s">
        <v>30</v>
      </c>
      <c r="I58" s="44">
        <v>2</v>
      </c>
      <c r="J58" s="45">
        <v>8</v>
      </c>
      <c r="K58" s="45">
        <v>16</v>
      </c>
    </row>
    <row r="59" spans="4:11">
      <c r="D59" s="42">
        <v>46184</v>
      </c>
      <c r="E59" s="43">
        <v>1611303</v>
      </c>
      <c r="F59" s="43" t="s">
        <v>13</v>
      </c>
      <c r="G59" s="44">
        <v>20377357</v>
      </c>
      <c r="H59" s="43" t="s">
        <v>37</v>
      </c>
      <c r="I59" s="44">
        <v>4</v>
      </c>
      <c r="J59" s="45">
        <v>8</v>
      </c>
      <c r="K59" s="45">
        <v>32</v>
      </c>
    </row>
  </sheetData>
  <autoFilter xmlns:etc="http://www.wps.cn/officeDocument/2017/etCustomData" ref="A7:K59" etc:filterBottomFollowUsedRange="0">
    <extLst/>
  </autoFilter>
  <mergeCells count="5">
    <mergeCell ref="D8:H8"/>
    <mergeCell ref="C7:C59"/>
    <mergeCell ref="B4:H5"/>
    <mergeCell ref="A7:B5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88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403</v>
      </c>
      <c r="J8" s="41"/>
      <c r="K8" s="41">
        <v>3686.5</v>
      </c>
    </row>
    <row r="9" spans="1:11">
      <c r="D9" s="42">
        <v>46157</v>
      </c>
      <c r="E9" s="43">
        <v>1603275</v>
      </c>
      <c r="F9" s="43" t="s">
        <v>13</v>
      </c>
      <c r="G9" s="44">
        <v>20376624</v>
      </c>
      <c r="H9" s="43" t="s">
        <v>33</v>
      </c>
      <c r="I9" s="44">
        <v>2</v>
      </c>
      <c r="J9" s="45">
        <v>8</v>
      </c>
      <c r="K9" s="45">
        <v>16</v>
      </c>
    </row>
    <row r="10" spans="1:11">
      <c r="D10" s="42">
        <v>46157</v>
      </c>
      <c r="E10" s="43">
        <v>1603275</v>
      </c>
      <c r="F10" s="43" t="s">
        <v>13</v>
      </c>
      <c r="G10" s="44">
        <v>20406253</v>
      </c>
      <c r="H10" s="43" t="s">
        <v>50</v>
      </c>
      <c r="I10" s="44">
        <v>1</v>
      </c>
      <c r="J10" s="45">
        <v>13.5</v>
      </c>
      <c r="K10" s="45">
        <v>13.5</v>
      </c>
    </row>
    <row r="11" spans="1:11">
      <c r="D11" s="42">
        <v>46157</v>
      </c>
      <c r="E11" s="43">
        <v>1603275</v>
      </c>
      <c r="F11" s="43" t="s">
        <v>13</v>
      </c>
      <c r="G11" s="44">
        <v>20313588</v>
      </c>
      <c r="H11" s="43" t="s">
        <v>30</v>
      </c>
      <c r="I11" s="44">
        <v>2</v>
      </c>
      <c r="J11" s="45">
        <v>8</v>
      </c>
      <c r="K11" s="45">
        <v>16</v>
      </c>
    </row>
    <row r="12" spans="1:11">
      <c r="D12" s="42">
        <v>46157</v>
      </c>
      <c r="E12" s="43">
        <v>1603275</v>
      </c>
      <c r="F12" s="43" t="s">
        <v>13</v>
      </c>
      <c r="G12" s="44">
        <v>20376863</v>
      </c>
      <c r="H12" s="43" t="s">
        <v>73</v>
      </c>
      <c r="I12" s="44">
        <v>1</v>
      </c>
      <c r="J12" s="45">
        <v>13.5</v>
      </c>
      <c r="K12" s="45">
        <v>13.5</v>
      </c>
    </row>
    <row r="13" spans="1:11">
      <c r="D13" s="42">
        <v>46157</v>
      </c>
      <c r="E13" s="43">
        <v>1603275</v>
      </c>
      <c r="F13" s="43" t="s">
        <v>13</v>
      </c>
      <c r="G13" s="44">
        <v>20377357</v>
      </c>
      <c r="H13" s="43" t="s">
        <v>37</v>
      </c>
      <c r="I13" s="44">
        <v>2</v>
      </c>
      <c r="J13" s="45">
        <v>8</v>
      </c>
      <c r="K13" s="45">
        <v>16</v>
      </c>
    </row>
    <row r="14" spans="1:11">
      <c r="D14" s="42">
        <v>46157</v>
      </c>
      <c r="E14" s="43">
        <v>1603433</v>
      </c>
      <c r="F14" s="43" t="s">
        <v>13</v>
      </c>
      <c r="G14" s="44">
        <v>20406253</v>
      </c>
      <c r="H14" s="43" t="s">
        <v>50</v>
      </c>
      <c r="I14" s="44">
        <v>1</v>
      </c>
      <c r="J14" s="45">
        <v>13.5</v>
      </c>
      <c r="K14" s="45">
        <v>13.5</v>
      </c>
    </row>
    <row r="15" spans="1:11">
      <c r="D15" s="42">
        <v>46157</v>
      </c>
      <c r="E15" s="43">
        <v>1603433</v>
      </c>
      <c r="F15" s="43" t="s">
        <v>13</v>
      </c>
      <c r="G15" s="44">
        <v>20313588</v>
      </c>
      <c r="H15" s="43" t="s">
        <v>30</v>
      </c>
      <c r="I15" s="44">
        <v>3</v>
      </c>
      <c r="J15" s="45">
        <v>8</v>
      </c>
      <c r="K15" s="45">
        <v>24</v>
      </c>
    </row>
    <row r="16" spans="1:11">
      <c r="D16" s="42">
        <v>46157</v>
      </c>
      <c r="E16" s="43">
        <v>1603433</v>
      </c>
      <c r="F16" s="43" t="s">
        <v>13</v>
      </c>
      <c r="G16" s="44">
        <v>20377357</v>
      </c>
      <c r="H16" s="43" t="s">
        <v>37</v>
      </c>
      <c r="I16" s="44">
        <v>3</v>
      </c>
      <c r="J16" s="45">
        <v>8</v>
      </c>
      <c r="K16" s="45">
        <v>24</v>
      </c>
    </row>
    <row r="17" spans="4:11">
      <c r="D17" s="42">
        <v>46158</v>
      </c>
      <c r="E17" s="43">
        <v>1603669</v>
      </c>
      <c r="F17" s="43" t="s">
        <v>13</v>
      </c>
      <c r="G17" s="44">
        <v>20376624</v>
      </c>
      <c r="H17" s="43" t="s">
        <v>33</v>
      </c>
      <c r="I17" s="44">
        <v>1</v>
      </c>
      <c r="J17" s="45">
        <v>8</v>
      </c>
      <c r="K17" s="45">
        <v>8</v>
      </c>
    </row>
    <row r="18" spans="4:11">
      <c r="D18" s="42">
        <v>46158</v>
      </c>
      <c r="E18" s="43">
        <v>1603669</v>
      </c>
      <c r="F18" s="43" t="s">
        <v>13</v>
      </c>
      <c r="G18" s="44">
        <v>20406253</v>
      </c>
      <c r="H18" s="43" t="s">
        <v>50</v>
      </c>
      <c r="I18" s="44">
        <v>2</v>
      </c>
      <c r="J18" s="45">
        <v>13.5</v>
      </c>
      <c r="K18" s="45">
        <v>27</v>
      </c>
    </row>
    <row r="19" spans="4:11">
      <c r="D19" s="42">
        <v>46158</v>
      </c>
      <c r="E19" s="43">
        <v>1603669</v>
      </c>
      <c r="F19" s="43" t="s">
        <v>13</v>
      </c>
      <c r="G19" s="44">
        <v>20313588</v>
      </c>
      <c r="H19" s="43" t="s">
        <v>30</v>
      </c>
      <c r="I19" s="44">
        <v>4</v>
      </c>
      <c r="J19" s="45">
        <v>8</v>
      </c>
      <c r="K19" s="45">
        <v>32</v>
      </c>
    </row>
    <row r="20" spans="4:11">
      <c r="D20" s="42">
        <v>46158</v>
      </c>
      <c r="E20" s="43">
        <v>1603669</v>
      </c>
      <c r="F20" s="43" t="s">
        <v>13</v>
      </c>
      <c r="G20" s="44">
        <v>20396160</v>
      </c>
      <c r="H20" s="43" t="s">
        <v>63</v>
      </c>
      <c r="I20" s="44">
        <v>1</v>
      </c>
      <c r="J20" s="45">
        <v>13.5</v>
      </c>
      <c r="K20" s="45">
        <v>13.5</v>
      </c>
    </row>
    <row r="21" spans="4:11">
      <c r="D21" s="42">
        <v>46158</v>
      </c>
      <c r="E21" s="43">
        <v>1603669</v>
      </c>
      <c r="F21" s="43" t="s">
        <v>13</v>
      </c>
      <c r="G21" s="44">
        <v>20377357</v>
      </c>
      <c r="H21" s="43" t="s">
        <v>37</v>
      </c>
      <c r="I21" s="44">
        <v>4</v>
      </c>
      <c r="J21" s="45">
        <v>8</v>
      </c>
      <c r="K21" s="45">
        <v>32</v>
      </c>
    </row>
    <row r="22" spans="4:11">
      <c r="D22" s="42">
        <v>46161</v>
      </c>
      <c r="E22" s="43">
        <v>1604329</v>
      </c>
      <c r="F22" s="43" t="s">
        <v>13</v>
      </c>
      <c r="G22" s="44">
        <v>20005208</v>
      </c>
      <c r="H22" s="43" t="s">
        <v>58</v>
      </c>
      <c r="I22" s="44">
        <v>2</v>
      </c>
      <c r="J22" s="45">
        <v>8</v>
      </c>
      <c r="K22" s="45">
        <v>16</v>
      </c>
    </row>
    <row r="23" spans="4:11">
      <c r="D23" s="42">
        <v>46161</v>
      </c>
      <c r="E23" s="43">
        <v>1604329</v>
      </c>
      <c r="F23" s="43" t="s">
        <v>13</v>
      </c>
      <c r="G23" s="44">
        <v>20376624</v>
      </c>
      <c r="H23" s="43" t="s">
        <v>33</v>
      </c>
      <c r="I23" s="44">
        <v>1</v>
      </c>
      <c r="J23" s="45">
        <v>8</v>
      </c>
      <c r="K23" s="45">
        <v>8</v>
      </c>
    </row>
    <row r="24" spans="4:11">
      <c r="D24" s="42">
        <v>46161</v>
      </c>
      <c r="E24" s="43">
        <v>1604329</v>
      </c>
      <c r="F24" s="43" t="s">
        <v>13</v>
      </c>
      <c r="G24" s="44">
        <v>20406253</v>
      </c>
      <c r="H24" s="43" t="s">
        <v>50</v>
      </c>
      <c r="I24" s="44">
        <v>1</v>
      </c>
      <c r="J24" s="45">
        <v>13.5</v>
      </c>
      <c r="K24" s="45">
        <v>13.5</v>
      </c>
    </row>
    <row r="25" spans="4:11">
      <c r="D25" s="42">
        <v>46161</v>
      </c>
      <c r="E25" s="43">
        <v>1604329</v>
      </c>
      <c r="F25" s="43" t="s">
        <v>13</v>
      </c>
      <c r="G25" s="44">
        <v>20313588</v>
      </c>
      <c r="H25" s="43" t="s">
        <v>30</v>
      </c>
      <c r="I25" s="44">
        <v>6</v>
      </c>
      <c r="J25" s="45">
        <v>8</v>
      </c>
      <c r="K25" s="45">
        <v>48</v>
      </c>
    </row>
    <row r="26" spans="4:11">
      <c r="D26" s="42">
        <v>46161</v>
      </c>
      <c r="E26" s="43">
        <v>1604329</v>
      </c>
      <c r="F26" s="43" t="s">
        <v>13</v>
      </c>
      <c r="G26" s="44">
        <v>20377357</v>
      </c>
      <c r="H26" s="43" t="s">
        <v>37</v>
      </c>
      <c r="I26" s="44">
        <v>3</v>
      </c>
      <c r="J26" s="45">
        <v>8</v>
      </c>
      <c r="K26" s="45">
        <v>24</v>
      </c>
    </row>
    <row r="27" spans="4:11">
      <c r="D27" s="42">
        <v>46162</v>
      </c>
      <c r="E27" s="43">
        <v>1604587</v>
      </c>
      <c r="F27" s="43" t="s">
        <v>13</v>
      </c>
      <c r="G27" s="44">
        <v>20005208</v>
      </c>
      <c r="H27" s="43" t="s">
        <v>58</v>
      </c>
      <c r="I27" s="44">
        <v>2</v>
      </c>
      <c r="J27" s="45">
        <v>8</v>
      </c>
      <c r="K27" s="45">
        <v>16</v>
      </c>
    </row>
    <row r="28" spans="4:11">
      <c r="D28" s="42">
        <v>46162</v>
      </c>
      <c r="E28" s="43">
        <v>1604587</v>
      </c>
      <c r="F28" s="43" t="s">
        <v>13</v>
      </c>
      <c r="G28" s="44">
        <v>20397296</v>
      </c>
      <c r="H28" s="43" t="s">
        <v>89</v>
      </c>
      <c r="I28" s="44">
        <v>1</v>
      </c>
      <c r="J28" s="45">
        <v>8</v>
      </c>
      <c r="K28" s="45">
        <v>8</v>
      </c>
    </row>
    <row r="29" spans="4:11">
      <c r="D29" s="42">
        <v>46162</v>
      </c>
      <c r="E29" s="43">
        <v>1604587</v>
      </c>
      <c r="F29" s="43" t="s">
        <v>13</v>
      </c>
      <c r="G29" s="44">
        <v>20376624</v>
      </c>
      <c r="H29" s="43" t="s">
        <v>33</v>
      </c>
      <c r="I29" s="44">
        <v>1</v>
      </c>
      <c r="J29" s="45">
        <v>8</v>
      </c>
      <c r="K29" s="45">
        <v>8</v>
      </c>
    </row>
    <row r="30" spans="4:11">
      <c r="D30" s="42">
        <v>46162</v>
      </c>
      <c r="E30" s="43">
        <v>1604587</v>
      </c>
      <c r="F30" s="43" t="s">
        <v>13</v>
      </c>
      <c r="G30" s="44">
        <v>20313588</v>
      </c>
      <c r="H30" s="43" t="s">
        <v>30</v>
      </c>
      <c r="I30" s="44">
        <v>2</v>
      </c>
      <c r="J30" s="45">
        <v>8</v>
      </c>
      <c r="K30" s="45">
        <v>16</v>
      </c>
    </row>
    <row r="31" spans="4:11">
      <c r="D31" s="42">
        <v>46162</v>
      </c>
      <c r="E31" s="43">
        <v>1604587</v>
      </c>
      <c r="F31" s="43" t="s">
        <v>13</v>
      </c>
      <c r="G31" s="44">
        <v>20401202</v>
      </c>
      <c r="H31" s="43" t="s">
        <v>85</v>
      </c>
      <c r="I31" s="44">
        <v>1</v>
      </c>
      <c r="J31" s="45">
        <v>13.5</v>
      </c>
      <c r="K31" s="45">
        <v>13.5</v>
      </c>
    </row>
    <row r="32" spans="4:11">
      <c r="D32" s="42">
        <v>46162</v>
      </c>
      <c r="E32" s="43">
        <v>1604587</v>
      </c>
      <c r="F32" s="43" t="s">
        <v>13</v>
      </c>
      <c r="G32" s="44">
        <v>20397285</v>
      </c>
      <c r="H32" s="43" t="s">
        <v>90</v>
      </c>
      <c r="I32" s="44">
        <v>2</v>
      </c>
      <c r="J32" s="45">
        <v>8</v>
      </c>
      <c r="K32" s="45">
        <v>16</v>
      </c>
    </row>
    <row r="33" spans="4:11">
      <c r="D33" s="42">
        <v>46162</v>
      </c>
      <c r="E33" s="43">
        <v>1604693</v>
      </c>
      <c r="F33" s="43" t="s">
        <v>13</v>
      </c>
      <c r="G33" s="44">
        <v>20005208</v>
      </c>
      <c r="H33" s="43" t="s">
        <v>58</v>
      </c>
      <c r="I33" s="44">
        <v>2</v>
      </c>
      <c r="J33" s="45">
        <v>8</v>
      </c>
      <c r="K33" s="45">
        <v>16</v>
      </c>
    </row>
    <row r="34" spans="4:11">
      <c r="D34" s="42">
        <v>46162</v>
      </c>
      <c r="E34" s="43">
        <v>1604693</v>
      </c>
      <c r="F34" s="43" t="s">
        <v>13</v>
      </c>
      <c r="G34" s="44">
        <v>20397296</v>
      </c>
      <c r="H34" s="43" t="s">
        <v>89</v>
      </c>
      <c r="I34" s="44">
        <v>1</v>
      </c>
      <c r="J34" s="45">
        <v>8</v>
      </c>
      <c r="K34" s="45">
        <v>8</v>
      </c>
    </row>
    <row r="35" spans="4:11">
      <c r="D35" s="42">
        <v>46162</v>
      </c>
      <c r="E35" s="43">
        <v>1604693</v>
      </c>
      <c r="F35" s="43" t="s">
        <v>13</v>
      </c>
      <c r="G35" s="44">
        <v>20376624</v>
      </c>
      <c r="H35" s="43" t="s">
        <v>33</v>
      </c>
      <c r="I35" s="44">
        <v>1</v>
      </c>
      <c r="J35" s="45">
        <v>8</v>
      </c>
      <c r="K35" s="45">
        <v>8</v>
      </c>
    </row>
    <row r="36" spans="4:11">
      <c r="D36" s="42">
        <v>46162</v>
      </c>
      <c r="E36" s="43">
        <v>1604693</v>
      </c>
      <c r="F36" s="43" t="s">
        <v>13</v>
      </c>
      <c r="G36" s="44">
        <v>20406253</v>
      </c>
      <c r="H36" s="43" t="s">
        <v>50</v>
      </c>
      <c r="I36" s="44">
        <v>2</v>
      </c>
      <c r="J36" s="45">
        <v>13.5</v>
      </c>
      <c r="K36" s="45">
        <v>27</v>
      </c>
    </row>
    <row r="37" spans="4:11">
      <c r="D37" s="42">
        <v>46162</v>
      </c>
      <c r="E37" s="43">
        <v>1604693</v>
      </c>
      <c r="F37" s="43" t="s">
        <v>13</v>
      </c>
      <c r="G37" s="44">
        <v>20313588</v>
      </c>
      <c r="H37" s="43" t="s">
        <v>30</v>
      </c>
      <c r="I37" s="44">
        <v>4</v>
      </c>
      <c r="J37" s="45">
        <v>8</v>
      </c>
      <c r="K37" s="45">
        <v>32</v>
      </c>
    </row>
    <row r="38" spans="4:11">
      <c r="D38" s="42">
        <v>46162</v>
      </c>
      <c r="E38" s="43">
        <v>1604693</v>
      </c>
      <c r="F38" s="43" t="s">
        <v>13</v>
      </c>
      <c r="G38" s="44">
        <v>20401202</v>
      </c>
      <c r="H38" s="43" t="s">
        <v>85</v>
      </c>
      <c r="I38" s="44">
        <v>1</v>
      </c>
      <c r="J38" s="45">
        <v>13.5</v>
      </c>
      <c r="K38" s="45">
        <v>13.5</v>
      </c>
    </row>
    <row r="39" spans="4:11">
      <c r="D39" s="42">
        <v>46162</v>
      </c>
      <c r="E39" s="43">
        <v>1604693</v>
      </c>
      <c r="F39" s="43" t="s">
        <v>13</v>
      </c>
      <c r="G39" s="44">
        <v>20376621</v>
      </c>
      <c r="H39" s="43" t="s">
        <v>65</v>
      </c>
      <c r="I39" s="44">
        <v>1</v>
      </c>
      <c r="J39" s="45">
        <v>8</v>
      </c>
      <c r="K39" s="45">
        <v>8</v>
      </c>
    </row>
    <row r="40" spans="4:11">
      <c r="D40" s="42">
        <v>46162</v>
      </c>
      <c r="E40" s="43">
        <v>1604693</v>
      </c>
      <c r="F40" s="43" t="s">
        <v>13</v>
      </c>
      <c r="G40" s="44">
        <v>20397285</v>
      </c>
      <c r="H40" s="43" t="s">
        <v>90</v>
      </c>
      <c r="I40" s="44">
        <v>1</v>
      </c>
      <c r="J40" s="45">
        <v>8</v>
      </c>
      <c r="K40" s="45">
        <v>8</v>
      </c>
    </row>
    <row r="41" spans="4:11">
      <c r="D41" s="42">
        <v>46162</v>
      </c>
      <c r="E41" s="43">
        <v>1604693</v>
      </c>
      <c r="F41" s="43" t="s">
        <v>13</v>
      </c>
      <c r="G41" s="44">
        <v>20377357</v>
      </c>
      <c r="H41" s="43" t="s">
        <v>37</v>
      </c>
      <c r="I41" s="44">
        <v>3</v>
      </c>
      <c r="J41" s="45">
        <v>8</v>
      </c>
      <c r="K41" s="45">
        <v>24</v>
      </c>
    </row>
    <row r="42" spans="4:11">
      <c r="D42" s="42">
        <v>46162</v>
      </c>
      <c r="E42" s="43">
        <v>1604693</v>
      </c>
      <c r="F42" s="43" t="s">
        <v>13</v>
      </c>
      <c r="G42" s="44">
        <v>20397297</v>
      </c>
      <c r="H42" s="43" t="s">
        <v>91</v>
      </c>
      <c r="I42" s="44">
        <v>3</v>
      </c>
      <c r="J42" s="45">
        <v>8</v>
      </c>
      <c r="K42" s="45">
        <v>24</v>
      </c>
    </row>
    <row r="43" spans="4:11">
      <c r="D43" s="42">
        <v>46162</v>
      </c>
      <c r="E43" s="43">
        <v>1604693</v>
      </c>
      <c r="F43" s="43" t="s">
        <v>13</v>
      </c>
      <c r="G43" s="44">
        <v>20005930</v>
      </c>
      <c r="H43" s="43" t="s">
        <v>25</v>
      </c>
      <c r="I43" s="44">
        <v>1</v>
      </c>
      <c r="J43" s="45">
        <v>8</v>
      </c>
      <c r="K43" s="45">
        <v>8</v>
      </c>
    </row>
    <row r="44" spans="4:11">
      <c r="D44" s="42">
        <v>46163</v>
      </c>
      <c r="E44" s="43">
        <v>1605001</v>
      </c>
      <c r="F44" s="43" t="s">
        <v>13</v>
      </c>
      <c r="G44" s="44">
        <v>20005208</v>
      </c>
      <c r="H44" s="43" t="s">
        <v>58</v>
      </c>
      <c r="I44" s="44">
        <v>1</v>
      </c>
      <c r="J44" s="45">
        <v>8</v>
      </c>
      <c r="K44" s="45">
        <v>8</v>
      </c>
    </row>
    <row r="45" spans="4:11">
      <c r="D45" s="42">
        <v>46163</v>
      </c>
      <c r="E45" s="43">
        <v>1605001</v>
      </c>
      <c r="F45" s="43" t="s">
        <v>13</v>
      </c>
      <c r="G45" s="44">
        <v>20397296</v>
      </c>
      <c r="H45" s="43" t="s">
        <v>89</v>
      </c>
      <c r="I45" s="44">
        <v>1</v>
      </c>
      <c r="J45" s="45">
        <v>8</v>
      </c>
      <c r="K45" s="45">
        <v>8</v>
      </c>
    </row>
    <row r="46" spans="4:11">
      <c r="D46" s="42">
        <v>46163</v>
      </c>
      <c r="E46" s="43">
        <v>1605001</v>
      </c>
      <c r="F46" s="43" t="s">
        <v>13</v>
      </c>
      <c r="G46" s="44">
        <v>20406253</v>
      </c>
      <c r="H46" s="43" t="s">
        <v>50</v>
      </c>
      <c r="I46" s="44">
        <v>1</v>
      </c>
      <c r="J46" s="45">
        <v>13.5</v>
      </c>
      <c r="K46" s="45">
        <v>13.5</v>
      </c>
    </row>
    <row r="47" spans="4:11">
      <c r="D47" s="42">
        <v>46163</v>
      </c>
      <c r="E47" s="43">
        <v>1605001</v>
      </c>
      <c r="F47" s="43" t="s">
        <v>13</v>
      </c>
      <c r="G47" s="44">
        <v>20313588</v>
      </c>
      <c r="H47" s="43" t="s">
        <v>30</v>
      </c>
      <c r="I47" s="44">
        <v>4</v>
      </c>
      <c r="J47" s="45">
        <v>8</v>
      </c>
      <c r="K47" s="45">
        <v>32</v>
      </c>
    </row>
    <row r="48" spans="4:11">
      <c r="D48" s="42">
        <v>46163</v>
      </c>
      <c r="E48" s="43">
        <v>1605001</v>
      </c>
      <c r="F48" s="43" t="s">
        <v>13</v>
      </c>
      <c r="G48" s="44">
        <v>20396160</v>
      </c>
      <c r="H48" s="43" t="s">
        <v>63</v>
      </c>
      <c r="I48" s="44">
        <v>1</v>
      </c>
      <c r="J48" s="45">
        <v>13.5</v>
      </c>
      <c r="K48" s="45">
        <v>13.5</v>
      </c>
    </row>
    <row r="49" spans="4:11">
      <c r="D49" s="42">
        <v>46163</v>
      </c>
      <c r="E49" s="43">
        <v>1605001</v>
      </c>
      <c r="F49" s="43" t="s">
        <v>13</v>
      </c>
      <c r="G49" s="44">
        <v>20397285</v>
      </c>
      <c r="H49" s="43" t="s">
        <v>90</v>
      </c>
      <c r="I49" s="44">
        <v>4</v>
      </c>
      <c r="J49" s="45">
        <v>8</v>
      </c>
      <c r="K49" s="45">
        <v>32</v>
      </c>
    </row>
    <row r="50" spans="4:11">
      <c r="D50" s="42">
        <v>46163</v>
      </c>
      <c r="E50" s="43">
        <v>1605001</v>
      </c>
      <c r="F50" s="43" t="s">
        <v>13</v>
      </c>
      <c r="G50" s="44">
        <v>20377357</v>
      </c>
      <c r="H50" s="43" t="s">
        <v>37</v>
      </c>
      <c r="I50" s="44">
        <v>5</v>
      </c>
      <c r="J50" s="45">
        <v>8</v>
      </c>
      <c r="K50" s="45">
        <v>40</v>
      </c>
    </row>
    <row r="51" spans="4:11">
      <c r="D51" s="42">
        <v>46163</v>
      </c>
      <c r="E51" s="43">
        <v>1605001</v>
      </c>
      <c r="F51" s="43" t="s">
        <v>13</v>
      </c>
      <c r="G51" s="44">
        <v>20397297</v>
      </c>
      <c r="H51" s="43" t="s">
        <v>91</v>
      </c>
      <c r="I51" s="44">
        <v>2</v>
      </c>
      <c r="J51" s="45">
        <v>8</v>
      </c>
      <c r="K51" s="45">
        <v>16</v>
      </c>
    </row>
    <row r="52" spans="4:11">
      <c r="D52" s="42">
        <v>46163</v>
      </c>
      <c r="E52" s="43">
        <v>1605102</v>
      </c>
      <c r="F52" s="43" t="s">
        <v>13</v>
      </c>
      <c r="G52" s="44">
        <v>20397296</v>
      </c>
      <c r="H52" s="43" t="s">
        <v>89</v>
      </c>
      <c r="I52" s="44">
        <v>1</v>
      </c>
      <c r="J52" s="45">
        <v>8</v>
      </c>
      <c r="K52" s="45">
        <v>8</v>
      </c>
    </row>
    <row r="53" spans="4:11">
      <c r="D53" s="42">
        <v>46163</v>
      </c>
      <c r="E53" s="43">
        <v>1605102</v>
      </c>
      <c r="F53" s="43" t="s">
        <v>13</v>
      </c>
      <c r="G53" s="44">
        <v>20376624</v>
      </c>
      <c r="H53" s="43" t="s">
        <v>33</v>
      </c>
      <c r="I53" s="44">
        <v>1</v>
      </c>
      <c r="J53" s="45">
        <v>8</v>
      </c>
      <c r="K53" s="45">
        <v>8</v>
      </c>
    </row>
    <row r="54" spans="4:11">
      <c r="D54" s="42">
        <v>46163</v>
      </c>
      <c r="E54" s="43">
        <v>1605102</v>
      </c>
      <c r="F54" s="43" t="s">
        <v>13</v>
      </c>
      <c r="G54" s="44">
        <v>20406253</v>
      </c>
      <c r="H54" s="43" t="s">
        <v>50</v>
      </c>
      <c r="I54" s="44">
        <v>1</v>
      </c>
      <c r="J54" s="45">
        <v>13.5</v>
      </c>
      <c r="K54" s="45">
        <v>13.5</v>
      </c>
    </row>
    <row r="55" spans="4:11">
      <c r="D55" s="42">
        <v>46163</v>
      </c>
      <c r="E55" s="43">
        <v>1605102</v>
      </c>
      <c r="F55" s="43" t="s">
        <v>13</v>
      </c>
      <c r="G55" s="44">
        <v>20313588</v>
      </c>
      <c r="H55" s="43" t="s">
        <v>30</v>
      </c>
      <c r="I55" s="44">
        <v>3</v>
      </c>
      <c r="J55" s="45">
        <v>8</v>
      </c>
      <c r="K55" s="45">
        <v>24</v>
      </c>
    </row>
    <row r="56" spans="4:11">
      <c r="D56" s="42">
        <v>46163</v>
      </c>
      <c r="E56" s="43">
        <v>1605102</v>
      </c>
      <c r="F56" s="43" t="s">
        <v>13</v>
      </c>
      <c r="G56" s="44">
        <v>20377357</v>
      </c>
      <c r="H56" s="43" t="s">
        <v>37</v>
      </c>
      <c r="I56" s="44">
        <v>2</v>
      </c>
      <c r="J56" s="45">
        <v>8</v>
      </c>
      <c r="K56" s="45">
        <v>16</v>
      </c>
    </row>
    <row r="57" spans="4:11">
      <c r="D57" s="42">
        <v>46164</v>
      </c>
      <c r="E57" s="43">
        <v>1605374</v>
      </c>
      <c r="F57" s="43" t="s">
        <v>13</v>
      </c>
      <c r="G57" s="44">
        <v>20005208</v>
      </c>
      <c r="H57" s="43" t="s">
        <v>58</v>
      </c>
      <c r="I57" s="44">
        <v>1</v>
      </c>
      <c r="J57" s="45">
        <v>8</v>
      </c>
      <c r="K57" s="45">
        <v>8</v>
      </c>
    </row>
    <row r="58" spans="4:11">
      <c r="D58" s="42">
        <v>46164</v>
      </c>
      <c r="E58" s="43">
        <v>1605374</v>
      </c>
      <c r="F58" s="43" t="s">
        <v>13</v>
      </c>
      <c r="G58" s="44">
        <v>20397296</v>
      </c>
      <c r="H58" s="43" t="s">
        <v>89</v>
      </c>
      <c r="I58" s="44">
        <v>1</v>
      </c>
      <c r="J58" s="45">
        <v>8</v>
      </c>
      <c r="K58" s="45">
        <v>8</v>
      </c>
    </row>
    <row r="59" spans="4:11">
      <c r="D59" s="42">
        <v>46164</v>
      </c>
      <c r="E59" s="43">
        <v>1605374</v>
      </c>
      <c r="F59" s="43" t="s">
        <v>13</v>
      </c>
      <c r="G59" s="44">
        <v>20376624</v>
      </c>
      <c r="H59" s="43" t="s">
        <v>33</v>
      </c>
      <c r="I59" s="44">
        <v>1</v>
      </c>
      <c r="J59" s="45">
        <v>8</v>
      </c>
      <c r="K59" s="45">
        <v>8</v>
      </c>
    </row>
    <row r="60" spans="4:11">
      <c r="D60" s="42">
        <v>46164</v>
      </c>
      <c r="E60" s="43">
        <v>1605374</v>
      </c>
      <c r="F60" s="43" t="s">
        <v>13</v>
      </c>
      <c r="G60" s="44">
        <v>20398872</v>
      </c>
      <c r="H60" s="43" t="s">
        <v>81</v>
      </c>
      <c r="I60" s="44">
        <v>1</v>
      </c>
      <c r="J60" s="45">
        <v>8</v>
      </c>
      <c r="K60" s="45">
        <v>8</v>
      </c>
    </row>
    <row r="61" spans="4:11">
      <c r="D61" s="42">
        <v>46164</v>
      </c>
      <c r="E61" s="43">
        <v>1605374</v>
      </c>
      <c r="F61" s="43" t="s">
        <v>13</v>
      </c>
      <c r="G61" s="44">
        <v>20406253</v>
      </c>
      <c r="H61" s="43" t="s">
        <v>50</v>
      </c>
      <c r="I61" s="44">
        <v>1</v>
      </c>
      <c r="J61" s="45">
        <v>13.5</v>
      </c>
      <c r="K61" s="45">
        <v>13.5</v>
      </c>
    </row>
    <row r="62" spans="4:11">
      <c r="D62" s="42">
        <v>46164</v>
      </c>
      <c r="E62" s="43">
        <v>1605374</v>
      </c>
      <c r="F62" s="43" t="s">
        <v>13</v>
      </c>
      <c r="G62" s="44">
        <v>20313588</v>
      </c>
      <c r="H62" s="43" t="s">
        <v>30</v>
      </c>
      <c r="I62" s="44">
        <v>1</v>
      </c>
      <c r="J62" s="45">
        <v>8</v>
      </c>
      <c r="K62" s="45">
        <v>8</v>
      </c>
    </row>
    <row r="63" spans="4:11">
      <c r="D63" s="42">
        <v>46164</v>
      </c>
      <c r="E63" s="43">
        <v>1605374</v>
      </c>
      <c r="F63" s="43" t="s">
        <v>13</v>
      </c>
      <c r="G63" s="44">
        <v>20397285</v>
      </c>
      <c r="H63" s="43" t="s">
        <v>90</v>
      </c>
      <c r="I63" s="44">
        <v>1</v>
      </c>
      <c r="J63" s="45">
        <v>8</v>
      </c>
      <c r="K63" s="45">
        <v>8</v>
      </c>
    </row>
    <row r="64" spans="4:11">
      <c r="D64" s="42">
        <v>46164</v>
      </c>
      <c r="E64" s="43">
        <v>1605374</v>
      </c>
      <c r="F64" s="43" t="s">
        <v>13</v>
      </c>
      <c r="G64" s="44">
        <v>20377357</v>
      </c>
      <c r="H64" s="43" t="s">
        <v>37</v>
      </c>
      <c r="I64" s="44">
        <v>3</v>
      </c>
      <c r="J64" s="45">
        <v>8</v>
      </c>
      <c r="K64" s="45">
        <v>24</v>
      </c>
    </row>
    <row r="65" spans="4:11">
      <c r="D65" s="42">
        <v>46164</v>
      </c>
      <c r="E65" s="43">
        <v>1605506</v>
      </c>
      <c r="F65" s="43" t="s">
        <v>13</v>
      </c>
      <c r="G65" s="44">
        <v>20005208</v>
      </c>
      <c r="H65" s="43" t="s">
        <v>58</v>
      </c>
      <c r="I65" s="44">
        <v>1</v>
      </c>
      <c r="J65" s="45">
        <v>8</v>
      </c>
      <c r="K65" s="45">
        <v>8</v>
      </c>
    </row>
    <row r="66" spans="4:11">
      <c r="D66" s="42">
        <v>46164</v>
      </c>
      <c r="E66" s="43">
        <v>1605506</v>
      </c>
      <c r="F66" s="43" t="s">
        <v>13</v>
      </c>
      <c r="G66" s="44">
        <v>20406253</v>
      </c>
      <c r="H66" s="43" t="s">
        <v>50</v>
      </c>
      <c r="I66" s="44">
        <v>1</v>
      </c>
      <c r="J66" s="45">
        <v>13.5</v>
      </c>
      <c r="K66" s="45">
        <v>13.5</v>
      </c>
    </row>
    <row r="67" spans="4:11">
      <c r="D67" s="42">
        <v>46164</v>
      </c>
      <c r="E67" s="43">
        <v>1605506</v>
      </c>
      <c r="F67" s="43" t="s">
        <v>13</v>
      </c>
      <c r="G67" s="44">
        <v>20377357</v>
      </c>
      <c r="H67" s="43" t="s">
        <v>37</v>
      </c>
      <c r="I67" s="44">
        <v>2</v>
      </c>
      <c r="J67" s="45">
        <v>8</v>
      </c>
      <c r="K67" s="45">
        <v>16</v>
      </c>
    </row>
    <row r="68" spans="4:11">
      <c r="D68" s="42">
        <v>46165</v>
      </c>
      <c r="E68" s="43">
        <v>1605737</v>
      </c>
      <c r="F68" s="43" t="s">
        <v>13</v>
      </c>
      <c r="G68" s="44">
        <v>20406253</v>
      </c>
      <c r="H68" s="43" t="s">
        <v>50</v>
      </c>
      <c r="I68" s="44">
        <v>1</v>
      </c>
      <c r="J68" s="45">
        <v>13.5</v>
      </c>
      <c r="K68" s="45">
        <v>13.5</v>
      </c>
    </row>
    <row r="69" spans="4:11">
      <c r="D69" s="42">
        <v>46165</v>
      </c>
      <c r="E69" s="43">
        <v>1605737</v>
      </c>
      <c r="F69" s="43" t="s">
        <v>13</v>
      </c>
      <c r="G69" s="44">
        <v>20313588</v>
      </c>
      <c r="H69" s="43" t="s">
        <v>30</v>
      </c>
      <c r="I69" s="44">
        <v>3</v>
      </c>
      <c r="J69" s="45">
        <v>8</v>
      </c>
      <c r="K69" s="45">
        <v>24</v>
      </c>
    </row>
    <row r="70" spans="4:11">
      <c r="D70" s="42">
        <v>46165</v>
      </c>
      <c r="E70" s="43">
        <v>1605737</v>
      </c>
      <c r="F70" s="43" t="s">
        <v>13</v>
      </c>
      <c r="G70" s="44">
        <v>20377357</v>
      </c>
      <c r="H70" s="43" t="s">
        <v>37</v>
      </c>
      <c r="I70" s="44">
        <v>5</v>
      </c>
      <c r="J70" s="45">
        <v>8</v>
      </c>
      <c r="K70" s="45">
        <v>40</v>
      </c>
    </row>
    <row r="71" spans="4:11">
      <c r="D71" s="42">
        <v>46168</v>
      </c>
      <c r="E71" s="43">
        <v>1606384</v>
      </c>
      <c r="F71" s="43" t="s">
        <v>13</v>
      </c>
      <c r="G71" s="44">
        <v>20005208</v>
      </c>
      <c r="H71" s="43" t="s">
        <v>58</v>
      </c>
      <c r="I71" s="44">
        <v>3</v>
      </c>
      <c r="J71" s="45">
        <v>8</v>
      </c>
      <c r="K71" s="45">
        <v>24</v>
      </c>
    </row>
    <row r="72" spans="4:11">
      <c r="D72" s="42">
        <v>46168</v>
      </c>
      <c r="E72" s="43">
        <v>1606384</v>
      </c>
      <c r="F72" s="43" t="s">
        <v>13</v>
      </c>
      <c r="G72" s="44">
        <v>20406253</v>
      </c>
      <c r="H72" s="43" t="s">
        <v>50</v>
      </c>
      <c r="I72" s="44">
        <v>1</v>
      </c>
      <c r="J72" s="45">
        <v>13.5</v>
      </c>
      <c r="K72" s="45">
        <v>13.5</v>
      </c>
    </row>
    <row r="73" spans="4:11">
      <c r="D73" s="42">
        <v>46168</v>
      </c>
      <c r="E73" s="43">
        <v>1606384</v>
      </c>
      <c r="F73" s="43" t="s">
        <v>13</v>
      </c>
      <c r="G73" s="44">
        <v>20313588</v>
      </c>
      <c r="H73" s="43" t="s">
        <v>30</v>
      </c>
      <c r="I73" s="44">
        <v>3</v>
      </c>
      <c r="J73" s="45">
        <v>8</v>
      </c>
      <c r="K73" s="45">
        <v>24</v>
      </c>
    </row>
    <row r="74" spans="4:11">
      <c r="D74" s="42">
        <v>46168</v>
      </c>
      <c r="E74" s="43">
        <v>1606384</v>
      </c>
      <c r="F74" s="43" t="s">
        <v>13</v>
      </c>
      <c r="G74" s="44">
        <v>20324084</v>
      </c>
      <c r="H74" s="43" t="s">
        <v>24</v>
      </c>
      <c r="I74" s="44">
        <v>1</v>
      </c>
      <c r="J74" s="45">
        <v>8</v>
      </c>
      <c r="K74" s="45">
        <v>8</v>
      </c>
    </row>
    <row r="75" spans="4:11">
      <c r="D75" s="42">
        <v>46168</v>
      </c>
      <c r="E75" s="43">
        <v>1606384</v>
      </c>
      <c r="F75" s="43" t="s">
        <v>13</v>
      </c>
      <c r="G75" s="44">
        <v>20376621</v>
      </c>
      <c r="H75" s="43" t="s">
        <v>65</v>
      </c>
      <c r="I75" s="44">
        <v>1</v>
      </c>
      <c r="J75" s="45">
        <v>8</v>
      </c>
      <c r="K75" s="45">
        <v>8</v>
      </c>
    </row>
    <row r="76" spans="4:11">
      <c r="D76" s="42">
        <v>46168</v>
      </c>
      <c r="E76" s="43">
        <v>1606384</v>
      </c>
      <c r="F76" s="43" t="s">
        <v>13</v>
      </c>
      <c r="G76" s="44">
        <v>20377357</v>
      </c>
      <c r="H76" s="43" t="s">
        <v>37</v>
      </c>
      <c r="I76" s="44">
        <v>4</v>
      </c>
      <c r="J76" s="45">
        <v>8</v>
      </c>
      <c r="K76" s="45">
        <v>32</v>
      </c>
    </row>
    <row r="77" spans="4:11">
      <c r="D77" s="42">
        <v>46168</v>
      </c>
      <c r="E77" s="43">
        <v>1606384</v>
      </c>
      <c r="F77" s="43" t="s">
        <v>13</v>
      </c>
      <c r="G77" s="44">
        <v>20005930</v>
      </c>
      <c r="H77" s="43" t="s">
        <v>25</v>
      </c>
      <c r="I77" s="44">
        <v>1</v>
      </c>
      <c r="J77" s="45">
        <v>8</v>
      </c>
      <c r="K77" s="45">
        <v>8</v>
      </c>
    </row>
    <row r="78" spans="4:11">
      <c r="D78" s="42">
        <v>46169</v>
      </c>
      <c r="E78" s="43">
        <v>1606705</v>
      </c>
      <c r="F78" s="43" t="s">
        <v>13</v>
      </c>
      <c r="G78" s="44">
        <v>20005208</v>
      </c>
      <c r="H78" s="43" t="s">
        <v>58</v>
      </c>
      <c r="I78" s="44">
        <v>1</v>
      </c>
      <c r="J78" s="45">
        <v>8</v>
      </c>
      <c r="K78" s="45">
        <v>8</v>
      </c>
    </row>
    <row r="79" spans="4:11">
      <c r="D79" s="42">
        <v>46169</v>
      </c>
      <c r="E79" s="43">
        <v>1606705</v>
      </c>
      <c r="F79" s="43" t="s">
        <v>13</v>
      </c>
      <c r="G79" s="44">
        <v>20406253</v>
      </c>
      <c r="H79" s="43" t="s">
        <v>50</v>
      </c>
      <c r="I79" s="44">
        <v>1</v>
      </c>
      <c r="J79" s="45">
        <v>13.5</v>
      </c>
      <c r="K79" s="45">
        <v>13.5</v>
      </c>
    </row>
    <row r="80" spans="4:11">
      <c r="D80" s="42">
        <v>46169</v>
      </c>
      <c r="E80" s="43">
        <v>1606705</v>
      </c>
      <c r="F80" s="43" t="s">
        <v>13</v>
      </c>
      <c r="G80" s="44">
        <v>20313588</v>
      </c>
      <c r="H80" s="43" t="s">
        <v>30</v>
      </c>
      <c r="I80" s="44">
        <v>4</v>
      </c>
      <c r="J80" s="45">
        <v>8</v>
      </c>
      <c r="K80" s="45">
        <v>32</v>
      </c>
    </row>
    <row r="81" spans="4:11">
      <c r="D81" s="42">
        <v>46169</v>
      </c>
      <c r="E81" s="43">
        <v>1606705</v>
      </c>
      <c r="F81" s="43" t="s">
        <v>13</v>
      </c>
      <c r="G81" s="44">
        <v>20377357</v>
      </c>
      <c r="H81" s="43" t="s">
        <v>37</v>
      </c>
      <c r="I81" s="44">
        <v>3</v>
      </c>
      <c r="J81" s="45">
        <v>8</v>
      </c>
      <c r="K81" s="45">
        <v>24</v>
      </c>
    </row>
    <row r="82" spans="4:11">
      <c r="D82" s="42">
        <v>46169</v>
      </c>
      <c r="E82" s="43">
        <v>1606794</v>
      </c>
      <c r="F82" s="43" t="s">
        <v>13</v>
      </c>
      <c r="G82" s="44">
        <v>20005208</v>
      </c>
      <c r="H82" s="43" t="s">
        <v>58</v>
      </c>
      <c r="I82" s="44">
        <v>1</v>
      </c>
      <c r="J82" s="45">
        <v>8</v>
      </c>
      <c r="K82" s="45">
        <v>8</v>
      </c>
    </row>
    <row r="83" spans="4:11">
      <c r="D83" s="42">
        <v>46169</v>
      </c>
      <c r="E83" s="43">
        <v>1606794</v>
      </c>
      <c r="F83" s="43" t="s">
        <v>13</v>
      </c>
      <c r="G83" s="44">
        <v>20397296</v>
      </c>
      <c r="H83" s="43" t="s">
        <v>89</v>
      </c>
      <c r="I83" s="44">
        <v>1</v>
      </c>
      <c r="J83" s="45">
        <v>8</v>
      </c>
      <c r="K83" s="45">
        <v>8</v>
      </c>
    </row>
    <row r="84" spans="4:11">
      <c r="D84" s="42">
        <v>46169</v>
      </c>
      <c r="E84" s="43">
        <v>1606794</v>
      </c>
      <c r="F84" s="43" t="s">
        <v>13</v>
      </c>
      <c r="G84" s="44">
        <v>20376624</v>
      </c>
      <c r="H84" s="43" t="s">
        <v>33</v>
      </c>
      <c r="I84" s="44">
        <v>1</v>
      </c>
      <c r="J84" s="45">
        <v>8</v>
      </c>
      <c r="K84" s="45">
        <v>8</v>
      </c>
    </row>
    <row r="85" spans="4:11">
      <c r="D85" s="42">
        <v>46169</v>
      </c>
      <c r="E85" s="43">
        <v>1606794</v>
      </c>
      <c r="F85" s="43" t="s">
        <v>13</v>
      </c>
      <c r="G85" s="44">
        <v>20406253</v>
      </c>
      <c r="H85" s="43" t="s">
        <v>50</v>
      </c>
      <c r="I85" s="44">
        <v>1</v>
      </c>
      <c r="J85" s="45">
        <v>13.5</v>
      </c>
      <c r="K85" s="45">
        <v>13.5</v>
      </c>
    </row>
    <row r="86" spans="4:11">
      <c r="D86" s="42">
        <v>46169</v>
      </c>
      <c r="E86" s="43">
        <v>1606794</v>
      </c>
      <c r="F86" s="43" t="s">
        <v>13</v>
      </c>
      <c r="G86" s="44">
        <v>20313588</v>
      </c>
      <c r="H86" s="43" t="s">
        <v>30</v>
      </c>
      <c r="I86" s="44">
        <v>4</v>
      </c>
      <c r="J86" s="45">
        <v>8</v>
      </c>
      <c r="K86" s="45">
        <v>32</v>
      </c>
    </row>
    <row r="87" spans="4:11">
      <c r="D87" s="42">
        <v>46169</v>
      </c>
      <c r="E87" s="43">
        <v>1606794</v>
      </c>
      <c r="F87" s="43" t="s">
        <v>13</v>
      </c>
      <c r="G87" s="44">
        <v>20396160</v>
      </c>
      <c r="H87" s="43" t="s">
        <v>63</v>
      </c>
      <c r="I87" s="44">
        <v>1</v>
      </c>
      <c r="J87" s="45">
        <v>13.5</v>
      </c>
      <c r="K87" s="45">
        <v>13.5</v>
      </c>
    </row>
    <row r="88" spans="4:11">
      <c r="D88" s="42">
        <v>46169</v>
      </c>
      <c r="E88" s="43">
        <v>1606794</v>
      </c>
      <c r="F88" s="43" t="s">
        <v>13</v>
      </c>
      <c r="G88" s="44">
        <v>20397285</v>
      </c>
      <c r="H88" s="43" t="s">
        <v>90</v>
      </c>
      <c r="I88" s="44">
        <v>1</v>
      </c>
      <c r="J88" s="45">
        <v>8</v>
      </c>
      <c r="K88" s="45">
        <v>8</v>
      </c>
    </row>
    <row r="89" spans="4:11">
      <c r="D89" s="42">
        <v>46169</v>
      </c>
      <c r="E89" s="43">
        <v>1606794</v>
      </c>
      <c r="F89" s="43" t="s">
        <v>13</v>
      </c>
      <c r="G89" s="44">
        <v>20377357</v>
      </c>
      <c r="H89" s="43" t="s">
        <v>37</v>
      </c>
      <c r="I89" s="44">
        <v>2</v>
      </c>
      <c r="J89" s="45">
        <v>8</v>
      </c>
      <c r="K89" s="45">
        <v>16</v>
      </c>
    </row>
    <row r="90" spans="4:11">
      <c r="D90" s="42">
        <v>46170</v>
      </c>
      <c r="E90" s="43">
        <v>1607016</v>
      </c>
      <c r="F90" s="43" t="s">
        <v>13</v>
      </c>
      <c r="G90" s="44">
        <v>20005208</v>
      </c>
      <c r="H90" s="43" t="s">
        <v>58</v>
      </c>
      <c r="I90" s="44">
        <v>1</v>
      </c>
      <c r="J90" s="45">
        <v>8</v>
      </c>
      <c r="K90" s="45">
        <v>8</v>
      </c>
    </row>
    <row r="91" spans="4:11">
      <c r="D91" s="42">
        <v>46170</v>
      </c>
      <c r="E91" s="43">
        <v>1607016</v>
      </c>
      <c r="F91" s="43" t="s">
        <v>13</v>
      </c>
      <c r="G91" s="44">
        <v>20376624</v>
      </c>
      <c r="H91" s="43" t="s">
        <v>33</v>
      </c>
      <c r="I91" s="44">
        <v>3</v>
      </c>
      <c r="J91" s="45">
        <v>8</v>
      </c>
      <c r="K91" s="45">
        <v>24</v>
      </c>
    </row>
    <row r="92" spans="4:11">
      <c r="D92" s="42">
        <v>46170</v>
      </c>
      <c r="E92" s="43">
        <v>1607016</v>
      </c>
      <c r="F92" s="43" t="s">
        <v>13</v>
      </c>
      <c r="G92" s="44">
        <v>20406253</v>
      </c>
      <c r="H92" s="43" t="s">
        <v>50</v>
      </c>
      <c r="I92" s="44">
        <v>3</v>
      </c>
      <c r="J92" s="45">
        <v>13.5</v>
      </c>
      <c r="K92" s="45">
        <v>40.5</v>
      </c>
    </row>
    <row r="93" spans="4:11">
      <c r="D93" s="42">
        <v>46170</v>
      </c>
      <c r="E93" s="43">
        <v>1607016</v>
      </c>
      <c r="F93" s="43" t="s">
        <v>13</v>
      </c>
      <c r="G93" s="44">
        <v>20313588</v>
      </c>
      <c r="H93" s="43" t="s">
        <v>30</v>
      </c>
      <c r="I93" s="44">
        <v>10</v>
      </c>
      <c r="J93" s="45">
        <v>8</v>
      </c>
      <c r="K93" s="45">
        <v>80</v>
      </c>
    </row>
    <row r="94" spans="4:11">
      <c r="D94" s="42">
        <v>46170</v>
      </c>
      <c r="E94" s="43">
        <v>1607016</v>
      </c>
      <c r="F94" s="43" t="s">
        <v>13</v>
      </c>
      <c r="G94" s="44">
        <v>20376863</v>
      </c>
      <c r="H94" s="43" t="s">
        <v>73</v>
      </c>
      <c r="I94" s="44">
        <v>1</v>
      </c>
      <c r="J94" s="45">
        <v>13.5</v>
      </c>
      <c r="K94" s="45">
        <v>13.5</v>
      </c>
    </row>
    <row r="95" spans="4:11">
      <c r="D95" s="42">
        <v>46170</v>
      </c>
      <c r="E95" s="43">
        <v>1607016</v>
      </c>
      <c r="F95" s="43" t="s">
        <v>13</v>
      </c>
      <c r="G95" s="44">
        <v>20377357</v>
      </c>
      <c r="H95" s="43" t="s">
        <v>37</v>
      </c>
      <c r="I95" s="44">
        <v>4</v>
      </c>
      <c r="J95" s="45">
        <v>8</v>
      </c>
      <c r="K95" s="45">
        <v>32</v>
      </c>
    </row>
    <row r="96" spans="4:11">
      <c r="D96" s="42">
        <v>46170</v>
      </c>
      <c r="E96" s="43">
        <v>1607139</v>
      </c>
      <c r="F96" s="43" t="s">
        <v>13</v>
      </c>
      <c r="G96" s="44">
        <v>20005208</v>
      </c>
      <c r="H96" s="43" t="s">
        <v>58</v>
      </c>
      <c r="I96" s="44">
        <v>1</v>
      </c>
      <c r="J96" s="45">
        <v>8</v>
      </c>
      <c r="K96" s="45">
        <v>8</v>
      </c>
    </row>
    <row r="97" spans="4:11">
      <c r="D97" s="42">
        <v>46170</v>
      </c>
      <c r="E97" s="43">
        <v>1607139</v>
      </c>
      <c r="F97" s="43" t="s">
        <v>13</v>
      </c>
      <c r="G97" s="44">
        <v>20377357</v>
      </c>
      <c r="H97" s="43" t="s">
        <v>37</v>
      </c>
      <c r="I97" s="44">
        <v>4</v>
      </c>
      <c r="J97" s="45">
        <v>8</v>
      </c>
      <c r="K97" s="45">
        <v>32</v>
      </c>
    </row>
    <row r="98" spans="4:11">
      <c r="D98" s="42">
        <v>46171</v>
      </c>
      <c r="E98" s="43">
        <v>1607420</v>
      </c>
      <c r="F98" s="43" t="s">
        <v>13</v>
      </c>
      <c r="G98" s="44">
        <v>20376624</v>
      </c>
      <c r="H98" s="43" t="s">
        <v>33</v>
      </c>
      <c r="I98" s="44">
        <v>2</v>
      </c>
      <c r="J98" s="45">
        <v>8</v>
      </c>
      <c r="K98" s="45">
        <v>16</v>
      </c>
    </row>
    <row r="99" spans="4:11">
      <c r="D99" s="42">
        <v>46171</v>
      </c>
      <c r="E99" s="43">
        <v>1607420</v>
      </c>
      <c r="F99" s="43" t="s">
        <v>13</v>
      </c>
      <c r="G99" s="44">
        <v>20406253</v>
      </c>
      <c r="H99" s="43" t="s">
        <v>50</v>
      </c>
      <c r="I99" s="44">
        <v>2</v>
      </c>
      <c r="J99" s="45">
        <v>13.5</v>
      </c>
      <c r="K99" s="45">
        <v>27</v>
      </c>
    </row>
    <row r="100" spans="4:11">
      <c r="D100" s="42">
        <v>46171</v>
      </c>
      <c r="E100" s="43">
        <v>1607420</v>
      </c>
      <c r="F100" s="43" t="s">
        <v>13</v>
      </c>
      <c r="G100" s="44">
        <v>20313588</v>
      </c>
      <c r="H100" s="43" t="s">
        <v>30</v>
      </c>
      <c r="I100" s="44">
        <v>10</v>
      </c>
      <c r="J100" s="45">
        <v>8</v>
      </c>
      <c r="K100" s="45">
        <v>80</v>
      </c>
    </row>
    <row r="101" spans="4:11">
      <c r="D101" s="42">
        <v>46171</v>
      </c>
      <c r="E101" s="43">
        <v>1607420</v>
      </c>
      <c r="F101" s="43" t="s">
        <v>13</v>
      </c>
      <c r="G101" s="44">
        <v>20376863</v>
      </c>
      <c r="H101" s="43" t="s">
        <v>73</v>
      </c>
      <c r="I101" s="44">
        <v>1</v>
      </c>
      <c r="J101" s="45">
        <v>13.5</v>
      </c>
      <c r="K101" s="45">
        <v>13.5</v>
      </c>
    </row>
    <row r="102" spans="4:11">
      <c r="D102" s="42">
        <v>46171</v>
      </c>
      <c r="E102" s="43">
        <v>1607420</v>
      </c>
      <c r="F102" s="43" t="s">
        <v>13</v>
      </c>
      <c r="G102" s="44">
        <v>20396160</v>
      </c>
      <c r="H102" s="43" t="s">
        <v>63</v>
      </c>
      <c r="I102" s="44">
        <v>1</v>
      </c>
      <c r="J102" s="45">
        <v>13.5</v>
      </c>
      <c r="K102" s="45">
        <v>13.5</v>
      </c>
    </row>
    <row r="103" spans="4:11">
      <c r="D103" s="42">
        <v>46171</v>
      </c>
      <c r="E103" s="43">
        <v>1607420</v>
      </c>
      <c r="F103" s="43" t="s">
        <v>13</v>
      </c>
      <c r="G103" s="44">
        <v>20377357</v>
      </c>
      <c r="H103" s="43" t="s">
        <v>37</v>
      </c>
      <c r="I103" s="44">
        <v>2</v>
      </c>
      <c r="J103" s="45">
        <v>8</v>
      </c>
      <c r="K103" s="45">
        <v>16</v>
      </c>
    </row>
    <row r="104" spans="4:11">
      <c r="D104" s="42">
        <v>46171</v>
      </c>
      <c r="E104" s="43">
        <v>1607539</v>
      </c>
      <c r="F104" s="43" t="s">
        <v>13</v>
      </c>
      <c r="G104" s="44">
        <v>20376624</v>
      </c>
      <c r="H104" s="43" t="s">
        <v>33</v>
      </c>
      <c r="I104" s="44">
        <v>2</v>
      </c>
      <c r="J104" s="45">
        <v>8</v>
      </c>
      <c r="K104" s="45">
        <v>16</v>
      </c>
    </row>
    <row r="105" spans="4:11">
      <c r="D105" s="42">
        <v>46171</v>
      </c>
      <c r="E105" s="43">
        <v>1607539</v>
      </c>
      <c r="F105" s="43" t="s">
        <v>13</v>
      </c>
      <c r="G105" s="44">
        <v>20406253</v>
      </c>
      <c r="H105" s="43" t="s">
        <v>50</v>
      </c>
      <c r="I105" s="44">
        <v>2</v>
      </c>
      <c r="J105" s="45">
        <v>13.5</v>
      </c>
      <c r="K105" s="45">
        <v>27</v>
      </c>
    </row>
    <row r="106" spans="4:11">
      <c r="D106" s="42">
        <v>46171</v>
      </c>
      <c r="E106" s="43">
        <v>1607539</v>
      </c>
      <c r="F106" s="43" t="s">
        <v>13</v>
      </c>
      <c r="G106" s="44">
        <v>20313588</v>
      </c>
      <c r="H106" s="43" t="s">
        <v>30</v>
      </c>
      <c r="I106" s="44">
        <v>5</v>
      </c>
      <c r="J106" s="45">
        <v>8</v>
      </c>
      <c r="K106" s="45">
        <v>40</v>
      </c>
    </row>
    <row r="107" spans="4:11">
      <c r="D107" s="42">
        <v>46171</v>
      </c>
      <c r="E107" s="43">
        <v>1607539</v>
      </c>
      <c r="F107" s="43" t="s">
        <v>13</v>
      </c>
      <c r="G107" s="44">
        <v>20401202</v>
      </c>
      <c r="H107" s="43" t="s">
        <v>85</v>
      </c>
      <c r="I107" s="44">
        <v>1</v>
      </c>
      <c r="J107" s="45">
        <v>13.5</v>
      </c>
      <c r="K107" s="45">
        <v>13.5</v>
      </c>
    </row>
    <row r="108" spans="4:11">
      <c r="D108" s="42">
        <v>46171</v>
      </c>
      <c r="E108" s="43">
        <v>1607539</v>
      </c>
      <c r="F108" s="43" t="s">
        <v>13</v>
      </c>
      <c r="G108" s="44">
        <v>20377357</v>
      </c>
      <c r="H108" s="43" t="s">
        <v>37</v>
      </c>
      <c r="I108" s="44">
        <v>4</v>
      </c>
      <c r="J108" s="45">
        <v>8</v>
      </c>
      <c r="K108" s="45">
        <v>32</v>
      </c>
    </row>
    <row r="109" spans="4:11">
      <c r="D109" s="42">
        <v>46172</v>
      </c>
      <c r="E109" s="43">
        <v>1607777</v>
      </c>
      <c r="F109" s="43" t="s">
        <v>13</v>
      </c>
      <c r="G109" s="44">
        <v>20376624</v>
      </c>
      <c r="H109" s="43" t="s">
        <v>33</v>
      </c>
      <c r="I109" s="44">
        <v>1</v>
      </c>
      <c r="J109" s="45">
        <v>8</v>
      </c>
      <c r="K109" s="45">
        <v>8</v>
      </c>
    </row>
    <row r="110" spans="4:11">
      <c r="D110" s="42">
        <v>46172</v>
      </c>
      <c r="E110" s="43">
        <v>1607777</v>
      </c>
      <c r="F110" s="43" t="s">
        <v>13</v>
      </c>
      <c r="G110" s="44">
        <v>20406253</v>
      </c>
      <c r="H110" s="43" t="s">
        <v>50</v>
      </c>
      <c r="I110" s="44">
        <v>1</v>
      </c>
      <c r="J110" s="45">
        <v>13.5</v>
      </c>
      <c r="K110" s="45">
        <v>13.5</v>
      </c>
    </row>
    <row r="111" spans="4:11">
      <c r="D111" s="42">
        <v>46172</v>
      </c>
      <c r="E111" s="43">
        <v>1607777</v>
      </c>
      <c r="F111" s="43" t="s">
        <v>13</v>
      </c>
      <c r="G111" s="44">
        <v>20313588</v>
      </c>
      <c r="H111" s="43" t="s">
        <v>30</v>
      </c>
      <c r="I111" s="44">
        <v>7</v>
      </c>
      <c r="J111" s="45">
        <v>8</v>
      </c>
      <c r="K111" s="45">
        <v>56</v>
      </c>
    </row>
    <row r="112" spans="4:11">
      <c r="D112" s="42">
        <v>46172</v>
      </c>
      <c r="E112" s="43">
        <v>1607777</v>
      </c>
      <c r="F112" s="43" t="s">
        <v>13</v>
      </c>
      <c r="G112" s="44">
        <v>20396160</v>
      </c>
      <c r="H112" s="43" t="s">
        <v>63</v>
      </c>
      <c r="I112" s="44">
        <v>1</v>
      </c>
      <c r="J112" s="45">
        <v>13.5</v>
      </c>
      <c r="K112" s="45">
        <v>13.5</v>
      </c>
    </row>
    <row r="113" spans="4:11">
      <c r="D113" s="42">
        <v>46172</v>
      </c>
      <c r="E113" s="43">
        <v>1607777</v>
      </c>
      <c r="F113" s="43" t="s">
        <v>13</v>
      </c>
      <c r="G113" s="44">
        <v>20377357</v>
      </c>
      <c r="H113" s="43" t="s">
        <v>37</v>
      </c>
      <c r="I113" s="44">
        <v>5</v>
      </c>
      <c r="J113" s="45">
        <v>8</v>
      </c>
      <c r="K113" s="45">
        <v>40</v>
      </c>
    </row>
    <row r="114" spans="4:11">
      <c r="D114" s="42">
        <v>46175</v>
      </c>
      <c r="E114" s="43">
        <v>1608458</v>
      </c>
      <c r="F114" s="43" t="s">
        <v>13</v>
      </c>
      <c r="G114" s="44">
        <v>20005208</v>
      </c>
      <c r="H114" s="43" t="s">
        <v>58</v>
      </c>
      <c r="I114" s="44">
        <v>2</v>
      </c>
      <c r="J114" s="45">
        <v>8</v>
      </c>
      <c r="K114" s="45">
        <v>16</v>
      </c>
    </row>
    <row r="115" spans="4:11">
      <c r="D115" s="42">
        <v>46175</v>
      </c>
      <c r="E115" s="43">
        <v>1608458</v>
      </c>
      <c r="F115" s="43" t="s">
        <v>13</v>
      </c>
      <c r="G115" s="44">
        <v>20376624</v>
      </c>
      <c r="H115" s="43" t="s">
        <v>33</v>
      </c>
      <c r="I115" s="44">
        <v>1</v>
      </c>
      <c r="J115" s="45">
        <v>8</v>
      </c>
      <c r="K115" s="45">
        <v>8</v>
      </c>
    </row>
    <row r="116" spans="4:11">
      <c r="D116" s="42">
        <v>46175</v>
      </c>
      <c r="E116" s="43">
        <v>1608458</v>
      </c>
      <c r="F116" s="43" t="s">
        <v>13</v>
      </c>
      <c r="G116" s="44">
        <v>20406253</v>
      </c>
      <c r="H116" s="43" t="s">
        <v>50</v>
      </c>
      <c r="I116" s="44">
        <v>2</v>
      </c>
      <c r="J116" s="45">
        <v>13.5</v>
      </c>
      <c r="K116" s="45">
        <v>27</v>
      </c>
    </row>
    <row r="117" spans="4:11">
      <c r="D117" s="42">
        <v>46175</v>
      </c>
      <c r="E117" s="43">
        <v>1608458</v>
      </c>
      <c r="F117" s="43" t="s">
        <v>13</v>
      </c>
      <c r="G117" s="44">
        <v>20313588</v>
      </c>
      <c r="H117" s="43" t="s">
        <v>30</v>
      </c>
      <c r="I117" s="44">
        <v>2</v>
      </c>
      <c r="J117" s="45">
        <v>8</v>
      </c>
      <c r="K117" s="45">
        <v>16</v>
      </c>
    </row>
    <row r="118" spans="4:11">
      <c r="D118" s="42">
        <v>46175</v>
      </c>
      <c r="E118" s="43">
        <v>1608458</v>
      </c>
      <c r="F118" s="43" t="s">
        <v>13</v>
      </c>
      <c r="G118" s="44">
        <v>20377357</v>
      </c>
      <c r="H118" s="43" t="s">
        <v>37</v>
      </c>
      <c r="I118" s="44">
        <v>2</v>
      </c>
      <c r="J118" s="45">
        <v>8</v>
      </c>
      <c r="K118" s="45">
        <v>16</v>
      </c>
    </row>
    <row r="119" spans="4:11">
      <c r="D119" s="42">
        <v>46175</v>
      </c>
      <c r="E119" s="43">
        <v>1608458</v>
      </c>
      <c r="F119" s="43" t="s">
        <v>13</v>
      </c>
      <c r="G119" s="44">
        <v>20397297</v>
      </c>
      <c r="H119" s="43" t="s">
        <v>91</v>
      </c>
      <c r="I119" s="44">
        <v>2</v>
      </c>
      <c r="J119" s="45">
        <v>8</v>
      </c>
      <c r="K119" s="45">
        <v>16</v>
      </c>
    </row>
    <row r="120" spans="4:11">
      <c r="D120" s="42">
        <v>46176</v>
      </c>
      <c r="E120" s="43">
        <v>1608690</v>
      </c>
      <c r="F120" s="43" t="s">
        <v>13</v>
      </c>
      <c r="G120" s="44">
        <v>20376624</v>
      </c>
      <c r="H120" s="43" t="s">
        <v>33</v>
      </c>
      <c r="I120" s="44">
        <v>1</v>
      </c>
      <c r="J120" s="45">
        <v>8</v>
      </c>
      <c r="K120" s="45">
        <v>8</v>
      </c>
    </row>
    <row r="121" spans="4:11">
      <c r="D121" s="42">
        <v>46176</v>
      </c>
      <c r="E121" s="43">
        <v>1608690</v>
      </c>
      <c r="F121" s="43" t="s">
        <v>13</v>
      </c>
      <c r="G121" s="44">
        <v>20406253</v>
      </c>
      <c r="H121" s="43" t="s">
        <v>50</v>
      </c>
      <c r="I121" s="44">
        <v>1</v>
      </c>
      <c r="J121" s="45">
        <v>13.5</v>
      </c>
      <c r="K121" s="45">
        <v>13.5</v>
      </c>
    </row>
    <row r="122" spans="4:11">
      <c r="D122" s="42">
        <v>46176</v>
      </c>
      <c r="E122" s="43">
        <v>1608690</v>
      </c>
      <c r="F122" s="43" t="s">
        <v>13</v>
      </c>
      <c r="G122" s="44">
        <v>20313588</v>
      </c>
      <c r="H122" s="43" t="s">
        <v>30</v>
      </c>
      <c r="I122" s="44">
        <v>4</v>
      </c>
      <c r="J122" s="45">
        <v>8</v>
      </c>
      <c r="K122" s="45">
        <v>32</v>
      </c>
    </row>
    <row r="123" spans="4:11">
      <c r="D123" s="42">
        <v>46176</v>
      </c>
      <c r="E123" s="43">
        <v>1608690</v>
      </c>
      <c r="F123" s="43" t="s">
        <v>13</v>
      </c>
      <c r="G123" s="44">
        <v>20329433</v>
      </c>
      <c r="H123" s="43" t="s">
        <v>92</v>
      </c>
      <c r="I123" s="44">
        <v>2</v>
      </c>
      <c r="J123" s="45">
        <v>8</v>
      </c>
      <c r="K123" s="45">
        <v>16</v>
      </c>
    </row>
    <row r="124" spans="4:11">
      <c r="D124" s="42">
        <v>46176</v>
      </c>
      <c r="E124" s="43">
        <v>1608690</v>
      </c>
      <c r="F124" s="43" t="s">
        <v>13</v>
      </c>
      <c r="G124" s="44">
        <v>20401202</v>
      </c>
      <c r="H124" s="43" t="s">
        <v>85</v>
      </c>
      <c r="I124" s="44">
        <v>1</v>
      </c>
      <c r="J124" s="45">
        <v>13.5</v>
      </c>
      <c r="K124" s="45">
        <v>13.5</v>
      </c>
    </row>
    <row r="125" spans="4:11">
      <c r="D125" s="42">
        <v>46176</v>
      </c>
      <c r="E125" s="43">
        <v>1608690</v>
      </c>
      <c r="F125" s="43" t="s">
        <v>13</v>
      </c>
      <c r="G125" s="44">
        <v>20377357</v>
      </c>
      <c r="H125" s="43" t="s">
        <v>37</v>
      </c>
      <c r="I125" s="44">
        <v>4</v>
      </c>
      <c r="J125" s="45">
        <v>8</v>
      </c>
      <c r="K125" s="45">
        <v>32</v>
      </c>
    </row>
    <row r="126" spans="4:11">
      <c r="D126" s="42">
        <v>46176</v>
      </c>
      <c r="E126" s="43">
        <v>1608690</v>
      </c>
      <c r="F126" s="43" t="s">
        <v>16</v>
      </c>
      <c r="G126" s="44">
        <v>20005838</v>
      </c>
      <c r="H126" s="43" t="s">
        <v>93</v>
      </c>
      <c r="I126" s="44">
        <v>1</v>
      </c>
      <c r="J126" s="45">
        <v>16.5</v>
      </c>
      <c r="K126" s="45">
        <v>16.5</v>
      </c>
    </row>
    <row r="127" spans="4:11">
      <c r="D127" s="42">
        <v>46176</v>
      </c>
      <c r="E127" s="43">
        <v>1608822</v>
      </c>
      <c r="F127" s="43" t="s">
        <v>13</v>
      </c>
      <c r="G127" s="44">
        <v>20005208</v>
      </c>
      <c r="H127" s="43" t="s">
        <v>58</v>
      </c>
      <c r="I127" s="44">
        <v>3</v>
      </c>
      <c r="J127" s="45">
        <v>8</v>
      </c>
      <c r="K127" s="45">
        <v>24</v>
      </c>
    </row>
    <row r="128" spans="4:11">
      <c r="D128" s="42">
        <v>46176</v>
      </c>
      <c r="E128" s="43">
        <v>1608822</v>
      </c>
      <c r="F128" s="43" t="s">
        <v>13</v>
      </c>
      <c r="G128" s="44">
        <v>20406253</v>
      </c>
      <c r="H128" s="43" t="s">
        <v>50</v>
      </c>
      <c r="I128" s="44">
        <v>1</v>
      </c>
      <c r="J128" s="45">
        <v>13.5</v>
      </c>
      <c r="K128" s="45">
        <v>13.5</v>
      </c>
    </row>
    <row r="129" spans="4:11">
      <c r="D129" s="42">
        <v>46176</v>
      </c>
      <c r="E129" s="43">
        <v>1608822</v>
      </c>
      <c r="F129" s="43" t="s">
        <v>13</v>
      </c>
      <c r="G129" s="44">
        <v>20377357</v>
      </c>
      <c r="H129" s="43" t="s">
        <v>37</v>
      </c>
      <c r="I129" s="44">
        <v>1</v>
      </c>
      <c r="J129" s="45">
        <v>8</v>
      </c>
      <c r="K129" s="45">
        <v>8</v>
      </c>
    </row>
    <row r="130" spans="4:11">
      <c r="D130" s="42">
        <v>46176</v>
      </c>
      <c r="E130" s="43">
        <v>1608822</v>
      </c>
      <c r="F130" s="43" t="s">
        <v>16</v>
      </c>
      <c r="G130" s="44">
        <v>20428180</v>
      </c>
      <c r="H130" s="43" t="s">
        <v>94</v>
      </c>
      <c r="I130" s="44">
        <v>1</v>
      </c>
      <c r="J130" s="45">
        <v>132</v>
      </c>
      <c r="K130" s="45">
        <v>132</v>
      </c>
    </row>
    <row r="131" spans="4:11">
      <c r="D131" s="42">
        <v>46177</v>
      </c>
      <c r="E131" s="43">
        <v>1609099</v>
      </c>
      <c r="F131" s="43" t="s">
        <v>13</v>
      </c>
      <c r="G131" s="44">
        <v>20376624</v>
      </c>
      <c r="H131" s="43" t="s">
        <v>33</v>
      </c>
      <c r="I131" s="44">
        <v>1</v>
      </c>
      <c r="J131" s="45">
        <v>8</v>
      </c>
      <c r="K131" s="45">
        <v>8</v>
      </c>
    </row>
    <row r="132" spans="4:11">
      <c r="D132" s="42">
        <v>46177</v>
      </c>
      <c r="E132" s="43">
        <v>1609099</v>
      </c>
      <c r="F132" s="43" t="s">
        <v>13</v>
      </c>
      <c r="G132" s="44">
        <v>20406253</v>
      </c>
      <c r="H132" s="43" t="s">
        <v>50</v>
      </c>
      <c r="I132" s="44">
        <v>1</v>
      </c>
      <c r="J132" s="45">
        <v>13.5</v>
      </c>
      <c r="K132" s="45">
        <v>13.5</v>
      </c>
    </row>
    <row r="133" spans="4:11">
      <c r="D133" s="42">
        <v>46177</v>
      </c>
      <c r="E133" s="43">
        <v>1609099</v>
      </c>
      <c r="F133" s="43" t="s">
        <v>13</v>
      </c>
      <c r="G133" s="44">
        <v>20313588</v>
      </c>
      <c r="H133" s="43" t="s">
        <v>30</v>
      </c>
      <c r="I133" s="44">
        <v>5</v>
      </c>
      <c r="J133" s="45">
        <v>8</v>
      </c>
      <c r="K133" s="45">
        <v>40</v>
      </c>
    </row>
    <row r="134" spans="4:11">
      <c r="D134" s="42">
        <v>46177</v>
      </c>
      <c r="E134" s="43">
        <v>1609099</v>
      </c>
      <c r="F134" s="43" t="s">
        <v>13</v>
      </c>
      <c r="G134" s="44">
        <v>20377357</v>
      </c>
      <c r="H134" s="43" t="s">
        <v>37</v>
      </c>
      <c r="I134" s="44">
        <v>4</v>
      </c>
      <c r="J134" s="45">
        <v>8</v>
      </c>
      <c r="K134" s="45">
        <v>32</v>
      </c>
    </row>
    <row r="135" spans="4:11">
      <c r="D135" s="42">
        <v>46177</v>
      </c>
      <c r="E135" s="43">
        <v>1609202</v>
      </c>
      <c r="F135" s="43" t="s">
        <v>13</v>
      </c>
      <c r="G135" s="44">
        <v>20397296</v>
      </c>
      <c r="H135" s="43" t="s">
        <v>89</v>
      </c>
      <c r="I135" s="44">
        <v>2</v>
      </c>
      <c r="J135" s="45">
        <v>8</v>
      </c>
      <c r="K135" s="45">
        <v>16</v>
      </c>
    </row>
    <row r="136" spans="4:11">
      <c r="D136" s="42">
        <v>46177</v>
      </c>
      <c r="E136" s="43">
        <v>1609202</v>
      </c>
      <c r="F136" s="43" t="s">
        <v>13</v>
      </c>
      <c r="G136" s="44">
        <v>20376624</v>
      </c>
      <c r="H136" s="43" t="s">
        <v>33</v>
      </c>
      <c r="I136" s="44">
        <v>2</v>
      </c>
      <c r="J136" s="45">
        <v>8</v>
      </c>
      <c r="K136" s="45">
        <v>16</v>
      </c>
    </row>
    <row r="137" spans="4:11">
      <c r="D137" s="42">
        <v>46177</v>
      </c>
      <c r="E137" s="43">
        <v>1609202</v>
      </c>
      <c r="F137" s="43" t="s">
        <v>13</v>
      </c>
      <c r="G137" s="44">
        <v>20406253</v>
      </c>
      <c r="H137" s="43" t="s">
        <v>50</v>
      </c>
      <c r="I137" s="44">
        <v>1</v>
      </c>
      <c r="J137" s="45">
        <v>13.5</v>
      </c>
      <c r="K137" s="45">
        <v>13.5</v>
      </c>
    </row>
    <row r="138" spans="4:11">
      <c r="D138" s="42">
        <v>46177</v>
      </c>
      <c r="E138" s="43">
        <v>1609202</v>
      </c>
      <c r="F138" s="43" t="s">
        <v>13</v>
      </c>
      <c r="G138" s="44">
        <v>20313588</v>
      </c>
      <c r="H138" s="43" t="s">
        <v>30</v>
      </c>
      <c r="I138" s="44">
        <v>5</v>
      </c>
      <c r="J138" s="45">
        <v>8</v>
      </c>
      <c r="K138" s="45">
        <v>40</v>
      </c>
    </row>
    <row r="139" spans="4:11">
      <c r="D139" s="42">
        <v>46177</v>
      </c>
      <c r="E139" s="43">
        <v>1609202</v>
      </c>
      <c r="F139" s="43" t="s">
        <v>13</v>
      </c>
      <c r="G139" s="44">
        <v>20396160</v>
      </c>
      <c r="H139" s="43" t="s">
        <v>63</v>
      </c>
      <c r="I139" s="44">
        <v>1</v>
      </c>
      <c r="J139" s="45">
        <v>13.5</v>
      </c>
      <c r="K139" s="45">
        <v>13.5</v>
      </c>
    </row>
    <row r="140" spans="4:11">
      <c r="D140" s="42">
        <v>46177</v>
      </c>
      <c r="E140" s="43">
        <v>1609202</v>
      </c>
      <c r="F140" s="43" t="s">
        <v>13</v>
      </c>
      <c r="G140" s="44">
        <v>20397285</v>
      </c>
      <c r="H140" s="43" t="s">
        <v>90</v>
      </c>
      <c r="I140" s="44">
        <v>2</v>
      </c>
      <c r="J140" s="45">
        <v>8</v>
      </c>
      <c r="K140" s="45">
        <v>16</v>
      </c>
    </row>
    <row r="141" spans="4:11">
      <c r="D141" s="42">
        <v>46177</v>
      </c>
      <c r="E141" s="43">
        <v>1609202</v>
      </c>
      <c r="F141" s="43" t="s">
        <v>13</v>
      </c>
      <c r="G141" s="44">
        <v>20377357</v>
      </c>
      <c r="H141" s="43" t="s">
        <v>37</v>
      </c>
      <c r="I141" s="44">
        <v>2</v>
      </c>
      <c r="J141" s="45">
        <v>8</v>
      </c>
      <c r="K141" s="45">
        <v>16</v>
      </c>
    </row>
    <row r="142" spans="4:11">
      <c r="D142" s="42">
        <v>46177</v>
      </c>
      <c r="E142" s="43">
        <v>1609202</v>
      </c>
      <c r="F142" s="43" t="s">
        <v>13</v>
      </c>
      <c r="G142" s="44">
        <v>20397297</v>
      </c>
      <c r="H142" s="43" t="s">
        <v>91</v>
      </c>
      <c r="I142" s="44">
        <v>1</v>
      </c>
      <c r="J142" s="45">
        <v>8</v>
      </c>
      <c r="K142" s="45">
        <v>8</v>
      </c>
    </row>
    <row r="143" spans="4:11">
      <c r="D143" s="42">
        <v>46178</v>
      </c>
      <c r="E143" s="43">
        <v>1609456</v>
      </c>
      <c r="F143" s="43" t="s">
        <v>13</v>
      </c>
      <c r="G143" s="44">
        <v>20376624</v>
      </c>
      <c r="H143" s="43" t="s">
        <v>33</v>
      </c>
      <c r="I143" s="44">
        <v>2</v>
      </c>
      <c r="J143" s="45">
        <v>8</v>
      </c>
      <c r="K143" s="45">
        <v>16</v>
      </c>
    </row>
    <row r="144" spans="4:11">
      <c r="D144" s="42">
        <v>46178</v>
      </c>
      <c r="E144" s="43">
        <v>1609456</v>
      </c>
      <c r="F144" s="43" t="s">
        <v>13</v>
      </c>
      <c r="G144" s="44">
        <v>20406253</v>
      </c>
      <c r="H144" s="43" t="s">
        <v>50</v>
      </c>
      <c r="I144" s="44">
        <v>2</v>
      </c>
      <c r="J144" s="45">
        <v>13.5</v>
      </c>
      <c r="K144" s="45">
        <v>27</v>
      </c>
    </row>
    <row r="145" spans="4:11">
      <c r="D145" s="42">
        <v>46178</v>
      </c>
      <c r="E145" s="43">
        <v>1609456</v>
      </c>
      <c r="F145" s="43" t="s">
        <v>13</v>
      </c>
      <c r="G145" s="44">
        <v>20313588</v>
      </c>
      <c r="H145" s="43" t="s">
        <v>30</v>
      </c>
      <c r="I145" s="44">
        <v>6</v>
      </c>
      <c r="J145" s="45">
        <v>8</v>
      </c>
      <c r="K145" s="45">
        <v>48</v>
      </c>
    </row>
    <row r="146" spans="4:11">
      <c r="D146" s="42">
        <v>46178</v>
      </c>
      <c r="E146" s="43">
        <v>1609456</v>
      </c>
      <c r="F146" s="43" t="s">
        <v>13</v>
      </c>
      <c r="G146" s="44">
        <v>20376863</v>
      </c>
      <c r="H146" s="43" t="s">
        <v>73</v>
      </c>
      <c r="I146" s="44">
        <v>2</v>
      </c>
      <c r="J146" s="45">
        <v>13.5</v>
      </c>
      <c r="K146" s="45">
        <v>27</v>
      </c>
    </row>
    <row r="147" spans="4:11">
      <c r="D147" s="42">
        <v>46178</v>
      </c>
      <c r="E147" s="43">
        <v>1609456</v>
      </c>
      <c r="F147" s="43" t="s">
        <v>13</v>
      </c>
      <c r="G147" s="44">
        <v>20377357</v>
      </c>
      <c r="H147" s="43" t="s">
        <v>37</v>
      </c>
      <c r="I147" s="44">
        <v>3</v>
      </c>
      <c r="J147" s="45">
        <v>8</v>
      </c>
      <c r="K147" s="45">
        <v>24</v>
      </c>
    </row>
    <row r="148" spans="4:11">
      <c r="D148" s="42">
        <v>46178</v>
      </c>
      <c r="E148" s="43">
        <v>1609587</v>
      </c>
      <c r="F148" s="43" t="s">
        <v>13</v>
      </c>
      <c r="G148" s="44">
        <v>20376624</v>
      </c>
      <c r="H148" s="43" t="s">
        <v>33</v>
      </c>
      <c r="I148" s="44">
        <v>1</v>
      </c>
      <c r="J148" s="45">
        <v>8</v>
      </c>
      <c r="K148" s="45">
        <v>8</v>
      </c>
    </row>
    <row r="149" spans="4:11">
      <c r="D149" s="42">
        <v>46178</v>
      </c>
      <c r="E149" s="43">
        <v>1609587</v>
      </c>
      <c r="F149" s="43" t="s">
        <v>13</v>
      </c>
      <c r="G149" s="44">
        <v>20313588</v>
      </c>
      <c r="H149" s="43" t="s">
        <v>30</v>
      </c>
      <c r="I149" s="44">
        <v>3</v>
      </c>
      <c r="J149" s="45">
        <v>8</v>
      </c>
      <c r="K149" s="45">
        <v>24</v>
      </c>
    </row>
    <row r="150" spans="4:11">
      <c r="D150" s="42">
        <v>46178</v>
      </c>
      <c r="E150" s="43">
        <v>1609587</v>
      </c>
      <c r="F150" s="43" t="s">
        <v>13</v>
      </c>
      <c r="G150" s="44">
        <v>20377357</v>
      </c>
      <c r="H150" s="43" t="s">
        <v>37</v>
      </c>
      <c r="I150" s="44">
        <v>1</v>
      </c>
      <c r="J150" s="45">
        <v>8</v>
      </c>
      <c r="K150" s="45">
        <v>8</v>
      </c>
    </row>
    <row r="151" spans="4:11">
      <c r="D151" s="42">
        <v>46179</v>
      </c>
      <c r="E151" s="43">
        <v>1609879</v>
      </c>
      <c r="F151" s="43" t="s">
        <v>13</v>
      </c>
      <c r="G151" s="44">
        <v>20397296</v>
      </c>
      <c r="H151" s="43" t="s">
        <v>89</v>
      </c>
      <c r="I151" s="44">
        <v>1</v>
      </c>
      <c r="J151" s="45">
        <v>8</v>
      </c>
      <c r="K151" s="45">
        <v>8</v>
      </c>
    </row>
    <row r="152" spans="4:11">
      <c r="D152" s="42">
        <v>46179</v>
      </c>
      <c r="E152" s="43">
        <v>1609879</v>
      </c>
      <c r="F152" s="43" t="s">
        <v>13</v>
      </c>
      <c r="G152" s="44">
        <v>20376624</v>
      </c>
      <c r="H152" s="43" t="s">
        <v>33</v>
      </c>
      <c r="I152" s="44">
        <v>2</v>
      </c>
      <c r="J152" s="45">
        <v>8</v>
      </c>
      <c r="K152" s="45">
        <v>16</v>
      </c>
    </row>
    <row r="153" spans="4:11">
      <c r="D153" s="42">
        <v>46179</v>
      </c>
      <c r="E153" s="43">
        <v>1609879</v>
      </c>
      <c r="F153" s="43" t="s">
        <v>13</v>
      </c>
      <c r="G153" s="44">
        <v>20406253</v>
      </c>
      <c r="H153" s="43" t="s">
        <v>50</v>
      </c>
      <c r="I153" s="44">
        <v>2</v>
      </c>
      <c r="J153" s="45">
        <v>13.5</v>
      </c>
      <c r="K153" s="45">
        <v>27</v>
      </c>
    </row>
    <row r="154" spans="4:11">
      <c r="D154" s="42">
        <v>46179</v>
      </c>
      <c r="E154" s="43">
        <v>1609879</v>
      </c>
      <c r="F154" s="43" t="s">
        <v>13</v>
      </c>
      <c r="G154" s="44">
        <v>20313588</v>
      </c>
      <c r="H154" s="43" t="s">
        <v>30</v>
      </c>
      <c r="I154" s="44">
        <v>5</v>
      </c>
      <c r="J154" s="45">
        <v>8</v>
      </c>
      <c r="K154" s="45">
        <v>40</v>
      </c>
    </row>
    <row r="155" spans="4:11">
      <c r="D155" s="42">
        <v>46179</v>
      </c>
      <c r="E155" s="43">
        <v>1609879</v>
      </c>
      <c r="F155" s="43" t="s">
        <v>13</v>
      </c>
      <c r="G155" s="44">
        <v>20376863</v>
      </c>
      <c r="H155" s="43" t="s">
        <v>73</v>
      </c>
      <c r="I155" s="44">
        <v>1</v>
      </c>
      <c r="J155" s="45">
        <v>13.5</v>
      </c>
      <c r="K155" s="45">
        <v>13.5</v>
      </c>
    </row>
    <row r="156" spans="4:11">
      <c r="D156" s="42">
        <v>46179</v>
      </c>
      <c r="E156" s="43">
        <v>1609879</v>
      </c>
      <c r="F156" s="43" t="s">
        <v>13</v>
      </c>
      <c r="G156" s="44">
        <v>20397285</v>
      </c>
      <c r="H156" s="43" t="s">
        <v>90</v>
      </c>
      <c r="I156" s="44">
        <v>1</v>
      </c>
      <c r="J156" s="45">
        <v>8</v>
      </c>
      <c r="K156" s="45">
        <v>8</v>
      </c>
    </row>
    <row r="157" spans="4:11">
      <c r="D157" s="42">
        <v>46179</v>
      </c>
      <c r="E157" s="43">
        <v>1609879</v>
      </c>
      <c r="F157" s="43" t="s">
        <v>13</v>
      </c>
      <c r="G157" s="44">
        <v>20377357</v>
      </c>
      <c r="H157" s="43" t="s">
        <v>37</v>
      </c>
      <c r="I157" s="44">
        <v>3</v>
      </c>
      <c r="J157" s="45">
        <v>8</v>
      </c>
      <c r="K157" s="45">
        <v>24</v>
      </c>
    </row>
    <row r="158" spans="4:11">
      <c r="D158" s="42">
        <v>46179</v>
      </c>
      <c r="E158" s="43">
        <v>1609879</v>
      </c>
      <c r="F158" s="43" t="s">
        <v>13</v>
      </c>
      <c r="G158" s="44">
        <v>20397297</v>
      </c>
      <c r="H158" s="43" t="s">
        <v>91</v>
      </c>
      <c r="I158" s="44">
        <v>2</v>
      </c>
      <c r="J158" s="45">
        <v>8</v>
      </c>
      <c r="K158" s="45">
        <v>16</v>
      </c>
    </row>
    <row r="159" spans="4:11">
      <c r="D159" s="42">
        <v>46182</v>
      </c>
      <c r="E159" s="43">
        <v>1610561</v>
      </c>
      <c r="F159" s="43" t="s">
        <v>13</v>
      </c>
      <c r="G159" s="44">
        <v>20406253</v>
      </c>
      <c r="H159" s="43" t="s">
        <v>50</v>
      </c>
      <c r="I159" s="44">
        <v>1</v>
      </c>
      <c r="J159" s="45">
        <v>13.5</v>
      </c>
      <c r="K159" s="45">
        <v>13.5</v>
      </c>
    </row>
    <row r="160" spans="4:11">
      <c r="D160" s="42">
        <v>46182</v>
      </c>
      <c r="E160" s="43">
        <v>1610561</v>
      </c>
      <c r="F160" s="43" t="s">
        <v>13</v>
      </c>
      <c r="G160" s="44">
        <v>20313588</v>
      </c>
      <c r="H160" s="43" t="s">
        <v>30</v>
      </c>
      <c r="I160" s="44">
        <v>3</v>
      </c>
      <c r="J160" s="45">
        <v>8</v>
      </c>
      <c r="K160" s="45">
        <v>24</v>
      </c>
    </row>
    <row r="161" spans="4:11">
      <c r="D161" s="42">
        <v>46182</v>
      </c>
      <c r="E161" s="43">
        <v>1610561</v>
      </c>
      <c r="F161" s="43" t="s">
        <v>13</v>
      </c>
      <c r="G161" s="44">
        <v>20377357</v>
      </c>
      <c r="H161" s="43" t="s">
        <v>37</v>
      </c>
      <c r="I161" s="44">
        <v>5</v>
      </c>
      <c r="J161" s="45">
        <v>8</v>
      </c>
      <c r="K161" s="45">
        <v>40</v>
      </c>
    </row>
    <row r="162" spans="4:11">
      <c r="D162" s="42">
        <v>46183</v>
      </c>
      <c r="E162" s="43">
        <v>1610830</v>
      </c>
      <c r="F162" s="43" t="s">
        <v>13</v>
      </c>
      <c r="G162" s="44">
        <v>20005208</v>
      </c>
      <c r="H162" s="43" t="s">
        <v>58</v>
      </c>
      <c r="I162" s="44">
        <v>2</v>
      </c>
      <c r="J162" s="45">
        <v>8</v>
      </c>
      <c r="K162" s="45">
        <v>16</v>
      </c>
    </row>
    <row r="163" spans="4:11">
      <c r="D163" s="42">
        <v>46183</v>
      </c>
      <c r="E163" s="43">
        <v>1610830</v>
      </c>
      <c r="F163" s="43" t="s">
        <v>13</v>
      </c>
      <c r="G163" s="44">
        <v>20397296</v>
      </c>
      <c r="H163" s="43" t="s">
        <v>89</v>
      </c>
      <c r="I163" s="44">
        <v>1</v>
      </c>
      <c r="J163" s="45">
        <v>8</v>
      </c>
      <c r="K163" s="45">
        <v>8</v>
      </c>
    </row>
    <row r="164" spans="4:11">
      <c r="D164" s="42">
        <v>46183</v>
      </c>
      <c r="E164" s="43">
        <v>1610830</v>
      </c>
      <c r="F164" s="43" t="s">
        <v>13</v>
      </c>
      <c r="G164" s="44">
        <v>20313588</v>
      </c>
      <c r="H164" s="43" t="s">
        <v>30</v>
      </c>
      <c r="I164" s="44">
        <v>5</v>
      </c>
      <c r="J164" s="45">
        <v>8</v>
      </c>
      <c r="K164" s="45">
        <v>40</v>
      </c>
    </row>
    <row r="165" spans="4:11">
      <c r="D165" s="42">
        <v>46183</v>
      </c>
      <c r="E165" s="43">
        <v>1610830</v>
      </c>
      <c r="F165" s="43" t="s">
        <v>13</v>
      </c>
      <c r="G165" s="44">
        <v>20324084</v>
      </c>
      <c r="H165" s="43" t="s">
        <v>24</v>
      </c>
      <c r="I165" s="44">
        <v>1</v>
      </c>
      <c r="J165" s="45">
        <v>8</v>
      </c>
      <c r="K165" s="45">
        <v>8</v>
      </c>
    </row>
    <row r="166" spans="4:11">
      <c r="D166" s="42">
        <v>46183</v>
      </c>
      <c r="E166" s="43">
        <v>1610830</v>
      </c>
      <c r="F166" s="43" t="s">
        <v>13</v>
      </c>
      <c r="G166" s="44">
        <v>20397285</v>
      </c>
      <c r="H166" s="43" t="s">
        <v>90</v>
      </c>
      <c r="I166" s="44">
        <v>1</v>
      </c>
      <c r="J166" s="45">
        <v>8</v>
      </c>
      <c r="K166" s="45">
        <v>8</v>
      </c>
    </row>
    <row r="167" spans="4:11">
      <c r="D167" s="42">
        <v>46183</v>
      </c>
      <c r="E167" s="43">
        <v>1610830</v>
      </c>
      <c r="F167" s="43" t="s">
        <v>13</v>
      </c>
      <c r="G167" s="44">
        <v>20377357</v>
      </c>
      <c r="H167" s="43" t="s">
        <v>37</v>
      </c>
      <c r="I167" s="44">
        <v>3</v>
      </c>
      <c r="J167" s="45">
        <v>8</v>
      </c>
      <c r="K167" s="45">
        <v>24</v>
      </c>
    </row>
    <row r="168" spans="4:11">
      <c r="D168" s="42">
        <v>46183</v>
      </c>
      <c r="E168" s="43">
        <v>1610830</v>
      </c>
      <c r="F168" s="43" t="s">
        <v>13</v>
      </c>
      <c r="G168" s="44">
        <v>20397297</v>
      </c>
      <c r="H168" s="43" t="s">
        <v>91</v>
      </c>
      <c r="I168" s="44">
        <v>1</v>
      </c>
      <c r="J168" s="45">
        <v>8</v>
      </c>
      <c r="K168" s="45">
        <v>8</v>
      </c>
    </row>
    <row r="169" spans="4:11">
      <c r="D169" s="42">
        <v>46183</v>
      </c>
      <c r="E169" s="43">
        <v>1610941</v>
      </c>
      <c r="F169" s="43" t="s">
        <v>13</v>
      </c>
      <c r="G169" s="44">
        <v>20406253</v>
      </c>
      <c r="H169" s="43" t="s">
        <v>50</v>
      </c>
      <c r="I169" s="44">
        <v>1</v>
      </c>
      <c r="J169" s="45">
        <v>13.5</v>
      </c>
      <c r="K169" s="45">
        <v>13.5</v>
      </c>
    </row>
    <row r="170" spans="4:11">
      <c r="D170" s="42">
        <v>46183</v>
      </c>
      <c r="E170" s="43">
        <v>1610941</v>
      </c>
      <c r="F170" s="43" t="s">
        <v>13</v>
      </c>
      <c r="G170" s="44">
        <v>20313588</v>
      </c>
      <c r="H170" s="43" t="s">
        <v>30</v>
      </c>
      <c r="I170" s="44">
        <v>2</v>
      </c>
      <c r="J170" s="45">
        <v>8</v>
      </c>
      <c r="K170" s="45">
        <v>16</v>
      </c>
    </row>
    <row r="171" spans="4:11">
      <c r="D171" s="42">
        <v>46183</v>
      </c>
      <c r="E171" s="43">
        <v>1610941</v>
      </c>
      <c r="F171" s="43" t="s">
        <v>13</v>
      </c>
      <c r="G171" s="44">
        <v>20377357</v>
      </c>
      <c r="H171" s="43" t="s">
        <v>37</v>
      </c>
      <c r="I171" s="44">
        <v>2</v>
      </c>
      <c r="J171" s="45">
        <v>8</v>
      </c>
      <c r="K171" s="45">
        <v>16</v>
      </c>
    </row>
    <row r="172" spans="4:11">
      <c r="D172" s="42">
        <v>46183</v>
      </c>
      <c r="E172" s="43">
        <v>1611140</v>
      </c>
      <c r="F172" s="43" t="s">
        <v>13</v>
      </c>
      <c r="G172" s="44">
        <v>20005208</v>
      </c>
      <c r="H172" s="43" t="s">
        <v>58</v>
      </c>
      <c r="I172" s="44">
        <v>1</v>
      </c>
      <c r="J172" s="45">
        <v>8</v>
      </c>
      <c r="K172" s="45">
        <v>8</v>
      </c>
    </row>
    <row r="173" spans="4:11">
      <c r="D173" s="42">
        <v>46183</v>
      </c>
      <c r="E173" s="43">
        <v>1611140</v>
      </c>
      <c r="F173" s="43" t="s">
        <v>13</v>
      </c>
      <c r="G173" s="44">
        <v>20376624</v>
      </c>
      <c r="H173" s="43" t="s">
        <v>33</v>
      </c>
      <c r="I173" s="44">
        <v>1</v>
      </c>
      <c r="J173" s="45">
        <v>8</v>
      </c>
      <c r="K173" s="45">
        <v>8</v>
      </c>
    </row>
    <row r="174" spans="4:11">
      <c r="D174" s="42">
        <v>46183</v>
      </c>
      <c r="E174" s="43">
        <v>1611140</v>
      </c>
      <c r="F174" s="43" t="s">
        <v>13</v>
      </c>
      <c r="G174" s="44">
        <v>20406253</v>
      </c>
      <c r="H174" s="43" t="s">
        <v>50</v>
      </c>
      <c r="I174" s="44">
        <v>2</v>
      </c>
      <c r="J174" s="45">
        <v>13.5</v>
      </c>
      <c r="K174" s="45">
        <v>27</v>
      </c>
    </row>
    <row r="175" spans="4:11">
      <c r="D175" s="42">
        <v>46183</v>
      </c>
      <c r="E175" s="43">
        <v>1611140</v>
      </c>
      <c r="F175" s="43" t="s">
        <v>13</v>
      </c>
      <c r="G175" s="44">
        <v>20313588</v>
      </c>
      <c r="H175" s="43" t="s">
        <v>30</v>
      </c>
      <c r="I175" s="44">
        <v>5</v>
      </c>
      <c r="J175" s="45">
        <v>8</v>
      </c>
      <c r="K175" s="45">
        <v>40</v>
      </c>
    </row>
    <row r="176" spans="4:11">
      <c r="D176" s="42">
        <v>46183</v>
      </c>
      <c r="E176" s="43">
        <v>1611140</v>
      </c>
      <c r="F176" s="43" t="s">
        <v>13</v>
      </c>
      <c r="G176" s="44">
        <v>20396160</v>
      </c>
      <c r="H176" s="43" t="s">
        <v>63</v>
      </c>
      <c r="I176" s="44">
        <v>1</v>
      </c>
      <c r="J176" s="45">
        <v>13.5</v>
      </c>
      <c r="K176" s="45">
        <v>13.5</v>
      </c>
    </row>
    <row r="177" spans="4:11">
      <c r="D177" s="42">
        <v>46183</v>
      </c>
      <c r="E177" s="43">
        <v>1611140</v>
      </c>
      <c r="F177" s="43" t="s">
        <v>13</v>
      </c>
      <c r="G177" s="44">
        <v>20377357</v>
      </c>
      <c r="H177" s="43" t="s">
        <v>37</v>
      </c>
      <c r="I177" s="44">
        <v>5</v>
      </c>
      <c r="J177" s="45">
        <v>8</v>
      </c>
      <c r="K177" s="45">
        <v>40</v>
      </c>
    </row>
    <row r="178" spans="4:11">
      <c r="D178" s="42">
        <v>46184</v>
      </c>
      <c r="E178" s="43">
        <v>1611304</v>
      </c>
      <c r="F178" s="43" t="s">
        <v>13</v>
      </c>
      <c r="G178" s="44">
        <v>20313588</v>
      </c>
      <c r="H178" s="43" t="s">
        <v>30</v>
      </c>
      <c r="I178" s="44">
        <v>6</v>
      </c>
      <c r="J178" s="45">
        <v>8</v>
      </c>
      <c r="K178" s="45">
        <v>48</v>
      </c>
    </row>
    <row r="179" spans="4:11">
      <c r="D179" s="42">
        <v>46184</v>
      </c>
      <c r="E179" s="43">
        <v>1611304</v>
      </c>
      <c r="F179" s="43" t="s">
        <v>13</v>
      </c>
      <c r="G179" s="44">
        <v>20377357</v>
      </c>
      <c r="H179" s="43" t="s">
        <v>37</v>
      </c>
      <c r="I179" s="44">
        <v>3</v>
      </c>
      <c r="J179" s="45">
        <v>8</v>
      </c>
      <c r="K179" s="45">
        <v>24</v>
      </c>
    </row>
    <row r="180" spans="4:11">
      <c r="D180" s="42">
        <v>46184</v>
      </c>
      <c r="E180" s="43">
        <v>1611579</v>
      </c>
      <c r="F180" s="43" t="s">
        <v>13</v>
      </c>
      <c r="G180" s="44">
        <v>20376624</v>
      </c>
      <c r="H180" s="43" t="s">
        <v>33</v>
      </c>
      <c r="I180" s="44">
        <v>2</v>
      </c>
      <c r="J180" s="45">
        <v>8</v>
      </c>
      <c r="K180" s="45">
        <v>16</v>
      </c>
    </row>
    <row r="181" spans="4:11">
      <c r="D181" s="42">
        <v>46184</v>
      </c>
      <c r="E181" s="43">
        <v>1611579</v>
      </c>
      <c r="F181" s="43" t="s">
        <v>13</v>
      </c>
      <c r="G181" s="44">
        <v>20406253</v>
      </c>
      <c r="H181" s="43" t="s">
        <v>50</v>
      </c>
      <c r="I181" s="44">
        <v>2</v>
      </c>
      <c r="J181" s="45">
        <v>13.5</v>
      </c>
      <c r="K181" s="45">
        <v>27</v>
      </c>
    </row>
    <row r="182" spans="4:11">
      <c r="D182" s="42">
        <v>46184</v>
      </c>
      <c r="E182" s="43">
        <v>1611579</v>
      </c>
      <c r="F182" s="43" t="s">
        <v>13</v>
      </c>
      <c r="G182" s="44">
        <v>20313588</v>
      </c>
      <c r="H182" s="43" t="s">
        <v>30</v>
      </c>
      <c r="I182" s="44">
        <v>9</v>
      </c>
      <c r="J182" s="45">
        <v>8</v>
      </c>
      <c r="K182" s="45">
        <v>72</v>
      </c>
    </row>
    <row r="183" spans="4:11">
      <c r="D183" s="42">
        <v>46184</v>
      </c>
      <c r="E183" s="43">
        <v>1611579</v>
      </c>
      <c r="F183" s="43" t="s">
        <v>13</v>
      </c>
      <c r="G183" s="44">
        <v>20401202</v>
      </c>
      <c r="H183" s="43" t="s">
        <v>85</v>
      </c>
      <c r="I183" s="44">
        <v>1</v>
      </c>
      <c r="J183" s="45">
        <v>13.5</v>
      </c>
      <c r="K183" s="45">
        <v>13.5</v>
      </c>
    </row>
    <row r="184" spans="4:11">
      <c r="D184" s="42">
        <v>46184</v>
      </c>
      <c r="E184" s="43">
        <v>1611579</v>
      </c>
      <c r="F184" s="43" t="s">
        <v>13</v>
      </c>
      <c r="G184" s="44">
        <v>20397287</v>
      </c>
      <c r="H184" s="43" t="s">
        <v>43</v>
      </c>
      <c r="I184" s="44">
        <v>1</v>
      </c>
      <c r="J184" s="45">
        <v>13.5</v>
      </c>
      <c r="K184" s="45">
        <v>13.5</v>
      </c>
    </row>
    <row r="185" spans="4:11">
      <c r="D185" s="42">
        <v>46185</v>
      </c>
      <c r="E185" s="43">
        <v>1611670</v>
      </c>
      <c r="F185" s="43" t="s">
        <v>13</v>
      </c>
      <c r="G185" s="44">
        <v>20376624</v>
      </c>
      <c r="H185" s="43" t="s">
        <v>33</v>
      </c>
      <c r="I185" s="44">
        <v>1</v>
      </c>
      <c r="J185" s="45">
        <v>8</v>
      </c>
      <c r="K185" s="45">
        <v>8</v>
      </c>
    </row>
    <row r="186" spans="4:11">
      <c r="D186" s="42">
        <v>46185</v>
      </c>
      <c r="E186" s="43">
        <v>1611670</v>
      </c>
      <c r="F186" s="43" t="s">
        <v>13</v>
      </c>
      <c r="G186" s="44">
        <v>20406253</v>
      </c>
      <c r="H186" s="43" t="s">
        <v>50</v>
      </c>
      <c r="I186" s="44">
        <v>1</v>
      </c>
      <c r="J186" s="45">
        <v>13.5</v>
      </c>
      <c r="K186" s="45">
        <v>13.5</v>
      </c>
    </row>
    <row r="187" spans="4:11">
      <c r="D187" s="42">
        <v>46185</v>
      </c>
      <c r="E187" s="43">
        <v>1611670</v>
      </c>
      <c r="F187" s="43" t="s">
        <v>13</v>
      </c>
      <c r="G187" s="44">
        <v>20313588</v>
      </c>
      <c r="H187" s="43" t="s">
        <v>30</v>
      </c>
      <c r="I187" s="44">
        <v>6</v>
      </c>
      <c r="J187" s="45">
        <v>8</v>
      </c>
      <c r="K187" s="45">
        <v>48</v>
      </c>
    </row>
    <row r="188" spans="4:11">
      <c r="D188" s="42">
        <v>46185</v>
      </c>
      <c r="E188" s="43">
        <v>1611670</v>
      </c>
      <c r="F188" s="43" t="s">
        <v>13</v>
      </c>
      <c r="G188" s="44">
        <v>20397287</v>
      </c>
      <c r="H188" s="43" t="s">
        <v>43</v>
      </c>
      <c r="I188" s="44">
        <v>1</v>
      </c>
      <c r="J188" s="45">
        <v>13.5</v>
      </c>
      <c r="K188" s="45">
        <v>13.5</v>
      </c>
    </row>
    <row r="189" spans="4:11">
      <c r="D189" s="42">
        <v>46185</v>
      </c>
      <c r="E189" s="43">
        <v>1611670</v>
      </c>
      <c r="F189" s="43" t="s">
        <v>13</v>
      </c>
      <c r="G189" s="44">
        <v>20377357</v>
      </c>
      <c r="H189" s="43" t="s">
        <v>37</v>
      </c>
      <c r="I189" s="44">
        <v>4</v>
      </c>
      <c r="J189" s="45">
        <v>8</v>
      </c>
      <c r="K189" s="45">
        <v>32</v>
      </c>
    </row>
  </sheetData>
  <autoFilter xmlns:etc="http://www.wps.cn/officeDocument/2017/etCustomData" ref="A7:K189" etc:filterBottomFollowUsedRange="0">
    <extLst/>
  </autoFilter>
  <mergeCells count="5">
    <mergeCell ref="D8:H8"/>
    <mergeCell ref="C7:C189"/>
    <mergeCell ref="B4:H5"/>
    <mergeCell ref="A7:B18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95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77</v>
      </c>
      <c r="J8" s="41"/>
      <c r="K8" s="41">
        <v>729</v>
      </c>
    </row>
    <row r="9" spans="1:11">
      <c r="D9" s="42">
        <v>46157</v>
      </c>
      <c r="E9" s="43">
        <v>1603276</v>
      </c>
      <c r="F9" s="43" t="s">
        <v>13</v>
      </c>
      <c r="G9" s="44">
        <v>20005208</v>
      </c>
      <c r="H9" s="43" t="s">
        <v>58</v>
      </c>
      <c r="I9" s="44">
        <v>1</v>
      </c>
      <c r="J9" s="45">
        <v>8</v>
      </c>
      <c r="K9" s="45">
        <v>8</v>
      </c>
    </row>
    <row r="10" spans="1:11">
      <c r="D10" s="42">
        <v>46157</v>
      </c>
      <c r="E10" s="43">
        <v>1603276</v>
      </c>
      <c r="F10" s="43" t="s">
        <v>13</v>
      </c>
      <c r="G10" s="44">
        <v>20376624</v>
      </c>
      <c r="H10" s="43" t="s">
        <v>33</v>
      </c>
      <c r="I10" s="44">
        <v>1</v>
      </c>
      <c r="J10" s="45">
        <v>8</v>
      </c>
      <c r="K10" s="45">
        <v>8</v>
      </c>
    </row>
    <row r="11" spans="1:11">
      <c r="D11" s="42">
        <v>46157</v>
      </c>
      <c r="E11" s="43">
        <v>1603276</v>
      </c>
      <c r="F11" s="43" t="s">
        <v>13</v>
      </c>
      <c r="G11" s="44">
        <v>20406253</v>
      </c>
      <c r="H11" s="43" t="s">
        <v>50</v>
      </c>
      <c r="I11" s="44">
        <v>2</v>
      </c>
      <c r="J11" s="45">
        <v>13.5</v>
      </c>
      <c r="K11" s="45">
        <v>27</v>
      </c>
    </row>
    <row r="12" spans="1:11">
      <c r="D12" s="42">
        <v>46157</v>
      </c>
      <c r="E12" s="43">
        <v>1603276</v>
      </c>
      <c r="F12" s="43" t="s">
        <v>13</v>
      </c>
      <c r="G12" s="44">
        <v>20313588</v>
      </c>
      <c r="H12" s="43" t="s">
        <v>30</v>
      </c>
      <c r="I12" s="44">
        <v>2</v>
      </c>
      <c r="J12" s="45">
        <v>8</v>
      </c>
      <c r="K12" s="45">
        <v>16</v>
      </c>
    </row>
    <row r="13" spans="1:11">
      <c r="D13" s="42">
        <v>46157</v>
      </c>
      <c r="E13" s="43">
        <v>1603276</v>
      </c>
      <c r="F13" s="43" t="s">
        <v>13</v>
      </c>
      <c r="G13" s="44">
        <v>20409657</v>
      </c>
      <c r="H13" s="43" t="s">
        <v>72</v>
      </c>
      <c r="I13" s="44">
        <v>1</v>
      </c>
      <c r="J13" s="45">
        <v>16.5</v>
      </c>
      <c r="K13" s="45">
        <v>16.5</v>
      </c>
    </row>
    <row r="14" spans="1:11">
      <c r="D14" s="42">
        <v>46157</v>
      </c>
      <c r="E14" s="43">
        <v>1603276</v>
      </c>
      <c r="F14" s="43" t="s">
        <v>13</v>
      </c>
      <c r="G14" s="44">
        <v>20377357</v>
      </c>
      <c r="H14" s="43" t="s">
        <v>37</v>
      </c>
      <c r="I14" s="44">
        <v>1</v>
      </c>
      <c r="J14" s="45">
        <v>8</v>
      </c>
      <c r="K14" s="45">
        <v>8</v>
      </c>
    </row>
    <row r="15" spans="1:11">
      <c r="D15" s="42">
        <v>46161</v>
      </c>
      <c r="E15" s="43">
        <v>1604330</v>
      </c>
      <c r="F15" s="43" t="s">
        <v>13</v>
      </c>
      <c r="G15" s="44">
        <v>20005208</v>
      </c>
      <c r="H15" s="43" t="s">
        <v>58</v>
      </c>
      <c r="I15" s="44">
        <v>1</v>
      </c>
      <c r="J15" s="45">
        <v>8</v>
      </c>
      <c r="K15" s="45">
        <v>8</v>
      </c>
    </row>
    <row r="16" spans="1:11">
      <c r="D16" s="42">
        <v>46161</v>
      </c>
      <c r="E16" s="43">
        <v>1604330</v>
      </c>
      <c r="F16" s="43" t="s">
        <v>13</v>
      </c>
      <c r="G16" s="44">
        <v>20313588</v>
      </c>
      <c r="H16" s="43" t="s">
        <v>30</v>
      </c>
      <c r="I16" s="44">
        <v>2</v>
      </c>
      <c r="J16" s="45">
        <v>8</v>
      </c>
      <c r="K16" s="45">
        <v>16</v>
      </c>
    </row>
    <row r="17" spans="4:11">
      <c r="D17" s="42">
        <v>46161</v>
      </c>
      <c r="E17" s="43">
        <v>1604330</v>
      </c>
      <c r="F17" s="43" t="s">
        <v>13</v>
      </c>
      <c r="G17" s="44">
        <v>20377357</v>
      </c>
      <c r="H17" s="43" t="s">
        <v>37</v>
      </c>
      <c r="I17" s="44">
        <v>1</v>
      </c>
      <c r="J17" s="45">
        <v>8</v>
      </c>
      <c r="K17" s="45">
        <v>8</v>
      </c>
    </row>
    <row r="18" spans="4:11">
      <c r="D18" s="42">
        <v>46162</v>
      </c>
      <c r="E18" s="43">
        <v>1604588</v>
      </c>
      <c r="F18" s="43" t="s">
        <v>13</v>
      </c>
      <c r="G18" s="44">
        <v>20005208</v>
      </c>
      <c r="H18" s="43" t="s">
        <v>58</v>
      </c>
      <c r="I18" s="44">
        <v>1</v>
      </c>
      <c r="J18" s="45">
        <v>8</v>
      </c>
      <c r="K18" s="45">
        <v>8</v>
      </c>
    </row>
    <row r="19" spans="4:11">
      <c r="D19" s="42">
        <v>46162</v>
      </c>
      <c r="E19" s="43">
        <v>1604588</v>
      </c>
      <c r="F19" s="43" t="s">
        <v>13</v>
      </c>
      <c r="G19" s="44">
        <v>20406253</v>
      </c>
      <c r="H19" s="43" t="s">
        <v>50</v>
      </c>
      <c r="I19" s="44">
        <v>1</v>
      </c>
      <c r="J19" s="45">
        <v>13.5</v>
      </c>
      <c r="K19" s="45">
        <v>13.5</v>
      </c>
    </row>
    <row r="20" spans="4:11">
      <c r="D20" s="42">
        <v>46162</v>
      </c>
      <c r="E20" s="43">
        <v>1604588</v>
      </c>
      <c r="F20" s="43" t="s">
        <v>13</v>
      </c>
      <c r="G20" s="44">
        <v>20313588</v>
      </c>
      <c r="H20" s="43" t="s">
        <v>30</v>
      </c>
      <c r="I20" s="44">
        <v>1</v>
      </c>
      <c r="J20" s="45">
        <v>8</v>
      </c>
      <c r="K20" s="45">
        <v>8</v>
      </c>
    </row>
    <row r="21" spans="4:11">
      <c r="D21" s="42">
        <v>46162</v>
      </c>
      <c r="E21" s="43">
        <v>1604588</v>
      </c>
      <c r="F21" s="43" t="s">
        <v>13</v>
      </c>
      <c r="G21" s="44">
        <v>20377357</v>
      </c>
      <c r="H21" s="43" t="s">
        <v>37</v>
      </c>
      <c r="I21" s="44">
        <v>1</v>
      </c>
      <c r="J21" s="45">
        <v>8</v>
      </c>
      <c r="K21" s="45">
        <v>8</v>
      </c>
    </row>
    <row r="22" spans="4:11">
      <c r="D22" s="42">
        <v>46163</v>
      </c>
      <c r="E22" s="43">
        <v>1605002</v>
      </c>
      <c r="F22" s="43" t="s">
        <v>13</v>
      </c>
      <c r="G22" s="44">
        <v>20376624</v>
      </c>
      <c r="H22" s="43" t="s">
        <v>33</v>
      </c>
      <c r="I22" s="44">
        <v>2</v>
      </c>
      <c r="J22" s="45">
        <v>8</v>
      </c>
      <c r="K22" s="45">
        <v>16</v>
      </c>
    </row>
    <row r="23" spans="4:11">
      <c r="D23" s="42">
        <v>46163</v>
      </c>
      <c r="E23" s="43">
        <v>1605002</v>
      </c>
      <c r="F23" s="43" t="s">
        <v>13</v>
      </c>
      <c r="G23" s="44">
        <v>20406253</v>
      </c>
      <c r="H23" s="43" t="s">
        <v>50</v>
      </c>
      <c r="I23" s="44">
        <v>1</v>
      </c>
      <c r="J23" s="45">
        <v>13.5</v>
      </c>
      <c r="K23" s="45">
        <v>13.5</v>
      </c>
    </row>
    <row r="24" spans="4:11">
      <c r="D24" s="42">
        <v>46163</v>
      </c>
      <c r="E24" s="43">
        <v>1605002</v>
      </c>
      <c r="F24" s="43" t="s">
        <v>13</v>
      </c>
      <c r="G24" s="44">
        <v>20313588</v>
      </c>
      <c r="H24" s="43" t="s">
        <v>30</v>
      </c>
      <c r="I24" s="44">
        <v>1</v>
      </c>
      <c r="J24" s="45">
        <v>8</v>
      </c>
      <c r="K24" s="45">
        <v>8</v>
      </c>
    </row>
    <row r="25" spans="4:11">
      <c r="D25" s="42">
        <v>46163</v>
      </c>
      <c r="E25" s="43">
        <v>1605002</v>
      </c>
      <c r="F25" s="43" t="s">
        <v>13</v>
      </c>
      <c r="G25" s="44">
        <v>20397287</v>
      </c>
      <c r="H25" s="43" t="s">
        <v>43</v>
      </c>
      <c r="I25" s="44">
        <v>1</v>
      </c>
      <c r="J25" s="45">
        <v>13.5</v>
      </c>
      <c r="K25" s="45">
        <v>13.5</v>
      </c>
    </row>
    <row r="26" spans="4:11">
      <c r="D26" s="42">
        <v>46163</v>
      </c>
      <c r="E26" s="43">
        <v>1605002</v>
      </c>
      <c r="F26" s="43" t="s">
        <v>13</v>
      </c>
      <c r="G26" s="44">
        <v>20377357</v>
      </c>
      <c r="H26" s="43" t="s">
        <v>37</v>
      </c>
      <c r="I26" s="44">
        <v>2</v>
      </c>
      <c r="J26" s="45">
        <v>8</v>
      </c>
      <c r="K26" s="45">
        <v>16</v>
      </c>
    </row>
    <row r="27" spans="4:11">
      <c r="D27" s="42">
        <v>46164</v>
      </c>
      <c r="E27" s="43">
        <v>1605375</v>
      </c>
      <c r="F27" s="43" t="s">
        <v>13</v>
      </c>
      <c r="G27" s="44">
        <v>20376624</v>
      </c>
      <c r="H27" s="43" t="s">
        <v>33</v>
      </c>
      <c r="I27" s="44">
        <v>1</v>
      </c>
      <c r="J27" s="45">
        <v>8</v>
      </c>
      <c r="K27" s="45">
        <v>8</v>
      </c>
    </row>
    <row r="28" spans="4:11">
      <c r="D28" s="42">
        <v>46164</v>
      </c>
      <c r="E28" s="43">
        <v>1605375</v>
      </c>
      <c r="F28" s="43" t="s">
        <v>13</v>
      </c>
      <c r="G28" s="44">
        <v>20406253</v>
      </c>
      <c r="H28" s="43" t="s">
        <v>50</v>
      </c>
      <c r="I28" s="44">
        <v>1</v>
      </c>
      <c r="J28" s="45">
        <v>13.5</v>
      </c>
      <c r="K28" s="45">
        <v>13.5</v>
      </c>
    </row>
    <row r="29" spans="4:11">
      <c r="D29" s="42">
        <v>46164</v>
      </c>
      <c r="E29" s="43">
        <v>1605375</v>
      </c>
      <c r="F29" s="43" t="s">
        <v>13</v>
      </c>
      <c r="G29" s="44">
        <v>20313588</v>
      </c>
      <c r="H29" s="43" t="s">
        <v>30</v>
      </c>
      <c r="I29" s="44">
        <v>3</v>
      </c>
      <c r="J29" s="45">
        <v>8</v>
      </c>
      <c r="K29" s="45">
        <v>24</v>
      </c>
    </row>
    <row r="30" spans="4:11">
      <c r="D30" s="42">
        <v>46165</v>
      </c>
      <c r="E30" s="43">
        <v>1605738</v>
      </c>
      <c r="F30" s="43" t="s">
        <v>13</v>
      </c>
      <c r="G30" s="44">
        <v>20005208</v>
      </c>
      <c r="H30" s="43" t="s">
        <v>58</v>
      </c>
      <c r="I30" s="44">
        <v>1</v>
      </c>
      <c r="J30" s="45">
        <v>8</v>
      </c>
      <c r="K30" s="45">
        <v>8</v>
      </c>
    </row>
    <row r="31" spans="4:11">
      <c r="D31" s="42">
        <v>46165</v>
      </c>
      <c r="E31" s="43">
        <v>1605738</v>
      </c>
      <c r="F31" s="43" t="s">
        <v>13</v>
      </c>
      <c r="G31" s="44">
        <v>20406253</v>
      </c>
      <c r="H31" s="43" t="s">
        <v>50</v>
      </c>
      <c r="I31" s="44">
        <v>2</v>
      </c>
      <c r="J31" s="45">
        <v>13.5</v>
      </c>
      <c r="K31" s="45">
        <v>27</v>
      </c>
    </row>
    <row r="32" spans="4:11">
      <c r="D32" s="42">
        <v>46165</v>
      </c>
      <c r="E32" s="43">
        <v>1605738</v>
      </c>
      <c r="F32" s="43" t="s">
        <v>13</v>
      </c>
      <c r="G32" s="44">
        <v>20313588</v>
      </c>
      <c r="H32" s="43" t="s">
        <v>30</v>
      </c>
      <c r="I32" s="44">
        <v>3</v>
      </c>
      <c r="J32" s="45">
        <v>8</v>
      </c>
      <c r="K32" s="45">
        <v>24</v>
      </c>
    </row>
    <row r="33" spans="4:11">
      <c r="D33" s="42">
        <v>46165</v>
      </c>
      <c r="E33" s="43">
        <v>1605738</v>
      </c>
      <c r="F33" s="43" t="s">
        <v>13</v>
      </c>
      <c r="G33" s="44">
        <v>20397287</v>
      </c>
      <c r="H33" s="43" t="s">
        <v>43</v>
      </c>
      <c r="I33" s="44">
        <v>1</v>
      </c>
      <c r="J33" s="45">
        <v>13.5</v>
      </c>
      <c r="K33" s="45">
        <v>13.5</v>
      </c>
    </row>
    <row r="34" spans="4:11">
      <c r="D34" s="42">
        <v>46165</v>
      </c>
      <c r="E34" s="43">
        <v>1605738</v>
      </c>
      <c r="F34" s="43" t="s">
        <v>13</v>
      </c>
      <c r="G34" s="44">
        <v>20377357</v>
      </c>
      <c r="H34" s="43" t="s">
        <v>37</v>
      </c>
      <c r="I34" s="44">
        <v>2</v>
      </c>
      <c r="J34" s="45">
        <v>8</v>
      </c>
      <c r="K34" s="45">
        <v>16</v>
      </c>
    </row>
    <row r="35" spans="4:11">
      <c r="D35" s="42">
        <v>46169</v>
      </c>
      <c r="E35" s="43">
        <v>1606706</v>
      </c>
      <c r="F35" s="43" t="s">
        <v>13</v>
      </c>
      <c r="G35" s="44">
        <v>20376624</v>
      </c>
      <c r="H35" s="43" t="s">
        <v>33</v>
      </c>
      <c r="I35" s="44">
        <v>1</v>
      </c>
      <c r="J35" s="45">
        <v>8</v>
      </c>
      <c r="K35" s="45">
        <v>8</v>
      </c>
    </row>
    <row r="36" spans="4:11">
      <c r="D36" s="42">
        <v>46169</v>
      </c>
      <c r="E36" s="43">
        <v>1606706</v>
      </c>
      <c r="F36" s="43" t="s">
        <v>13</v>
      </c>
      <c r="G36" s="44">
        <v>20406253</v>
      </c>
      <c r="H36" s="43" t="s">
        <v>50</v>
      </c>
      <c r="I36" s="44">
        <v>1</v>
      </c>
      <c r="J36" s="45">
        <v>13.5</v>
      </c>
      <c r="K36" s="45">
        <v>13.5</v>
      </c>
    </row>
    <row r="37" spans="4:11">
      <c r="D37" s="42">
        <v>46169</v>
      </c>
      <c r="E37" s="43">
        <v>1606706</v>
      </c>
      <c r="F37" s="43" t="s">
        <v>13</v>
      </c>
      <c r="G37" s="44">
        <v>20313588</v>
      </c>
      <c r="H37" s="43" t="s">
        <v>30</v>
      </c>
      <c r="I37" s="44">
        <v>2</v>
      </c>
      <c r="J37" s="45">
        <v>8</v>
      </c>
      <c r="K37" s="45">
        <v>16</v>
      </c>
    </row>
    <row r="38" spans="4:11">
      <c r="D38" s="42">
        <v>46169</v>
      </c>
      <c r="E38" s="43">
        <v>1606706</v>
      </c>
      <c r="F38" s="43" t="s">
        <v>13</v>
      </c>
      <c r="G38" s="44">
        <v>20377357</v>
      </c>
      <c r="H38" s="43" t="s">
        <v>37</v>
      </c>
      <c r="I38" s="44">
        <v>1</v>
      </c>
      <c r="J38" s="45">
        <v>8</v>
      </c>
      <c r="K38" s="45">
        <v>8</v>
      </c>
    </row>
    <row r="39" spans="4:11">
      <c r="D39" s="42">
        <v>46170</v>
      </c>
      <c r="E39" s="43">
        <v>1607017</v>
      </c>
      <c r="F39" s="43" t="s">
        <v>13</v>
      </c>
      <c r="G39" s="44">
        <v>20406253</v>
      </c>
      <c r="H39" s="43" t="s">
        <v>50</v>
      </c>
      <c r="I39" s="44">
        <v>3</v>
      </c>
      <c r="J39" s="45">
        <v>13.5</v>
      </c>
      <c r="K39" s="45">
        <v>40.5</v>
      </c>
    </row>
    <row r="40" spans="4:11">
      <c r="D40" s="42">
        <v>46170</v>
      </c>
      <c r="E40" s="43">
        <v>1607017</v>
      </c>
      <c r="F40" s="43" t="s">
        <v>13</v>
      </c>
      <c r="G40" s="44">
        <v>20313588</v>
      </c>
      <c r="H40" s="43" t="s">
        <v>30</v>
      </c>
      <c r="I40" s="44">
        <v>3</v>
      </c>
      <c r="J40" s="45">
        <v>8</v>
      </c>
      <c r="K40" s="45">
        <v>24</v>
      </c>
    </row>
    <row r="41" spans="4:11">
      <c r="D41" s="42">
        <v>46170</v>
      </c>
      <c r="E41" s="43">
        <v>1607017</v>
      </c>
      <c r="F41" s="43" t="s">
        <v>13</v>
      </c>
      <c r="G41" s="44">
        <v>20377357</v>
      </c>
      <c r="H41" s="43" t="s">
        <v>37</v>
      </c>
      <c r="I41" s="44">
        <v>2</v>
      </c>
      <c r="J41" s="45">
        <v>8</v>
      </c>
      <c r="K41" s="45">
        <v>16</v>
      </c>
    </row>
    <row r="42" spans="4:11">
      <c r="D42" s="42">
        <v>46172</v>
      </c>
      <c r="E42" s="43">
        <v>1607778</v>
      </c>
      <c r="F42" s="43" t="s">
        <v>13</v>
      </c>
      <c r="G42" s="44">
        <v>20406253</v>
      </c>
      <c r="H42" s="43" t="s">
        <v>50</v>
      </c>
      <c r="I42" s="44">
        <v>1</v>
      </c>
      <c r="J42" s="45">
        <v>13.5</v>
      </c>
      <c r="K42" s="45">
        <v>13.5</v>
      </c>
    </row>
    <row r="43" spans="4:11">
      <c r="D43" s="42">
        <v>46172</v>
      </c>
      <c r="E43" s="43">
        <v>1607778</v>
      </c>
      <c r="F43" s="43" t="s">
        <v>13</v>
      </c>
      <c r="G43" s="44">
        <v>20313588</v>
      </c>
      <c r="H43" s="43" t="s">
        <v>30</v>
      </c>
      <c r="I43" s="44">
        <v>2</v>
      </c>
      <c r="J43" s="45">
        <v>8</v>
      </c>
      <c r="K43" s="45">
        <v>16</v>
      </c>
    </row>
    <row r="44" spans="4:11">
      <c r="D44" s="42">
        <v>46177</v>
      </c>
      <c r="E44" s="43">
        <v>1609100</v>
      </c>
      <c r="F44" s="43" t="s">
        <v>13</v>
      </c>
      <c r="G44" s="44">
        <v>20376624</v>
      </c>
      <c r="H44" s="43" t="s">
        <v>33</v>
      </c>
      <c r="I44" s="44">
        <v>1</v>
      </c>
      <c r="J44" s="45">
        <v>8</v>
      </c>
      <c r="K44" s="45">
        <v>8</v>
      </c>
    </row>
    <row r="45" spans="4:11">
      <c r="D45" s="42">
        <v>46177</v>
      </c>
      <c r="E45" s="43">
        <v>1609100</v>
      </c>
      <c r="F45" s="43" t="s">
        <v>13</v>
      </c>
      <c r="G45" s="44">
        <v>20406253</v>
      </c>
      <c r="H45" s="43" t="s">
        <v>50</v>
      </c>
      <c r="I45" s="44">
        <v>1</v>
      </c>
      <c r="J45" s="45">
        <v>13.5</v>
      </c>
      <c r="K45" s="45">
        <v>13.5</v>
      </c>
    </row>
    <row r="46" spans="4:11">
      <c r="D46" s="42">
        <v>46177</v>
      </c>
      <c r="E46" s="43">
        <v>1609100</v>
      </c>
      <c r="F46" s="43" t="s">
        <v>13</v>
      </c>
      <c r="G46" s="44">
        <v>20313588</v>
      </c>
      <c r="H46" s="43" t="s">
        <v>30</v>
      </c>
      <c r="I46" s="44">
        <v>1</v>
      </c>
      <c r="J46" s="45">
        <v>8</v>
      </c>
      <c r="K46" s="45">
        <v>8</v>
      </c>
    </row>
    <row r="47" spans="4:11">
      <c r="D47" s="42">
        <v>46177</v>
      </c>
      <c r="E47" s="43">
        <v>1609100</v>
      </c>
      <c r="F47" s="43" t="s">
        <v>13</v>
      </c>
      <c r="G47" s="44">
        <v>20377357</v>
      </c>
      <c r="H47" s="43" t="s">
        <v>37</v>
      </c>
      <c r="I47" s="44">
        <v>1</v>
      </c>
      <c r="J47" s="45">
        <v>8</v>
      </c>
      <c r="K47" s="45">
        <v>8</v>
      </c>
    </row>
    <row r="48" spans="4:11">
      <c r="D48" s="42">
        <v>46178</v>
      </c>
      <c r="E48" s="43">
        <v>1609457</v>
      </c>
      <c r="F48" s="43" t="s">
        <v>13</v>
      </c>
      <c r="G48" s="44">
        <v>20406253</v>
      </c>
      <c r="H48" s="43" t="s">
        <v>50</v>
      </c>
      <c r="I48" s="44">
        <v>1</v>
      </c>
      <c r="J48" s="45">
        <v>13.5</v>
      </c>
      <c r="K48" s="45">
        <v>13.5</v>
      </c>
    </row>
    <row r="49" spans="4:11">
      <c r="D49" s="42">
        <v>46178</v>
      </c>
      <c r="E49" s="43">
        <v>1609457</v>
      </c>
      <c r="F49" s="43" t="s">
        <v>13</v>
      </c>
      <c r="G49" s="44">
        <v>20313588</v>
      </c>
      <c r="H49" s="43" t="s">
        <v>30</v>
      </c>
      <c r="I49" s="44">
        <v>1</v>
      </c>
      <c r="J49" s="45">
        <v>8</v>
      </c>
      <c r="K49" s="45">
        <v>8</v>
      </c>
    </row>
    <row r="50" spans="4:11">
      <c r="D50" s="42">
        <v>46178</v>
      </c>
      <c r="E50" s="43">
        <v>1609457</v>
      </c>
      <c r="F50" s="43" t="s">
        <v>13</v>
      </c>
      <c r="G50" s="44">
        <v>20377357</v>
      </c>
      <c r="H50" s="43" t="s">
        <v>37</v>
      </c>
      <c r="I50" s="44">
        <v>4</v>
      </c>
      <c r="J50" s="45">
        <v>8</v>
      </c>
      <c r="K50" s="45">
        <v>32</v>
      </c>
    </row>
    <row r="51" spans="4:11">
      <c r="D51" s="42">
        <v>46183</v>
      </c>
      <c r="E51" s="43">
        <v>1610831</v>
      </c>
      <c r="F51" s="43" t="s">
        <v>13</v>
      </c>
      <c r="G51" s="44">
        <v>20005208</v>
      </c>
      <c r="H51" s="43" t="s">
        <v>58</v>
      </c>
      <c r="I51" s="44">
        <v>1</v>
      </c>
      <c r="J51" s="45">
        <v>8</v>
      </c>
      <c r="K51" s="45">
        <v>8</v>
      </c>
    </row>
    <row r="52" spans="4:11">
      <c r="D52" s="42">
        <v>46183</v>
      </c>
      <c r="E52" s="43">
        <v>1610831</v>
      </c>
      <c r="F52" s="43" t="s">
        <v>13</v>
      </c>
      <c r="G52" s="44">
        <v>20376624</v>
      </c>
      <c r="H52" s="43" t="s">
        <v>33</v>
      </c>
      <c r="I52" s="44">
        <v>1</v>
      </c>
      <c r="J52" s="45">
        <v>8</v>
      </c>
      <c r="K52" s="45">
        <v>8</v>
      </c>
    </row>
    <row r="53" spans="4:11">
      <c r="D53" s="42">
        <v>46183</v>
      </c>
      <c r="E53" s="43">
        <v>1610831</v>
      </c>
      <c r="F53" s="43" t="s">
        <v>13</v>
      </c>
      <c r="G53" s="44">
        <v>20406253</v>
      </c>
      <c r="H53" s="43" t="s">
        <v>50</v>
      </c>
      <c r="I53" s="44">
        <v>1</v>
      </c>
      <c r="J53" s="45">
        <v>13.5</v>
      </c>
      <c r="K53" s="45">
        <v>13.5</v>
      </c>
    </row>
    <row r="54" spans="4:11">
      <c r="D54" s="42">
        <v>46183</v>
      </c>
      <c r="E54" s="43">
        <v>1610831</v>
      </c>
      <c r="F54" s="43" t="s">
        <v>13</v>
      </c>
      <c r="G54" s="44">
        <v>20313588</v>
      </c>
      <c r="H54" s="43" t="s">
        <v>30</v>
      </c>
      <c r="I54" s="44">
        <v>2</v>
      </c>
      <c r="J54" s="45">
        <v>8</v>
      </c>
      <c r="K54" s="45">
        <v>16</v>
      </c>
    </row>
    <row r="55" spans="4:11">
      <c r="D55" s="42">
        <v>46184</v>
      </c>
      <c r="E55" s="43">
        <v>1611305</v>
      </c>
      <c r="F55" s="43" t="s">
        <v>13</v>
      </c>
      <c r="G55" s="44">
        <v>20005208</v>
      </c>
      <c r="H55" s="43" t="s">
        <v>58</v>
      </c>
      <c r="I55" s="44">
        <v>2</v>
      </c>
      <c r="J55" s="45">
        <v>8</v>
      </c>
      <c r="K55" s="45">
        <v>16</v>
      </c>
    </row>
    <row r="56" spans="4:11">
      <c r="D56" s="42">
        <v>46184</v>
      </c>
      <c r="E56" s="43">
        <v>1611305</v>
      </c>
      <c r="F56" s="43" t="s">
        <v>13</v>
      </c>
      <c r="G56" s="44">
        <v>20313588</v>
      </c>
      <c r="H56" s="43" t="s">
        <v>30</v>
      </c>
      <c r="I56" s="44">
        <v>1</v>
      </c>
      <c r="J56" s="45">
        <v>8</v>
      </c>
      <c r="K56" s="45">
        <v>8</v>
      </c>
    </row>
    <row r="57" spans="4:11">
      <c r="D57" s="42">
        <v>46184</v>
      </c>
      <c r="E57" s="43">
        <v>1611305</v>
      </c>
      <c r="F57" s="43" t="s">
        <v>13</v>
      </c>
      <c r="G57" s="44">
        <v>20376620</v>
      </c>
      <c r="H57" s="43" t="s">
        <v>65</v>
      </c>
      <c r="I57" s="44">
        <v>2</v>
      </c>
      <c r="J57" s="45">
        <v>8</v>
      </c>
      <c r="K57" s="45">
        <v>16</v>
      </c>
    </row>
    <row r="58" spans="4:11">
      <c r="D58" s="42">
        <v>46184</v>
      </c>
      <c r="E58" s="43">
        <v>1611580</v>
      </c>
      <c r="F58" s="43" t="s">
        <v>13</v>
      </c>
      <c r="G58" s="44">
        <v>20406253</v>
      </c>
      <c r="H58" s="43" t="s">
        <v>50</v>
      </c>
      <c r="I58" s="44">
        <v>1</v>
      </c>
      <c r="J58" s="45">
        <v>13.5</v>
      </c>
      <c r="K58" s="45">
        <v>13.5</v>
      </c>
    </row>
    <row r="59" spans="4:11">
      <c r="D59" s="42">
        <v>46184</v>
      </c>
      <c r="E59" s="43">
        <v>1611580</v>
      </c>
      <c r="F59" s="43" t="s">
        <v>13</v>
      </c>
      <c r="G59" s="44">
        <v>20313588</v>
      </c>
      <c r="H59" s="43" t="s">
        <v>30</v>
      </c>
      <c r="I59" s="44">
        <v>2</v>
      </c>
      <c r="J59" s="45">
        <v>8</v>
      </c>
      <c r="K59" s="45">
        <v>16</v>
      </c>
    </row>
    <row r="60" spans="4:11">
      <c r="D60" s="42">
        <v>46184</v>
      </c>
      <c r="E60" s="43">
        <v>1611580</v>
      </c>
      <c r="F60" s="43" t="s">
        <v>13</v>
      </c>
      <c r="G60" s="44">
        <v>20395986</v>
      </c>
      <c r="H60" s="43" t="s">
        <v>75</v>
      </c>
      <c r="I60" s="44">
        <v>1</v>
      </c>
      <c r="J60" s="45">
        <v>13.5</v>
      </c>
      <c r="K60" s="45">
        <v>13.5</v>
      </c>
    </row>
  </sheetData>
  <autoFilter xmlns:etc="http://www.wps.cn/officeDocument/2017/etCustomData" ref="A7:K60" etc:filterBottomFollowUsedRange="0">
    <extLst/>
  </autoFilter>
  <mergeCells count="5">
    <mergeCell ref="D8:H8"/>
    <mergeCell ref="C7:C60"/>
    <mergeCell ref="B4:H5"/>
    <mergeCell ref="A7:B6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96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104</v>
      </c>
      <c r="J8" s="41"/>
      <c r="K8" s="41">
        <v>982</v>
      </c>
    </row>
    <row r="9" spans="1:11">
      <c r="D9" s="42">
        <v>46162</v>
      </c>
      <c r="E9" s="43">
        <v>1604589</v>
      </c>
      <c r="F9" s="43" t="s">
        <v>13</v>
      </c>
      <c r="G9" s="44">
        <v>20406253</v>
      </c>
      <c r="H9" s="43" t="s">
        <v>50</v>
      </c>
      <c r="I9" s="44">
        <v>2</v>
      </c>
      <c r="J9" s="45">
        <v>13.5</v>
      </c>
      <c r="K9" s="45">
        <v>27</v>
      </c>
    </row>
    <row r="10" spans="1:11">
      <c r="D10" s="42">
        <v>46162</v>
      </c>
      <c r="E10" s="43">
        <v>1604589</v>
      </c>
      <c r="F10" s="43" t="s">
        <v>13</v>
      </c>
      <c r="G10" s="44">
        <v>20313588</v>
      </c>
      <c r="H10" s="43" t="s">
        <v>30</v>
      </c>
      <c r="I10" s="44">
        <v>2</v>
      </c>
      <c r="J10" s="45">
        <v>8</v>
      </c>
      <c r="K10" s="45">
        <v>16</v>
      </c>
    </row>
    <row r="11" spans="1:11">
      <c r="D11" s="42">
        <v>46162</v>
      </c>
      <c r="E11" s="43">
        <v>1604589</v>
      </c>
      <c r="F11" s="43" t="s">
        <v>13</v>
      </c>
      <c r="G11" s="44">
        <v>20401202</v>
      </c>
      <c r="H11" s="43" t="s">
        <v>85</v>
      </c>
      <c r="I11" s="44">
        <v>1</v>
      </c>
      <c r="J11" s="45">
        <v>13.5</v>
      </c>
      <c r="K11" s="45">
        <v>13.5</v>
      </c>
    </row>
    <row r="12" spans="1:11">
      <c r="D12" s="42">
        <v>46162</v>
      </c>
      <c r="E12" s="43">
        <v>1604589</v>
      </c>
      <c r="F12" s="43" t="s">
        <v>13</v>
      </c>
      <c r="G12" s="44">
        <v>20376620</v>
      </c>
      <c r="H12" s="43" t="s">
        <v>65</v>
      </c>
      <c r="I12" s="44">
        <v>2</v>
      </c>
      <c r="J12" s="45">
        <v>8</v>
      </c>
      <c r="K12" s="45">
        <v>16</v>
      </c>
    </row>
    <row r="13" spans="1:11">
      <c r="D13" s="42">
        <v>46162</v>
      </c>
      <c r="E13" s="43">
        <v>1604694</v>
      </c>
      <c r="F13" s="43" t="s">
        <v>13</v>
      </c>
      <c r="G13" s="44">
        <v>20406253</v>
      </c>
      <c r="H13" s="43" t="s">
        <v>50</v>
      </c>
      <c r="I13" s="44">
        <v>3</v>
      </c>
      <c r="J13" s="45">
        <v>13.5</v>
      </c>
      <c r="K13" s="45">
        <v>40.5</v>
      </c>
    </row>
    <row r="14" spans="1:11">
      <c r="D14" s="42">
        <v>46162</v>
      </c>
      <c r="E14" s="43">
        <v>1604694</v>
      </c>
      <c r="F14" s="43" t="s">
        <v>13</v>
      </c>
      <c r="G14" s="44">
        <v>20313588</v>
      </c>
      <c r="H14" s="43" t="s">
        <v>30</v>
      </c>
      <c r="I14" s="44">
        <v>2</v>
      </c>
      <c r="J14" s="45">
        <v>8</v>
      </c>
      <c r="K14" s="45">
        <v>16</v>
      </c>
    </row>
    <row r="15" spans="1:11">
      <c r="D15" s="42">
        <v>46162</v>
      </c>
      <c r="E15" s="43">
        <v>1604694</v>
      </c>
      <c r="F15" s="43" t="s">
        <v>13</v>
      </c>
      <c r="G15" s="44">
        <v>20376620</v>
      </c>
      <c r="H15" s="43" t="s">
        <v>65</v>
      </c>
      <c r="I15" s="44">
        <v>1</v>
      </c>
      <c r="J15" s="45">
        <v>8</v>
      </c>
      <c r="K15" s="45">
        <v>8</v>
      </c>
    </row>
    <row r="16" spans="1:11">
      <c r="D16" s="42">
        <v>46165</v>
      </c>
      <c r="E16" s="43">
        <v>1605739</v>
      </c>
      <c r="F16" s="43" t="s">
        <v>13</v>
      </c>
      <c r="G16" s="44">
        <v>20376624</v>
      </c>
      <c r="H16" s="43" t="s">
        <v>33</v>
      </c>
      <c r="I16" s="44">
        <v>1</v>
      </c>
      <c r="J16" s="45">
        <v>8</v>
      </c>
      <c r="K16" s="45">
        <v>8</v>
      </c>
    </row>
    <row r="17" spans="4:11">
      <c r="D17" s="42">
        <v>46165</v>
      </c>
      <c r="E17" s="43">
        <v>1605739</v>
      </c>
      <c r="F17" s="43" t="s">
        <v>13</v>
      </c>
      <c r="G17" s="44">
        <v>20406253</v>
      </c>
      <c r="H17" s="43" t="s">
        <v>50</v>
      </c>
      <c r="I17" s="44">
        <v>3</v>
      </c>
      <c r="J17" s="45">
        <v>13.5</v>
      </c>
      <c r="K17" s="45">
        <v>40.5</v>
      </c>
    </row>
    <row r="18" spans="4:11">
      <c r="D18" s="42">
        <v>46165</v>
      </c>
      <c r="E18" s="43">
        <v>1605739</v>
      </c>
      <c r="F18" s="43" t="s">
        <v>13</v>
      </c>
      <c r="G18" s="44">
        <v>20313588</v>
      </c>
      <c r="H18" s="43" t="s">
        <v>30</v>
      </c>
      <c r="I18" s="44">
        <v>3</v>
      </c>
      <c r="J18" s="45">
        <v>8</v>
      </c>
      <c r="K18" s="45">
        <v>24</v>
      </c>
    </row>
    <row r="19" spans="4:11">
      <c r="D19" s="42">
        <v>46169</v>
      </c>
      <c r="E19" s="43">
        <v>1606795</v>
      </c>
      <c r="F19" s="43" t="s">
        <v>13</v>
      </c>
      <c r="G19" s="44">
        <v>20406253</v>
      </c>
      <c r="H19" s="43" t="s">
        <v>50</v>
      </c>
      <c r="I19" s="44">
        <v>2</v>
      </c>
      <c r="J19" s="45">
        <v>13.5</v>
      </c>
      <c r="K19" s="45">
        <v>27</v>
      </c>
    </row>
    <row r="20" spans="4:11">
      <c r="D20" s="42">
        <v>46169</v>
      </c>
      <c r="E20" s="43">
        <v>1606795</v>
      </c>
      <c r="F20" s="43" t="s">
        <v>13</v>
      </c>
      <c r="G20" s="44">
        <v>20313588</v>
      </c>
      <c r="H20" s="43" t="s">
        <v>30</v>
      </c>
      <c r="I20" s="44">
        <v>4</v>
      </c>
      <c r="J20" s="45">
        <v>8</v>
      </c>
      <c r="K20" s="45">
        <v>32</v>
      </c>
    </row>
    <row r="21" spans="4:11">
      <c r="D21" s="42">
        <v>46170</v>
      </c>
      <c r="E21" s="43">
        <v>1607018</v>
      </c>
      <c r="F21" s="43" t="s">
        <v>13</v>
      </c>
      <c r="G21" s="44">
        <v>20376624</v>
      </c>
      <c r="H21" s="43" t="s">
        <v>33</v>
      </c>
      <c r="I21" s="44">
        <v>1</v>
      </c>
      <c r="J21" s="45">
        <v>8</v>
      </c>
      <c r="K21" s="45">
        <v>8</v>
      </c>
    </row>
    <row r="22" spans="4:11">
      <c r="D22" s="42">
        <v>46170</v>
      </c>
      <c r="E22" s="43">
        <v>1607018</v>
      </c>
      <c r="F22" s="43" t="s">
        <v>13</v>
      </c>
      <c r="G22" s="44">
        <v>20394943</v>
      </c>
      <c r="H22" s="43" t="s">
        <v>35</v>
      </c>
      <c r="I22" s="44">
        <v>1</v>
      </c>
      <c r="J22" s="45">
        <v>11</v>
      </c>
      <c r="K22" s="45">
        <v>11</v>
      </c>
    </row>
    <row r="23" spans="4:11">
      <c r="D23" s="42">
        <v>46170</v>
      </c>
      <c r="E23" s="43">
        <v>1607018</v>
      </c>
      <c r="F23" s="43" t="s">
        <v>13</v>
      </c>
      <c r="G23" s="44">
        <v>20313588</v>
      </c>
      <c r="H23" s="43" t="s">
        <v>30</v>
      </c>
      <c r="I23" s="44">
        <v>2</v>
      </c>
      <c r="J23" s="45">
        <v>8</v>
      </c>
      <c r="K23" s="45">
        <v>16</v>
      </c>
    </row>
    <row r="24" spans="4:11">
      <c r="D24" s="42">
        <v>46170</v>
      </c>
      <c r="E24" s="43">
        <v>1607018</v>
      </c>
      <c r="F24" s="43" t="s">
        <v>13</v>
      </c>
      <c r="G24" s="44">
        <v>20377357</v>
      </c>
      <c r="H24" s="43" t="s">
        <v>37</v>
      </c>
      <c r="I24" s="44">
        <v>1</v>
      </c>
      <c r="J24" s="45">
        <v>8</v>
      </c>
      <c r="K24" s="45">
        <v>8</v>
      </c>
    </row>
    <row r="25" spans="4:11">
      <c r="D25" s="42">
        <v>46170</v>
      </c>
      <c r="E25" s="43">
        <v>1607140</v>
      </c>
      <c r="F25" s="43" t="s">
        <v>13</v>
      </c>
      <c r="G25" s="44">
        <v>20406253</v>
      </c>
      <c r="H25" s="43" t="s">
        <v>50</v>
      </c>
      <c r="I25" s="44">
        <v>1</v>
      </c>
      <c r="J25" s="45">
        <v>13.5</v>
      </c>
      <c r="K25" s="45">
        <v>13.5</v>
      </c>
    </row>
    <row r="26" spans="4:11">
      <c r="D26" s="42">
        <v>46170</v>
      </c>
      <c r="E26" s="43">
        <v>1607140</v>
      </c>
      <c r="F26" s="43" t="s">
        <v>13</v>
      </c>
      <c r="G26" s="44">
        <v>20313588</v>
      </c>
      <c r="H26" s="43" t="s">
        <v>30</v>
      </c>
      <c r="I26" s="44">
        <v>3</v>
      </c>
      <c r="J26" s="45">
        <v>8</v>
      </c>
      <c r="K26" s="45">
        <v>24</v>
      </c>
    </row>
    <row r="27" spans="4:11">
      <c r="D27" s="42">
        <v>46170</v>
      </c>
      <c r="E27" s="43">
        <v>1607140</v>
      </c>
      <c r="F27" s="43" t="s">
        <v>13</v>
      </c>
      <c r="G27" s="44">
        <v>20376621</v>
      </c>
      <c r="H27" s="43" t="s">
        <v>65</v>
      </c>
      <c r="I27" s="44">
        <v>1</v>
      </c>
      <c r="J27" s="45">
        <v>8</v>
      </c>
      <c r="K27" s="45">
        <v>8</v>
      </c>
    </row>
    <row r="28" spans="4:11">
      <c r="D28" s="42">
        <v>46171</v>
      </c>
      <c r="E28" s="43">
        <v>1607421</v>
      </c>
      <c r="F28" s="43" t="s">
        <v>13</v>
      </c>
      <c r="G28" s="44">
        <v>20313588</v>
      </c>
      <c r="H28" s="43" t="s">
        <v>30</v>
      </c>
      <c r="I28" s="44">
        <v>4</v>
      </c>
      <c r="J28" s="45">
        <v>8</v>
      </c>
      <c r="K28" s="45">
        <v>32</v>
      </c>
    </row>
    <row r="29" spans="4:11">
      <c r="D29" s="42">
        <v>46171</v>
      </c>
      <c r="E29" s="43">
        <v>1607421</v>
      </c>
      <c r="F29" s="43" t="s">
        <v>13</v>
      </c>
      <c r="G29" s="44">
        <v>20377357</v>
      </c>
      <c r="H29" s="43" t="s">
        <v>37</v>
      </c>
      <c r="I29" s="44">
        <v>3</v>
      </c>
      <c r="J29" s="45">
        <v>8</v>
      </c>
      <c r="K29" s="45">
        <v>24</v>
      </c>
    </row>
    <row r="30" spans="4:11">
      <c r="D30" s="42">
        <v>46171</v>
      </c>
      <c r="E30" s="43">
        <v>1607540</v>
      </c>
      <c r="F30" s="43" t="s">
        <v>13</v>
      </c>
      <c r="G30" s="44">
        <v>20406253</v>
      </c>
      <c r="H30" s="43" t="s">
        <v>50</v>
      </c>
      <c r="I30" s="44">
        <v>1</v>
      </c>
      <c r="J30" s="45">
        <v>13.5</v>
      </c>
      <c r="K30" s="45">
        <v>13.5</v>
      </c>
    </row>
    <row r="31" spans="4:11">
      <c r="D31" s="42">
        <v>46171</v>
      </c>
      <c r="E31" s="43">
        <v>1607540</v>
      </c>
      <c r="F31" s="43" t="s">
        <v>13</v>
      </c>
      <c r="G31" s="44">
        <v>20313588</v>
      </c>
      <c r="H31" s="43" t="s">
        <v>30</v>
      </c>
      <c r="I31" s="44">
        <v>2</v>
      </c>
      <c r="J31" s="45">
        <v>8</v>
      </c>
      <c r="K31" s="45">
        <v>16</v>
      </c>
    </row>
    <row r="32" spans="4:11">
      <c r="D32" s="42">
        <v>46171</v>
      </c>
      <c r="E32" s="43">
        <v>1607540</v>
      </c>
      <c r="F32" s="43" t="s">
        <v>13</v>
      </c>
      <c r="G32" s="44">
        <v>20376620</v>
      </c>
      <c r="H32" s="43" t="s">
        <v>65</v>
      </c>
      <c r="I32" s="44">
        <v>1</v>
      </c>
      <c r="J32" s="45">
        <v>8</v>
      </c>
      <c r="K32" s="45">
        <v>8</v>
      </c>
    </row>
    <row r="33" spans="4:11">
      <c r="D33" s="42">
        <v>46171</v>
      </c>
      <c r="E33" s="43">
        <v>1607540</v>
      </c>
      <c r="F33" s="43" t="s">
        <v>13</v>
      </c>
      <c r="G33" s="44">
        <v>20377357</v>
      </c>
      <c r="H33" s="43" t="s">
        <v>37</v>
      </c>
      <c r="I33" s="44">
        <v>2</v>
      </c>
      <c r="J33" s="45">
        <v>8</v>
      </c>
      <c r="K33" s="45">
        <v>16</v>
      </c>
    </row>
    <row r="34" spans="4:11">
      <c r="D34" s="42">
        <v>46172</v>
      </c>
      <c r="E34" s="43">
        <v>1607779</v>
      </c>
      <c r="F34" s="43" t="s">
        <v>13</v>
      </c>
      <c r="G34" s="44">
        <v>20394943</v>
      </c>
      <c r="H34" s="43" t="s">
        <v>35</v>
      </c>
      <c r="I34" s="44">
        <v>1</v>
      </c>
      <c r="J34" s="45">
        <v>11</v>
      </c>
      <c r="K34" s="45">
        <v>11</v>
      </c>
    </row>
    <row r="35" spans="4:11">
      <c r="D35" s="42">
        <v>46172</v>
      </c>
      <c r="E35" s="43">
        <v>1607779</v>
      </c>
      <c r="F35" s="43" t="s">
        <v>13</v>
      </c>
      <c r="G35" s="44">
        <v>20313588</v>
      </c>
      <c r="H35" s="43" t="s">
        <v>30</v>
      </c>
      <c r="I35" s="44">
        <v>1</v>
      </c>
      <c r="J35" s="45">
        <v>8</v>
      </c>
      <c r="K35" s="45">
        <v>8</v>
      </c>
    </row>
    <row r="36" spans="4:11">
      <c r="D36" s="42">
        <v>46172</v>
      </c>
      <c r="E36" s="43">
        <v>1607779</v>
      </c>
      <c r="F36" s="43" t="s">
        <v>13</v>
      </c>
      <c r="G36" s="44">
        <v>20396337</v>
      </c>
      <c r="H36" s="43" t="s">
        <v>40</v>
      </c>
      <c r="I36" s="44">
        <v>1</v>
      </c>
      <c r="J36" s="45">
        <v>8</v>
      </c>
      <c r="K36" s="45">
        <v>8</v>
      </c>
    </row>
    <row r="37" spans="4:11">
      <c r="D37" s="42">
        <v>46172</v>
      </c>
      <c r="E37" s="43">
        <v>1607779</v>
      </c>
      <c r="F37" s="43" t="s">
        <v>13</v>
      </c>
      <c r="G37" s="44">
        <v>20395495</v>
      </c>
      <c r="H37" s="43" t="s">
        <v>36</v>
      </c>
      <c r="I37" s="44">
        <v>2</v>
      </c>
      <c r="J37" s="45">
        <v>13.5</v>
      </c>
      <c r="K37" s="45">
        <v>27</v>
      </c>
    </row>
    <row r="38" spans="4:11">
      <c r="D38" s="42">
        <v>46172</v>
      </c>
      <c r="E38" s="43">
        <v>1607779</v>
      </c>
      <c r="F38" s="43" t="s">
        <v>13</v>
      </c>
      <c r="G38" s="44">
        <v>20377357</v>
      </c>
      <c r="H38" s="43" t="s">
        <v>37</v>
      </c>
      <c r="I38" s="44">
        <v>1</v>
      </c>
      <c r="J38" s="45">
        <v>8</v>
      </c>
      <c r="K38" s="45">
        <v>8</v>
      </c>
    </row>
    <row r="39" spans="4:11">
      <c r="D39" s="42">
        <v>46178</v>
      </c>
      <c r="E39" s="43">
        <v>1609588</v>
      </c>
      <c r="F39" s="43" t="s">
        <v>13</v>
      </c>
      <c r="G39" s="44">
        <v>20313588</v>
      </c>
      <c r="H39" s="43" t="s">
        <v>30</v>
      </c>
      <c r="I39" s="44">
        <v>3</v>
      </c>
      <c r="J39" s="45">
        <v>8</v>
      </c>
      <c r="K39" s="45">
        <v>24</v>
      </c>
    </row>
    <row r="40" spans="4:11">
      <c r="D40" s="42">
        <v>46178</v>
      </c>
      <c r="E40" s="43">
        <v>1609588</v>
      </c>
      <c r="F40" s="43" t="s">
        <v>13</v>
      </c>
      <c r="G40" s="44">
        <v>20377357</v>
      </c>
      <c r="H40" s="43" t="s">
        <v>37</v>
      </c>
      <c r="I40" s="44">
        <v>3</v>
      </c>
      <c r="J40" s="45">
        <v>8</v>
      </c>
      <c r="K40" s="45">
        <v>24</v>
      </c>
    </row>
    <row r="41" spans="4:11">
      <c r="D41" s="42">
        <v>46179</v>
      </c>
      <c r="E41" s="43">
        <v>1609880</v>
      </c>
      <c r="F41" s="43" t="s">
        <v>13</v>
      </c>
      <c r="G41" s="44">
        <v>20406253</v>
      </c>
      <c r="H41" s="43" t="s">
        <v>50</v>
      </c>
      <c r="I41" s="44">
        <v>1</v>
      </c>
      <c r="J41" s="45">
        <v>13.5</v>
      </c>
      <c r="K41" s="45">
        <v>13.5</v>
      </c>
    </row>
    <row r="42" spans="4:11">
      <c r="D42" s="42">
        <v>46179</v>
      </c>
      <c r="E42" s="43">
        <v>1609880</v>
      </c>
      <c r="F42" s="43" t="s">
        <v>13</v>
      </c>
      <c r="G42" s="44">
        <v>20313588</v>
      </c>
      <c r="H42" s="43" t="s">
        <v>30</v>
      </c>
      <c r="I42" s="44">
        <v>3</v>
      </c>
      <c r="J42" s="45">
        <v>8</v>
      </c>
      <c r="K42" s="45">
        <v>24</v>
      </c>
    </row>
    <row r="43" spans="4:11">
      <c r="D43" s="42">
        <v>46179</v>
      </c>
      <c r="E43" s="43">
        <v>1609880</v>
      </c>
      <c r="F43" s="43" t="s">
        <v>13</v>
      </c>
      <c r="G43" s="44">
        <v>20376621</v>
      </c>
      <c r="H43" s="43" t="s">
        <v>65</v>
      </c>
      <c r="I43" s="44">
        <v>1</v>
      </c>
      <c r="J43" s="45">
        <v>8</v>
      </c>
      <c r="K43" s="45">
        <v>8</v>
      </c>
    </row>
    <row r="44" spans="4:11">
      <c r="D44" s="42">
        <v>46179</v>
      </c>
      <c r="E44" s="43">
        <v>1609880</v>
      </c>
      <c r="F44" s="43" t="s">
        <v>13</v>
      </c>
      <c r="G44" s="44">
        <v>20377357</v>
      </c>
      <c r="H44" s="43" t="s">
        <v>37</v>
      </c>
      <c r="I44" s="44">
        <v>2</v>
      </c>
      <c r="J44" s="45">
        <v>8</v>
      </c>
      <c r="K44" s="45">
        <v>16</v>
      </c>
    </row>
    <row r="45" spans="4:11">
      <c r="D45" s="42">
        <v>46182</v>
      </c>
      <c r="E45" s="43">
        <v>1610562</v>
      </c>
      <c r="F45" s="43" t="s">
        <v>13</v>
      </c>
      <c r="G45" s="44">
        <v>20313588</v>
      </c>
      <c r="H45" s="43" t="s">
        <v>30</v>
      </c>
      <c r="I45" s="44">
        <v>3</v>
      </c>
      <c r="J45" s="45">
        <v>8</v>
      </c>
      <c r="K45" s="45">
        <v>24</v>
      </c>
    </row>
    <row r="46" spans="4:11">
      <c r="D46" s="42">
        <v>46182</v>
      </c>
      <c r="E46" s="43">
        <v>1610562</v>
      </c>
      <c r="F46" s="43" t="s">
        <v>13</v>
      </c>
      <c r="G46" s="44">
        <v>20401202</v>
      </c>
      <c r="H46" s="43" t="s">
        <v>85</v>
      </c>
      <c r="I46" s="44">
        <v>1</v>
      </c>
      <c r="J46" s="45">
        <v>13.5</v>
      </c>
      <c r="K46" s="45">
        <v>13.5</v>
      </c>
    </row>
    <row r="47" spans="4:11">
      <c r="D47" s="42">
        <v>46183</v>
      </c>
      <c r="E47" s="43">
        <v>1610832</v>
      </c>
      <c r="F47" s="43" t="s">
        <v>13</v>
      </c>
      <c r="G47" s="44">
        <v>20406253</v>
      </c>
      <c r="H47" s="43" t="s">
        <v>50</v>
      </c>
      <c r="I47" s="44">
        <v>2</v>
      </c>
      <c r="J47" s="45">
        <v>13.5</v>
      </c>
      <c r="K47" s="45">
        <v>27</v>
      </c>
    </row>
    <row r="48" spans="4:11">
      <c r="D48" s="42">
        <v>46183</v>
      </c>
      <c r="E48" s="43">
        <v>1610832</v>
      </c>
      <c r="F48" s="43" t="s">
        <v>13</v>
      </c>
      <c r="G48" s="44">
        <v>20394943</v>
      </c>
      <c r="H48" s="43" t="s">
        <v>35</v>
      </c>
      <c r="I48" s="44">
        <v>1</v>
      </c>
      <c r="J48" s="45">
        <v>11</v>
      </c>
      <c r="K48" s="45">
        <v>11</v>
      </c>
    </row>
    <row r="49" spans="4:11">
      <c r="D49" s="42">
        <v>46183</v>
      </c>
      <c r="E49" s="43">
        <v>1610832</v>
      </c>
      <c r="F49" s="43" t="s">
        <v>13</v>
      </c>
      <c r="G49" s="44">
        <v>20313588</v>
      </c>
      <c r="H49" s="43" t="s">
        <v>30</v>
      </c>
      <c r="I49" s="44">
        <v>4</v>
      </c>
      <c r="J49" s="45">
        <v>8</v>
      </c>
      <c r="K49" s="45">
        <v>32</v>
      </c>
    </row>
    <row r="50" spans="4:11">
      <c r="D50" s="42">
        <v>46183</v>
      </c>
      <c r="E50" s="43">
        <v>1610832</v>
      </c>
      <c r="F50" s="43" t="s">
        <v>13</v>
      </c>
      <c r="G50" s="44">
        <v>20411301</v>
      </c>
      <c r="H50" s="43" t="s">
        <v>97</v>
      </c>
      <c r="I50" s="44">
        <v>1</v>
      </c>
      <c r="J50" s="45">
        <v>22</v>
      </c>
      <c r="K50" s="45">
        <v>22</v>
      </c>
    </row>
    <row r="51" spans="4:11">
      <c r="D51" s="42">
        <v>46183</v>
      </c>
      <c r="E51" s="43">
        <v>1610832</v>
      </c>
      <c r="F51" s="43" t="s">
        <v>13</v>
      </c>
      <c r="G51" s="44">
        <v>20376620</v>
      </c>
      <c r="H51" s="43" t="s">
        <v>65</v>
      </c>
      <c r="I51" s="44">
        <v>2</v>
      </c>
      <c r="J51" s="45">
        <v>8</v>
      </c>
      <c r="K51" s="45">
        <v>16</v>
      </c>
    </row>
    <row r="52" spans="4:11">
      <c r="D52" s="42">
        <v>46183</v>
      </c>
      <c r="E52" s="43">
        <v>1610832</v>
      </c>
      <c r="F52" s="43" t="s">
        <v>13</v>
      </c>
      <c r="G52" s="44">
        <v>20377357</v>
      </c>
      <c r="H52" s="43" t="s">
        <v>37</v>
      </c>
      <c r="I52" s="44">
        <v>1</v>
      </c>
      <c r="J52" s="45">
        <v>8</v>
      </c>
      <c r="K52" s="45">
        <v>8</v>
      </c>
    </row>
    <row r="53" spans="4:11">
      <c r="D53" s="42">
        <v>46183</v>
      </c>
      <c r="E53" s="43">
        <v>1611141</v>
      </c>
      <c r="F53" s="43" t="s">
        <v>13</v>
      </c>
      <c r="G53" s="44">
        <v>20394943</v>
      </c>
      <c r="H53" s="43" t="s">
        <v>35</v>
      </c>
      <c r="I53" s="44">
        <v>1</v>
      </c>
      <c r="J53" s="45">
        <v>11</v>
      </c>
      <c r="K53" s="45">
        <v>11</v>
      </c>
    </row>
    <row r="54" spans="4:11">
      <c r="D54" s="42">
        <v>46183</v>
      </c>
      <c r="E54" s="43">
        <v>1611141</v>
      </c>
      <c r="F54" s="43" t="s">
        <v>13</v>
      </c>
      <c r="G54" s="44">
        <v>20313588</v>
      </c>
      <c r="H54" s="43" t="s">
        <v>30</v>
      </c>
      <c r="I54" s="44">
        <v>6</v>
      </c>
      <c r="J54" s="45">
        <v>8</v>
      </c>
      <c r="K54" s="45">
        <v>48</v>
      </c>
    </row>
    <row r="55" spans="4:11">
      <c r="D55" s="42">
        <v>46183</v>
      </c>
      <c r="E55" s="43">
        <v>1611141</v>
      </c>
      <c r="F55" s="43" t="s">
        <v>13</v>
      </c>
      <c r="G55" s="44">
        <v>20416638</v>
      </c>
      <c r="H55" s="43" t="s">
        <v>98</v>
      </c>
      <c r="I55" s="44">
        <v>1</v>
      </c>
      <c r="J55" s="45">
        <v>16.5</v>
      </c>
      <c r="K55" s="45">
        <v>16.5</v>
      </c>
    </row>
    <row r="56" spans="4:11">
      <c r="D56" s="42">
        <v>46184</v>
      </c>
      <c r="E56" s="43">
        <v>1611306</v>
      </c>
      <c r="F56" s="43" t="s">
        <v>13</v>
      </c>
      <c r="G56" s="44">
        <v>20313588</v>
      </c>
      <c r="H56" s="43" t="s">
        <v>30</v>
      </c>
      <c r="I56" s="44">
        <v>2</v>
      </c>
      <c r="J56" s="45">
        <v>8</v>
      </c>
      <c r="K56" s="45">
        <v>16</v>
      </c>
    </row>
    <row r="57" spans="4:11">
      <c r="D57" s="42">
        <v>46184</v>
      </c>
      <c r="E57" s="43">
        <v>1611306</v>
      </c>
      <c r="F57" s="43" t="s">
        <v>13</v>
      </c>
      <c r="G57" s="44">
        <v>20376621</v>
      </c>
      <c r="H57" s="43" t="s">
        <v>65</v>
      </c>
      <c r="I57" s="44">
        <v>1</v>
      </c>
      <c r="J57" s="45">
        <v>8</v>
      </c>
      <c r="K57" s="45">
        <v>8</v>
      </c>
    </row>
    <row r="58" spans="4:11">
      <c r="D58" s="42">
        <v>46184</v>
      </c>
      <c r="E58" s="43">
        <v>1611306</v>
      </c>
      <c r="F58" s="43" t="s">
        <v>13</v>
      </c>
      <c r="G58" s="44">
        <v>20377357</v>
      </c>
      <c r="H58" s="43" t="s">
        <v>37</v>
      </c>
      <c r="I58" s="44">
        <v>1</v>
      </c>
      <c r="J58" s="45">
        <v>8</v>
      </c>
      <c r="K58" s="45">
        <v>8</v>
      </c>
    </row>
    <row r="59" spans="4:11">
      <c r="D59" s="42">
        <v>46184</v>
      </c>
      <c r="E59" s="43">
        <v>1611581</v>
      </c>
      <c r="F59" s="43" t="s">
        <v>13</v>
      </c>
      <c r="G59" s="44">
        <v>20406253</v>
      </c>
      <c r="H59" s="43" t="s">
        <v>50</v>
      </c>
      <c r="I59" s="44">
        <v>2</v>
      </c>
      <c r="J59" s="45">
        <v>13.5</v>
      </c>
      <c r="K59" s="45">
        <v>27</v>
      </c>
    </row>
    <row r="60" spans="4:11">
      <c r="D60" s="42">
        <v>46184</v>
      </c>
      <c r="E60" s="43">
        <v>1611581</v>
      </c>
      <c r="F60" s="43" t="s">
        <v>13</v>
      </c>
      <c r="G60" s="44">
        <v>20313588</v>
      </c>
      <c r="H60" s="43" t="s">
        <v>30</v>
      </c>
      <c r="I60" s="44">
        <v>5</v>
      </c>
      <c r="J60" s="45">
        <v>8</v>
      </c>
      <c r="K60" s="45">
        <v>40</v>
      </c>
    </row>
    <row r="61" spans="4:11">
      <c r="D61" s="42">
        <v>46184</v>
      </c>
      <c r="E61" s="43">
        <v>1611581</v>
      </c>
      <c r="F61" s="43" t="s">
        <v>13</v>
      </c>
      <c r="G61" s="44">
        <v>20376620</v>
      </c>
      <c r="H61" s="43" t="s">
        <v>65</v>
      </c>
      <c r="I61" s="44">
        <v>1</v>
      </c>
      <c r="J61" s="45">
        <v>8</v>
      </c>
      <c r="K61" s="45">
        <v>8</v>
      </c>
    </row>
    <row r="62" spans="4:11">
      <c r="D62" s="42">
        <v>46184</v>
      </c>
      <c r="E62" s="43">
        <v>1611581</v>
      </c>
      <c r="F62" s="43" t="s">
        <v>13</v>
      </c>
      <c r="G62" s="44">
        <v>20377357</v>
      </c>
      <c r="H62" s="43" t="s">
        <v>37</v>
      </c>
      <c r="I62" s="44">
        <v>1</v>
      </c>
      <c r="J62" s="45">
        <v>8</v>
      </c>
      <c r="K62" s="45">
        <v>8</v>
      </c>
    </row>
  </sheetData>
  <autoFilter xmlns:etc="http://www.wps.cn/officeDocument/2017/etCustomData" ref="A7:K62" etc:filterBottomFollowUsedRange="0">
    <extLst/>
  </autoFilter>
  <mergeCells count="5">
    <mergeCell ref="D8:H8"/>
    <mergeCell ref="C7:C62"/>
    <mergeCell ref="B4:H5"/>
    <mergeCell ref="A7:B6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99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1651</v>
      </c>
      <c r="J8" s="41"/>
      <c r="K8" s="41">
        <v>13208</v>
      </c>
    </row>
    <row r="9" spans="1:11">
      <c r="D9" s="42">
        <v>46158</v>
      </c>
      <c r="E9" s="43">
        <v>1603670</v>
      </c>
      <c r="F9" s="43" t="s">
        <v>13</v>
      </c>
      <c r="G9" s="44">
        <v>20354551</v>
      </c>
      <c r="H9" s="43" t="s">
        <v>100</v>
      </c>
      <c r="I9" s="44">
        <v>56</v>
      </c>
      <c r="J9" s="45">
        <v>8</v>
      </c>
      <c r="K9" s="45">
        <v>448</v>
      </c>
    </row>
    <row r="10" spans="1:11">
      <c r="D10" s="42">
        <v>46158</v>
      </c>
      <c r="E10" s="43">
        <v>1603780</v>
      </c>
      <c r="F10" s="43" t="s">
        <v>13</v>
      </c>
      <c r="G10" s="44">
        <v>20354551</v>
      </c>
      <c r="H10" s="43" t="s">
        <v>100</v>
      </c>
      <c r="I10" s="44">
        <v>28</v>
      </c>
      <c r="J10" s="45">
        <v>8</v>
      </c>
      <c r="K10" s="45">
        <v>224</v>
      </c>
    </row>
    <row r="11" spans="1:11">
      <c r="D11" s="42">
        <v>46161</v>
      </c>
      <c r="E11" s="43">
        <v>1604216</v>
      </c>
      <c r="F11" s="43" t="s">
        <v>13</v>
      </c>
      <c r="G11" s="44">
        <v>20354551</v>
      </c>
      <c r="H11" s="43" t="s">
        <v>100</v>
      </c>
      <c r="I11" s="44">
        <v>68</v>
      </c>
      <c r="J11" s="45">
        <v>8</v>
      </c>
      <c r="K11" s="45">
        <v>544</v>
      </c>
    </row>
    <row r="12" spans="1:11">
      <c r="D12" s="42">
        <v>46162</v>
      </c>
      <c r="E12" s="43">
        <v>1604590</v>
      </c>
      <c r="F12" s="43" t="s">
        <v>13</v>
      </c>
      <c r="G12" s="44">
        <v>20354551</v>
      </c>
      <c r="H12" s="43" t="s">
        <v>100</v>
      </c>
      <c r="I12" s="44">
        <v>84</v>
      </c>
      <c r="J12" s="45">
        <v>8</v>
      </c>
      <c r="K12" s="45">
        <v>672</v>
      </c>
    </row>
    <row r="13" spans="1:11">
      <c r="D13" s="42">
        <v>46163</v>
      </c>
      <c r="E13" s="43">
        <v>1604991</v>
      </c>
      <c r="F13" s="43" t="s">
        <v>13</v>
      </c>
      <c r="G13" s="44">
        <v>20354551</v>
      </c>
      <c r="H13" s="43" t="s">
        <v>100</v>
      </c>
      <c r="I13" s="44">
        <v>88</v>
      </c>
      <c r="J13" s="45">
        <v>8</v>
      </c>
      <c r="K13" s="45">
        <v>704</v>
      </c>
    </row>
    <row r="14" spans="1:11">
      <c r="D14" s="42">
        <v>46164</v>
      </c>
      <c r="E14" s="43">
        <v>1605376</v>
      </c>
      <c r="F14" s="43" t="s">
        <v>13</v>
      </c>
      <c r="G14" s="44">
        <v>20354551</v>
      </c>
      <c r="H14" s="43" t="s">
        <v>100</v>
      </c>
      <c r="I14" s="44">
        <v>71</v>
      </c>
      <c r="J14" s="45">
        <v>8</v>
      </c>
      <c r="K14" s="45">
        <v>568</v>
      </c>
    </row>
    <row r="15" spans="1:11">
      <c r="D15" s="42">
        <v>46164</v>
      </c>
      <c r="E15" s="43">
        <v>1605695</v>
      </c>
      <c r="F15" s="43" t="s">
        <v>13</v>
      </c>
      <c r="G15" s="44">
        <v>20354551</v>
      </c>
      <c r="H15" s="43" t="s">
        <v>100</v>
      </c>
      <c r="I15" s="44">
        <v>82</v>
      </c>
      <c r="J15" s="45">
        <v>8</v>
      </c>
      <c r="K15" s="45">
        <v>656</v>
      </c>
    </row>
    <row r="16" spans="1:11">
      <c r="D16" s="42">
        <v>46165</v>
      </c>
      <c r="E16" s="43">
        <v>1605842</v>
      </c>
      <c r="F16" s="43" t="s">
        <v>13</v>
      </c>
      <c r="G16" s="44">
        <v>20354551</v>
      </c>
      <c r="H16" s="43" t="s">
        <v>100</v>
      </c>
      <c r="I16" s="44">
        <v>30</v>
      </c>
      <c r="J16" s="45">
        <v>8</v>
      </c>
      <c r="K16" s="45">
        <v>240</v>
      </c>
    </row>
    <row r="17" spans="4:11">
      <c r="D17" s="42">
        <v>46167</v>
      </c>
      <c r="E17" s="43">
        <v>1606239</v>
      </c>
      <c r="F17" s="43" t="s">
        <v>13</v>
      </c>
      <c r="G17" s="44">
        <v>20354551</v>
      </c>
      <c r="H17" s="43" t="s">
        <v>100</v>
      </c>
      <c r="I17" s="44">
        <v>61</v>
      </c>
      <c r="J17" s="45">
        <v>8</v>
      </c>
      <c r="K17" s="45">
        <v>488</v>
      </c>
    </row>
    <row r="18" spans="4:11">
      <c r="D18" s="42">
        <v>46169</v>
      </c>
      <c r="E18" s="43">
        <v>1606694</v>
      </c>
      <c r="F18" s="43" t="s">
        <v>13</v>
      </c>
      <c r="G18" s="44">
        <v>20354551</v>
      </c>
      <c r="H18" s="43" t="s">
        <v>100</v>
      </c>
      <c r="I18" s="44">
        <v>84</v>
      </c>
      <c r="J18" s="45">
        <v>8</v>
      </c>
      <c r="K18" s="45">
        <v>672</v>
      </c>
    </row>
    <row r="19" spans="4:11">
      <c r="D19" s="42">
        <v>46169</v>
      </c>
      <c r="E19" s="43">
        <v>1606986</v>
      </c>
      <c r="F19" s="43" t="s">
        <v>13</v>
      </c>
      <c r="G19" s="44">
        <v>20354551</v>
      </c>
      <c r="H19" s="43" t="s">
        <v>100</v>
      </c>
      <c r="I19" s="44">
        <v>79</v>
      </c>
      <c r="J19" s="45">
        <v>8</v>
      </c>
      <c r="K19" s="45">
        <v>632</v>
      </c>
    </row>
    <row r="20" spans="4:11">
      <c r="D20" s="42">
        <v>46170</v>
      </c>
      <c r="E20" s="43">
        <v>1607357</v>
      </c>
      <c r="F20" s="43" t="s">
        <v>13</v>
      </c>
      <c r="G20" s="44">
        <v>20354551</v>
      </c>
      <c r="H20" s="43" t="s">
        <v>100</v>
      </c>
      <c r="I20" s="44">
        <v>79</v>
      </c>
      <c r="J20" s="45">
        <v>8</v>
      </c>
      <c r="K20" s="45">
        <v>632</v>
      </c>
    </row>
    <row r="21" spans="4:11">
      <c r="D21" s="42">
        <v>46172</v>
      </c>
      <c r="E21" s="43">
        <v>1607780</v>
      </c>
      <c r="F21" s="43" t="s">
        <v>13</v>
      </c>
      <c r="G21" s="44">
        <v>20354551</v>
      </c>
      <c r="H21" s="43" t="s">
        <v>100</v>
      </c>
      <c r="I21" s="44">
        <v>59</v>
      </c>
      <c r="J21" s="45">
        <v>8</v>
      </c>
      <c r="K21" s="45">
        <v>472</v>
      </c>
    </row>
    <row r="22" spans="4:11">
      <c r="D22" s="42">
        <v>46172</v>
      </c>
      <c r="E22" s="43">
        <v>1607884</v>
      </c>
      <c r="F22" s="43" t="s">
        <v>13</v>
      </c>
      <c r="G22" s="44">
        <v>20354551</v>
      </c>
      <c r="H22" s="43" t="s">
        <v>100</v>
      </c>
      <c r="I22" s="44">
        <v>16</v>
      </c>
      <c r="J22" s="45">
        <v>8</v>
      </c>
      <c r="K22" s="45">
        <v>128</v>
      </c>
    </row>
    <row r="23" spans="4:11">
      <c r="D23" s="42">
        <v>46175</v>
      </c>
      <c r="E23" s="43">
        <v>1608306</v>
      </c>
      <c r="F23" s="43" t="s">
        <v>13</v>
      </c>
      <c r="G23" s="44">
        <v>20354551</v>
      </c>
      <c r="H23" s="43" t="s">
        <v>100</v>
      </c>
      <c r="I23" s="44">
        <v>86</v>
      </c>
      <c r="J23" s="45">
        <v>8</v>
      </c>
      <c r="K23" s="45">
        <v>688</v>
      </c>
    </row>
    <row r="24" spans="4:11">
      <c r="D24" s="42">
        <v>46176</v>
      </c>
      <c r="E24" s="43">
        <v>1608691</v>
      </c>
      <c r="F24" s="43" t="s">
        <v>13</v>
      </c>
      <c r="G24" s="44">
        <v>20354551</v>
      </c>
      <c r="H24" s="43" t="s">
        <v>100</v>
      </c>
      <c r="I24" s="44">
        <v>62</v>
      </c>
      <c r="J24" s="45">
        <v>8</v>
      </c>
      <c r="K24" s="45">
        <v>496</v>
      </c>
    </row>
    <row r="25" spans="4:11">
      <c r="D25" s="42">
        <v>46177</v>
      </c>
      <c r="E25" s="43">
        <v>1609089</v>
      </c>
      <c r="F25" s="43" t="s">
        <v>13</v>
      </c>
      <c r="G25" s="44">
        <v>20354551</v>
      </c>
      <c r="H25" s="43" t="s">
        <v>100</v>
      </c>
      <c r="I25" s="44">
        <v>66</v>
      </c>
      <c r="J25" s="45">
        <v>8</v>
      </c>
      <c r="K25" s="45">
        <v>528</v>
      </c>
    </row>
    <row r="26" spans="4:11">
      <c r="D26" s="42">
        <v>46178</v>
      </c>
      <c r="E26" s="43">
        <v>1609458</v>
      </c>
      <c r="F26" s="43" t="s">
        <v>13</v>
      </c>
      <c r="G26" s="44">
        <v>20354551</v>
      </c>
      <c r="H26" s="43" t="s">
        <v>100</v>
      </c>
      <c r="I26" s="44">
        <v>85</v>
      </c>
      <c r="J26" s="45">
        <v>8</v>
      </c>
      <c r="K26" s="45">
        <v>680</v>
      </c>
    </row>
    <row r="27" spans="4:11">
      <c r="D27" s="42">
        <v>46178</v>
      </c>
      <c r="E27" s="43">
        <v>1609794</v>
      </c>
      <c r="F27" s="43" t="s">
        <v>13</v>
      </c>
      <c r="G27" s="44">
        <v>20354551</v>
      </c>
      <c r="H27" s="43" t="s">
        <v>100</v>
      </c>
      <c r="I27" s="44">
        <v>85</v>
      </c>
      <c r="J27" s="45">
        <v>8</v>
      </c>
      <c r="K27" s="45">
        <v>680</v>
      </c>
    </row>
    <row r="28" spans="4:11">
      <c r="D28" s="42">
        <v>46178</v>
      </c>
      <c r="E28" s="43">
        <v>1609795</v>
      </c>
      <c r="F28" s="43" t="s">
        <v>13</v>
      </c>
      <c r="G28" s="44">
        <v>20354551</v>
      </c>
      <c r="H28" s="43" t="s">
        <v>100</v>
      </c>
      <c r="I28" s="44">
        <v>1</v>
      </c>
      <c r="J28" s="45">
        <v>8</v>
      </c>
      <c r="K28" s="45">
        <v>8</v>
      </c>
    </row>
    <row r="29" spans="4:11">
      <c r="D29" s="42">
        <v>46179</v>
      </c>
      <c r="E29" s="43">
        <v>1609951</v>
      </c>
      <c r="F29" s="43" t="s">
        <v>13</v>
      </c>
      <c r="G29" s="44">
        <v>20354551</v>
      </c>
      <c r="H29" s="43" t="s">
        <v>100</v>
      </c>
      <c r="I29" s="44">
        <v>29</v>
      </c>
      <c r="J29" s="45">
        <v>8</v>
      </c>
      <c r="K29" s="45">
        <v>232</v>
      </c>
    </row>
    <row r="30" spans="4:11">
      <c r="D30" s="42">
        <v>46182</v>
      </c>
      <c r="E30" s="43">
        <v>1610398</v>
      </c>
      <c r="F30" s="43" t="s">
        <v>13</v>
      </c>
      <c r="G30" s="44">
        <v>20354551</v>
      </c>
      <c r="H30" s="43" t="s">
        <v>100</v>
      </c>
      <c r="I30" s="44">
        <v>68</v>
      </c>
      <c r="J30" s="45">
        <v>8</v>
      </c>
      <c r="K30" s="45">
        <v>544</v>
      </c>
    </row>
    <row r="31" spans="4:11">
      <c r="D31" s="42">
        <v>46183</v>
      </c>
      <c r="E31" s="43">
        <v>1610821</v>
      </c>
      <c r="F31" s="43" t="s">
        <v>13</v>
      </c>
      <c r="G31" s="44">
        <v>20354551</v>
      </c>
      <c r="H31" s="43" t="s">
        <v>100</v>
      </c>
      <c r="I31" s="44">
        <v>64</v>
      </c>
      <c r="J31" s="45">
        <v>8</v>
      </c>
      <c r="K31" s="45">
        <v>512</v>
      </c>
    </row>
    <row r="32" spans="4:11">
      <c r="D32" s="42">
        <v>46183</v>
      </c>
      <c r="E32" s="43">
        <v>1611142</v>
      </c>
      <c r="F32" s="43" t="s">
        <v>13</v>
      </c>
      <c r="G32" s="44">
        <v>20354551</v>
      </c>
      <c r="H32" s="43" t="s">
        <v>100</v>
      </c>
      <c r="I32" s="44">
        <v>63</v>
      </c>
      <c r="J32" s="45">
        <v>8</v>
      </c>
      <c r="K32" s="45">
        <v>504</v>
      </c>
    </row>
    <row r="33" spans="4:11">
      <c r="D33" s="42">
        <v>46184</v>
      </c>
      <c r="E33" s="43">
        <v>1611582</v>
      </c>
      <c r="F33" s="43" t="s">
        <v>13</v>
      </c>
      <c r="G33" s="44">
        <v>20354551</v>
      </c>
      <c r="H33" s="43" t="s">
        <v>100</v>
      </c>
      <c r="I33" s="44">
        <v>69</v>
      </c>
      <c r="J33" s="45">
        <v>8</v>
      </c>
      <c r="K33" s="45">
        <v>552</v>
      </c>
    </row>
    <row r="34" spans="4:11">
      <c r="D34" s="42">
        <v>46185</v>
      </c>
      <c r="E34" s="43">
        <v>1611883</v>
      </c>
      <c r="F34" s="43" t="s">
        <v>13</v>
      </c>
      <c r="G34" s="44">
        <v>20354551</v>
      </c>
      <c r="H34" s="43" t="s">
        <v>100</v>
      </c>
      <c r="I34" s="44">
        <v>46</v>
      </c>
      <c r="J34" s="45">
        <v>8</v>
      </c>
      <c r="K34" s="45">
        <v>368</v>
      </c>
    </row>
    <row r="35" spans="4:11">
      <c r="D35" s="42">
        <v>46186</v>
      </c>
      <c r="E35" s="43">
        <v>1612001</v>
      </c>
      <c r="F35" s="43" t="s">
        <v>13</v>
      </c>
      <c r="G35" s="44">
        <v>20354551</v>
      </c>
      <c r="H35" s="43" t="s">
        <v>100</v>
      </c>
      <c r="I35" s="44">
        <v>42</v>
      </c>
      <c r="J35" s="45">
        <v>8</v>
      </c>
      <c r="K35" s="45">
        <v>336</v>
      </c>
    </row>
    <row r="36" ht="0.05" customHeight="1"/>
  </sheetData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7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101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2687</v>
      </c>
      <c r="J8" s="41"/>
      <c r="K8" s="41">
        <v>27241.5</v>
      </c>
    </row>
    <row r="9" spans="1:11">
      <c r="D9" s="42">
        <v>46158</v>
      </c>
      <c r="E9" s="43">
        <v>1603671</v>
      </c>
      <c r="F9" s="43" t="s">
        <v>22</v>
      </c>
      <c r="G9" s="44">
        <v>20005210</v>
      </c>
      <c r="H9" s="43" t="s">
        <v>102</v>
      </c>
      <c r="I9" s="44">
        <v>2</v>
      </c>
      <c r="J9" s="45">
        <v>49.5</v>
      </c>
      <c r="K9" s="45">
        <v>99</v>
      </c>
    </row>
    <row r="10" spans="1:11">
      <c r="D10" s="42">
        <v>46158</v>
      </c>
      <c r="E10" s="43">
        <v>1603671</v>
      </c>
      <c r="F10" s="43" t="s">
        <v>13</v>
      </c>
      <c r="G10" s="44">
        <v>20005207</v>
      </c>
      <c r="H10" s="43" t="s">
        <v>38</v>
      </c>
      <c r="I10" s="44">
        <v>8</v>
      </c>
      <c r="J10" s="45">
        <v>8</v>
      </c>
      <c r="K10" s="45">
        <v>64</v>
      </c>
    </row>
    <row r="11" spans="1:11">
      <c r="D11" s="42">
        <v>46158</v>
      </c>
      <c r="E11" s="43">
        <v>1603671</v>
      </c>
      <c r="F11" s="43" t="s">
        <v>13</v>
      </c>
      <c r="G11" s="44">
        <v>20005208</v>
      </c>
      <c r="H11" s="43" t="s">
        <v>58</v>
      </c>
      <c r="I11" s="44">
        <v>26</v>
      </c>
      <c r="J11" s="45">
        <v>8</v>
      </c>
      <c r="K11" s="45">
        <v>208</v>
      </c>
    </row>
    <row r="12" spans="1:11">
      <c r="D12" s="42">
        <v>46158</v>
      </c>
      <c r="E12" s="43">
        <v>1603671</v>
      </c>
      <c r="F12" s="43" t="s">
        <v>13</v>
      </c>
      <c r="G12" s="44">
        <v>20313590</v>
      </c>
      <c r="H12" s="43" t="s">
        <v>103</v>
      </c>
      <c r="I12" s="44">
        <v>1</v>
      </c>
      <c r="J12" s="45">
        <v>8</v>
      </c>
      <c r="K12" s="45">
        <v>8</v>
      </c>
    </row>
    <row r="13" spans="1:11">
      <c r="D13" s="42">
        <v>46158</v>
      </c>
      <c r="E13" s="43">
        <v>1603671</v>
      </c>
      <c r="F13" s="43" t="s">
        <v>13</v>
      </c>
      <c r="G13" s="44">
        <v>20013630</v>
      </c>
      <c r="H13" s="43" t="s">
        <v>82</v>
      </c>
      <c r="I13" s="44">
        <v>4</v>
      </c>
      <c r="J13" s="45">
        <v>8</v>
      </c>
      <c r="K13" s="45">
        <v>32</v>
      </c>
    </row>
    <row r="14" spans="1:11">
      <c r="D14" s="42">
        <v>46158</v>
      </c>
      <c r="E14" s="43">
        <v>1603671</v>
      </c>
      <c r="F14" s="43" t="s">
        <v>13</v>
      </c>
      <c r="G14" s="44">
        <v>20407295</v>
      </c>
      <c r="H14" s="43" t="s">
        <v>104</v>
      </c>
      <c r="I14" s="44">
        <v>18</v>
      </c>
      <c r="J14" s="45">
        <v>8</v>
      </c>
      <c r="K14" s="45">
        <v>144</v>
      </c>
    </row>
    <row r="15" spans="1:11">
      <c r="D15" s="42">
        <v>46158</v>
      </c>
      <c r="E15" s="43">
        <v>1603671</v>
      </c>
      <c r="F15" s="43" t="s">
        <v>13</v>
      </c>
      <c r="G15" s="44">
        <v>20324084</v>
      </c>
      <c r="H15" s="43" t="s">
        <v>24</v>
      </c>
      <c r="I15" s="44">
        <v>1</v>
      </c>
      <c r="J15" s="45">
        <v>8</v>
      </c>
      <c r="K15" s="45">
        <v>8</v>
      </c>
    </row>
    <row r="16" spans="1:11">
      <c r="D16" s="42">
        <v>46158</v>
      </c>
      <c r="E16" s="43">
        <v>1603671</v>
      </c>
      <c r="F16" s="43" t="s">
        <v>13</v>
      </c>
      <c r="G16" s="44">
        <v>20314990</v>
      </c>
      <c r="H16" s="43" t="s">
        <v>56</v>
      </c>
      <c r="I16" s="44">
        <v>7</v>
      </c>
      <c r="J16" s="45">
        <v>8</v>
      </c>
      <c r="K16" s="45">
        <v>56</v>
      </c>
    </row>
    <row r="17" spans="4:11">
      <c r="D17" s="42">
        <v>46158</v>
      </c>
      <c r="E17" s="43">
        <v>1603671</v>
      </c>
      <c r="F17" s="43" t="s">
        <v>13</v>
      </c>
      <c r="G17" s="44">
        <v>20005849</v>
      </c>
      <c r="H17" s="43" t="s">
        <v>57</v>
      </c>
      <c r="I17" s="44">
        <v>15</v>
      </c>
      <c r="J17" s="45">
        <v>8</v>
      </c>
      <c r="K17" s="45">
        <v>120</v>
      </c>
    </row>
    <row r="18" spans="4:11">
      <c r="D18" s="42">
        <v>46158</v>
      </c>
      <c r="E18" s="43">
        <v>1603671</v>
      </c>
      <c r="F18" s="43" t="s">
        <v>16</v>
      </c>
      <c r="G18" s="44">
        <v>20008026</v>
      </c>
      <c r="H18" s="43" t="s">
        <v>105</v>
      </c>
      <c r="I18" s="44">
        <v>11</v>
      </c>
      <c r="J18" s="45">
        <v>16.5</v>
      </c>
      <c r="K18" s="45">
        <v>181.5</v>
      </c>
    </row>
    <row r="19" spans="4:11">
      <c r="D19" s="42">
        <v>46158</v>
      </c>
      <c r="E19" s="43">
        <v>1603781</v>
      </c>
      <c r="F19" s="43" t="s">
        <v>22</v>
      </c>
      <c r="G19" s="44">
        <v>20005210</v>
      </c>
      <c r="H19" s="43" t="s">
        <v>102</v>
      </c>
      <c r="I19" s="44">
        <v>3</v>
      </c>
      <c r="J19" s="45">
        <v>49.5</v>
      </c>
      <c r="K19" s="45">
        <v>148.5</v>
      </c>
    </row>
    <row r="20" spans="4:11">
      <c r="D20" s="42">
        <v>46158</v>
      </c>
      <c r="E20" s="43">
        <v>1603781</v>
      </c>
      <c r="F20" s="43" t="s">
        <v>13</v>
      </c>
      <c r="G20" s="44">
        <v>20005207</v>
      </c>
      <c r="H20" s="43" t="s">
        <v>38</v>
      </c>
      <c r="I20" s="44">
        <v>4</v>
      </c>
      <c r="J20" s="45">
        <v>8</v>
      </c>
      <c r="K20" s="45">
        <v>32</v>
      </c>
    </row>
    <row r="21" spans="4:11">
      <c r="D21" s="42">
        <v>46158</v>
      </c>
      <c r="E21" s="43">
        <v>1603781</v>
      </c>
      <c r="F21" s="43" t="s">
        <v>13</v>
      </c>
      <c r="G21" s="44">
        <v>20005208</v>
      </c>
      <c r="H21" s="43" t="s">
        <v>58</v>
      </c>
      <c r="I21" s="44">
        <v>10</v>
      </c>
      <c r="J21" s="45">
        <v>8</v>
      </c>
      <c r="K21" s="45">
        <v>80</v>
      </c>
    </row>
    <row r="22" spans="4:11">
      <c r="D22" s="42">
        <v>46158</v>
      </c>
      <c r="E22" s="43">
        <v>1603781</v>
      </c>
      <c r="F22" s="43" t="s">
        <v>13</v>
      </c>
      <c r="G22" s="44">
        <v>20313590</v>
      </c>
      <c r="H22" s="43" t="s">
        <v>103</v>
      </c>
      <c r="I22" s="44">
        <v>1</v>
      </c>
      <c r="J22" s="45">
        <v>8</v>
      </c>
      <c r="K22" s="45">
        <v>8</v>
      </c>
    </row>
    <row r="23" spans="4:11">
      <c r="D23" s="42">
        <v>46158</v>
      </c>
      <c r="E23" s="43">
        <v>1603781</v>
      </c>
      <c r="F23" s="43" t="s">
        <v>13</v>
      </c>
      <c r="G23" s="44">
        <v>20013630</v>
      </c>
      <c r="H23" s="43" t="s">
        <v>82</v>
      </c>
      <c r="I23" s="44">
        <v>1</v>
      </c>
      <c r="J23" s="45">
        <v>8</v>
      </c>
      <c r="K23" s="45">
        <v>8</v>
      </c>
    </row>
    <row r="24" spans="4:11">
      <c r="D24" s="42">
        <v>46158</v>
      </c>
      <c r="E24" s="43">
        <v>1603781</v>
      </c>
      <c r="F24" s="43" t="s">
        <v>13</v>
      </c>
      <c r="G24" s="44">
        <v>20008034</v>
      </c>
      <c r="H24" s="43" t="s">
        <v>106</v>
      </c>
      <c r="I24" s="44">
        <v>1</v>
      </c>
      <c r="J24" s="45">
        <v>44</v>
      </c>
      <c r="K24" s="45">
        <v>44</v>
      </c>
    </row>
    <row r="25" spans="4:11">
      <c r="D25" s="42">
        <v>46158</v>
      </c>
      <c r="E25" s="43">
        <v>1603781</v>
      </c>
      <c r="F25" s="43" t="s">
        <v>13</v>
      </c>
      <c r="G25" s="44">
        <v>20324084</v>
      </c>
      <c r="H25" s="43" t="s">
        <v>24</v>
      </c>
      <c r="I25" s="44">
        <v>1</v>
      </c>
      <c r="J25" s="45">
        <v>8</v>
      </c>
      <c r="K25" s="45">
        <v>8</v>
      </c>
    </row>
    <row r="26" spans="4:11">
      <c r="D26" s="42">
        <v>46158</v>
      </c>
      <c r="E26" s="43">
        <v>1603781</v>
      </c>
      <c r="F26" s="43" t="s">
        <v>13</v>
      </c>
      <c r="G26" s="44">
        <v>20302876</v>
      </c>
      <c r="H26" s="43" t="s">
        <v>107</v>
      </c>
      <c r="I26" s="44">
        <v>1</v>
      </c>
      <c r="J26" s="45">
        <v>16</v>
      </c>
      <c r="K26" s="45">
        <v>16</v>
      </c>
    </row>
    <row r="27" spans="4:11">
      <c r="D27" s="42">
        <v>46158</v>
      </c>
      <c r="E27" s="43">
        <v>1603781</v>
      </c>
      <c r="F27" s="43" t="s">
        <v>13</v>
      </c>
      <c r="G27" s="44">
        <v>20314990</v>
      </c>
      <c r="H27" s="43" t="s">
        <v>56</v>
      </c>
      <c r="I27" s="44">
        <v>10</v>
      </c>
      <c r="J27" s="45">
        <v>8</v>
      </c>
      <c r="K27" s="45">
        <v>80</v>
      </c>
    </row>
    <row r="28" spans="4:11">
      <c r="D28" s="42">
        <v>46158</v>
      </c>
      <c r="E28" s="43">
        <v>1603781</v>
      </c>
      <c r="F28" s="43" t="s">
        <v>13</v>
      </c>
      <c r="G28" s="44">
        <v>20005849</v>
      </c>
      <c r="H28" s="43" t="s">
        <v>57</v>
      </c>
      <c r="I28" s="44">
        <v>5</v>
      </c>
      <c r="J28" s="45">
        <v>8</v>
      </c>
      <c r="K28" s="45">
        <v>40</v>
      </c>
    </row>
    <row r="29" spans="4:11">
      <c r="D29" s="42">
        <v>46158</v>
      </c>
      <c r="E29" s="43">
        <v>1603781</v>
      </c>
      <c r="F29" s="43" t="s">
        <v>16</v>
      </c>
      <c r="G29" s="44">
        <v>20008026</v>
      </c>
      <c r="H29" s="43" t="s">
        <v>105</v>
      </c>
      <c r="I29" s="44">
        <v>1</v>
      </c>
      <c r="J29" s="45">
        <v>16.5</v>
      </c>
      <c r="K29" s="45">
        <v>16.5</v>
      </c>
    </row>
    <row r="30" spans="4:11">
      <c r="D30" s="42">
        <v>46160</v>
      </c>
      <c r="E30" s="43">
        <v>1604060</v>
      </c>
      <c r="F30" s="43" t="s">
        <v>19</v>
      </c>
      <c r="G30" s="44">
        <v>20302879</v>
      </c>
      <c r="H30" s="43" t="s">
        <v>108</v>
      </c>
      <c r="I30" s="44">
        <v>1</v>
      </c>
      <c r="J30" s="45">
        <v>4</v>
      </c>
      <c r="K30" s="45">
        <v>4</v>
      </c>
    </row>
    <row r="31" spans="4:11">
      <c r="D31" s="42">
        <v>46160</v>
      </c>
      <c r="E31" s="43">
        <v>1604162</v>
      </c>
      <c r="F31" s="43" t="s">
        <v>22</v>
      </c>
      <c r="G31" s="44">
        <v>20005210</v>
      </c>
      <c r="H31" s="43" t="s">
        <v>102</v>
      </c>
      <c r="I31" s="44">
        <v>3</v>
      </c>
      <c r="J31" s="45">
        <v>49.5</v>
      </c>
      <c r="K31" s="45">
        <v>148.5</v>
      </c>
    </row>
    <row r="32" spans="4:11">
      <c r="D32" s="42">
        <v>46160</v>
      </c>
      <c r="E32" s="43">
        <v>1604162</v>
      </c>
      <c r="F32" s="43" t="s">
        <v>13</v>
      </c>
      <c r="G32" s="44">
        <v>20005207</v>
      </c>
      <c r="H32" s="43" t="s">
        <v>38</v>
      </c>
      <c r="I32" s="44">
        <v>7</v>
      </c>
      <c r="J32" s="45">
        <v>8</v>
      </c>
      <c r="K32" s="45">
        <v>56</v>
      </c>
    </row>
    <row r="33" spans="4:11">
      <c r="D33" s="42">
        <v>46160</v>
      </c>
      <c r="E33" s="43">
        <v>1604162</v>
      </c>
      <c r="F33" s="43" t="s">
        <v>13</v>
      </c>
      <c r="G33" s="44">
        <v>20005208</v>
      </c>
      <c r="H33" s="43" t="s">
        <v>58</v>
      </c>
      <c r="I33" s="44">
        <v>28</v>
      </c>
      <c r="J33" s="45">
        <v>8</v>
      </c>
      <c r="K33" s="45">
        <v>224</v>
      </c>
    </row>
    <row r="34" spans="4:11">
      <c r="D34" s="42">
        <v>46160</v>
      </c>
      <c r="E34" s="43">
        <v>1604162</v>
      </c>
      <c r="F34" s="43" t="s">
        <v>13</v>
      </c>
      <c r="G34" s="44">
        <v>20313590</v>
      </c>
      <c r="H34" s="43" t="s">
        <v>103</v>
      </c>
      <c r="I34" s="44">
        <v>1</v>
      </c>
      <c r="J34" s="45">
        <v>8</v>
      </c>
      <c r="K34" s="45">
        <v>8</v>
      </c>
    </row>
    <row r="35" spans="4:11">
      <c r="D35" s="42">
        <v>46160</v>
      </c>
      <c r="E35" s="43">
        <v>1604162</v>
      </c>
      <c r="F35" s="43" t="s">
        <v>13</v>
      </c>
      <c r="G35" s="44">
        <v>20013630</v>
      </c>
      <c r="H35" s="43" t="s">
        <v>82</v>
      </c>
      <c r="I35" s="44">
        <v>7</v>
      </c>
      <c r="J35" s="45">
        <v>8</v>
      </c>
      <c r="K35" s="45">
        <v>56</v>
      </c>
    </row>
    <row r="36" spans="4:11">
      <c r="D36" s="42">
        <v>46160</v>
      </c>
      <c r="E36" s="43">
        <v>1604162</v>
      </c>
      <c r="F36" s="43" t="s">
        <v>13</v>
      </c>
      <c r="G36" s="44">
        <v>20314990</v>
      </c>
      <c r="H36" s="43" t="s">
        <v>56</v>
      </c>
      <c r="I36" s="44">
        <v>12</v>
      </c>
      <c r="J36" s="45">
        <v>8</v>
      </c>
      <c r="K36" s="45">
        <v>96</v>
      </c>
    </row>
    <row r="37" spans="4:11">
      <c r="D37" s="42">
        <v>46160</v>
      </c>
      <c r="E37" s="43">
        <v>1604162</v>
      </c>
      <c r="F37" s="43" t="s">
        <v>13</v>
      </c>
      <c r="G37" s="44">
        <v>20005849</v>
      </c>
      <c r="H37" s="43" t="s">
        <v>57</v>
      </c>
      <c r="I37" s="44">
        <v>14</v>
      </c>
      <c r="J37" s="45">
        <v>8</v>
      </c>
      <c r="K37" s="45">
        <v>112</v>
      </c>
    </row>
    <row r="38" spans="4:11">
      <c r="D38" s="42">
        <v>46160</v>
      </c>
      <c r="E38" s="43">
        <v>1604162</v>
      </c>
      <c r="F38" s="43" t="s">
        <v>16</v>
      </c>
      <c r="G38" s="44">
        <v>20008026</v>
      </c>
      <c r="H38" s="43" t="s">
        <v>105</v>
      </c>
      <c r="I38" s="44">
        <v>13</v>
      </c>
      <c r="J38" s="45">
        <v>16.5</v>
      </c>
      <c r="K38" s="45">
        <v>214.5</v>
      </c>
    </row>
    <row r="39" spans="4:11">
      <c r="D39" s="42">
        <v>46161</v>
      </c>
      <c r="E39" s="43">
        <v>1604217</v>
      </c>
      <c r="F39" s="43" t="s">
        <v>13</v>
      </c>
      <c r="G39" s="44">
        <v>20407295</v>
      </c>
      <c r="H39" s="43" t="s">
        <v>104</v>
      </c>
      <c r="I39" s="44">
        <v>21</v>
      </c>
      <c r="J39" s="45">
        <v>8</v>
      </c>
      <c r="K39" s="45">
        <v>168</v>
      </c>
    </row>
    <row r="40" spans="4:11">
      <c r="D40" s="42">
        <v>46162</v>
      </c>
      <c r="E40" s="43">
        <v>1604591</v>
      </c>
      <c r="F40" s="43" t="s">
        <v>22</v>
      </c>
      <c r="G40" s="44">
        <v>20005210</v>
      </c>
      <c r="H40" s="43" t="s">
        <v>102</v>
      </c>
      <c r="I40" s="44">
        <v>3</v>
      </c>
      <c r="J40" s="45">
        <v>49.5</v>
      </c>
      <c r="K40" s="45">
        <v>148.5</v>
      </c>
    </row>
    <row r="41" spans="4:11">
      <c r="D41" s="42">
        <v>46162</v>
      </c>
      <c r="E41" s="43">
        <v>1604591</v>
      </c>
      <c r="F41" s="43" t="s">
        <v>13</v>
      </c>
      <c r="G41" s="44">
        <v>20005207</v>
      </c>
      <c r="H41" s="43" t="s">
        <v>38</v>
      </c>
      <c r="I41" s="44">
        <v>11</v>
      </c>
      <c r="J41" s="45">
        <v>8</v>
      </c>
      <c r="K41" s="45">
        <v>88</v>
      </c>
    </row>
    <row r="42" spans="4:11">
      <c r="D42" s="42">
        <v>46162</v>
      </c>
      <c r="E42" s="43">
        <v>1604591</v>
      </c>
      <c r="F42" s="43" t="s">
        <v>13</v>
      </c>
      <c r="G42" s="44">
        <v>20005208</v>
      </c>
      <c r="H42" s="43" t="s">
        <v>58</v>
      </c>
      <c r="I42" s="44">
        <v>45</v>
      </c>
      <c r="J42" s="45">
        <v>8</v>
      </c>
      <c r="K42" s="45">
        <v>360</v>
      </c>
    </row>
    <row r="43" spans="4:11">
      <c r="D43" s="42">
        <v>46162</v>
      </c>
      <c r="E43" s="43">
        <v>1604591</v>
      </c>
      <c r="F43" s="43" t="s">
        <v>13</v>
      </c>
      <c r="G43" s="44">
        <v>20013630</v>
      </c>
      <c r="H43" s="43" t="s">
        <v>82</v>
      </c>
      <c r="I43" s="44">
        <v>5</v>
      </c>
      <c r="J43" s="45">
        <v>8</v>
      </c>
      <c r="K43" s="45">
        <v>40</v>
      </c>
    </row>
    <row r="44" spans="4:11">
      <c r="D44" s="42">
        <v>46162</v>
      </c>
      <c r="E44" s="43">
        <v>1604591</v>
      </c>
      <c r="F44" s="43" t="s">
        <v>13</v>
      </c>
      <c r="G44" s="44">
        <v>20407295</v>
      </c>
      <c r="H44" s="43" t="s">
        <v>104</v>
      </c>
      <c r="I44" s="44">
        <v>24</v>
      </c>
      <c r="J44" s="45">
        <v>8</v>
      </c>
      <c r="K44" s="45">
        <v>192</v>
      </c>
    </row>
    <row r="45" spans="4:11">
      <c r="D45" s="42">
        <v>46162</v>
      </c>
      <c r="E45" s="43">
        <v>1604591</v>
      </c>
      <c r="F45" s="43" t="s">
        <v>13</v>
      </c>
      <c r="G45" s="44">
        <v>20324084</v>
      </c>
      <c r="H45" s="43" t="s">
        <v>24</v>
      </c>
      <c r="I45" s="44">
        <v>2</v>
      </c>
      <c r="J45" s="45">
        <v>8</v>
      </c>
      <c r="K45" s="45">
        <v>16</v>
      </c>
    </row>
    <row r="46" spans="4:11">
      <c r="D46" s="42">
        <v>46162</v>
      </c>
      <c r="E46" s="43">
        <v>1604591</v>
      </c>
      <c r="F46" s="43" t="s">
        <v>13</v>
      </c>
      <c r="G46" s="44">
        <v>20321305</v>
      </c>
      <c r="H46" s="43" t="s">
        <v>109</v>
      </c>
      <c r="I46" s="44">
        <v>1</v>
      </c>
      <c r="J46" s="45">
        <v>8</v>
      </c>
      <c r="K46" s="45">
        <v>8</v>
      </c>
    </row>
    <row r="47" spans="4:11">
      <c r="D47" s="42">
        <v>46162</v>
      </c>
      <c r="E47" s="43">
        <v>1604591</v>
      </c>
      <c r="F47" s="43" t="s">
        <v>13</v>
      </c>
      <c r="G47" s="44">
        <v>20314990</v>
      </c>
      <c r="H47" s="43" t="s">
        <v>56</v>
      </c>
      <c r="I47" s="44">
        <v>11</v>
      </c>
      <c r="J47" s="45">
        <v>8</v>
      </c>
      <c r="K47" s="45">
        <v>88</v>
      </c>
    </row>
    <row r="48" spans="4:11">
      <c r="D48" s="42">
        <v>46162</v>
      </c>
      <c r="E48" s="43">
        <v>1604591</v>
      </c>
      <c r="F48" s="43" t="s">
        <v>13</v>
      </c>
      <c r="G48" s="44">
        <v>20005849</v>
      </c>
      <c r="H48" s="43" t="s">
        <v>57</v>
      </c>
      <c r="I48" s="44">
        <v>15</v>
      </c>
      <c r="J48" s="45">
        <v>8</v>
      </c>
      <c r="K48" s="45">
        <v>120</v>
      </c>
    </row>
    <row r="49" spans="4:11">
      <c r="D49" s="42">
        <v>46162</v>
      </c>
      <c r="E49" s="43">
        <v>1604591</v>
      </c>
      <c r="F49" s="43" t="s">
        <v>16</v>
      </c>
      <c r="G49" s="44">
        <v>20008026</v>
      </c>
      <c r="H49" s="43" t="s">
        <v>105</v>
      </c>
      <c r="I49" s="44">
        <v>10</v>
      </c>
      <c r="J49" s="45">
        <v>16.5</v>
      </c>
      <c r="K49" s="45">
        <v>165</v>
      </c>
    </row>
    <row r="50" spans="4:11">
      <c r="D50" s="42">
        <v>46162</v>
      </c>
      <c r="E50" s="43">
        <v>1604927</v>
      </c>
      <c r="F50" s="43" t="s">
        <v>22</v>
      </c>
      <c r="G50" s="44">
        <v>20005210</v>
      </c>
      <c r="H50" s="43" t="s">
        <v>102</v>
      </c>
      <c r="I50" s="44">
        <v>2</v>
      </c>
      <c r="J50" s="45">
        <v>49.5</v>
      </c>
      <c r="K50" s="45">
        <v>99</v>
      </c>
    </row>
    <row r="51" spans="4:11">
      <c r="D51" s="42">
        <v>46162</v>
      </c>
      <c r="E51" s="43">
        <v>1604927</v>
      </c>
      <c r="F51" s="43" t="s">
        <v>13</v>
      </c>
      <c r="G51" s="44">
        <v>20005207</v>
      </c>
      <c r="H51" s="43" t="s">
        <v>38</v>
      </c>
      <c r="I51" s="44">
        <v>10</v>
      </c>
      <c r="J51" s="45">
        <v>8</v>
      </c>
      <c r="K51" s="45">
        <v>80</v>
      </c>
    </row>
    <row r="52" spans="4:11">
      <c r="D52" s="42">
        <v>46162</v>
      </c>
      <c r="E52" s="43">
        <v>1604927</v>
      </c>
      <c r="F52" s="43" t="s">
        <v>13</v>
      </c>
      <c r="G52" s="44">
        <v>20005208</v>
      </c>
      <c r="H52" s="43" t="s">
        <v>58</v>
      </c>
      <c r="I52" s="44">
        <v>25</v>
      </c>
      <c r="J52" s="45">
        <v>8</v>
      </c>
      <c r="K52" s="45">
        <v>200</v>
      </c>
    </row>
    <row r="53" spans="4:11">
      <c r="D53" s="42">
        <v>46162</v>
      </c>
      <c r="E53" s="43">
        <v>1604927</v>
      </c>
      <c r="F53" s="43" t="s">
        <v>13</v>
      </c>
      <c r="G53" s="44">
        <v>20313590</v>
      </c>
      <c r="H53" s="43" t="s">
        <v>103</v>
      </c>
      <c r="I53" s="44">
        <v>2</v>
      </c>
      <c r="J53" s="45">
        <v>8</v>
      </c>
      <c r="K53" s="45">
        <v>16</v>
      </c>
    </row>
    <row r="54" spans="4:11">
      <c r="D54" s="42">
        <v>46162</v>
      </c>
      <c r="E54" s="43">
        <v>1604927</v>
      </c>
      <c r="F54" s="43" t="s">
        <v>13</v>
      </c>
      <c r="G54" s="44">
        <v>20013630</v>
      </c>
      <c r="H54" s="43" t="s">
        <v>82</v>
      </c>
      <c r="I54" s="44">
        <v>6</v>
      </c>
      <c r="J54" s="45">
        <v>8</v>
      </c>
      <c r="K54" s="45">
        <v>48</v>
      </c>
    </row>
    <row r="55" spans="4:11">
      <c r="D55" s="42">
        <v>46162</v>
      </c>
      <c r="E55" s="43">
        <v>1604927</v>
      </c>
      <c r="F55" s="43" t="s">
        <v>13</v>
      </c>
      <c r="G55" s="44">
        <v>20314990</v>
      </c>
      <c r="H55" s="43" t="s">
        <v>56</v>
      </c>
      <c r="I55" s="44">
        <v>8</v>
      </c>
      <c r="J55" s="45">
        <v>8</v>
      </c>
      <c r="K55" s="45">
        <v>64</v>
      </c>
    </row>
    <row r="56" spans="4:11">
      <c r="D56" s="42">
        <v>46162</v>
      </c>
      <c r="E56" s="43">
        <v>1604927</v>
      </c>
      <c r="F56" s="43" t="s">
        <v>13</v>
      </c>
      <c r="G56" s="44">
        <v>20005849</v>
      </c>
      <c r="H56" s="43" t="s">
        <v>57</v>
      </c>
      <c r="I56" s="44">
        <v>9</v>
      </c>
      <c r="J56" s="45">
        <v>8</v>
      </c>
      <c r="K56" s="45">
        <v>72</v>
      </c>
    </row>
    <row r="57" spans="4:11">
      <c r="D57" s="42">
        <v>46162</v>
      </c>
      <c r="E57" s="43">
        <v>1604927</v>
      </c>
      <c r="F57" s="43" t="s">
        <v>16</v>
      </c>
      <c r="G57" s="44">
        <v>20008026</v>
      </c>
      <c r="H57" s="43" t="s">
        <v>105</v>
      </c>
      <c r="I57" s="44">
        <v>11</v>
      </c>
      <c r="J57" s="45">
        <v>16.5</v>
      </c>
      <c r="K57" s="45">
        <v>181.5</v>
      </c>
    </row>
    <row r="58" spans="4:11">
      <c r="D58" s="42">
        <v>46163</v>
      </c>
      <c r="E58" s="43">
        <v>1604990</v>
      </c>
      <c r="F58" s="43" t="s">
        <v>13</v>
      </c>
      <c r="G58" s="44">
        <v>20407295</v>
      </c>
      <c r="H58" s="43" t="s">
        <v>104</v>
      </c>
      <c r="I58" s="44">
        <v>24</v>
      </c>
      <c r="J58" s="45">
        <v>8</v>
      </c>
      <c r="K58" s="45">
        <v>192</v>
      </c>
    </row>
    <row r="59" spans="4:11">
      <c r="D59" s="42">
        <v>46163</v>
      </c>
      <c r="E59" s="43">
        <v>1605189</v>
      </c>
      <c r="F59" s="43" t="s">
        <v>19</v>
      </c>
      <c r="G59" s="44">
        <v>20302879</v>
      </c>
      <c r="H59" s="43" t="s">
        <v>108</v>
      </c>
      <c r="I59" s="44">
        <v>1</v>
      </c>
      <c r="J59" s="45">
        <v>4</v>
      </c>
      <c r="K59" s="45">
        <v>4</v>
      </c>
    </row>
    <row r="60" spans="4:11">
      <c r="D60" s="42">
        <v>46164</v>
      </c>
      <c r="E60" s="43">
        <v>1605377</v>
      </c>
      <c r="F60" s="43" t="s">
        <v>13</v>
      </c>
      <c r="G60" s="44">
        <v>20005207</v>
      </c>
      <c r="H60" s="43" t="s">
        <v>38</v>
      </c>
      <c r="I60" s="44">
        <v>5</v>
      </c>
      <c r="J60" s="45">
        <v>8</v>
      </c>
      <c r="K60" s="45">
        <v>40</v>
      </c>
    </row>
    <row r="61" spans="4:11">
      <c r="D61" s="42">
        <v>46164</v>
      </c>
      <c r="E61" s="43">
        <v>1605377</v>
      </c>
      <c r="F61" s="43" t="s">
        <v>13</v>
      </c>
      <c r="G61" s="44">
        <v>20005208</v>
      </c>
      <c r="H61" s="43" t="s">
        <v>58</v>
      </c>
      <c r="I61" s="44">
        <v>36</v>
      </c>
      <c r="J61" s="45">
        <v>8</v>
      </c>
      <c r="K61" s="45">
        <v>288</v>
      </c>
    </row>
    <row r="62" spans="4:11">
      <c r="D62" s="42">
        <v>46164</v>
      </c>
      <c r="E62" s="43">
        <v>1605377</v>
      </c>
      <c r="F62" s="43" t="s">
        <v>13</v>
      </c>
      <c r="G62" s="44">
        <v>20313590</v>
      </c>
      <c r="H62" s="43" t="s">
        <v>103</v>
      </c>
      <c r="I62" s="44">
        <v>5</v>
      </c>
      <c r="J62" s="45">
        <v>8</v>
      </c>
      <c r="K62" s="45">
        <v>40</v>
      </c>
    </row>
    <row r="63" spans="4:11">
      <c r="D63" s="42">
        <v>46164</v>
      </c>
      <c r="E63" s="43">
        <v>1605377</v>
      </c>
      <c r="F63" s="43" t="s">
        <v>13</v>
      </c>
      <c r="G63" s="44">
        <v>20407295</v>
      </c>
      <c r="H63" s="43" t="s">
        <v>104</v>
      </c>
      <c r="I63" s="44">
        <v>19</v>
      </c>
      <c r="J63" s="45">
        <v>8</v>
      </c>
      <c r="K63" s="45">
        <v>152</v>
      </c>
    </row>
    <row r="64" spans="4:11">
      <c r="D64" s="42">
        <v>46164</v>
      </c>
      <c r="E64" s="43">
        <v>1605377</v>
      </c>
      <c r="F64" s="43" t="s">
        <v>13</v>
      </c>
      <c r="G64" s="44">
        <v>20324084</v>
      </c>
      <c r="H64" s="43" t="s">
        <v>24</v>
      </c>
      <c r="I64" s="44">
        <v>1</v>
      </c>
      <c r="J64" s="45">
        <v>8</v>
      </c>
      <c r="K64" s="45">
        <v>8</v>
      </c>
    </row>
    <row r="65" spans="4:11">
      <c r="D65" s="42">
        <v>46164</v>
      </c>
      <c r="E65" s="43">
        <v>1605377</v>
      </c>
      <c r="F65" s="43" t="s">
        <v>13</v>
      </c>
      <c r="G65" s="44">
        <v>20303839</v>
      </c>
      <c r="H65" s="43" t="s">
        <v>80</v>
      </c>
      <c r="I65" s="44">
        <v>99</v>
      </c>
      <c r="J65" s="45">
        <v>8</v>
      </c>
      <c r="K65" s="45">
        <v>792</v>
      </c>
    </row>
    <row r="66" spans="4:11">
      <c r="D66" s="42">
        <v>46164</v>
      </c>
      <c r="E66" s="43">
        <v>1605377</v>
      </c>
      <c r="F66" s="43" t="s">
        <v>13</v>
      </c>
      <c r="G66" s="44">
        <v>20314990</v>
      </c>
      <c r="H66" s="43" t="s">
        <v>56</v>
      </c>
      <c r="I66" s="44">
        <v>9</v>
      </c>
      <c r="J66" s="45">
        <v>8</v>
      </c>
      <c r="K66" s="45">
        <v>72</v>
      </c>
    </row>
    <row r="67" spans="4:11">
      <c r="D67" s="42">
        <v>46164</v>
      </c>
      <c r="E67" s="43">
        <v>1605377</v>
      </c>
      <c r="F67" s="43" t="s">
        <v>13</v>
      </c>
      <c r="G67" s="44">
        <v>20005849</v>
      </c>
      <c r="H67" s="43" t="s">
        <v>57</v>
      </c>
      <c r="I67" s="44">
        <v>13</v>
      </c>
      <c r="J67" s="45">
        <v>8</v>
      </c>
      <c r="K67" s="45">
        <v>104</v>
      </c>
    </row>
    <row r="68" spans="4:11">
      <c r="D68" s="42">
        <v>46164</v>
      </c>
      <c r="E68" s="43">
        <v>1605377</v>
      </c>
      <c r="F68" s="43" t="s">
        <v>16</v>
      </c>
      <c r="G68" s="44">
        <v>20008026</v>
      </c>
      <c r="H68" s="43" t="s">
        <v>105</v>
      </c>
      <c r="I68" s="44">
        <v>17</v>
      </c>
      <c r="J68" s="45">
        <v>16.5</v>
      </c>
      <c r="K68" s="45">
        <v>280.5</v>
      </c>
    </row>
    <row r="69" spans="4:11">
      <c r="D69" s="42">
        <v>46164</v>
      </c>
      <c r="E69" s="43">
        <v>1605694</v>
      </c>
      <c r="F69" s="43" t="s">
        <v>22</v>
      </c>
      <c r="G69" s="44">
        <v>20005210</v>
      </c>
      <c r="H69" s="43" t="s">
        <v>102</v>
      </c>
      <c r="I69" s="44">
        <v>8</v>
      </c>
      <c r="J69" s="45">
        <v>49.5</v>
      </c>
      <c r="K69" s="45">
        <v>396</v>
      </c>
    </row>
    <row r="70" spans="4:11">
      <c r="D70" s="42">
        <v>46164</v>
      </c>
      <c r="E70" s="43">
        <v>1605694</v>
      </c>
      <c r="F70" s="43" t="s">
        <v>13</v>
      </c>
      <c r="G70" s="44">
        <v>20005207</v>
      </c>
      <c r="H70" s="43" t="s">
        <v>38</v>
      </c>
      <c r="I70" s="44">
        <v>7</v>
      </c>
      <c r="J70" s="45">
        <v>8</v>
      </c>
      <c r="K70" s="45">
        <v>56</v>
      </c>
    </row>
    <row r="71" spans="4:11">
      <c r="D71" s="42">
        <v>46164</v>
      </c>
      <c r="E71" s="43">
        <v>1605694</v>
      </c>
      <c r="F71" s="43" t="s">
        <v>13</v>
      </c>
      <c r="G71" s="44">
        <v>20005208</v>
      </c>
      <c r="H71" s="43" t="s">
        <v>58</v>
      </c>
      <c r="I71" s="44">
        <v>35</v>
      </c>
      <c r="J71" s="45">
        <v>8</v>
      </c>
      <c r="K71" s="45">
        <v>280</v>
      </c>
    </row>
    <row r="72" spans="4:11">
      <c r="D72" s="42">
        <v>46164</v>
      </c>
      <c r="E72" s="43">
        <v>1605694</v>
      </c>
      <c r="F72" s="43" t="s">
        <v>13</v>
      </c>
      <c r="G72" s="44">
        <v>20313590</v>
      </c>
      <c r="H72" s="43" t="s">
        <v>103</v>
      </c>
      <c r="I72" s="44">
        <v>3</v>
      </c>
      <c r="J72" s="45">
        <v>8</v>
      </c>
      <c r="K72" s="45">
        <v>24</v>
      </c>
    </row>
    <row r="73" spans="4:11">
      <c r="D73" s="42">
        <v>46164</v>
      </c>
      <c r="E73" s="43">
        <v>1605694</v>
      </c>
      <c r="F73" s="43" t="s">
        <v>13</v>
      </c>
      <c r="G73" s="44">
        <v>20013630</v>
      </c>
      <c r="H73" s="43" t="s">
        <v>82</v>
      </c>
      <c r="I73" s="44">
        <v>5</v>
      </c>
      <c r="J73" s="45">
        <v>8</v>
      </c>
      <c r="K73" s="45">
        <v>40</v>
      </c>
    </row>
    <row r="74" spans="4:11">
      <c r="D74" s="42">
        <v>46164</v>
      </c>
      <c r="E74" s="43">
        <v>1605694</v>
      </c>
      <c r="F74" s="43" t="s">
        <v>13</v>
      </c>
      <c r="G74" s="44">
        <v>20407295</v>
      </c>
      <c r="H74" s="43" t="s">
        <v>104</v>
      </c>
      <c r="I74" s="44">
        <v>24</v>
      </c>
      <c r="J74" s="45">
        <v>8</v>
      </c>
      <c r="K74" s="45">
        <v>192</v>
      </c>
    </row>
    <row r="75" spans="4:11">
      <c r="D75" s="42">
        <v>46164</v>
      </c>
      <c r="E75" s="43">
        <v>1605694</v>
      </c>
      <c r="F75" s="43" t="s">
        <v>13</v>
      </c>
      <c r="G75" s="44">
        <v>20302876</v>
      </c>
      <c r="H75" s="43" t="s">
        <v>107</v>
      </c>
      <c r="I75" s="44">
        <v>1</v>
      </c>
      <c r="J75" s="45">
        <v>16</v>
      </c>
      <c r="K75" s="45">
        <v>16</v>
      </c>
    </row>
    <row r="76" spans="4:11">
      <c r="D76" s="42">
        <v>46164</v>
      </c>
      <c r="E76" s="43">
        <v>1605694</v>
      </c>
      <c r="F76" s="43" t="s">
        <v>13</v>
      </c>
      <c r="G76" s="44">
        <v>20314990</v>
      </c>
      <c r="H76" s="43" t="s">
        <v>56</v>
      </c>
      <c r="I76" s="44">
        <v>12</v>
      </c>
      <c r="J76" s="45">
        <v>8</v>
      </c>
      <c r="K76" s="45">
        <v>96</v>
      </c>
    </row>
    <row r="77" spans="4:11">
      <c r="D77" s="42">
        <v>46164</v>
      </c>
      <c r="E77" s="43">
        <v>1605694</v>
      </c>
      <c r="F77" s="43" t="s">
        <v>13</v>
      </c>
      <c r="G77" s="44">
        <v>20005849</v>
      </c>
      <c r="H77" s="43" t="s">
        <v>57</v>
      </c>
      <c r="I77" s="44">
        <v>12</v>
      </c>
      <c r="J77" s="45">
        <v>8</v>
      </c>
      <c r="K77" s="45">
        <v>96</v>
      </c>
    </row>
    <row r="78" spans="4:11">
      <c r="D78" s="42">
        <v>46164</v>
      </c>
      <c r="E78" s="43">
        <v>1605696</v>
      </c>
      <c r="F78" s="43" t="s">
        <v>16</v>
      </c>
      <c r="G78" s="44">
        <v>20008026</v>
      </c>
      <c r="H78" s="43" t="s">
        <v>105</v>
      </c>
      <c r="I78" s="44">
        <v>14</v>
      </c>
      <c r="J78" s="45">
        <v>16.5</v>
      </c>
      <c r="K78" s="45">
        <v>231</v>
      </c>
    </row>
    <row r="79" spans="4:11">
      <c r="D79" s="42">
        <v>46165</v>
      </c>
      <c r="E79" s="43">
        <v>1605843</v>
      </c>
      <c r="F79" s="43" t="s">
        <v>22</v>
      </c>
      <c r="G79" s="44">
        <v>20005210</v>
      </c>
      <c r="H79" s="43" t="s">
        <v>102</v>
      </c>
      <c r="I79" s="44">
        <v>2</v>
      </c>
      <c r="J79" s="45">
        <v>49.5</v>
      </c>
      <c r="K79" s="45">
        <v>99</v>
      </c>
    </row>
    <row r="80" spans="4:11">
      <c r="D80" s="42">
        <v>46165</v>
      </c>
      <c r="E80" s="43">
        <v>1605843</v>
      </c>
      <c r="F80" s="43" t="s">
        <v>13</v>
      </c>
      <c r="G80" s="44">
        <v>20005207</v>
      </c>
      <c r="H80" s="43" t="s">
        <v>38</v>
      </c>
      <c r="I80" s="44">
        <v>7</v>
      </c>
      <c r="J80" s="45">
        <v>8</v>
      </c>
      <c r="K80" s="45">
        <v>56</v>
      </c>
    </row>
    <row r="81" spans="4:11">
      <c r="D81" s="42">
        <v>46165</v>
      </c>
      <c r="E81" s="43">
        <v>1605843</v>
      </c>
      <c r="F81" s="43" t="s">
        <v>13</v>
      </c>
      <c r="G81" s="44">
        <v>20005208</v>
      </c>
      <c r="H81" s="43" t="s">
        <v>58</v>
      </c>
      <c r="I81" s="44">
        <v>13</v>
      </c>
      <c r="J81" s="45">
        <v>8</v>
      </c>
      <c r="K81" s="45">
        <v>104</v>
      </c>
    </row>
    <row r="82" spans="4:11">
      <c r="D82" s="42">
        <v>46165</v>
      </c>
      <c r="E82" s="43">
        <v>1605843</v>
      </c>
      <c r="F82" s="43" t="s">
        <v>13</v>
      </c>
      <c r="G82" s="44">
        <v>20313590</v>
      </c>
      <c r="H82" s="43" t="s">
        <v>103</v>
      </c>
      <c r="I82" s="44">
        <v>1</v>
      </c>
      <c r="J82" s="45">
        <v>8</v>
      </c>
      <c r="K82" s="45">
        <v>8</v>
      </c>
    </row>
    <row r="83" spans="4:11">
      <c r="D83" s="42">
        <v>46165</v>
      </c>
      <c r="E83" s="43">
        <v>1605843</v>
      </c>
      <c r="F83" s="43" t="s">
        <v>13</v>
      </c>
      <c r="G83" s="44">
        <v>20013630</v>
      </c>
      <c r="H83" s="43" t="s">
        <v>82</v>
      </c>
      <c r="I83" s="44">
        <v>1</v>
      </c>
      <c r="J83" s="45">
        <v>8</v>
      </c>
      <c r="K83" s="45">
        <v>8</v>
      </c>
    </row>
    <row r="84" spans="4:11">
      <c r="D84" s="42">
        <v>46165</v>
      </c>
      <c r="E84" s="43">
        <v>1605843</v>
      </c>
      <c r="F84" s="43" t="s">
        <v>13</v>
      </c>
      <c r="G84" s="44">
        <v>20407295</v>
      </c>
      <c r="H84" s="43" t="s">
        <v>104</v>
      </c>
      <c r="I84" s="44">
        <v>9</v>
      </c>
      <c r="J84" s="45">
        <v>8</v>
      </c>
      <c r="K84" s="45">
        <v>72</v>
      </c>
    </row>
    <row r="85" spans="4:11">
      <c r="D85" s="42">
        <v>46165</v>
      </c>
      <c r="E85" s="43">
        <v>1605843</v>
      </c>
      <c r="F85" s="43" t="s">
        <v>13</v>
      </c>
      <c r="G85" s="44">
        <v>20324084</v>
      </c>
      <c r="H85" s="43" t="s">
        <v>24</v>
      </c>
      <c r="I85" s="44">
        <v>1</v>
      </c>
      <c r="J85" s="45">
        <v>8</v>
      </c>
      <c r="K85" s="45">
        <v>8</v>
      </c>
    </row>
    <row r="86" spans="4:11">
      <c r="D86" s="42">
        <v>46165</v>
      </c>
      <c r="E86" s="43">
        <v>1605843</v>
      </c>
      <c r="F86" s="43" t="s">
        <v>13</v>
      </c>
      <c r="G86" s="44">
        <v>20321305</v>
      </c>
      <c r="H86" s="43" t="s">
        <v>109</v>
      </c>
      <c r="I86" s="44">
        <v>1</v>
      </c>
      <c r="J86" s="45">
        <v>8</v>
      </c>
      <c r="K86" s="45">
        <v>8</v>
      </c>
    </row>
    <row r="87" spans="4:11">
      <c r="D87" s="42">
        <v>46165</v>
      </c>
      <c r="E87" s="43">
        <v>1605843</v>
      </c>
      <c r="F87" s="43" t="s">
        <v>13</v>
      </c>
      <c r="G87" s="44">
        <v>20314990</v>
      </c>
      <c r="H87" s="43" t="s">
        <v>56</v>
      </c>
      <c r="I87" s="44">
        <v>7</v>
      </c>
      <c r="J87" s="45">
        <v>8</v>
      </c>
      <c r="K87" s="45">
        <v>56</v>
      </c>
    </row>
    <row r="88" spans="4:11">
      <c r="D88" s="42">
        <v>46165</v>
      </c>
      <c r="E88" s="43">
        <v>1605843</v>
      </c>
      <c r="F88" s="43" t="s">
        <v>13</v>
      </c>
      <c r="G88" s="44">
        <v>20005849</v>
      </c>
      <c r="H88" s="43" t="s">
        <v>57</v>
      </c>
      <c r="I88" s="44">
        <v>8</v>
      </c>
      <c r="J88" s="45">
        <v>8</v>
      </c>
      <c r="K88" s="45">
        <v>64</v>
      </c>
    </row>
    <row r="89" spans="4:11">
      <c r="D89" s="42">
        <v>46165</v>
      </c>
      <c r="E89" s="43">
        <v>1605843</v>
      </c>
      <c r="F89" s="43" t="s">
        <v>16</v>
      </c>
      <c r="G89" s="44">
        <v>20008026</v>
      </c>
      <c r="H89" s="43" t="s">
        <v>105</v>
      </c>
      <c r="I89" s="44">
        <v>5</v>
      </c>
      <c r="J89" s="45">
        <v>16.5</v>
      </c>
      <c r="K89" s="45">
        <v>82.5</v>
      </c>
    </row>
    <row r="90" spans="4:11">
      <c r="D90" s="42">
        <v>46167</v>
      </c>
      <c r="E90" s="43">
        <v>1606240</v>
      </c>
      <c r="F90" s="43" t="s">
        <v>13</v>
      </c>
      <c r="G90" s="44">
        <v>20005207</v>
      </c>
      <c r="H90" s="43" t="s">
        <v>38</v>
      </c>
      <c r="I90" s="44">
        <v>11</v>
      </c>
      <c r="J90" s="45">
        <v>8</v>
      </c>
      <c r="K90" s="45">
        <v>88</v>
      </c>
    </row>
    <row r="91" spans="4:11">
      <c r="D91" s="42">
        <v>46167</v>
      </c>
      <c r="E91" s="43">
        <v>1606240</v>
      </c>
      <c r="F91" s="43" t="s">
        <v>13</v>
      </c>
      <c r="G91" s="44">
        <v>20005208</v>
      </c>
      <c r="H91" s="43" t="s">
        <v>58</v>
      </c>
      <c r="I91" s="44">
        <v>45</v>
      </c>
      <c r="J91" s="45">
        <v>8</v>
      </c>
      <c r="K91" s="45">
        <v>360</v>
      </c>
    </row>
    <row r="92" spans="4:11">
      <c r="D92" s="42">
        <v>46167</v>
      </c>
      <c r="E92" s="43">
        <v>1606240</v>
      </c>
      <c r="F92" s="43" t="s">
        <v>13</v>
      </c>
      <c r="G92" s="44">
        <v>20313590</v>
      </c>
      <c r="H92" s="43" t="s">
        <v>103</v>
      </c>
      <c r="I92" s="44">
        <v>3</v>
      </c>
      <c r="J92" s="45">
        <v>8</v>
      </c>
      <c r="K92" s="45">
        <v>24</v>
      </c>
    </row>
    <row r="93" spans="4:11">
      <c r="D93" s="42">
        <v>46167</v>
      </c>
      <c r="E93" s="43">
        <v>1606240</v>
      </c>
      <c r="F93" s="43" t="s">
        <v>13</v>
      </c>
      <c r="G93" s="44">
        <v>20013630</v>
      </c>
      <c r="H93" s="43" t="s">
        <v>82</v>
      </c>
      <c r="I93" s="44">
        <v>2</v>
      </c>
      <c r="J93" s="45">
        <v>8</v>
      </c>
      <c r="K93" s="45">
        <v>16</v>
      </c>
    </row>
    <row r="94" spans="4:11">
      <c r="D94" s="42">
        <v>46167</v>
      </c>
      <c r="E94" s="43">
        <v>1606240</v>
      </c>
      <c r="F94" s="43" t="s">
        <v>13</v>
      </c>
      <c r="G94" s="44">
        <v>20407295</v>
      </c>
      <c r="H94" s="43" t="s">
        <v>104</v>
      </c>
      <c r="I94" s="44">
        <v>11</v>
      </c>
      <c r="J94" s="45">
        <v>8</v>
      </c>
      <c r="K94" s="45">
        <v>88</v>
      </c>
    </row>
    <row r="95" spans="4:11">
      <c r="D95" s="42">
        <v>46167</v>
      </c>
      <c r="E95" s="43">
        <v>1606240</v>
      </c>
      <c r="F95" s="43" t="s">
        <v>13</v>
      </c>
      <c r="G95" s="44">
        <v>20314990</v>
      </c>
      <c r="H95" s="43" t="s">
        <v>56</v>
      </c>
      <c r="I95" s="44">
        <v>7</v>
      </c>
      <c r="J95" s="45">
        <v>8</v>
      </c>
      <c r="K95" s="45">
        <v>56</v>
      </c>
    </row>
    <row r="96" spans="4:11">
      <c r="D96" s="42">
        <v>46167</v>
      </c>
      <c r="E96" s="43">
        <v>1606240</v>
      </c>
      <c r="F96" s="43" t="s">
        <v>13</v>
      </c>
      <c r="G96" s="44">
        <v>20005930</v>
      </c>
      <c r="H96" s="43" t="s">
        <v>25</v>
      </c>
      <c r="I96" s="44">
        <v>1</v>
      </c>
      <c r="J96" s="45">
        <v>8</v>
      </c>
      <c r="K96" s="45">
        <v>8</v>
      </c>
    </row>
    <row r="97" spans="4:11">
      <c r="D97" s="42">
        <v>46167</v>
      </c>
      <c r="E97" s="43">
        <v>1606240</v>
      </c>
      <c r="F97" s="43" t="s">
        <v>13</v>
      </c>
      <c r="G97" s="44">
        <v>20005849</v>
      </c>
      <c r="H97" s="43" t="s">
        <v>57</v>
      </c>
      <c r="I97" s="44">
        <v>19</v>
      </c>
      <c r="J97" s="45">
        <v>8</v>
      </c>
      <c r="K97" s="45">
        <v>152</v>
      </c>
    </row>
    <row r="98" spans="4:11">
      <c r="D98" s="42">
        <v>46167</v>
      </c>
      <c r="E98" s="43">
        <v>1606240</v>
      </c>
      <c r="F98" s="43" t="s">
        <v>16</v>
      </c>
      <c r="G98" s="44">
        <v>20008026</v>
      </c>
      <c r="H98" s="43" t="s">
        <v>105</v>
      </c>
      <c r="I98" s="44">
        <v>19</v>
      </c>
      <c r="J98" s="45">
        <v>16.5</v>
      </c>
      <c r="K98" s="45">
        <v>313.5</v>
      </c>
    </row>
    <row r="99" spans="4:11">
      <c r="D99" s="42">
        <v>46169</v>
      </c>
      <c r="E99" s="43">
        <v>1606693</v>
      </c>
      <c r="F99" s="43" t="s">
        <v>22</v>
      </c>
      <c r="G99" s="44">
        <v>20005210</v>
      </c>
      <c r="H99" s="43" t="s">
        <v>102</v>
      </c>
      <c r="I99" s="44">
        <v>5</v>
      </c>
      <c r="J99" s="45">
        <v>49.5</v>
      </c>
      <c r="K99" s="45">
        <v>247.5</v>
      </c>
    </row>
    <row r="100" spans="4:11">
      <c r="D100" s="42">
        <v>46169</v>
      </c>
      <c r="E100" s="43">
        <v>1606693</v>
      </c>
      <c r="F100" s="43" t="s">
        <v>13</v>
      </c>
      <c r="G100" s="44">
        <v>20005207</v>
      </c>
      <c r="H100" s="43" t="s">
        <v>38</v>
      </c>
      <c r="I100" s="44">
        <v>9</v>
      </c>
      <c r="J100" s="45">
        <v>8</v>
      </c>
      <c r="K100" s="45">
        <v>72</v>
      </c>
    </row>
    <row r="101" spans="4:11">
      <c r="D101" s="42">
        <v>46169</v>
      </c>
      <c r="E101" s="43">
        <v>1606693</v>
      </c>
      <c r="F101" s="43" t="s">
        <v>13</v>
      </c>
      <c r="G101" s="44">
        <v>20005208</v>
      </c>
      <c r="H101" s="43" t="s">
        <v>58</v>
      </c>
      <c r="I101" s="44">
        <v>41</v>
      </c>
      <c r="J101" s="45">
        <v>8</v>
      </c>
      <c r="K101" s="45">
        <v>328</v>
      </c>
    </row>
    <row r="102" spans="4:11">
      <c r="D102" s="42">
        <v>46169</v>
      </c>
      <c r="E102" s="43">
        <v>1606693</v>
      </c>
      <c r="F102" s="43" t="s">
        <v>13</v>
      </c>
      <c r="G102" s="44">
        <v>20313590</v>
      </c>
      <c r="H102" s="43" t="s">
        <v>103</v>
      </c>
      <c r="I102" s="44">
        <v>2</v>
      </c>
      <c r="J102" s="45">
        <v>8</v>
      </c>
      <c r="K102" s="45">
        <v>16</v>
      </c>
    </row>
    <row r="103" spans="4:11">
      <c r="D103" s="42">
        <v>46169</v>
      </c>
      <c r="E103" s="43">
        <v>1606693</v>
      </c>
      <c r="F103" s="43" t="s">
        <v>13</v>
      </c>
      <c r="G103" s="44">
        <v>20013630</v>
      </c>
      <c r="H103" s="43" t="s">
        <v>82</v>
      </c>
      <c r="I103" s="44">
        <v>8</v>
      </c>
      <c r="J103" s="45">
        <v>8</v>
      </c>
      <c r="K103" s="45">
        <v>64</v>
      </c>
    </row>
    <row r="104" spans="4:11">
      <c r="D104" s="42">
        <v>46169</v>
      </c>
      <c r="E104" s="43">
        <v>1606693</v>
      </c>
      <c r="F104" s="43" t="s">
        <v>13</v>
      </c>
      <c r="G104" s="44">
        <v>20407295</v>
      </c>
      <c r="H104" s="43" t="s">
        <v>104</v>
      </c>
      <c r="I104" s="44">
        <v>16</v>
      </c>
      <c r="J104" s="45">
        <v>8</v>
      </c>
      <c r="K104" s="45">
        <v>128</v>
      </c>
    </row>
    <row r="105" spans="4:11">
      <c r="D105" s="42">
        <v>46169</v>
      </c>
      <c r="E105" s="43">
        <v>1606693</v>
      </c>
      <c r="F105" s="43" t="s">
        <v>13</v>
      </c>
      <c r="G105" s="44">
        <v>20324084</v>
      </c>
      <c r="H105" s="43" t="s">
        <v>24</v>
      </c>
      <c r="I105" s="44">
        <v>2</v>
      </c>
      <c r="J105" s="45">
        <v>8</v>
      </c>
      <c r="K105" s="45">
        <v>16</v>
      </c>
    </row>
    <row r="106" spans="4:11">
      <c r="D106" s="42">
        <v>46169</v>
      </c>
      <c r="E106" s="43">
        <v>1606693</v>
      </c>
      <c r="F106" s="43" t="s">
        <v>13</v>
      </c>
      <c r="G106" s="44">
        <v>20321305</v>
      </c>
      <c r="H106" s="43" t="s">
        <v>109</v>
      </c>
      <c r="I106" s="44">
        <v>1</v>
      </c>
      <c r="J106" s="45">
        <v>8</v>
      </c>
      <c r="K106" s="45">
        <v>8</v>
      </c>
    </row>
    <row r="107" spans="4:11">
      <c r="D107" s="42">
        <v>46169</v>
      </c>
      <c r="E107" s="43">
        <v>1606693</v>
      </c>
      <c r="F107" s="43" t="s">
        <v>13</v>
      </c>
      <c r="G107" s="44">
        <v>20314990</v>
      </c>
      <c r="H107" s="43" t="s">
        <v>56</v>
      </c>
      <c r="I107" s="44">
        <v>15</v>
      </c>
      <c r="J107" s="45">
        <v>8</v>
      </c>
      <c r="K107" s="45">
        <v>120</v>
      </c>
    </row>
    <row r="108" spans="4:11">
      <c r="D108" s="42">
        <v>46169</v>
      </c>
      <c r="E108" s="43">
        <v>1606693</v>
      </c>
      <c r="F108" s="43" t="s">
        <v>13</v>
      </c>
      <c r="G108" s="44">
        <v>20005849</v>
      </c>
      <c r="H108" s="43" t="s">
        <v>57</v>
      </c>
      <c r="I108" s="44">
        <v>14</v>
      </c>
      <c r="J108" s="45">
        <v>8</v>
      </c>
      <c r="K108" s="45">
        <v>112</v>
      </c>
    </row>
    <row r="109" spans="4:11">
      <c r="D109" s="42">
        <v>46169</v>
      </c>
      <c r="E109" s="43">
        <v>1606693</v>
      </c>
      <c r="F109" s="43" t="s">
        <v>16</v>
      </c>
      <c r="G109" s="44">
        <v>20008026</v>
      </c>
      <c r="H109" s="43" t="s">
        <v>105</v>
      </c>
      <c r="I109" s="44">
        <v>19</v>
      </c>
      <c r="J109" s="45">
        <v>16.5</v>
      </c>
      <c r="K109" s="45">
        <v>313.5</v>
      </c>
    </row>
    <row r="110" spans="4:11">
      <c r="D110" s="42">
        <v>46169</v>
      </c>
      <c r="E110" s="43">
        <v>1606985</v>
      </c>
      <c r="F110" s="43" t="s">
        <v>22</v>
      </c>
      <c r="G110" s="44">
        <v>20005210</v>
      </c>
      <c r="H110" s="43" t="s">
        <v>102</v>
      </c>
      <c r="I110" s="44">
        <v>5</v>
      </c>
      <c r="J110" s="45">
        <v>49.5</v>
      </c>
      <c r="K110" s="45">
        <v>247.5</v>
      </c>
    </row>
    <row r="111" spans="4:11">
      <c r="D111" s="42">
        <v>46169</v>
      </c>
      <c r="E111" s="43">
        <v>1606985</v>
      </c>
      <c r="F111" s="43" t="s">
        <v>13</v>
      </c>
      <c r="G111" s="44">
        <v>20005207</v>
      </c>
      <c r="H111" s="43" t="s">
        <v>38</v>
      </c>
      <c r="I111" s="44">
        <v>5</v>
      </c>
      <c r="J111" s="45">
        <v>8</v>
      </c>
      <c r="K111" s="45">
        <v>40</v>
      </c>
    </row>
    <row r="112" spans="4:11">
      <c r="D112" s="42">
        <v>46169</v>
      </c>
      <c r="E112" s="43">
        <v>1606985</v>
      </c>
      <c r="F112" s="43" t="s">
        <v>13</v>
      </c>
      <c r="G112" s="44">
        <v>20005208</v>
      </c>
      <c r="H112" s="43" t="s">
        <v>58</v>
      </c>
      <c r="I112" s="44">
        <v>35</v>
      </c>
      <c r="J112" s="45">
        <v>8</v>
      </c>
      <c r="K112" s="45">
        <v>280</v>
      </c>
    </row>
    <row r="113" spans="4:11">
      <c r="D113" s="42">
        <v>46169</v>
      </c>
      <c r="E113" s="43">
        <v>1606985</v>
      </c>
      <c r="F113" s="43" t="s">
        <v>13</v>
      </c>
      <c r="G113" s="44">
        <v>20313590</v>
      </c>
      <c r="H113" s="43" t="s">
        <v>103</v>
      </c>
      <c r="I113" s="44">
        <v>2</v>
      </c>
      <c r="J113" s="45">
        <v>8</v>
      </c>
      <c r="K113" s="45">
        <v>16</v>
      </c>
    </row>
    <row r="114" spans="4:11">
      <c r="D114" s="42">
        <v>46169</v>
      </c>
      <c r="E114" s="43">
        <v>1606985</v>
      </c>
      <c r="F114" s="43" t="s">
        <v>13</v>
      </c>
      <c r="G114" s="44">
        <v>20013630</v>
      </c>
      <c r="H114" s="43" t="s">
        <v>82</v>
      </c>
      <c r="I114" s="44">
        <v>5</v>
      </c>
      <c r="J114" s="45">
        <v>8</v>
      </c>
      <c r="K114" s="45">
        <v>40</v>
      </c>
    </row>
    <row r="115" spans="4:11">
      <c r="D115" s="42">
        <v>46169</v>
      </c>
      <c r="E115" s="43">
        <v>1606985</v>
      </c>
      <c r="F115" s="43" t="s">
        <v>13</v>
      </c>
      <c r="G115" s="44">
        <v>20407295</v>
      </c>
      <c r="H115" s="43" t="s">
        <v>104</v>
      </c>
      <c r="I115" s="44">
        <v>27</v>
      </c>
      <c r="J115" s="45">
        <v>8</v>
      </c>
      <c r="K115" s="45">
        <v>216</v>
      </c>
    </row>
    <row r="116" spans="4:11">
      <c r="D116" s="42">
        <v>46169</v>
      </c>
      <c r="E116" s="43">
        <v>1606985</v>
      </c>
      <c r="F116" s="43" t="s">
        <v>13</v>
      </c>
      <c r="G116" s="44">
        <v>20321305</v>
      </c>
      <c r="H116" s="43" t="s">
        <v>109</v>
      </c>
      <c r="I116" s="44">
        <v>1</v>
      </c>
      <c r="J116" s="45">
        <v>8</v>
      </c>
      <c r="K116" s="45">
        <v>8</v>
      </c>
    </row>
    <row r="117" spans="4:11">
      <c r="D117" s="42">
        <v>46169</v>
      </c>
      <c r="E117" s="43">
        <v>1606985</v>
      </c>
      <c r="F117" s="43" t="s">
        <v>13</v>
      </c>
      <c r="G117" s="44">
        <v>20314990</v>
      </c>
      <c r="H117" s="43" t="s">
        <v>56</v>
      </c>
      <c r="I117" s="44">
        <v>10</v>
      </c>
      <c r="J117" s="45">
        <v>8</v>
      </c>
      <c r="K117" s="45">
        <v>80</v>
      </c>
    </row>
    <row r="118" spans="4:11">
      <c r="D118" s="42">
        <v>46169</v>
      </c>
      <c r="E118" s="43">
        <v>1606985</v>
      </c>
      <c r="F118" s="43" t="s">
        <v>13</v>
      </c>
      <c r="G118" s="44">
        <v>20005930</v>
      </c>
      <c r="H118" s="43" t="s">
        <v>25</v>
      </c>
      <c r="I118" s="44">
        <v>1</v>
      </c>
      <c r="J118" s="45">
        <v>8</v>
      </c>
      <c r="K118" s="45">
        <v>8</v>
      </c>
    </row>
    <row r="119" spans="4:11">
      <c r="D119" s="42">
        <v>46169</v>
      </c>
      <c r="E119" s="43">
        <v>1606985</v>
      </c>
      <c r="F119" s="43" t="s">
        <v>13</v>
      </c>
      <c r="G119" s="44">
        <v>20005849</v>
      </c>
      <c r="H119" s="43" t="s">
        <v>57</v>
      </c>
      <c r="I119" s="44">
        <v>15</v>
      </c>
      <c r="J119" s="45">
        <v>8</v>
      </c>
      <c r="K119" s="45">
        <v>120</v>
      </c>
    </row>
    <row r="120" spans="4:11">
      <c r="D120" s="42">
        <v>46169</v>
      </c>
      <c r="E120" s="43">
        <v>1606985</v>
      </c>
      <c r="F120" s="43" t="s">
        <v>16</v>
      </c>
      <c r="G120" s="44">
        <v>20008026</v>
      </c>
      <c r="H120" s="43" t="s">
        <v>105</v>
      </c>
      <c r="I120" s="44">
        <v>10</v>
      </c>
      <c r="J120" s="45">
        <v>16.5</v>
      </c>
      <c r="K120" s="45">
        <v>165</v>
      </c>
    </row>
    <row r="121" spans="4:11">
      <c r="D121" s="42">
        <v>46170</v>
      </c>
      <c r="E121" s="43">
        <v>1607356</v>
      </c>
      <c r="F121" s="43" t="s">
        <v>22</v>
      </c>
      <c r="G121" s="44">
        <v>20005210</v>
      </c>
      <c r="H121" s="43" t="s">
        <v>102</v>
      </c>
      <c r="I121" s="44">
        <v>4</v>
      </c>
      <c r="J121" s="45">
        <v>49.5</v>
      </c>
      <c r="K121" s="45">
        <v>198</v>
      </c>
    </row>
    <row r="122" spans="4:11">
      <c r="D122" s="42">
        <v>46170</v>
      </c>
      <c r="E122" s="43">
        <v>1607356</v>
      </c>
      <c r="F122" s="43" t="s">
        <v>13</v>
      </c>
      <c r="G122" s="44">
        <v>20005207</v>
      </c>
      <c r="H122" s="43" t="s">
        <v>38</v>
      </c>
      <c r="I122" s="44">
        <v>4</v>
      </c>
      <c r="J122" s="45">
        <v>8</v>
      </c>
      <c r="K122" s="45">
        <v>32</v>
      </c>
    </row>
    <row r="123" spans="4:11">
      <c r="D123" s="42">
        <v>46170</v>
      </c>
      <c r="E123" s="43">
        <v>1607356</v>
      </c>
      <c r="F123" s="43" t="s">
        <v>13</v>
      </c>
      <c r="G123" s="44">
        <v>20005208</v>
      </c>
      <c r="H123" s="43" t="s">
        <v>58</v>
      </c>
      <c r="I123" s="44">
        <v>34</v>
      </c>
      <c r="J123" s="45">
        <v>8</v>
      </c>
      <c r="K123" s="45">
        <v>272</v>
      </c>
    </row>
    <row r="124" spans="4:11">
      <c r="D124" s="42">
        <v>46170</v>
      </c>
      <c r="E124" s="43">
        <v>1607356</v>
      </c>
      <c r="F124" s="43" t="s">
        <v>13</v>
      </c>
      <c r="G124" s="44">
        <v>20313590</v>
      </c>
      <c r="H124" s="43" t="s">
        <v>103</v>
      </c>
      <c r="I124" s="44">
        <v>3</v>
      </c>
      <c r="J124" s="45">
        <v>8</v>
      </c>
      <c r="K124" s="45">
        <v>24</v>
      </c>
    </row>
    <row r="125" spans="4:11">
      <c r="D125" s="42">
        <v>46170</v>
      </c>
      <c r="E125" s="43">
        <v>1607356</v>
      </c>
      <c r="F125" s="43" t="s">
        <v>13</v>
      </c>
      <c r="G125" s="44">
        <v>20407295</v>
      </c>
      <c r="H125" s="43" t="s">
        <v>104</v>
      </c>
      <c r="I125" s="44">
        <v>19</v>
      </c>
      <c r="J125" s="45">
        <v>8</v>
      </c>
      <c r="K125" s="45">
        <v>152</v>
      </c>
    </row>
    <row r="126" spans="4:11">
      <c r="D126" s="42">
        <v>46170</v>
      </c>
      <c r="E126" s="43">
        <v>1607356</v>
      </c>
      <c r="F126" s="43" t="s">
        <v>13</v>
      </c>
      <c r="G126" s="44">
        <v>20302876</v>
      </c>
      <c r="H126" s="43" t="s">
        <v>107</v>
      </c>
      <c r="I126" s="44">
        <v>1</v>
      </c>
      <c r="J126" s="45">
        <v>16</v>
      </c>
      <c r="K126" s="45">
        <v>16</v>
      </c>
    </row>
    <row r="127" spans="4:11">
      <c r="D127" s="42">
        <v>46170</v>
      </c>
      <c r="E127" s="43">
        <v>1607356</v>
      </c>
      <c r="F127" s="43" t="s">
        <v>13</v>
      </c>
      <c r="G127" s="44">
        <v>20314990</v>
      </c>
      <c r="H127" s="43" t="s">
        <v>56</v>
      </c>
      <c r="I127" s="44">
        <v>11</v>
      </c>
      <c r="J127" s="45">
        <v>8</v>
      </c>
      <c r="K127" s="45">
        <v>88</v>
      </c>
    </row>
    <row r="128" spans="4:11">
      <c r="D128" s="42">
        <v>46170</v>
      </c>
      <c r="E128" s="43">
        <v>1607356</v>
      </c>
      <c r="F128" s="43" t="s">
        <v>13</v>
      </c>
      <c r="G128" s="44">
        <v>20005849</v>
      </c>
      <c r="H128" s="43" t="s">
        <v>57</v>
      </c>
      <c r="I128" s="44">
        <v>8</v>
      </c>
      <c r="J128" s="45">
        <v>8</v>
      </c>
      <c r="K128" s="45">
        <v>64</v>
      </c>
    </row>
    <row r="129" spans="4:11">
      <c r="D129" s="42">
        <v>46170</v>
      </c>
      <c r="E129" s="43">
        <v>1607356</v>
      </c>
      <c r="F129" s="43" t="s">
        <v>16</v>
      </c>
      <c r="G129" s="44">
        <v>20008026</v>
      </c>
      <c r="H129" s="43" t="s">
        <v>105</v>
      </c>
      <c r="I129" s="44">
        <v>12</v>
      </c>
      <c r="J129" s="45">
        <v>16.5</v>
      </c>
      <c r="K129" s="45">
        <v>198</v>
      </c>
    </row>
    <row r="130" spans="4:11">
      <c r="D130" s="42">
        <v>46170</v>
      </c>
      <c r="E130" s="43">
        <v>1607356</v>
      </c>
      <c r="F130" s="43" t="s">
        <v>19</v>
      </c>
      <c r="G130" s="44">
        <v>20302879</v>
      </c>
      <c r="H130" s="43" t="s">
        <v>108</v>
      </c>
      <c r="I130" s="44">
        <v>1</v>
      </c>
      <c r="J130" s="45">
        <v>4</v>
      </c>
      <c r="K130" s="45">
        <v>4</v>
      </c>
    </row>
    <row r="131" spans="4:11">
      <c r="D131" s="42">
        <v>46171</v>
      </c>
      <c r="E131" s="43">
        <v>1607406</v>
      </c>
      <c r="F131" s="43" t="s">
        <v>13</v>
      </c>
      <c r="G131" s="44">
        <v>20013630</v>
      </c>
      <c r="H131" s="43" t="s">
        <v>82</v>
      </c>
      <c r="I131" s="44">
        <v>7</v>
      </c>
      <c r="J131" s="45">
        <v>8</v>
      </c>
      <c r="K131" s="45">
        <v>56</v>
      </c>
    </row>
    <row r="132" spans="4:11">
      <c r="D132" s="42">
        <v>46172</v>
      </c>
      <c r="E132" s="43">
        <v>1607781</v>
      </c>
      <c r="F132" s="43" t="s">
        <v>22</v>
      </c>
      <c r="G132" s="44">
        <v>20005210</v>
      </c>
      <c r="H132" s="43" t="s">
        <v>102</v>
      </c>
      <c r="I132" s="44">
        <v>2</v>
      </c>
      <c r="J132" s="45">
        <v>49.5</v>
      </c>
      <c r="K132" s="45">
        <v>99</v>
      </c>
    </row>
    <row r="133" spans="4:11">
      <c r="D133" s="42">
        <v>46172</v>
      </c>
      <c r="E133" s="43">
        <v>1607781</v>
      </c>
      <c r="F133" s="43" t="s">
        <v>13</v>
      </c>
      <c r="G133" s="44">
        <v>20005207</v>
      </c>
      <c r="H133" s="43" t="s">
        <v>38</v>
      </c>
      <c r="I133" s="44">
        <v>11</v>
      </c>
      <c r="J133" s="45">
        <v>8</v>
      </c>
      <c r="K133" s="45">
        <v>88</v>
      </c>
    </row>
    <row r="134" spans="4:11">
      <c r="D134" s="42">
        <v>46172</v>
      </c>
      <c r="E134" s="43">
        <v>1607781</v>
      </c>
      <c r="F134" s="43" t="s">
        <v>13</v>
      </c>
      <c r="G134" s="44">
        <v>20005208</v>
      </c>
      <c r="H134" s="43" t="s">
        <v>58</v>
      </c>
      <c r="I134" s="44">
        <v>34</v>
      </c>
      <c r="J134" s="45">
        <v>8</v>
      </c>
      <c r="K134" s="45">
        <v>272</v>
      </c>
    </row>
    <row r="135" spans="4:11">
      <c r="D135" s="42">
        <v>46172</v>
      </c>
      <c r="E135" s="43">
        <v>1607781</v>
      </c>
      <c r="F135" s="43" t="s">
        <v>13</v>
      </c>
      <c r="G135" s="44">
        <v>20313590</v>
      </c>
      <c r="H135" s="43" t="s">
        <v>103</v>
      </c>
      <c r="I135" s="44">
        <v>1</v>
      </c>
      <c r="J135" s="45">
        <v>8</v>
      </c>
      <c r="K135" s="45">
        <v>8</v>
      </c>
    </row>
    <row r="136" spans="4:11">
      <c r="D136" s="42">
        <v>46172</v>
      </c>
      <c r="E136" s="43">
        <v>1607781</v>
      </c>
      <c r="F136" s="43" t="s">
        <v>13</v>
      </c>
      <c r="G136" s="44">
        <v>20013630</v>
      </c>
      <c r="H136" s="43" t="s">
        <v>82</v>
      </c>
      <c r="I136" s="44">
        <v>1</v>
      </c>
      <c r="J136" s="45">
        <v>8</v>
      </c>
      <c r="K136" s="45">
        <v>8</v>
      </c>
    </row>
    <row r="137" spans="4:11">
      <c r="D137" s="42">
        <v>46172</v>
      </c>
      <c r="E137" s="43">
        <v>1607781</v>
      </c>
      <c r="F137" s="43" t="s">
        <v>13</v>
      </c>
      <c r="G137" s="44">
        <v>20407295</v>
      </c>
      <c r="H137" s="43" t="s">
        <v>104</v>
      </c>
      <c r="I137" s="44">
        <v>13</v>
      </c>
      <c r="J137" s="45">
        <v>8</v>
      </c>
      <c r="K137" s="45">
        <v>104</v>
      </c>
    </row>
    <row r="138" spans="4:11">
      <c r="D138" s="42">
        <v>46172</v>
      </c>
      <c r="E138" s="43">
        <v>1607781</v>
      </c>
      <c r="F138" s="43" t="s">
        <v>13</v>
      </c>
      <c r="G138" s="44">
        <v>20005929</v>
      </c>
      <c r="H138" s="43" t="s">
        <v>28</v>
      </c>
      <c r="I138" s="44">
        <v>13</v>
      </c>
      <c r="J138" s="45">
        <v>8</v>
      </c>
      <c r="K138" s="45">
        <v>104</v>
      </c>
    </row>
    <row r="139" spans="4:11">
      <c r="D139" s="42">
        <v>46172</v>
      </c>
      <c r="E139" s="43">
        <v>1607781</v>
      </c>
      <c r="F139" s="43" t="s">
        <v>13</v>
      </c>
      <c r="G139" s="44">
        <v>20314990</v>
      </c>
      <c r="H139" s="43" t="s">
        <v>56</v>
      </c>
      <c r="I139" s="44">
        <v>12</v>
      </c>
      <c r="J139" s="45">
        <v>8</v>
      </c>
      <c r="K139" s="45">
        <v>96</v>
      </c>
    </row>
    <row r="140" spans="4:11">
      <c r="D140" s="42">
        <v>46172</v>
      </c>
      <c r="E140" s="43">
        <v>1607781</v>
      </c>
      <c r="F140" s="43" t="s">
        <v>13</v>
      </c>
      <c r="G140" s="44">
        <v>20005849</v>
      </c>
      <c r="H140" s="43" t="s">
        <v>57</v>
      </c>
      <c r="I140" s="44">
        <v>22</v>
      </c>
      <c r="J140" s="45">
        <v>8</v>
      </c>
      <c r="K140" s="45">
        <v>176</v>
      </c>
    </row>
    <row r="141" spans="4:11">
      <c r="D141" s="42">
        <v>46172</v>
      </c>
      <c r="E141" s="43">
        <v>1607781</v>
      </c>
      <c r="F141" s="43" t="s">
        <v>16</v>
      </c>
      <c r="G141" s="44">
        <v>20008026</v>
      </c>
      <c r="H141" s="43" t="s">
        <v>105</v>
      </c>
      <c r="I141" s="44">
        <v>17</v>
      </c>
      <c r="J141" s="45">
        <v>16.5</v>
      </c>
      <c r="K141" s="45">
        <v>280.5</v>
      </c>
    </row>
    <row r="142" spans="4:11">
      <c r="D142" s="42">
        <v>46172</v>
      </c>
      <c r="E142" s="43">
        <v>1607885</v>
      </c>
      <c r="F142" s="43" t="s">
        <v>13</v>
      </c>
      <c r="G142" s="44">
        <v>20005207</v>
      </c>
      <c r="H142" s="43" t="s">
        <v>38</v>
      </c>
      <c r="I142" s="44">
        <v>1</v>
      </c>
      <c r="J142" s="45">
        <v>8</v>
      </c>
      <c r="K142" s="45">
        <v>8</v>
      </c>
    </row>
    <row r="143" spans="4:11">
      <c r="D143" s="42">
        <v>46172</v>
      </c>
      <c r="E143" s="43">
        <v>1607885</v>
      </c>
      <c r="F143" s="43" t="s">
        <v>13</v>
      </c>
      <c r="G143" s="44">
        <v>20005208</v>
      </c>
      <c r="H143" s="43" t="s">
        <v>58</v>
      </c>
      <c r="I143" s="44">
        <v>5</v>
      </c>
      <c r="J143" s="45">
        <v>8</v>
      </c>
      <c r="K143" s="45">
        <v>40</v>
      </c>
    </row>
    <row r="144" spans="4:11">
      <c r="D144" s="42">
        <v>46172</v>
      </c>
      <c r="E144" s="43">
        <v>1607885</v>
      </c>
      <c r="F144" s="43" t="s">
        <v>13</v>
      </c>
      <c r="G144" s="44">
        <v>20313590</v>
      </c>
      <c r="H144" s="43" t="s">
        <v>103</v>
      </c>
      <c r="I144" s="44">
        <v>1</v>
      </c>
      <c r="J144" s="45">
        <v>8</v>
      </c>
      <c r="K144" s="45">
        <v>8</v>
      </c>
    </row>
    <row r="145" spans="4:11">
      <c r="D145" s="42">
        <v>46172</v>
      </c>
      <c r="E145" s="43">
        <v>1607885</v>
      </c>
      <c r="F145" s="43" t="s">
        <v>13</v>
      </c>
      <c r="G145" s="44">
        <v>20407295</v>
      </c>
      <c r="H145" s="43" t="s">
        <v>104</v>
      </c>
      <c r="I145" s="44">
        <v>1</v>
      </c>
      <c r="J145" s="45">
        <v>8</v>
      </c>
      <c r="K145" s="45">
        <v>8</v>
      </c>
    </row>
    <row r="146" spans="4:11">
      <c r="D146" s="42">
        <v>46172</v>
      </c>
      <c r="E146" s="43">
        <v>1607885</v>
      </c>
      <c r="F146" s="43" t="s">
        <v>13</v>
      </c>
      <c r="G146" s="44">
        <v>20302876</v>
      </c>
      <c r="H146" s="43" t="s">
        <v>107</v>
      </c>
      <c r="I146" s="44">
        <v>1</v>
      </c>
      <c r="J146" s="45">
        <v>16</v>
      </c>
      <c r="K146" s="45">
        <v>16</v>
      </c>
    </row>
    <row r="147" spans="4:11">
      <c r="D147" s="42">
        <v>46172</v>
      </c>
      <c r="E147" s="43">
        <v>1607885</v>
      </c>
      <c r="F147" s="43" t="s">
        <v>13</v>
      </c>
      <c r="G147" s="44">
        <v>20314990</v>
      </c>
      <c r="H147" s="43" t="s">
        <v>56</v>
      </c>
      <c r="I147" s="44">
        <v>5</v>
      </c>
      <c r="J147" s="45">
        <v>8</v>
      </c>
      <c r="K147" s="45">
        <v>40</v>
      </c>
    </row>
    <row r="148" spans="4:11">
      <c r="D148" s="42">
        <v>46172</v>
      </c>
      <c r="E148" s="43">
        <v>1607885</v>
      </c>
      <c r="F148" s="43" t="s">
        <v>13</v>
      </c>
      <c r="G148" s="44">
        <v>20005849</v>
      </c>
      <c r="H148" s="43" t="s">
        <v>57</v>
      </c>
      <c r="I148" s="44">
        <v>1</v>
      </c>
      <c r="J148" s="45">
        <v>8</v>
      </c>
      <c r="K148" s="45">
        <v>8</v>
      </c>
    </row>
    <row r="149" spans="4:11">
      <c r="D149" s="42">
        <v>46172</v>
      </c>
      <c r="E149" s="43">
        <v>1607885</v>
      </c>
      <c r="F149" s="43" t="s">
        <v>16</v>
      </c>
      <c r="G149" s="44">
        <v>20008026</v>
      </c>
      <c r="H149" s="43" t="s">
        <v>105</v>
      </c>
      <c r="I149" s="44">
        <v>4</v>
      </c>
      <c r="J149" s="45">
        <v>16.5</v>
      </c>
      <c r="K149" s="45">
        <v>66</v>
      </c>
    </row>
    <row r="150" spans="4:11">
      <c r="D150" s="42">
        <v>46174</v>
      </c>
      <c r="E150" s="43">
        <v>1608163</v>
      </c>
      <c r="F150" s="43" t="s">
        <v>19</v>
      </c>
      <c r="G150" s="44">
        <v>20302879</v>
      </c>
      <c r="H150" s="43" t="s">
        <v>108</v>
      </c>
      <c r="I150" s="44">
        <v>1</v>
      </c>
      <c r="J150" s="45">
        <v>4</v>
      </c>
      <c r="K150" s="45">
        <v>4</v>
      </c>
    </row>
    <row r="151" spans="4:11">
      <c r="D151" s="42">
        <v>46174</v>
      </c>
      <c r="E151" s="43">
        <v>1608255</v>
      </c>
      <c r="F151" s="43" t="s">
        <v>22</v>
      </c>
      <c r="G151" s="44">
        <v>20005210</v>
      </c>
      <c r="H151" s="43" t="s">
        <v>102</v>
      </c>
      <c r="I151" s="44">
        <v>7</v>
      </c>
      <c r="J151" s="45">
        <v>49.5</v>
      </c>
      <c r="K151" s="45">
        <v>346.5</v>
      </c>
    </row>
    <row r="152" spans="4:11">
      <c r="D152" s="42">
        <v>46174</v>
      </c>
      <c r="E152" s="43">
        <v>1608255</v>
      </c>
      <c r="F152" s="43" t="s">
        <v>13</v>
      </c>
      <c r="G152" s="44">
        <v>20005207</v>
      </c>
      <c r="H152" s="43" t="s">
        <v>38</v>
      </c>
      <c r="I152" s="44">
        <v>3</v>
      </c>
      <c r="J152" s="45">
        <v>8</v>
      </c>
      <c r="K152" s="45">
        <v>24</v>
      </c>
    </row>
    <row r="153" spans="4:11">
      <c r="D153" s="42">
        <v>46174</v>
      </c>
      <c r="E153" s="43">
        <v>1608255</v>
      </c>
      <c r="F153" s="43" t="s">
        <v>13</v>
      </c>
      <c r="G153" s="44">
        <v>20005208</v>
      </c>
      <c r="H153" s="43" t="s">
        <v>58</v>
      </c>
      <c r="I153" s="44">
        <v>36</v>
      </c>
      <c r="J153" s="45">
        <v>8</v>
      </c>
      <c r="K153" s="45">
        <v>288</v>
      </c>
    </row>
    <row r="154" spans="4:11">
      <c r="D154" s="42">
        <v>46174</v>
      </c>
      <c r="E154" s="43">
        <v>1608255</v>
      </c>
      <c r="F154" s="43" t="s">
        <v>13</v>
      </c>
      <c r="G154" s="44">
        <v>20313590</v>
      </c>
      <c r="H154" s="43" t="s">
        <v>103</v>
      </c>
      <c r="I154" s="44">
        <v>1</v>
      </c>
      <c r="J154" s="45">
        <v>8</v>
      </c>
      <c r="K154" s="45">
        <v>8</v>
      </c>
    </row>
    <row r="155" spans="4:11">
      <c r="D155" s="42">
        <v>46174</v>
      </c>
      <c r="E155" s="43">
        <v>1608255</v>
      </c>
      <c r="F155" s="43" t="s">
        <v>13</v>
      </c>
      <c r="G155" s="44">
        <v>20013630</v>
      </c>
      <c r="H155" s="43" t="s">
        <v>82</v>
      </c>
      <c r="I155" s="44">
        <v>7</v>
      </c>
      <c r="J155" s="45">
        <v>8</v>
      </c>
      <c r="K155" s="45">
        <v>56</v>
      </c>
    </row>
    <row r="156" spans="4:11">
      <c r="D156" s="42">
        <v>46174</v>
      </c>
      <c r="E156" s="43">
        <v>1608255</v>
      </c>
      <c r="F156" s="43" t="s">
        <v>13</v>
      </c>
      <c r="G156" s="44">
        <v>20407295</v>
      </c>
      <c r="H156" s="43" t="s">
        <v>104</v>
      </c>
      <c r="I156" s="44">
        <v>5</v>
      </c>
      <c r="J156" s="45">
        <v>8</v>
      </c>
      <c r="K156" s="45">
        <v>40</v>
      </c>
    </row>
    <row r="157" spans="4:11">
      <c r="D157" s="42">
        <v>46174</v>
      </c>
      <c r="E157" s="43">
        <v>1608255</v>
      </c>
      <c r="F157" s="43" t="s">
        <v>13</v>
      </c>
      <c r="G157" s="44">
        <v>20324084</v>
      </c>
      <c r="H157" s="43" t="s">
        <v>24</v>
      </c>
      <c r="I157" s="44">
        <v>1</v>
      </c>
      <c r="J157" s="45">
        <v>8</v>
      </c>
      <c r="K157" s="45">
        <v>8</v>
      </c>
    </row>
    <row r="158" spans="4:11">
      <c r="D158" s="42">
        <v>46174</v>
      </c>
      <c r="E158" s="43">
        <v>1608255</v>
      </c>
      <c r="F158" s="43" t="s">
        <v>13</v>
      </c>
      <c r="G158" s="44">
        <v>20321305</v>
      </c>
      <c r="H158" s="43" t="s">
        <v>109</v>
      </c>
      <c r="I158" s="44">
        <v>4</v>
      </c>
      <c r="J158" s="45">
        <v>8</v>
      </c>
      <c r="K158" s="45">
        <v>32</v>
      </c>
    </row>
    <row r="159" spans="4:11">
      <c r="D159" s="42">
        <v>46174</v>
      </c>
      <c r="E159" s="43">
        <v>1608255</v>
      </c>
      <c r="F159" s="43" t="s">
        <v>13</v>
      </c>
      <c r="G159" s="44">
        <v>20005849</v>
      </c>
      <c r="H159" s="43" t="s">
        <v>57</v>
      </c>
      <c r="I159" s="44">
        <v>12</v>
      </c>
      <c r="J159" s="45">
        <v>8</v>
      </c>
      <c r="K159" s="45">
        <v>96</v>
      </c>
    </row>
    <row r="160" spans="4:11">
      <c r="D160" s="42">
        <v>46174</v>
      </c>
      <c r="E160" s="43">
        <v>1608255</v>
      </c>
      <c r="F160" s="43" t="s">
        <v>16</v>
      </c>
      <c r="G160" s="44">
        <v>20008026</v>
      </c>
      <c r="H160" s="43" t="s">
        <v>105</v>
      </c>
      <c r="I160" s="44">
        <v>6</v>
      </c>
      <c r="J160" s="45">
        <v>16.5</v>
      </c>
      <c r="K160" s="45">
        <v>99</v>
      </c>
    </row>
    <row r="161" spans="4:11">
      <c r="D161" s="42">
        <v>46175</v>
      </c>
      <c r="E161" s="43">
        <v>1608307</v>
      </c>
      <c r="F161" s="43" t="s">
        <v>13</v>
      </c>
      <c r="G161" s="44">
        <v>20314990</v>
      </c>
      <c r="H161" s="43" t="s">
        <v>56</v>
      </c>
      <c r="I161" s="44">
        <v>8</v>
      </c>
      <c r="J161" s="45">
        <v>8</v>
      </c>
      <c r="K161" s="45">
        <v>64</v>
      </c>
    </row>
    <row r="162" spans="4:11">
      <c r="D162" s="42">
        <v>46176</v>
      </c>
      <c r="E162" s="43">
        <v>1608692</v>
      </c>
      <c r="F162" s="43" t="s">
        <v>13</v>
      </c>
      <c r="G162" s="44">
        <v>20005207</v>
      </c>
      <c r="H162" s="43" t="s">
        <v>38</v>
      </c>
      <c r="I162" s="44">
        <v>10</v>
      </c>
      <c r="J162" s="45">
        <v>8</v>
      </c>
      <c r="K162" s="45">
        <v>80</v>
      </c>
    </row>
    <row r="163" spans="4:11">
      <c r="D163" s="42">
        <v>46176</v>
      </c>
      <c r="E163" s="43">
        <v>1608692</v>
      </c>
      <c r="F163" s="43" t="s">
        <v>13</v>
      </c>
      <c r="G163" s="44">
        <v>20005208</v>
      </c>
      <c r="H163" s="43" t="s">
        <v>58</v>
      </c>
      <c r="I163" s="44">
        <v>41</v>
      </c>
      <c r="J163" s="45">
        <v>8</v>
      </c>
      <c r="K163" s="45">
        <v>328</v>
      </c>
    </row>
    <row r="164" spans="4:11">
      <c r="D164" s="42">
        <v>46176</v>
      </c>
      <c r="E164" s="43">
        <v>1608692</v>
      </c>
      <c r="F164" s="43" t="s">
        <v>13</v>
      </c>
      <c r="G164" s="44">
        <v>20313590</v>
      </c>
      <c r="H164" s="43" t="s">
        <v>103</v>
      </c>
      <c r="I164" s="44">
        <v>2</v>
      </c>
      <c r="J164" s="45">
        <v>8</v>
      </c>
      <c r="K164" s="45">
        <v>16</v>
      </c>
    </row>
    <row r="165" spans="4:11">
      <c r="D165" s="42">
        <v>46176</v>
      </c>
      <c r="E165" s="43">
        <v>1608692</v>
      </c>
      <c r="F165" s="43" t="s">
        <v>13</v>
      </c>
      <c r="G165" s="44">
        <v>20013630</v>
      </c>
      <c r="H165" s="43" t="s">
        <v>82</v>
      </c>
      <c r="I165" s="44">
        <v>7</v>
      </c>
      <c r="J165" s="45">
        <v>8</v>
      </c>
      <c r="K165" s="45">
        <v>56</v>
      </c>
    </row>
    <row r="166" spans="4:11">
      <c r="D166" s="42">
        <v>46176</v>
      </c>
      <c r="E166" s="43">
        <v>1608692</v>
      </c>
      <c r="F166" s="43" t="s">
        <v>13</v>
      </c>
      <c r="G166" s="44">
        <v>20407295</v>
      </c>
      <c r="H166" s="43" t="s">
        <v>104</v>
      </c>
      <c r="I166" s="44">
        <v>19</v>
      </c>
      <c r="J166" s="45">
        <v>8</v>
      </c>
      <c r="K166" s="45">
        <v>152</v>
      </c>
    </row>
    <row r="167" spans="4:11">
      <c r="D167" s="42">
        <v>46176</v>
      </c>
      <c r="E167" s="43">
        <v>1608692</v>
      </c>
      <c r="F167" s="43" t="s">
        <v>13</v>
      </c>
      <c r="G167" s="44">
        <v>20321305</v>
      </c>
      <c r="H167" s="43" t="s">
        <v>109</v>
      </c>
      <c r="I167" s="44">
        <v>1</v>
      </c>
      <c r="J167" s="45">
        <v>8</v>
      </c>
      <c r="K167" s="45">
        <v>8</v>
      </c>
    </row>
    <row r="168" spans="4:11">
      <c r="D168" s="42">
        <v>46176</v>
      </c>
      <c r="E168" s="43">
        <v>1608692</v>
      </c>
      <c r="F168" s="43" t="s">
        <v>13</v>
      </c>
      <c r="G168" s="44">
        <v>20314990</v>
      </c>
      <c r="H168" s="43" t="s">
        <v>56</v>
      </c>
      <c r="I168" s="44">
        <v>6</v>
      </c>
      <c r="J168" s="45">
        <v>8</v>
      </c>
      <c r="K168" s="45">
        <v>48</v>
      </c>
    </row>
    <row r="169" spans="4:11">
      <c r="D169" s="42">
        <v>46176</v>
      </c>
      <c r="E169" s="43">
        <v>1608692</v>
      </c>
      <c r="F169" s="43" t="s">
        <v>13</v>
      </c>
      <c r="G169" s="44">
        <v>20005849</v>
      </c>
      <c r="H169" s="43" t="s">
        <v>57</v>
      </c>
      <c r="I169" s="44">
        <v>11</v>
      </c>
      <c r="J169" s="45">
        <v>8</v>
      </c>
      <c r="K169" s="45">
        <v>88</v>
      </c>
    </row>
    <row r="170" spans="4:11">
      <c r="D170" s="42">
        <v>46176</v>
      </c>
      <c r="E170" s="43">
        <v>1608692</v>
      </c>
      <c r="F170" s="43" t="s">
        <v>16</v>
      </c>
      <c r="G170" s="44">
        <v>20008026</v>
      </c>
      <c r="H170" s="43" t="s">
        <v>105</v>
      </c>
      <c r="I170" s="44">
        <v>16</v>
      </c>
      <c r="J170" s="45">
        <v>16.5</v>
      </c>
      <c r="K170" s="45">
        <v>264</v>
      </c>
    </row>
    <row r="171" spans="4:11">
      <c r="D171" s="42">
        <v>46177</v>
      </c>
      <c r="E171" s="43">
        <v>1609088</v>
      </c>
      <c r="F171" s="43" t="s">
        <v>22</v>
      </c>
      <c r="G171" s="44">
        <v>20005210</v>
      </c>
      <c r="H171" s="43" t="s">
        <v>102</v>
      </c>
      <c r="I171" s="44">
        <v>6</v>
      </c>
      <c r="J171" s="45">
        <v>49.5</v>
      </c>
      <c r="K171" s="45">
        <v>297</v>
      </c>
    </row>
    <row r="172" spans="4:11">
      <c r="D172" s="42">
        <v>46177</v>
      </c>
      <c r="E172" s="43">
        <v>1609088</v>
      </c>
      <c r="F172" s="43" t="s">
        <v>13</v>
      </c>
      <c r="G172" s="44">
        <v>20005207</v>
      </c>
      <c r="H172" s="43" t="s">
        <v>38</v>
      </c>
      <c r="I172" s="44">
        <v>12</v>
      </c>
      <c r="J172" s="45">
        <v>8</v>
      </c>
      <c r="K172" s="45">
        <v>96</v>
      </c>
    </row>
    <row r="173" spans="4:11">
      <c r="D173" s="42">
        <v>46177</v>
      </c>
      <c r="E173" s="43">
        <v>1609088</v>
      </c>
      <c r="F173" s="43" t="s">
        <v>13</v>
      </c>
      <c r="G173" s="44">
        <v>20005208</v>
      </c>
      <c r="H173" s="43" t="s">
        <v>58</v>
      </c>
      <c r="I173" s="44">
        <v>28</v>
      </c>
      <c r="J173" s="45">
        <v>8</v>
      </c>
      <c r="K173" s="45">
        <v>224</v>
      </c>
    </row>
    <row r="174" spans="4:11">
      <c r="D174" s="42">
        <v>46177</v>
      </c>
      <c r="E174" s="43">
        <v>1609088</v>
      </c>
      <c r="F174" s="43" t="s">
        <v>13</v>
      </c>
      <c r="G174" s="44">
        <v>20013630</v>
      </c>
      <c r="H174" s="43" t="s">
        <v>82</v>
      </c>
      <c r="I174" s="44">
        <v>4</v>
      </c>
      <c r="J174" s="45">
        <v>8</v>
      </c>
      <c r="K174" s="45">
        <v>32</v>
      </c>
    </row>
    <row r="175" spans="4:11">
      <c r="D175" s="42">
        <v>46177</v>
      </c>
      <c r="E175" s="43">
        <v>1609088</v>
      </c>
      <c r="F175" s="43" t="s">
        <v>13</v>
      </c>
      <c r="G175" s="44">
        <v>20407295</v>
      </c>
      <c r="H175" s="43" t="s">
        <v>104</v>
      </c>
      <c r="I175" s="44">
        <v>27</v>
      </c>
      <c r="J175" s="45">
        <v>8</v>
      </c>
      <c r="K175" s="45">
        <v>216</v>
      </c>
    </row>
    <row r="176" spans="4:11">
      <c r="D176" s="42">
        <v>46177</v>
      </c>
      <c r="E176" s="43">
        <v>1609088</v>
      </c>
      <c r="F176" s="43" t="s">
        <v>13</v>
      </c>
      <c r="G176" s="44">
        <v>20324084</v>
      </c>
      <c r="H176" s="43" t="s">
        <v>24</v>
      </c>
      <c r="I176" s="44">
        <v>2</v>
      </c>
      <c r="J176" s="45">
        <v>8</v>
      </c>
      <c r="K176" s="45">
        <v>16</v>
      </c>
    </row>
    <row r="177" spans="4:11">
      <c r="D177" s="42">
        <v>46177</v>
      </c>
      <c r="E177" s="43">
        <v>1609088</v>
      </c>
      <c r="F177" s="43" t="s">
        <v>13</v>
      </c>
      <c r="G177" s="44">
        <v>20321305</v>
      </c>
      <c r="H177" s="43" t="s">
        <v>109</v>
      </c>
      <c r="I177" s="44">
        <v>1</v>
      </c>
      <c r="J177" s="45">
        <v>8</v>
      </c>
      <c r="K177" s="45">
        <v>8</v>
      </c>
    </row>
    <row r="178" spans="4:11">
      <c r="D178" s="42">
        <v>46177</v>
      </c>
      <c r="E178" s="43">
        <v>1609088</v>
      </c>
      <c r="F178" s="43" t="s">
        <v>13</v>
      </c>
      <c r="G178" s="44">
        <v>20314990</v>
      </c>
      <c r="H178" s="43" t="s">
        <v>56</v>
      </c>
      <c r="I178" s="44">
        <v>14</v>
      </c>
      <c r="J178" s="45">
        <v>8</v>
      </c>
      <c r="K178" s="45">
        <v>112</v>
      </c>
    </row>
    <row r="179" spans="4:11">
      <c r="D179" s="42">
        <v>46177</v>
      </c>
      <c r="E179" s="43">
        <v>1609088</v>
      </c>
      <c r="F179" s="43" t="s">
        <v>13</v>
      </c>
      <c r="G179" s="44">
        <v>20005849</v>
      </c>
      <c r="H179" s="43" t="s">
        <v>57</v>
      </c>
      <c r="I179" s="44">
        <v>10</v>
      </c>
      <c r="J179" s="45">
        <v>8</v>
      </c>
      <c r="K179" s="45">
        <v>80</v>
      </c>
    </row>
    <row r="180" spans="4:11">
      <c r="D180" s="42">
        <v>46177</v>
      </c>
      <c r="E180" s="43">
        <v>1609088</v>
      </c>
      <c r="F180" s="43" t="s">
        <v>16</v>
      </c>
      <c r="G180" s="44">
        <v>20008026</v>
      </c>
      <c r="H180" s="43" t="s">
        <v>105</v>
      </c>
      <c r="I180" s="44">
        <v>9</v>
      </c>
      <c r="J180" s="45">
        <v>16.5</v>
      </c>
      <c r="K180" s="45">
        <v>148.5</v>
      </c>
    </row>
    <row r="181" spans="4:11">
      <c r="D181" s="42">
        <v>46177</v>
      </c>
      <c r="E181" s="43">
        <v>1609318</v>
      </c>
      <c r="F181" s="43" t="s">
        <v>19</v>
      </c>
      <c r="G181" s="44">
        <v>20302879</v>
      </c>
      <c r="H181" s="43" t="s">
        <v>108</v>
      </c>
      <c r="I181" s="44">
        <v>1</v>
      </c>
      <c r="J181" s="45">
        <v>4</v>
      </c>
      <c r="K181" s="45">
        <v>4</v>
      </c>
    </row>
    <row r="182" spans="4:11">
      <c r="D182" s="42">
        <v>46178</v>
      </c>
      <c r="E182" s="43">
        <v>1609459</v>
      </c>
      <c r="F182" s="43" t="s">
        <v>22</v>
      </c>
      <c r="G182" s="44">
        <v>20005210</v>
      </c>
      <c r="H182" s="43" t="s">
        <v>102</v>
      </c>
      <c r="I182" s="44">
        <v>3</v>
      </c>
      <c r="J182" s="45">
        <v>49.5</v>
      </c>
      <c r="K182" s="45">
        <v>148.5</v>
      </c>
    </row>
    <row r="183" spans="4:11">
      <c r="D183" s="42">
        <v>46178</v>
      </c>
      <c r="E183" s="43">
        <v>1609459</v>
      </c>
      <c r="F183" s="43" t="s">
        <v>13</v>
      </c>
      <c r="G183" s="44">
        <v>20005207</v>
      </c>
      <c r="H183" s="43" t="s">
        <v>38</v>
      </c>
      <c r="I183" s="44">
        <v>7</v>
      </c>
      <c r="J183" s="45">
        <v>8</v>
      </c>
      <c r="K183" s="45">
        <v>56</v>
      </c>
    </row>
    <row r="184" spans="4:11">
      <c r="D184" s="42">
        <v>46178</v>
      </c>
      <c r="E184" s="43">
        <v>1609459</v>
      </c>
      <c r="F184" s="43" t="s">
        <v>13</v>
      </c>
      <c r="G184" s="44">
        <v>20005208</v>
      </c>
      <c r="H184" s="43" t="s">
        <v>58</v>
      </c>
      <c r="I184" s="44">
        <v>44</v>
      </c>
      <c r="J184" s="45">
        <v>8</v>
      </c>
      <c r="K184" s="45">
        <v>352</v>
      </c>
    </row>
    <row r="185" spans="4:11">
      <c r="D185" s="42">
        <v>46178</v>
      </c>
      <c r="E185" s="43">
        <v>1609459</v>
      </c>
      <c r="F185" s="43" t="s">
        <v>13</v>
      </c>
      <c r="G185" s="44">
        <v>20313590</v>
      </c>
      <c r="H185" s="43" t="s">
        <v>103</v>
      </c>
      <c r="I185" s="44">
        <v>2</v>
      </c>
      <c r="J185" s="45">
        <v>8</v>
      </c>
      <c r="K185" s="45">
        <v>16</v>
      </c>
    </row>
    <row r="186" spans="4:11">
      <c r="D186" s="42">
        <v>46178</v>
      </c>
      <c r="E186" s="43">
        <v>1609459</v>
      </c>
      <c r="F186" s="43" t="s">
        <v>13</v>
      </c>
      <c r="G186" s="44">
        <v>20013630</v>
      </c>
      <c r="H186" s="43" t="s">
        <v>82</v>
      </c>
      <c r="I186" s="44">
        <v>4</v>
      </c>
      <c r="J186" s="45">
        <v>8</v>
      </c>
      <c r="K186" s="45">
        <v>32</v>
      </c>
    </row>
    <row r="187" spans="4:11">
      <c r="D187" s="42">
        <v>46178</v>
      </c>
      <c r="E187" s="43">
        <v>1609459</v>
      </c>
      <c r="F187" s="43" t="s">
        <v>13</v>
      </c>
      <c r="G187" s="44">
        <v>20407295</v>
      </c>
      <c r="H187" s="43" t="s">
        <v>104</v>
      </c>
      <c r="I187" s="44">
        <v>20</v>
      </c>
      <c r="J187" s="45">
        <v>8</v>
      </c>
      <c r="K187" s="45">
        <v>160</v>
      </c>
    </row>
    <row r="188" spans="4:11">
      <c r="D188" s="42">
        <v>46178</v>
      </c>
      <c r="E188" s="43">
        <v>1609459</v>
      </c>
      <c r="F188" s="43" t="s">
        <v>13</v>
      </c>
      <c r="G188" s="44">
        <v>20324084</v>
      </c>
      <c r="H188" s="43" t="s">
        <v>24</v>
      </c>
      <c r="I188" s="44">
        <v>1</v>
      </c>
      <c r="J188" s="45">
        <v>8</v>
      </c>
      <c r="K188" s="45">
        <v>8</v>
      </c>
    </row>
    <row r="189" spans="4:11">
      <c r="D189" s="42">
        <v>46178</v>
      </c>
      <c r="E189" s="43">
        <v>1609459</v>
      </c>
      <c r="F189" s="43" t="s">
        <v>13</v>
      </c>
      <c r="G189" s="44">
        <v>20302876</v>
      </c>
      <c r="H189" s="43" t="s">
        <v>107</v>
      </c>
      <c r="I189" s="44">
        <v>1</v>
      </c>
      <c r="J189" s="45">
        <v>16</v>
      </c>
      <c r="K189" s="45">
        <v>16</v>
      </c>
    </row>
    <row r="190" spans="4:11">
      <c r="D190" s="42">
        <v>46178</v>
      </c>
      <c r="E190" s="43">
        <v>1609459</v>
      </c>
      <c r="F190" s="43" t="s">
        <v>13</v>
      </c>
      <c r="G190" s="44">
        <v>20303839</v>
      </c>
      <c r="H190" s="43" t="s">
        <v>80</v>
      </c>
      <c r="I190" s="44">
        <v>99</v>
      </c>
      <c r="J190" s="45">
        <v>8</v>
      </c>
      <c r="K190" s="45">
        <v>792</v>
      </c>
    </row>
    <row r="191" spans="4:11">
      <c r="D191" s="42">
        <v>46178</v>
      </c>
      <c r="E191" s="43">
        <v>1609459</v>
      </c>
      <c r="F191" s="43" t="s">
        <v>13</v>
      </c>
      <c r="G191" s="44">
        <v>20314990</v>
      </c>
      <c r="H191" s="43" t="s">
        <v>56</v>
      </c>
      <c r="I191" s="44">
        <v>11</v>
      </c>
      <c r="J191" s="45">
        <v>8</v>
      </c>
      <c r="K191" s="45">
        <v>88</v>
      </c>
    </row>
    <row r="192" spans="4:11">
      <c r="D192" s="42">
        <v>46178</v>
      </c>
      <c r="E192" s="43">
        <v>1609459</v>
      </c>
      <c r="F192" s="43" t="s">
        <v>13</v>
      </c>
      <c r="G192" s="44">
        <v>20005849</v>
      </c>
      <c r="H192" s="43" t="s">
        <v>57</v>
      </c>
      <c r="I192" s="44">
        <v>16</v>
      </c>
      <c r="J192" s="45">
        <v>8</v>
      </c>
      <c r="K192" s="45">
        <v>128</v>
      </c>
    </row>
    <row r="193" spans="4:11">
      <c r="D193" s="42">
        <v>46178</v>
      </c>
      <c r="E193" s="43">
        <v>1609459</v>
      </c>
      <c r="F193" s="43" t="s">
        <v>16</v>
      </c>
      <c r="G193" s="44">
        <v>20008026</v>
      </c>
      <c r="H193" s="43" t="s">
        <v>105</v>
      </c>
      <c r="I193" s="44">
        <v>15</v>
      </c>
      <c r="J193" s="45">
        <v>16.5</v>
      </c>
      <c r="K193" s="45">
        <v>247.5</v>
      </c>
    </row>
    <row r="194" spans="4:11">
      <c r="D194" s="42">
        <v>46178</v>
      </c>
      <c r="E194" s="43">
        <v>1609793</v>
      </c>
      <c r="F194" s="43" t="s">
        <v>22</v>
      </c>
      <c r="G194" s="44">
        <v>20005210</v>
      </c>
      <c r="H194" s="43" t="s">
        <v>102</v>
      </c>
      <c r="I194" s="44">
        <v>1</v>
      </c>
      <c r="J194" s="45">
        <v>49.5</v>
      </c>
      <c r="K194" s="45">
        <v>49.5</v>
      </c>
    </row>
    <row r="195" spans="4:11">
      <c r="D195" s="42">
        <v>46178</v>
      </c>
      <c r="E195" s="43">
        <v>1609793</v>
      </c>
      <c r="F195" s="43" t="s">
        <v>13</v>
      </c>
      <c r="G195" s="44">
        <v>20005207</v>
      </c>
      <c r="H195" s="43" t="s">
        <v>38</v>
      </c>
      <c r="I195" s="44">
        <v>10</v>
      </c>
      <c r="J195" s="45">
        <v>8</v>
      </c>
      <c r="K195" s="45">
        <v>80</v>
      </c>
    </row>
    <row r="196" spans="4:11">
      <c r="D196" s="42">
        <v>46178</v>
      </c>
      <c r="E196" s="43">
        <v>1609793</v>
      </c>
      <c r="F196" s="43" t="s">
        <v>13</v>
      </c>
      <c r="G196" s="44">
        <v>20005208</v>
      </c>
      <c r="H196" s="43" t="s">
        <v>58</v>
      </c>
      <c r="I196" s="44">
        <v>25</v>
      </c>
      <c r="J196" s="45">
        <v>8</v>
      </c>
      <c r="K196" s="45">
        <v>200</v>
      </c>
    </row>
    <row r="197" spans="4:11">
      <c r="D197" s="42">
        <v>46178</v>
      </c>
      <c r="E197" s="43">
        <v>1609793</v>
      </c>
      <c r="F197" s="43" t="s">
        <v>13</v>
      </c>
      <c r="G197" s="44">
        <v>20407295</v>
      </c>
      <c r="H197" s="43" t="s">
        <v>104</v>
      </c>
      <c r="I197" s="44">
        <v>18</v>
      </c>
      <c r="J197" s="45">
        <v>8</v>
      </c>
      <c r="K197" s="45">
        <v>144</v>
      </c>
    </row>
    <row r="198" spans="4:11">
      <c r="D198" s="42">
        <v>46178</v>
      </c>
      <c r="E198" s="43">
        <v>1609793</v>
      </c>
      <c r="F198" s="43" t="s">
        <v>13</v>
      </c>
      <c r="G198" s="44">
        <v>20314990</v>
      </c>
      <c r="H198" s="43" t="s">
        <v>56</v>
      </c>
      <c r="I198" s="44">
        <v>7</v>
      </c>
      <c r="J198" s="45">
        <v>8</v>
      </c>
      <c r="K198" s="45">
        <v>56</v>
      </c>
    </row>
    <row r="199" spans="4:11">
      <c r="D199" s="42">
        <v>46178</v>
      </c>
      <c r="E199" s="43">
        <v>1609793</v>
      </c>
      <c r="F199" s="43" t="s">
        <v>13</v>
      </c>
      <c r="G199" s="44">
        <v>20005849</v>
      </c>
      <c r="H199" s="43" t="s">
        <v>57</v>
      </c>
      <c r="I199" s="44">
        <v>11</v>
      </c>
      <c r="J199" s="45">
        <v>8</v>
      </c>
      <c r="K199" s="45">
        <v>88</v>
      </c>
    </row>
    <row r="200" spans="4:11">
      <c r="D200" s="42">
        <v>46178</v>
      </c>
      <c r="E200" s="43">
        <v>1609793</v>
      </c>
      <c r="F200" s="43" t="s">
        <v>16</v>
      </c>
      <c r="G200" s="44">
        <v>20008026</v>
      </c>
      <c r="H200" s="43" t="s">
        <v>105</v>
      </c>
      <c r="I200" s="44">
        <v>11</v>
      </c>
      <c r="J200" s="45">
        <v>16.5</v>
      </c>
      <c r="K200" s="45">
        <v>181.5</v>
      </c>
    </row>
    <row r="201" spans="4:11">
      <c r="D201" s="42">
        <v>46179</v>
      </c>
      <c r="E201" s="43">
        <v>1609872</v>
      </c>
      <c r="F201" s="43" t="s">
        <v>13</v>
      </c>
      <c r="G201" s="44">
        <v>20013630</v>
      </c>
      <c r="H201" s="43" t="s">
        <v>82</v>
      </c>
      <c r="I201" s="44">
        <v>4</v>
      </c>
      <c r="J201" s="45">
        <v>8</v>
      </c>
      <c r="K201" s="45">
        <v>32</v>
      </c>
    </row>
    <row r="202" spans="4:11">
      <c r="D202" s="42">
        <v>46179</v>
      </c>
      <c r="E202" s="43">
        <v>1609952</v>
      </c>
      <c r="F202" s="43" t="s">
        <v>22</v>
      </c>
      <c r="G202" s="44">
        <v>20005210</v>
      </c>
      <c r="H202" s="43" t="s">
        <v>102</v>
      </c>
      <c r="I202" s="44">
        <v>4</v>
      </c>
      <c r="J202" s="45">
        <v>49.5</v>
      </c>
      <c r="K202" s="45">
        <v>198</v>
      </c>
    </row>
    <row r="203" spans="4:11">
      <c r="D203" s="42">
        <v>46179</v>
      </c>
      <c r="E203" s="43">
        <v>1609952</v>
      </c>
      <c r="F203" s="43" t="s">
        <v>13</v>
      </c>
      <c r="G203" s="44">
        <v>20005207</v>
      </c>
      <c r="H203" s="43" t="s">
        <v>38</v>
      </c>
      <c r="I203" s="44">
        <v>1</v>
      </c>
      <c r="J203" s="45">
        <v>8</v>
      </c>
      <c r="K203" s="45">
        <v>8</v>
      </c>
    </row>
    <row r="204" spans="4:11">
      <c r="D204" s="42">
        <v>46179</v>
      </c>
      <c r="E204" s="43">
        <v>1609952</v>
      </c>
      <c r="F204" s="43" t="s">
        <v>13</v>
      </c>
      <c r="G204" s="44">
        <v>20005208</v>
      </c>
      <c r="H204" s="43" t="s">
        <v>58</v>
      </c>
      <c r="I204" s="44">
        <v>16</v>
      </c>
      <c r="J204" s="45">
        <v>8</v>
      </c>
      <c r="K204" s="45">
        <v>128</v>
      </c>
    </row>
    <row r="205" spans="4:11">
      <c r="D205" s="42">
        <v>46179</v>
      </c>
      <c r="E205" s="43">
        <v>1609952</v>
      </c>
      <c r="F205" s="43" t="s">
        <v>13</v>
      </c>
      <c r="G205" s="44">
        <v>20013630</v>
      </c>
      <c r="H205" s="43" t="s">
        <v>82</v>
      </c>
      <c r="I205" s="44">
        <v>3</v>
      </c>
      <c r="J205" s="45">
        <v>8</v>
      </c>
      <c r="K205" s="45">
        <v>24</v>
      </c>
    </row>
    <row r="206" spans="4:11">
      <c r="D206" s="42">
        <v>46179</v>
      </c>
      <c r="E206" s="43">
        <v>1609952</v>
      </c>
      <c r="F206" s="43" t="s">
        <v>13</v>
      </c>
      <c r="G206" s="44">
        <v>20407295</v>
      </c>
      <c r="H206" s="43" t="s">
        <v>104</v>
      </c>
      <c r="I206" s="44">
        <v>6</v>
      </c>
      <c r="J206" s="45">
        <v>8</v>
      </c>
      <c r="K206" s="45">
        <v>48</v>
      </c>
    </row>
    <row r="207" spans="4:11">
      <c r="D207" s="42">
        <v>46179</v>
      </c>
      <c r="E207" s="43">
        <v>1609952</v>
      </c>
      <c r="F207" s="43" t="s">
        <v>13</v>
      </c>
      <c r="G207" s="44">
        <v>20321305</v>
      </c>
      <c r="H207" s="43" t="s">
        <v>109</v>
      </c>
      <c r="I207" s="44">
        <v>2</v>
      </c>
      <c r="J207" s="45">
        <v>8</v>
      </c>
      <c r="K207" s="45">
        <v>16</v>
      </c>
    </row>
    <row r="208" spans="4:11">
      <c r="D208" s="42">
        <v>46179</v>
      </c>
      <c r="E208" s="43">
        <v>1609952</v>
      </c>
      <c r="F208" s="43" t="s">
        <v>13</v>
      </c>
      <c r="G208" s="44">
        <v>20302876</v>
      </c>
      <c r="H208" s="43" t="s">
        <v>107</v>
      </c>
      <c r="I208" s="44">
        <v>1</v>
      </c>
      <c r="J208" s="45">
        <v>16</v>
      </c>
      <c r="K208" s="45">
        <v>16</v>
      </c>
    </row>
    <row r="209" spans="4:11">
      <c r="D209" s="42">
        <v>46179</v>
      </c>
      <c r="E209" s="43">
        <v>1609952</v>
      </c>
      <c r="F209" s="43" t="s">
        <v>13</v>
      </c>
      <c r="G209" s="44">
        <v>20314990</v>
      </c>
      <c r="H209" s="43" t="s">
        <v>56</v>
      </c>
      <c r="I209" s="44">
        <v>4</v>
      </c>
      <c r="J209" s="45">
        <v>8</v>
      </c>
      <c r="K209" s="45">
        <v>32</v>
      </c>
    </row>
    <row r="210" spans="4:11">
      <c r="D210" s="42">
        <v>46179</v>
      </c>
      <c r="E210" s="43">
        <v>1609952</v>
      </c>
      <c r="F210" s="43" t="s">
        <v>13</v>
      </c>
      <c r="G210" s="44">
        <v>20005849</v>
      </c>
      <c r="H210" s="43" t="s">
        <v>57</v>
      </c>
      <c r="I210" s="44">
        <v>8</v>
      </c>
      <c r="J210" s="45">
        <v>8</v>
      </c>
      <c r="K210" s="45">
        <v>64</v>
      </c>
    </row>
    <row r="211" spans="4:11">
      <c r="D211" s="42">
        <v>46179</v>
      </c>
      <c r="E211" s="43">
        <v>1609952</v>
      </c>
      <c r="F211" s="43" t="s">
        <v>16</v>
      </c>
      <c r="G211" s="44">
        <v>20008026</v>
      </c>
      <c r="H211" s="43" t="s">
        <v>105</v>
      </c>
      <c r="I211" s="44">
        <v>6</v>
      </c>
      <c r="J211" s="45">
        <v>16.5</v>
      </c>
      <c r="K211" s="45">
        <v>99</v>
      </c>
    </row>
    <row r="212" spans="4:11">
      <c r="D212" s="42">
        <v>46181</v>
      </c>
      <c r="E212" s="43">
        <v>1610260</v>
      </c>
      <c r="F212" s="43" t="s">
        <v>19</v>
      </c>
      <c r="G212" s="44">
        <v>20302879</v>
      </c>
      <c r="H212" s="43" t="s">
        <v>108</v>
      </c>
      <c r="I212" s="44">
        <v>1</v>
      </c>
      <c r="J212" s="45">
        <v>4</v>
      </c>
      <c r="K212" s="45">
        <v>4</v>
      </c>
    </row>
    <row r="213" spans="4:11">
      <c r="D213" s="42">
        <v>46182</v>
      </c>
      <c r="E213" s="43">
        <v>1610365</v>
      </c>
      <c r="F213" s="43" t="s">
        <v>13</v>
      </c>
      <c r="G213" s="44">
        <v>20005207</v>
      </c>
      <c r="H213" s="43" t="s">
        <v>38</v>
      </c>
      <c r="I213" s="44">
        <v>3</v>
      </c>
      <c r="J213" s="45">
        <v>8</v>
      </c>
      <c r="K213" s="45">
        <v>24</v>
      </c>
    </row>
    <row r="214" spans="4:11">
      <c r="D214" s="42">
        <v>46182</v>
      </c>
      <c r="E214" s="43">
        <v>1610365</v>
      </c>
      <c r="F214" s="43" t="s">
        <v>13</v>
      </c>
      <c r="G214" s="44">
        <v>20005208</v>
      </c>
      <c r="H214" s="43" t="s">
        <v>58</v>
      </c>
      <c r="I214" s="44">
        <v>22</v>
      </c>
      <c r="J214" s="45">
        <v>8</v>
      </c>
      <c r="K214" s="45">
        <v>176</v>
      </c>
    </row>
    <row r="215" spans="4:11">
      <c r="D215" s="42">
        <v>46182</v>
      </c>
      <c r="E215" s="43">
        <v>1610365</v>
      </c>
      <c r="F215" s="43" t="s">
        <v>13</v>
      </c>
      <c r="G215" s="44">
        <v>20313590</v>
      </c>
      <c r="H215" s="43" t="s">
        <v>103</v>
      </c>
      <c r="I215" s="44">
        <v>2</v>
      </c>
      <c r="J215" s="45">
        <v>8</v>
      </c>
      <c r="K215" s="45">
        <v>16</v>
      </c>
    </row>
    <row r="216" spans="4:11">
      <c r="D216" s="42">
        <v>46182</v>
      </c>
      <c r="E216" s="43">
        <v>1610365</v>
      </c>
      <c r="F216" s="43" t="s">
        <v>13</v>
      </c>
      <c r="G216" s="44">
        <v>20013630</v>
      </c>
      <c r="H216" s="43" t="s">
        <v>82</v>
      </c>
      <c r="I216" s="44">
        <v>11</v>
      </c>
      <c r="J216" s="45">
        <v>8</v>
      </c>
      <c r="K216" s="45">
        <v>88</v>
      </c>
    </row>
    <row r="217" spans="4:11">
      <c r="D217" s="42">
        <v>46182</v>
      </c>
      <c r="E217" s="43">
        <v>1610365</v>
      </c>
      <c r="F217" s="43" t="s">
        <v>13</v>
      </c>
      <c r="G217" s="44">
        <v>20407295</v>
      </c>
      <c r="H217" s="43" t="s">
        <v>104</v>
      </c>
      <c r="I217" s="44">
        <v>16</v>
      </c>
      <c r="J217" s="45">
        <v>8</v>
      </c>
      <c r="K217" s="45">
        <v>128</v>
      </c>
    </row>
    <row r="218" spans="4:11">
      <c r="D218" s="42">
        <v>46182</v>
      </c>
      <c r="E218" s="43">
        <v>1610365</v>
      </c>
      <c r="F218" s="43" t="s">
        <v>13</v>
      </c>
      <c r="G218" s="44">
        <v>20321305</v>
      </c>
      <c r="H218" s="43" t="s">
        <v>109</v>
      </c>
      <c r="I218" s="44">
        <v>3</v>
      </c>
      <c r="J218" s="45">
        <v>8</v>
      </c>
      <c r="K218" s="45">
        <v>24</v>
      </c>
    </row>
    <row r="219" spans="4:11">
      <c r="D219" s="42">
        <v>46182</v>
      </c>
      <c r="E219" s="43">
        <v>1610365</v>
      </c>
      <c r="F219" s="43" t="s">
        <v>13</v>
      </c>
      <c r="G219" s="44">
        <v>20005849</v>
      </c>
      <c r="H219" s="43" t="s">
        <v>57</v>
      </c>
      <c r="I219" s="44">
        <v>10</v>
      </c>
      <c r="J219" s="45">
        <v>8</v>
      </c>
      <c r="K219" s="45">
        <v>80</v>
      </c>
    </row>
    <row r="220" spans="4:11">
      <c r="D220" s="42">
        <v>46182</v>
      </c>
      <c r="E220" s="43">
        <v>1610365</v>
      </c>
      <c r="F220" s="43" t="s">
        <v>16</v>
      </c>
      <c r="G220" s="44">
        <v>20008026</v>
      </c>
      <c r="H220" s="43" t="s">
        <v>105</v>
      </c>
      <c r="I220" s="44">
        <v>12</v>
      </c>
      <c r="J220" s="45">
        <v>16.5</v>
      </c>
      <c r="K220" s="45">
        <v>198</v>
      </c>
    </row>
    <row r="221" spans="4:11">
      <c r="D221" s="42">
        <v>46182</v>
      </c>
      <c r="E221" s="43">
        <v>1610399</v>
      </c>
      <c r="F221" s="43" t="s">
        <v>13</v>
      </c>
      <c r="G221" s="44">
        <v>20314990</v>
      </c>
      <c r="H221" s="43" t="s">
        <v>56</v>
      </c>
      <c r="I221" s="44">
        <v>5</v>
      </c>
      <c r="J221" s="45">
        <v>8</v>
      </c>
      <c r="K221" s="45">
        <v>40</v>
      </c>
    </row>
    <row r="222" spans="4:11">
      <c r="D222" s="42">
        <v>46183</v>
      </c>
      <c r="E222" s="43">
        <v>1610820</v>
      </c>
      <c r="F222" s="43" t="s">
        <v>22</v>
      </c>
      <c r="G222" s="44">
        <v>20005210</v>
      </c>
      <c r="H222" s="43" t="s">
        <v>102</v>
      </c>
      <c r="I222" s="44">
        <v>5</v>
      </c>
      <c r="J222" s="45">
        <v>49.5</v>
      </c>
      <c r="K222" s="45">
        <v>247.5</v>
      </c>
    </row>
    <row r="223" spans="4:11">
      <c r="D223" s="42">
        <v>46183</v>
      </c>
      <c r="E223" s="43">
        <v>1610820</v>
      </c>
      <c r="F223" s="43" t="s">
        <v>13</v>
      </c>
      <c r="G223" s="44">
        <v>20005207</v>
      </c>
      <c r="H223" s="43" t="s">
        <v>38</v>
      </c>
      <c r="I223" s="44">
        <v>7</v>
      </c>
      <c r="J223" s="45">
        <v>8</v>
      </c>
      <c r="K223" s="45">
        <v>56</v>
      </c>
    </row>
    <row r="224" spans="4:11">
      <c r="D224" s="42">
        <v>46183</v>
      </c>
      <c r="E224" s="43">
        <v>1610820</v>
      </c>
      <c r="F224" s="43" t="s">
        <v>13</v>
      </c>
      <c r="G224" s="44">
        <v>20005208</v>
      </c>
      <c r="H224" s="43" t="s">
        <v>58</v>
      </c>
      <c r="I224" s="44">
        <v>42</v>
      </c>
      <c r="J224" s="45">
        <v>8</v>
      </c>
      <c r="K224" s="45">
        <v>336</v>
      </c>
    </row>
    <row r="225" spans="4:11">
      <c r="D225" s="42">
        <v>46183</v>
      </c>
      <c r="E225" s="43">
        <v>1610820</v>
      </c>
      <c r="F225" s="43" t="s">
        <v>13</v>
      </c>
      <c r="G225" s="44">
        <v>20313590</v>
      </c>
      <c r="H225" s="43" t="s">
        <v>103</v>
      </c>
      <c r="I225" s="44">
        <v>1</v>
      </c>
      <c r="J225" s="45">
        <v>8</v>
      </c>
      <c r="K225" s="45">
        <v>8</v>
      </c>
    </row>
    <row r="226" spans="4:11">
      <c r="D226" s="42">
        <v>46183</v>
      </c>
      <c r="E226" s="43">
        <v>1610820</v>
      </c>
      <c r="F226" s="43" t="s">
        <v>13</v>
      </c>
      <c r="G226" s="44">
        <v>20013630</v>
      </c>
      <c r="H226" s="43" t="s">
        <v>82</v>
      </c>
      <c r="I226" s="44">
        <v>6</v>
      </c>
      <c r="J226" s="45">
        <v>8</v>
      </c>
      <c r="K226" s="45">
        <v>48</v>
      </c>
    </row>
    <row r="227" spans="4:11">
      <c r="D227" s="42">
        <v>46183</v>
      </c>
      <c r="E227" s="43">
        <v>1610820</v>
      </c>
      <c r="F227" s="43" t="s">
        <v>13</v>
      </c>
      <c r="G227" s="44">
        <v>20407295</v>
      </c>
      <c r="H227" s="43" t="s">
        <v>104</v>
      </c>
      <c r="I227" s="44">
        <v>14</v>
      </c>
      <c r="J227" s="45">
        <v>8</v>
      </c>
      <c r="K227" s="45">
        <v>112</v>
      </c>
    </row>
    <row r="228" spans="4:11">
      <c r="D228" s="42">
        <v>46183</v>
      </c>
      <c r="E228" s="43">
        <v>1610820</v>
      </c>
      <c r="F228" s="43" t="s">
        <v>13</v>
      </c>
      <c r="G228" s="44">
        <v>20324084</v>
      </c>
      <c r="H228" s="43" t="s">
        <v>24</v>
      </c>
      <c r="I228" s="44">
        <v>2</v>
      </c>
      <c r="J228" s="45">
        <v>8</v>
      </c>
      <c r="K228" s="45">
        <v>16</v>
      </c>
    </row>
    <row r="229" spans="4:11">
      <c r="D229" s="42">
        <v>46183</v>
      </c>
      <c r="E229" s="43">
        <v>1610820</v>
      </c>
      <c r="F229" s="43" t="s">
        <v>13</v>
      </c>
      <c r="G229" s="44">
        <v>20321305</v>
      </c>
      <c r="H229" s="43" t="s">
        <v>109</v>
      </c>
      <c r="I229" s="44">
        <v>2</v>
      </c>
      <c r="J229" s="45">
        <v>8</v>
      </c>
      <c r="K229" s="45">
        <v>16</v>
      </c>
    </row>
    <row r="230" spans="4:11">
      <c r="D230" s="42">
        <v>46183</v>
      </c>
      <c r="E230" s="43">
        <v>1610820</v>
      </c>
      <c r="F230" s="43" t="s">
        <v>13</v>
      </c>
      <c r="G230" s="44">
        <v>20314990</v>
      </c>
      <c r="H230" s="43" t="s">
        <v>56</v>
      </c>
      <c r="I230" s="44">
        <v>12</v>
      </c>
      <c r="J230" s="45">
        <v>8</v>
      </c>
      <c r="K230" s="45">
        <v>96</v>
      </c>
    </row>
    <row r="231" spans="4:11">
      <c r="D231" s="42">
        <v>46183</v>
      </c>
      <c r="E231" s="43">
        <v>1610820</v>
      </c>
      <c r="F231" s="43" t="s">
        <v>13</v>
      </c>
      <c r="G231" s="44">
        <v>20005849</v>
      </c>
      <c r="H231" s="43" t="s">
        <v>57</v>
      </c>
      <c r="I231" s="44">
        <v>15</v>
      </c>
      <c r="J231" s="45">
        <v>8</v>
      </c>
      <c r="K231" s="45">
        <v>120</v>
      </c>
    </row>
    <row r="232" spans="4:11">
      <c r="D232" s="42">
        <v>46183</v>
      </c>
      <c r="E232" s="43">
        <v>1610820</v>
      </c>
      <c r="F232" s="43" t="s">
        <v>16</v>
      </c>
      <c r="G232" s="44">
        <v>20008026</v>
      </c>
      <c r="H232" s="43" t="s">
        <v>105</v>
      </c>
      <c r="I232" s="44">
        <v>16</v>
      </c>
      <c r="J232" s="45">
        <v>16.5</v>
      </c>
      <c r="K232" s="45">
        <v>264</v>
      </c>
    </row>
    <row r="233" spans="4:11">
      <c r="D233" s="42">
        <v>46183</v>
      </c>
      <c r="E233" s="43">
        <v>1611143</v>
      </c>
      <c r="F233" s="43" t="s">
        <v>22</v>
      </c>
      <c r="G233" s="44">
        <v>20005210</v>
      </c>
      <c r="H233" s="43" t="s">
        <v>102</v>
      </c>
      <c r="I233" s="44">
        <v>3</v>
      </c>
      <c r="J233" s="45">
        <v>49.5</v>
      </c>
      <c r="K233" s="45">
        <v>148.5</v>
      </c>
    </row>
    <row r="234" spans="4:11">
      <c r="D234" s="42">
        <v>46183</v>
      </c>
      <c r="E234" s="43">
        <v>1611143</v>
      </c>
      <c r="F234" s="43" t="s">
        <v>13</v>
      </c>
      <c r="G234" s="44">
        <v>20005207</v>
      </c>
      <c r="H234" s="43" t="s">
        <v>38</v>
      </c>
      <c r="I234" s="44">
        <v>12</v>
      </c>
      <c r="J234" s="45">
        <v>8</v>
      </c>
      <c r="K234" s="45">
        <v>96</v>
      </c>
    </row>
    <row r="235" spans="4:11">
      <c r="D235" s="42">
        <v>46183</v>
      </c>
      <c r="E235" s="43">
        <v>1611143</v>
      </c>
      <c r="F235" s="43" t="s">
        <v>13</v>
      </c>
      <c r="G235" s="44">
        <v>20005208</v>
      </c>
      <c r="H235" s="43" t="s">
        <v>58</v>
      </c>
      <c r="I235" s="44">
        <v>30</v>
      </c>
      <c r="J235" s="45">
        <v>8</v>
      </c>
      <c r="K235" s="45">
        <v>240</v>
      </c>
    </row>
    <row r="236" spans="4:11">
      <c r="D236" s="42">
        <v>46183</v>
      </c>
      <c r="E236" s="43">
        <v>1611143</v>
      </c>
      <c r="F236" s="43" t="s">
        <v>13</v>
      </c>
      <c r="G236" s="44">
        <v>20313590</v>
      </c>
      <c r="H236" s="43" t="s">
        <v>103</v>
      </c>
      <c r="I236" s="44">
        <v>1</v>
      </c>
      <c r="J236" s="45">
        <v>8</v>
      </c>
      <c r="K236" s="45">
        <v>8</v>
      </c>
    </row>
    <row r="237" spans="4:11">
      <c r="D237" s="42">
        <v>46183</v>
      </c>
      <c r="E237" s="43">
        <v>1611143</v>
      </c>
      <c r="F237" s="43" t="s">
        <v>13</v>
      </c>
      <c r="G237" s="44">
        <v>20013630</v>
      </c>
      <c r="H237" s="43" t="s">
        <v>82</v>
      </c>
      <c r="I237" s="44">
        <v>4</v>
      </c>
      <c r="J237" s="45">
        <v>8</v>
      </c>
      <c r="K237" s="45">
        <v>32</v>
      </c>
    </row>
    <row r="238" spans="4:11">
      <c r="D238" s="42">
        <v>46183</v>
      </c>
      <c r="E238" s="43">
        <v>1611143</v>
      </c>
      <c r="F238" s="43" t="s">
        <v>13</v>
      </c>
      <c r="G238" s="44">
        <v>20407295</v>
      </c>
      <c r="H238" s="43" t="s">
        <v>104</v>
      </c>
      <c r="I238" s="44">
        <v>8</v>
      </c>
      <c r="J238" s="45">
        <v>8</v>
      </c>
      <c r="K238" s="45">
        <v>64</v>
      </c>
    </row>
    <row r="239" spans="4:11">
      <c r="D239" s="42">
        <v>46183</v>
      </c>
      <c r="E239" s="43">
        <v>1611143</v>
      </c>
      <c r="F239" s="43" t="s">
        <v>13</v>
      </c>
      <c r="G239" s="44">
        <v>20314990</v>
      </c>
      <c r="H239" s="43" t="s">
        <v>56</v>
      </c>
      <c r="I239" s="44">
        <v>7</v>
      </c>
      <c r="J239" s="45">
        <v>8</v>
      </c>
      <c r="K239" s="45">
        <v>56</v>
      </c>
    </row>
    <row r="240" spans="4:11">
      <c r="D240" s="42">
        <v>46183</v>
      </c>
      <c r="E240" s="43">
        <v>1611143</v>
      </c>
      <c r="F240" s="43" t="s">
        <v>13</v>
      </c>
      <c r="G240" s="44">
        <v>20005849</v>
      </c>
      <c r="H240" s="43" t="s">
        <v>57</v>
      </c>
      <c r="I240" s="44">
        <v>10</v>
      </c>
      <c r="J240" s="45">
        <v>8</v>
      </c>
      <c r="K240" s="45">
        <v>80</v>
      </c>
    </row>
    <row r="241" spans="4:11">
      <c r="D241" s="42">
        <v>46183</v>
      </c>
      <c r="E241" s="43">
        <v>1611143</v>
      </c>
      <c r="F241" s="43" t="s">
        <v>16</v>
      </c>
      <c r="G241" s="44">
        <v>20008026</v>
      </c>
      <c r="H241" s="43" t="s">
        <v>105</v>
      </c>
      <c r="I241" s="44">
        <v>10</v>
      </c>
      <c r="J241" s="45">
        <v>16.5</v>
      </c>
      <c r="K241" s="45">
        <v>165</v>
      </c>
    </row>
    <row r="242" spans="4:11">
      <c r="D242" s="42">
        <v>46184</v>
      </c>
      <c r="E242" s="43">
        <v>1611583</v>
      </c>
      <c r="F242" s="43" t="s">
        <v>22</v>
      </c>
      <c r="G242" s="44">
        <v>20005210</v>
      </c>
      <c r="H242" s="43" t="s">
        <v>102</v>
      </c>
      <c r="I242" s="44">
        <v>4</v>
      </c>
      <c r="J242" s="45">
        <v>49.5</v>
      </c>
      <c r="K242" s="45">
        <v>198</v>
      </c>
    </row>
    <row r="243" spans="4:11">
      <c r="D243" s="42">
        <v>46184</v>
      </c>
      <c r="E243" s="43">
        <v>1611583</v>
      </c>
      <c r="F243" s="43" t="s">
        <v>13</v>
      </c>
      <c r="G243" s="44">
        <v>20005207</v>
      </c>
      <c r="H243" s="43" t="s">
        <v>38</v>
      </c>
      <c r="I243" s="44">
        <v>10</v>
      </c>
      <c r="J243" s="45">
        <v>8</v>
      </c>
      <c r="K243" s="45">
        <v>80</v>
      </c>
    </row>
    <row r="244" spans="4:11">
      <c r="D244" s="42">
        <v>46184</v>
      </c>
      <c r="E244" s="43">
        <v>1611583</v>
      </c>
      <c r="F244" s="43" t="s">
        <v>13</v>
      </c>
      <c r="G244" s="44">
        <v>20005208</v>
      </c>
      <c r="H244" s="43" t="s">
        <v>58</v>
      </c>
      <c r="I244" s="44">
        <v>27</v>
      </c>
      <c r="J244" s="45">
        <v>8</v>
      </c>
      <c r="K244" s="45">
        <v>216</v>
      </c>
    </row>
    <row r="245" spans="4:11">
      <c r="D245" s="42">
        <v>46184</v>
      </c>
      <c r="E245" s="43">
        <v>1611583</v>
      </c>
      <c r="F245" s="43" t="s">
        <v>13</v>
      </c>
      <c r="G245" s="44">
        <v>20313590</v>
      </c>
      <c r="H245" s="43" t="s">
        <v>103</v>
      </c>
      <c r="I245" s="44">
        <v>1</v>
      </c>
      <c r="J245" s="45">
        <v>8</v>
      </c>
      <c r="K245" s="45">
        <v>8</v>
      </c>
    </row>
    <row r="246" spans="4:11">
      <c r="D246" s="42">
        <v>46184</v>
      </c>
      <c r="E246" s="43">
        <v>1611583</v>
      </c>
      <c r="F246" s="43" t="s">
        <v>13</v>
      </c>
      <c r="G246" s="44">
        <v>20013630</v>
      </c>
      <c r="H246" s="43" t="s">
        <v>82</v>
      </c>
      <c r="I246" s="44">
        <v>6</v>
      </c>
      <c r="J246" s="45">
        <v>8</v>
      </c>
      <c r="K246" s="45">
        <v>48</v>
      </c>
    </row>
    <row r="247" spans="4:11">
      <c r="D247" s="42">
        <v>46184</v>
      </c>
      <c r="E247" s="43">
        <v>1611583</v>
      </c>
      <c r="F247" s="43" t="s">
        <v>13</v>
      </c>
      <c r="G247" s="44">
        <v>20407295</v>
      </c>
      <c r="H247" s="43" t="s">
        <v>104</v>
      </c>
      <c r="I247" s="44">
        <v>11</v>
      </c>
      <c r="J247" s="45">
        <v>8</v>
      </c>
      <c r="K247" s="45">
        <v>88</v>
      </c>
    </row>
    <row r="248" spans="4:11">
      <c r="D248" s="42">
        <v>46184</v>
      </c>
      <c r="E248" s="43">
        <v>1611583</v>
      </c>
      <c r="F248" s="43" t="s">
        <v>13</v>
      </c>
      <c r="G248" s="44">
        <v>20324084</v>
      </c>
      <c r="H248" s="43" t="s">
        <v>24</v>
      </c>
      <c r="I248" s="44">
        <v>2</v>
      </c>
      <c r="J248" s="45">
        <v>8</v>
      </c>
      <c r="K248" s="45">
        <v>16</v>
      </c>
    </row>
    <row r="249" spans="4:11">
      <c r="D249" s="42">
        <v>46184</v>
      </c>
      <c r="E249" s="43">
        <v>1611583</v>
      </c>
      <c r="F249" s="43" t="s">
        <v>13</v>
      </c>
      <c r="G249" s="44">
        <v>20314990</v>
      </c>
      <c r="H249" s="43" t="s">
        <v>56</v>
      </c>
      <c r="I249" s="44">
        <v>11</v>
      </c>
      <c r="J249" s="45">
        <v>8</v>
      </c>
      <c r="K249" s="45">
        <v>88</v>
      </c>
    </row>
    <row r="250" spans="4:11">
      <c r="D250" s="42">
        <v>46184</v>
      </c>
      <c r="E250" s="43">
        <v>1611583</v>
      </c>
      <c r="F250" s="43" t="s">
        <v>13</v>
      </c>
      <c r="G250" s="44">
        <v>20005849</v>
      </c>
      <c r="H250" s="43" t="s">
        <v>57</v>
      </c>
      <c r="I250" s="44">
        <v>15</v>
      </c>
      <c r="J250" s="45">
        <v>8</v>
      </c>
      <c r="K250" s="45">
        <v>120</v>
      </c>
    </row>
    <row r="251" spans="4:11">
      <c r="D251" s="42">
        <v>46184</v>
      </c>
      <c r="E251" s="43">
        <v>1611583</v>
      </c>
      <c r="F251" s="43" t="s">
        <v>16</v>
      </c>
      <c r="G251" s="44">
        <v>20008026</v>
      </c>
      <c r="H251" s="43" t="s">
        <v>105</v>
      </c>
      <c r="I251" s="44">
        <v>11</v>
      </c>
      <c r="J251" s="45">
        <v>16.5</v>
      </c>
      <c r="K251" s="45">
        <v>181.5</v>
      </c>
    </row>
    <row r="252" spans="4:11">
      <c r="D252" s="42">
        <v>46185</v>
      </c>
      <c r="E252" s="43">
        <v>1611882</v>
      </c>
      <c r="F252" s="43" t="s">
        <v>22</v>
      </c>
      <c r="G252" s="44">
        <v>20005210</v>
      </c>
      <c r="H252" s="43" t="s">
        <v>102</v>
      </c>
      <c r="I252" s="44">
        <v>3</v>
      </c>
      <c r="J252" s="45">
        <v>49.5</v>
      </c>
      <c r="K252" s="45">
        <v>148.5</v>
      </c>
    </row>
    <row r="253" spans="4:11">
      <c r="D253" s="42">
        <v>46185</v>
      </c>
      <c r="E253" s="43">
        <v>1611882</v>
      </c>
      <c r="F253" s="43" t="s">
        <v>13</v>
      </c>
      <c r="G253" s="44">
        <v>20005207</v>
      </c>
      <c r="H253" s="43" t="s">
        <v>38</v>
      </c>
      <c r="I253" s="44">
        <v>11</v>
      </c>
      <c r="J253" s="45">
        <v>8</v>
      </c>
      <c r="K253" s="45">
        <v>88</v>
      </c>
    </row>
    <row r="254" spans="4:11">
      <c r="D254" s="42">
        <v>46185</v>
      </c>
      <c r="E254" s="43">
        <v>1611882</v>
      </c>
      <c r="F254" s="43" t="s">
        <v>13</v>
      </c>
      <c r="G254" s="44">
        <v>20005208</v>
      </c>
      <c r="H254" s="43" t="s">
        <v>58</v>
      </c>
      <c r="I254" s="44">
        <v>38</v>
      </c>
      <c r="J254" s="45">
        <v>8</v>
      </c>
      <c r="K254" s="45">
        <v>304</v>
      </c>
    </row>
    <row r="255" spans="4:11">
      <c r="D255" s="42">
        <v>46185</v>
      </c>
      <c r="E255" s="43">
        <v>1611882</v>
      </c>
      <c r="F255" s="43" t="s">
        <v>13</v>
      </c>
      <c r="G255" s="44">
        <v>20313590</v>
      </c>
      <c r="H255" s="43" t="s">
        <v>103</v>
      </c>
      <c r="I255" s="44">
        <v>2</v>
      </c>
      <c r="J255" s="45">
        <v>8</v>
      </c>
      <c r="K255" s="45">
        <v>16</v>
      </c>
    </row>
    <row r="256" spans="4:11">
      <c r="D256" s="42">
        <v>46185</v>
      </c>
      <c r="E256" s="43">
        <v>1611882</v>
      </c>
      <c r="F256" s="43" t="s">
        <v>13</v>
      </c>
      <c r="G256" s="44">
        <v>20013630</v>
      </c>
      <c r="H256" s="43" t="s">
        <v>82</v>
      </c>
      <c r="I256" s="44">
        <v>5</v>
      </c>
      <c r="J256" s="45">
        <v>8</v>
      </c>
      <c r="K256" s="45">
        <v>40</v>
      </c>
    </row>
    <row r="257" spans="4:11">
      <c r="D257" s="42">
        <v>46185</v>
      </c>
      <c r="E257" s="43">
        <v>1611882</v>
      </c>
      <c r="F257" s="43" t="s">
        <v>13</v>
      </c>
      <c r="G257" s="44">
        <v>20314990</v>
      </c>
      <c r="H257" s="43" t="s">
        <v>56</v>
      </c>
      <c r="I257" s="44">
        <v>5</v>
      </c>
      <c r="J257" s="45">
        <v>8</v>
      </c>
      <c r="K257" s="45">
        <v>40</v>
      </c>
    </row>
    <row r="258" spans="4:11">
      <c r="D258" s="42">
        <v>46185</v>
      </c>
      <c r="E258" s="43">
        <v>1611882</v>
      </c>
      <c r="F258" s="43" t="s">
        <v>13</v>
      </c>
      <c r="G258" s="44">
        <v>20005849</v>
      </c>
      <c r="H258" s="43" t="s">
        <v>57</v>
      </c>
      <c r="I258" s="44">
        <v>16</v>
      </c>
      <c r="J258" s="45">
        <v>8</v>
      </c>
      <c r="K258" s="45">
        <v>128</v>
      </c>
    </row>
    <row r="259" spans="4:11">
      <c r="D259" s="42">
        <v>46185</v>
      </c>
      <c r="E259" s="43">
        <v>1611882</v>
      </c>
      <c r="F259" s="43" t="s">
        <v>16</v>
      </c>
      <c r="G259" s="44">
        <v>20008026</v>
      </c>
      <c r="H259" s="43" t="s">
        <v>105</v>
      </c>
      <c r="I259" s="44">
        <v>13</v>
      </c>
      <c r="J259" s="45">
        <v>16.5</v>
      </c>
      <c r="K259" s="45">
        <v>214.5</v>
      </c>
    </row>
    <row r="260" spans="4:11">
      <c r="D260" s="42">
        <v>46185</v>
      </c>
      <c r="E260" s="43">
        <v>1611900</v>
      </c>
      <c r="F260" s="43" t="s">
        <v>13</v>
      </c>
      <c r="G260" s="44">
        <v>20407295</v>
      </c>
      <c r="H260" s="43" t="s">
        <v>104</v>
      </c>
      <c r="I260" s="44">
        <v>25</v>
      </c>
      <c r="J260" s="45">
        <v>8</v>
      </c>
      <c r="K260" s="45">
        <v>200</v>
      </c>
    </row>
    <row r="261" spans="4:11">
      <c r="D261" s="42">
        <v>46186</v>
      </c>
      <c r="E261" s="43">
        <v>1612002</v>
      </c>
      <c r="F261" s="43" t="s">
        <v>22</v>
      </c>
      <c r="G261" s="44">
        <v>20005210</v>
      </c>
      <c r="H261" s="43" t="s">
        <v>102</v>
      </c>
      <c r="I261" s="44">
        <v>2</v>
      </c>
      <c r="J261" s="45">
        <v>49.5</v>
      </c>
      <c r="K261" s="45">
        <v>99</v>
      </c>
    </row>
    <row r="262" spans="4:11">
      <c r="D262" s="42">
        <v>46186</v>
      </c>
      <c r="E262" s="43">
        <v>1612002</v>
      </c>
      <c r="F262" s="43" t="s">
        <v>13</v>
      </c>
      <c r="G262" s="44">
        <v>20005207</v>
      </c>
      <c r="H262" s="43" t="s">
        <v>38</v>
      </c>
      <c r="I262" s="44">
        <v>3</v>
      </c>
      <c r="J262" s="45">
        <v>8</v>
      </c>
      <c r="K262" s="45">
        <v>24</v>
      </c>
    </row>
    <row r="263" spans="4:11">
      <c r="D263" s="42">
        <v>46186</v>
      </c>
      <c r="E263" s="43">
        <v>1612002</v>
      </c>
      <c r="F263" s="43" t="s">
        <v>13</v>
      </c>
      <c r="G263" s="44">
        <v>20005208</v>
      </c>
      <c r="H263" s="43" t="s">
        <v>58</v>
      </c>
      <c r="I263" s="44">
        <v>13</v>
      </c>
      <c r="J263" s="45">
        <v>8</v>
      </c>
      <c r="K263" s="45">
        <v>104</v>
      </c>
    </row>
    <row r="264" spans="4:11">
      <c r="D264" s="42">
        <v>46186</v>
      </c>
      <c r="E264" s="43">
        <v>1612002</v>
      </c>
      <c r="F264" s="43" t="s">
        <v>13</v>
      </c>
      <c r="G264" s="44">
        <v>20013630</v>
      </c>
      <c r="H264" s="43" t="s">
        <v>82</v>
      </c>
      <c r="I264" s="44">
        <v>2</v>
      </c>
      <c r="J264" s="45">
        <v>8</v>
      </c>
      <c r="K264" s="45">
        <v>16</v>
      </c>
    </row>
    <row r="265" spans="4:11">
      <c r="D265" s="42">
        <v>46186</v>
      </c>
      <c r="E265" s="43">
        <v>1612002</v>
      </c>
      <c r="F265" s="43" t="s">
        <v>13</v>
      </c>
      <c r="G265" s="44">
        <v>20407295</v>
      </c>
      <c r="H265" s="43" t="s">
        <v>104</v>
      </c>
      <c r="I265" s="44">
        <v>6</v>
      </c>
      <c r="J265" s="45">
        <v>8</v>
      </c>
      <c r="K265" s="45">
        <v>48</v>
      </c>
    </row>
    <row r="266" spans="4:11">
      <c r="D266" s="42">
        <v>46186</v>
      </c>
      <c r="E266" s="43">
        <v>1612002</v>
      </c>
      <c r="F266" s="43" t="s">
        <v>13</v>
      </c>
      <c r="G266" s="44">
        <v>20302876</v>
      </c>
      <c r="H266" s="43" t="s">
        <v>107</v>
      </c>
      <c r="I266" s="44">
        <v>1</v>
      </c>
      <c r="J266" s="45">
        <v>16</v>
      </c>
      <c r="K266" s="45">
        <v>16</v>
      </c>
    </row>
    <row r="267" spans="4:11">
      <c r="D267" s="42">
        <v>46186</v>
      </c>
      <c r="E267" s="43">
        <v>1612002</v>
      </c>
      <c r="F267" s="43" t="s">
        <v>13</v>
      </c>
      <c r="G267" s="44">
        <v>20314990</v>
      </c>
      <c r="H267" s="43" t="s">
        <v>56</v>
      </c>
      <c r="I267" s="44">
        <v>7</v>
      </c>
      <c r="J267" s="45">
        <v>8</v>
      </c>
      <c r="K267" s="45">
        <v>56</v>
      </c>
    </row>
    <row r="268" spans="4:11">
      <c r="D268" s="42">
        <v>46186</v>
      </c>
      <c r="E268" s="43">
        <v>1612002</v>
      </c>
      <c r="F268" s="43" t="s">
        <v>13</v>
      </c>
      <c r="G268" s="44">
        <v>20005849</v>
      </c>
      <c r="H268" s="43" t="s">
        <v>57</v>
      </c>
      <c r="I268" s="44">
        <v>4</v>
      </c>
      <c r="J268" s="45">
        <v>8</v>
      </c>
      <c r="K268" s="45">
        <v>32</v>
      </c>
    </row>
    <row r="269" spans="4:11">
      <c r="D269" s="42">
        <v>46186</v>
      </c>
      <c r="E269" s="43">
        <v>1612002</v>
      </c>
      <c r="F269" s="43" t="s">
        <v>16</v>
      </c>
      <c r="G269" s="44">
        <v>20008026</v>
      </c>
      <c r="H269" s="43" t="s">
        <v>105</v>
      </c>
      <c r="I269" s="44">
        <v>4</v>
      </c>
      <c r="J269" s="45">
        <v>16.5</v>
      </c>
      <c r="K269" s="45">
        <v>66</v>
      </c>
    </row>
  </sheetData>
  <autoFilter xmlns:etc="http://www.wps.cn/officeDocument/2017/etCustomData" ref="A7:K269" etc:filterBottomFollowUsedRange="0">
    <extLst/>
  </autoFilter>
  <mergeCells count="5">
    <mergeCell ref="D8:H8"/>
    <mergeCell ref="C7:C269"/>
    <mergeCell ref="B4:H5"/>
    <mergeCell ref="A7:B26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110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81</v>
      </c>
      <c r="J8" s="41"/>
      <c r="K8" s="41">
        <v>1859.5</v>
      </c>
    </row>
    <row r="9" spans="1:11">
      <c r="D9" s="42">
        <v>46158</v>
      </c>
      <c r="E9" s="43">
        <v>1603782</v>
      </c>
      <c r="F9" s="43" t="s">
        <v>111</v>
      </c>
      <c r="G9" s="44">
        <v>20394765</v>
      </c>
      <c r="H9" s="43" t="s">
        <v>112</v>
      </c>
      <c r="I9" s="44">
        <v>2</v>
      </c>
      <c r="J9" s="45">
        <v>38.5</v>
      </c>
      <c r="K9" s="45">
        <v>77</v>
      </c>
    </row>
    <row r="10" spans="1:11">
      <c r="D10" s="42">
        <v>46158</v>
      </c>
      <c r="E10" s="43">
        <v>1603782</v>
      </c>
      <c r="F10" s="43" t="s">
        <v>13</v>
      </c>
      <c r="G10" s="44">
        <v>20394788</v>
      </c>
      <c r="H10" s="43" t="s">
        <v>113</v>
      </c>
      <c r="I10" s="44">
        <v>1</v>
      </c>
      <c r="J10" s="45">
        <v>8</v>
      </c>
      <c r="K10" s="45">
        <v>8</v>
      </c>
    </row>
    <row r="11" spans="1:11">
      <c r="D11" s="42">
        <v>46158</v>
      </c>
      <c r="E11" s="43">
        <v>1603782</v>
      </c>
      <c r="F11" s="43" t="s">
        <v>13</v>
      </c>
      <c r="G11" s="44">
        <v>20377357</v>
      </c>
      <c r="H11" s="43" t="s">
        <v>37</v>
      </c>
      <c r="I11" s="44">
        <v>1</v>
      </c>
      <c r="J11" s="45">
        <v>8</v>
      </c>
      <c r="K11" s="45">
        <v>8</v>
      </c>
    </row>
    <row r="12" spans="1:11">
      <c r="D12" s="42">
        <v>46158</v>
      </c>
      <c r="E12" s="43">
        <v>1603782</v>
      </c>
      <c r="F12" s="43" t="s">
        <v>114</v>
      </c>
      <c r="G12" s="44">
        <v>20394771</v>
      </c>
      <c r="H12" s="43" t="s">
        <v>115</v>
      </c>
      <c r="I12" s="44">
        <v>1</v>
      </c>
      <c r="J12" s="45">
        <v>88</v>
      </c>
      <c r="K12" s="45">
        <v>88</v>
      </c>
    </row>
    <row r="13" spans="1:11">
      <c r="D13" s="42">
        <v>46163</v>
      </c>
      <c r="E13" s="43">
        <v>1605103</v>
      </c>
      <c r="F13" s="43" t="s">
        <v>111</v>
      </c>
      <c r="G13" s="44">
        <v>20394765</v>
      </c>
      <c r="H13" s="43" t="s">
        <v>112</v>
      </c>
      <c r="I13" s="44">
        <v>1</v>
      </c>
      <c r="J13" s="45">
        <v>38.5</v>
      </c>
      <c r="K13" s="45">
        <v>38.5</v>
      </c>
    </row>
    <row r="14" spans="1:11">
      <c r="D14" s="42">
        <v>46163</v>
      </c>
      <c r="E14" s="43">
        <v>1605103</v>
      </c>
      <c r="F14" s="43" t="s">
        <v>111</v>
      </c>
      <c r="G14" s="44">
        <v>20405952</v>
      </c>
      <c r="H14" s="43" t="s">
        <v>116</v>
      </c>
      <c r="I14" s="44">
        <v>1</v>
      </c>
      <c r="J14" s="45">
        <v>44</v>
      </c>
      <c r="K14" s="45">
        <v>44</v>
      </c>
    </row>
    <row r="15" spans="1:11">
      <c r="D15" s="42">
        <v>46163</v>
      </c>
      <c r="E15" s="43">
        <v>1605103</v>
      </c>
      <c r="F15" s="43" t="s">
        <v>111</v>
      </c>
      <c r="G15" s="44">
        <v>20405948</v>
      </c>
      <c r="H15" s="43" t="s">
        <v>117</v>
      </c>
      <c r="I15" s="44">
        <v>1</v>
      </c>
      <c r="J15" s="45">
        <v>77</v>
      </c>
      <c r="K15" s="45">
        <v>77</v>
      </c>
    </row>
    <row r="16" spans="1:11">
      <c r="D16" s="42">
        <v>46163</v>
      </c>
      <c r="E16" s="43">
        <v>1605103</v>
      </c>
      <c r="F16" s="43" t="s">
        <v>111</v>
      </c>
      <c r="G16" s="44">
        <v>20405947</v>
      </c>
      <c r="H16" s="43" t="s">
        <v>118</v>
      </c>
      <c r="I16" s="44">
        <v>1</v>
      </c>
      <c r="J16" s="45">
        <v>38.5</v>
      </c>
      <c r="K16" s="45">
        <v>38.5</v>
      </c>
    </row>
    <row r="17" spans="4:11">
      <c r="D17" s="42">
        <v>46163</v>
      </c>
      <c r="E17" s="43">
        <v>1605103</v>
      </c>
      <c r="F17" s="43" t="s">
        <v>111</v>
      </c>
      <c r="G17" s="44">
        <v>20405951</v>
      </c>
      <c r="H17" s="43" t="s">
        <v>119</v>
      </c>
      <c r="I17" s="44">
        <v>1</v>
      </c>
      <c r="J17" s="45">
        <v>60.5</v>
      </c>
      <c r="K17" s="45">
        <v>60.5</v>
      </c>
    </row>
    <row r="18" spans="4:11">
      <c r="D18" s="42">
        <v>46163</v>
      </c>
      <c r="E18" s="43">
        <v>1605103</v>
      </c>
      <c r="F18" s="43" t="s">
        <v>13</v>
      </c>
      <c r="G18" s="44">
        <v>20404922</v>
      </c>
      <c r="H18" s="43" t="s">
        <v>120</v>
      </c>
      <c r="I18" s="44">
        <v>1</v>
      </c>
      <c r="J18" s="45">
        <v>8</v>
      </c>
      <c r="K18" s="45">
        <v>8</v>
      </c>
    </row>
    <row r="19" spans="4:11">
      <c r="D19" s="42">
        <v>46163</v>
      </c>
      <c r="E19" s="43">
        <v>1605103</v>
      </c>
      <c r="F19" s="43" t="s">
        <v>13</v>
      </c>
      <c r="G19" s="44">
        <v>20401666</v>
      </c>
      <c r="H19" s="43" t="s">
        <v>121</v>
      </c>
      <c r="I19" s="44">
        <v>1</v>
      </c>
      <c r="J19" s="45">
        <v>8</v>
      </c>
      <c r="K19" s="45">
        <v>8</v>
      </c>
    </row>
    <row r="20" spans="4:11">
      <c r="D20" s="42">
        <v>46163</v>
      </c>
      <c r="E20" s="43">
        <v>1605103</v>
      </c>
      <c r="F20" s="43" t="s">
        <v>13</v>
      </c>
      <c r="G20" s="44">
        <v>20405949</v>
      </c>
      <c r="H20" s="43" t="s">
        <v>122</v>
      </c>
      <c r="I20" s="44">
        <v>4</v>
      </c>
      <c r="J20" s="45">
        <v>8</v>
      </c>
      <c r="K20" s="45">
        <v>32</v>
      </c>
    </row>
    <row r="21" spans="4:11">
      <c r="D21" s="42">
        <v>46163</v>
      </c>
      <c r="E21" s="43">
        <v>1605103</v>
      </c>
      <c r="F21" s="43" t="s">
        <v>13</v>
      </c>
      <c r="G21" s="44">
        <v>20406617</v>
      </c>
      <c r="H21" s="43" t="s">
        <v>123</v>
      </c>
      <c r="I21" s="44">
        <v>1</v>
      </c>
      <c r="J21" s="45">
        <v>8</v>
      </c>
      <c r="K21" s="45">
        <v>8</v>
      </c>
    </row>
    <row r="22" spans="4:11">
      <c r="D22" s="42">
        <v>46163</v>
      </c>
      <c r="E22" s="43">
        <v>1605103</v>
      </c>
      <c r="F22" s="43" t="s">
        <v>13</v>
      </c>
      <c r="G22" s="44">
        <v>20406623</v>
      </c>
      <c r="H22" s="43" t="s">
        <v>124</v>
      </c>
      <c r="I22" s="44">
        <v>1</v>
      </c>
      <c r="J22" s="45">
        <v>22</v>
      </c>
      <c r="K22" s="45">
        <v>22</v>
      </c>
    </row>
    <row r="23" spans="4:11">
      <c r="D23" s="42">
        <v>46163</v>
      </c>
      <c r="E23" s="43">
        <v>1605103</v>
      </c>
      <c r="F23" s="43" t="s">
        <v>13</v>
      </c>
      <c r="G23" s="44">
        <v>20406622</v>
      </c>
      <c r="H23" s="43" t="s">
        <v>125</v>
      </c>
      <c r="I23" s="44">
        <v>1</v>
      </c>
      <c r="J23" s="45">
        <v>8</v>
      </c>
      <c r="K23" s="45">
        <v>8</v>
      </c>
    </row>
    <row r="24" spans="4:11">
      <c r="D24" s="42">
        <v>46163</v>
      </c>
      <c r="E24" s="43">
        <v>1605103</v>
      </c>
      <c r="F24" s="43" t="s">
        <v>13</v>
      </c>
      <c r="G24" s="44">
        <v>20401665</v>
      </c>
      <c r="H24" s="43" t="s">
        <v>126</v>
      </c>
      <c r="I24" s="44">
        <v>1</v>
      </c>
      <c r="J24" s="45">
        <v>11</v>
      </c>
      <c r="K24" s="45">
        <v>11</v>
      </c>
    </row>
    <row r="25" spans="4:11">
      <c r="D25" s="42">
        <v>46163</v>
      </c>
      <c r="E25" s="43">
        <v>1605103</v>
      </c>
      <c r="F25" s="43" t="s">
        <v>13</v>
      </c>
      <c r="G25" s="44">
        <v>20394768</v>
      </c>
      <c r="H25" s="43" t="s">
        <v>127</v>
      </c>
      <c r="I25" s="44">
        <v>3</v>
      </c>
      <c r="J25" s="45">
        <v>8</v>
      </c>
      <c r="K25" s="45">
        <v>24</v>
      </c>
    </row>
    <row r="26" spans="4:11">
      <c r="D26" s="42">
        <v>46163</v>
      </c>
      <c r="E26" s="43">
        <v>1605103</v>
      </c>
      <c r="F26" s="43" t="s">
        <v>13</v>
      </c>
      <c r="G26" s="44">
        <v>20398274</v>
      </c>
      <c r="H26" s="43" t="s">
        <v>128</v>
      </c>
      <c r="I26" s="44">
        <v>4</v>
      </c>
      <c r="J26" s="45">
        <v>8</v>
      </c>
      <c r="K26" s="45">
        <v>32</v>
      </c>
    </row>
    <row r="27" spans="4:11">
      <c r="D27" s="42">
        <v>46163</v>
      </c>
      <c r="E27" s="43">
        <v>1605103</v>
      </c>
      <c r="F27" s="43" t="s">
        <v>13</v>
      </c>
      <c r="G27" s="44">
        <v>20394788</v>
      </c>
      <c r="H27" s="43" t="s">
        <v>113</v>
      </c>
      <c r="I27" s="44">
        <v>1</v>
      </c>
      <c r="J27" s="45">
        <v>8</v>
      </c>
      <c r="K27" s="45">
        <v>8</v>
      </c>
    </row>
    <row r="28" spans="4:11">
      <c r="D28" s="42">
        <v>46163</v>
      </c>
      <c r="E28" s="43">
        <v>1605103</v>
      </c>
      <c r="F28" s="43" t="s">
        <v>13</v>
      </c>
      <c r="G28" s="44">
        <v>20377357</v>
      </c>
      <c r="H28" s="43" t="s">
        <v>37</v>
      </c>
      <c r="I28" s="44">
        <v>1</v>
      </c>
      <c r="J28" s="45">
        <v>8</v>
      </c>
      <c r="K28" s="45">
        <v>8</v>
      </c>
    </row>
    <row r="29" spans="4:11">
      <c r="D29" s="42">
        <v>46163</v>
      </c>
      <c r="E29" s="43">
        <v>1605103</v>
      </c>
      <c r="F29" s="43" t="s">
        <v>13</v>
      </c>
      <c r="G29" s="44">
        <v>20406619</v>
      </c>
      <c r="H29" s="43" t="s">
        <v>129</v>
      </c>
      <c r="I29" s="44">
        <v>1</v>
      </c>
      <c r="J29" s="45">
        <v>8</v>
      </c>
      <c r="K29" s="45">
        <v>8</v>
      </c>
    </row>
    <row r="30" spans="4:11">
      <c r="D30" s="42">
        <v>46163</v>
      </c>
      <c r="E30" s="43">
        <v>1605103</v>
      </c>
      <c r="F30" s="43" t="s">
        <v>13</v>
      </c>
      <c r="G30" s="44">
        <v>20377048</v>
      </c>
      <c r="H30" s="43" t="s">
        <v>130</v>
      </c>
      <c r="I30" s="44">
        <v>1</v>
      </c>
      <c r="J30" s="45">
        <v>8</v>
      </c>
      <c r="K30" s="45">
        <v>8</v>
      </c>
    </row>
    <row r="31" spans="4:11">
      <c r="D31" s="42">
        <v>46163</v>
      </c>
      <c r="E31" s="43">
        <v>1605103</v>
      </c>
      <c r="F31" s="43" t="s">
        <v>13</v>
      </c>
      <c r="G31" s="44">
        <v>20406613</v>
      </c>
      <c r="H31" s="43" t="s">
        <v>131</v>
      </c>
      <c r="I31" s="44">
        <v>1</v>
      </c>
      <c r="J31" s="45">
        <v>8</v>
      </c>
      <c r="K31" s="45">
        <v>8</v>
      </c>
    </row>
    <row r="32" spans="4:11">
      <c r="D32" s="42">
        <v>46163</v>
      </c>
      <c r="E32" s="43">
        <v>1605103</v>
      </c>
      <c r="F32" s="43" t="s">
        <v>114</v>
      </c>
      <c r="G32" s="44">
        <v>20394771</v>
      </c>
      <c r="H32" s="43" t="s">
        <v>115</v>
      </c>
      <c r="I32" s="44">
        <v>1</v>
      </c>
      <c r="J32" s="45">
        <v>88</v>
      </c>
      <c r="K32" s="45">
        <v>88</v>
      </c>
    </row>
    <row r="33" spans="4:11">
      <c r="D33" s="42">
        <v>46163</v>
      </c>
      <c r="E33" s="43">
        <v>1605103</v>
      </c>
      <c r="F33" s="43" t="s">
        <v>16</v>
      </c>
      <c r="G33" s="44">
        <v>20402571</v>
      </c>
      <c r="H33" s="43" t="s">
        <v>132</v>
      </c>
      <c r="I33" s="44">
        <v>1</v>
      </c>
      <c r="J33" s="45">
        <v>38.5</v>
      </c>
      <c r="K33" s="45">
        <v>38.5</v>
      </c>
    </row>
    <row r="34" spans="4:11">
      <c r="D34" s="42">
        <v>46163</v>
      </c>
      <c r="E34" s="43">
        <v>1605103</v>
      </c>
      <c r="F34" s="43" t="s">
        <v>16</v>
      </c>
      <c r="G34" s="44">
        <v>20005838</v>
      </c>
      <c r="H34" s="43" t="s">
        <v>93</v>
      </c>
      <c r="I34" s="44">
        <v>1</v>
      </c>
      <c r="J34" s="45">
        <v>16.5</v>
      </c>
      <c r="K34" s="45">
        <v>16.5</v>
      </c>
    </row>
    <row r="35" spans="4:11">
      <c r="D35" s="42">
        <v>46163</v>
      </c>
      <c r="E35" s="43">
        <v>1605103</v>
      </c>
      <c r="F35" s="43" t="s">
        <v>16</v>
      </c>
      <c r="G35" s="44">
        <v>20400923</v>
      </c>
      <c r="H35" s="43" t="s">
        <v>133</v>
      </c>
      <c r="I35" s="44">
        <v>1</v>
      </c>
      <c r="J35" s="45">
        <v>33</v>
      </c>
      <c r="K35" s="45">
        <v>33</v>
      </c>
    </row>
    <row r="36" spans="4:11">
      <c r="D36" s="42">
        <v>46163</v>
      </c>
      <c r="E36" s="43">
        <v>1605130</v>
      </c>
      <c r="F36" s="43" t="s">
        <v>13</v>
      </c>
      <c r="G36" s="44">
        <v>20398274</v>
      </c>
      <c r="H36" s="43" t="s">
        <v>128</v>
      </c>
      <c r="I36" s="44">
        <v>1</v>
      </c>
      <c r="J36" s="45">
        <v>8</v>
      </c>
      <c r="K36" s="45">
        <v>8</v>
      </c>
    </row>
    <row r="37" spans="4:11">
      <c r="D37" s="42">
        <v>46170</v>
      </c>
      <c r="E37" s="43">
        <v>1607141</v>
      </c>
      <c r="F37" s="43" t="s">
        <v>111</v>
      </c>
      <c r="G37" s="44">
        <v>20394765</v>
      </c>
      <c r="H37" s="43" t="s">
        <v>112</v>
      </c>
      <c r="I37" s="44">
        <v>1</v>
      </c>
      <c r="J37" s="45">
        <v>38.5</v>
      </c>
      <c r="K37" s="45">
        <v>38.5</v>
      </c>
    </row>
    <row r="38" spans="4:11">
      <c r="D38" s="42">
        <v>46170</v>
      </c>
      <c r="E38" s="43">
        <v>1607141</v>
      </c>
      <c r="F38" s="43" t="s">
        <v>13</v>
      </c>
      <c r="G38" s="44">
        <v>20404922</v>
      </c>
      <c r="H38" s="43" t="s">
        <v>120</v>
      </c>
      <c r="I38" s="44">
        <v>1</v>
      </c>
      <c r="J38" s="45">
        <v>8</v>
      </c>
      <c r="K38" s="45">
        <v>8</v>
      </c>
    </row>
    <row r="39" spans="4:11">
      <c r="D39" s="42">
        <v>46170</v>
      </c>
      <c r="E39" s="43">
        <v>1607141</v>
      </c>
      <c r="F39" s="43" t="s">
        <v>13</v>
      </c>
      <c r="G39" s="44">
        <v>20394788</v>
      </c>
      <c r="H39" s="43" t="s">
        <v>113</v>
      </c>
      <c r="I39" s="44">
        <v>1</v>
      </c>
      <c r="J39" s="45">
        <v>8</v>
      </c>
      <c r="K39" s="45">
        <v>8</v>
      </c>
    </row>
    <row r="40" spans="4:11">
      <c r="D40" s="42">
        <v>46170</v>
      </c>
      <c r="E40" s="43">
        <v>1607141</v>
      </c>
      <c r="F40" s="43" t="s">
        <v>13</v>
      </c>
      <c r="G40" s="44">
        <v>20377357</v>
      </c>
      <c r="H40" s="43" t="s">
        <v>37</v>
      </c>
      <c r="I40" s="44">
        <v>1</v>
      </c>
      <c r="J40" s="45">
        <v>8</v>
      </c>
      <c r="K40" s="45">
        <v>8</v>
      </c>
    </row>
    <row r="41" spans="4:11">
      <c r="D41" s="42">
        <v>46170</v>
      </c>
      <c r="E41" s="43">
        <v>1607141</v>
      </c>
      <c r="F41" s="43" t="s">
        <v>114</v>
      </c>
      <c r="G41" s="44">
        <v>20394771</v>
      </c>
      <c r="H41" s="43" t="s">
        <v>115</v>
      </c>
      <c r="I41" s="44">
        <v>1</v>
      </c>
      <c r="J41" s="45">
        <v>88</v>
      </c>
      <c r="K41" s="45">
        <v>88</v>
      </c>
    </row>
    <row r="42" spans="4:11">
      <c r="D42" s="42">
        <v>46172</v>
      </c>
      <c r="E42" s="43">
        <v>1607886</v>
      </c>
      <c r="F42" s="43" t="s">
        <v>13</v>
      </c>
      <c r="G42" s="44">
        <v>20394788</v>
      </c>
      <c r="H42" s="43" t="s">
        <v>113</v>
      </c>
      <c r="I42" s="44">
        <v>1</v>
      </c>
      <c r="J42" s="45">
        <v>8</v>
      </c>
      <c r="K42" s="45">
        <v>8</v>
      </c>
    </row>
    <row r="43" spans="4:11">
      <c r="D43" s="42">
        <v>46172</v>
      </c>
      <c r="E43" s="43">
        <v>1607886</v>
      </c>
      <c r="F43" s="43" t="s">
        <v>13</v>
      </c>
      <c r="G43" s="44">
        <v>20394764</v>
      </c>
      <c r="H43" s="43" t="s">
        <v>134</v>
      </c>
      <c r="I43" s="44">
        <v>1</v>
      </c>
      <c r="J43" s="45">
        <v>8</v>
      </c>
      <c r="K43" s="45">
        <v>8</v>
      </c>
    </row>
    <row r="44" spans="4:11">
      <c r="D44" s="42">
        <v>46172</v>
      </c>
      <c r="E44" s="43">
        <v>1607886</v>
      </c>
      <c r="F44" s="43" t="s">
        <v>114</v>
      </c>
      <c r="G44" s="44">
        <v>20394771</v>
      </c>
      <c r="H44" s="43" t="s">
        <v>115</v>
      </c>
      <c r="I44" s="44">
        <v>1</v>
      </c>
      <c r="J44" s="45">
        <v>88</v>
      </c>
      <c r="K44" s="45">
        <v>88</v>
      </c>
    </row>
    <row r="45" spans="4:11">
      <c r="D45" s="42">
        <v>46172</v>
      </c>
      <c r="E45" s="43">
        <v>1607886</v>
      </c>
      <c r="F45" s="43" t="s">
        <v>16</v>
      </c>
      <c r="G45" s="44">
        <v>20402571</v>
      </c>
      <c r="H45" s="43" t="s">
        <v>132</v>
      </c>
      <c r="I45" s="44">
        <v>1</v>
      </c>
      <c r="J45" s="45">
        <v>38.5</v>
      </c>
      <c r="K45" s="45">
        <v>38.5</v>
      </c>
    </row>
    <row r="46" spans="4:11">
      <c r="D46" s="42">
        <v>46177</v>
      </c>
      <c r="E46" s="43">
        <v>1609203</v>
      </c>
      <c r="F46" s="43" t="s">
        <v>111</v>
      </c>
      <c r="G46" s="44">
        <v>20394765</v>
      </c>
      <c r="H46" s="43" t="s">
        <v>112</v>
      </c>
      <c r="I46" s="44">
        <v>1</v>
      </c>
      <c r="J46" s="45">
        <v>38.5</v>
      </c>
      <c r="K46" s="45">
        <v>38.5</v>
      </c>
    </row>
    <row r="47" spans="4:11">
      <c r="D47" s="42">
        <v>46177</v>
      </c>
      <c r="E47" s="43">
        <v>1609203</v>
      </c>
      <c r="F47" s="43" t="s">
        <v>13</v>
      </c>
      <c r="G47" s="44">
        <v>20406610</v>
      </c>
      <c r="H47" s="43" t="s">
        <v>135</v>
      </c>
      <c r="I47" s="44">
        <v>1</v>
      </c>
      <c r="J47" s="45">
        <v>8</v>
      </c>
      <c r="K47" s="45">
        <v>8</v>
      </c>
    </row>
    <row r="48" spans="4:11">
      <c r="D48" s="42">
        <v>46177</v>
      </c>
      <c r="E48" s="43">
        <v>1609203</v>
      </c>
      <c r="F48" s="43" t="s">
        <v>13</v>
      </c>
      <c r="G48" s="44">
        <v>20404922</v>
      </c>
      <c r="H48" s="43" t="s">
        <v>120</v>
      </c>
      <c r="I48" s="44">
        <v>1</v>
      </c>
      <c r="J48" s="45">
        <v>8</v>
      </c>
      <c r="K48" s="45">
        <v>8</v>
      </c>
    </row>
    <row r="49" spans="4:11">
      <c r="D49" s="42">
        <v>46177</v>
      </c>
      <c r="E49" s="43">
        <v>1609203</v>
      </c>
      <c r="F49" s="43" t="s">
        <v>13</v>
      </c>
      <c r="G49" s="44">
        <v>20376624</v>
      </c>
      <c r="H49" s="43" t="s">
        <v>33</v>
      </c>
      <c r="I49" s="44">
        <v>1</v>
      </c>
      <c r="J49" s="45">
        <v>8</v>
      </c>
      <c r="K49" s="45">
        <v>8</v>
      </c>
    </row>
    <row r="50" spans="4:11">
      <c r="D50" s="42">
        <v>46177</v>
      </c>
      <c r="E50" s="43">
        <v>1609203</v>
      </c>
      <c r="F50" s="43" t="s">
        <v>13</v>
      </c>
      <c r="G50" s="44">
        <v>20406616</v>
      </c>
      <c r="H50" s="43" t="s">
        <v>136</v>
      </c>
      <c r="I50" s="44">
        <v>1</v>
      </c>
      <c r="J50" s="45">
        <v>8</v>
      </c>
      <c r="K50" s="45">
        <v>8</v>
      </c>
    </row>
    <row r="51" spans="4:11">
      <c r="D51" s="42">
        <v>46177</v>
      </c>
      <c r="E51" s="43">
        <v>1609203</v>
      </c>
      <c r="F51" s="43" t="s">
        <v>13</v>
      </c>
      <c r="G51" s="44">
        <v>20406614</v>
      </c>
      <c r="H51" s="43" t="s">
        <v>137</v>
      </c>
      <c r="I51" s="44">
        <v>1</v>
      </c>
      <c r="J51" s="45">
        <v>8</v>
      </c>
      <c r="K51" s="45">
        <v>8</v>
      </c>
    </row>
    <row r="52" spans="4:11">
      <c r="D52" s="42">
        <v>46177</v>
      </c>
      <c r="E52" s="43">
        <v>1609203</v>
      </c>
      <c r="F52" s="43" t="s">
        <v>13</v>
      </c>
      <c r="G52" s="44">
        <v>20406620</v>
      </c>
      <c r="H52" s="43" t="s">
        <v>138</v>
      </c>
      <c r="I52" s="44">
        <v>1</v>
      </c>
      <c r="J52" s="45">
        <v>8</v>
      </c>
      <c r="K52" s="45">
        <v>8</v>
      </c>
    </row>
    <row r="53" spans="4:11">
      <c r="D53" s="42">
        <v>46177</v>
      </c>
      <c r="E53" s="43">
        <v>1609203</v>
      </c>
      <c r="F53" s="43" t="s">
        <v>13</v>
      </c>
      <c r="G53" s="44">
        <v>20406612</v>
      </c>
      <c r="H53" s="43" t="s">
        <v>139</v>
      </c>
      <c r="I53" s="44">
        <v>1</v>
      </c>
      <c r="J53" s="45">
        <v>8</v>
      </c>
      <c r="K53" s="45">
        <v>8</v>
      </c>
    </row>
    <row r="54" spans="4:11">
      <c r="D54" s="42">
        <v>46177</v>
      </c>
      <c r="E54" s="43">
        <v>1609203</v>
      </c>
      <c r="F54" s="43" t="s">
        <v>13</v>
      </c>
      <c r="G54" s="44">
        <v>20406607</v>
      </c>
      <c r="H54" s="43" t="s">
        <v>140</v>
      </c>
      <c r="I54" s="44">
        <v>1</v>
      </c>
      <c r="J54" s="45">
        <v>8</v>
      </c>
      <c r="K54" s="45">
        <v>8</v>
      </c>
    </row>
    <row r="55" spans="4:11">
      <c r="D55" s="42">
        <v>46177</v>
      </c>
      <c r="E55" s="43">
        <v>1609203</v>
      </c>
      <c r="F55" s="43" t="s">
        <v>13</v>
      </c>
      <c r="G55" s="44">
        <v>20405950</v>
      </c>
      <c r="H55" s="43" t="s">
        <v>141</v>
      </c>
      <c r="I55" s="44">
        <v>2</v>
      </c>
      <c r="J55" s="45">
        <v>8</v>
      </c>
      <c r="K55" s="45">
        <v>16</v>
      </c>
    </row>
    <row r="56" spans="4:11">
      <c r="D56" s="42">
        <v>46177</v>
      </c>
      <c r="E56" s="43">
        <v>1609203</v>
      </c>
      <c r="F56" s="43" t="s">
        <v>13</v>
      </c>
      <c r="G56" s="44">
        <v>20406611</v>
      </c>
      <c r="H56" s="43" t="s">
        <v>142</v>
      </c>
      <c r="I56" s="44">
        <v>2</v>
      </c>
      <c r="J56" s="45">
        <v>8</v>
      </c>
      <c r="K56" s="45">
        <v>16</v>
      </c>
    </row>
    <row r="57" spans="4:11">
      <c r="D57" s="42">
        <v>46177</v>
      </c>
      <c r="E57" s="43">
        <v>1609203</v>
      </c>
      <c r="F57" s="43" t="s">
        <v>13</v>
      </c>
      <c r="G57" s="44">
        <v>20406615</v>
      </c>
      <c r="H57" s="43" t="s">
        <v>143</v>
      </c>
      <c r="I57" s="44">
        <v>1</v>
      </c>
      <c r="J57" s="45">
        <v>8</v>
      </c>
      <c r="K57" s="45">
        <v>8</v>
      </c>
    </row>
    <row r="58" spans="4:11">
      <c r="D58" s="42">
        <v>46177</v>
      </c>
      <c r="E58" s="43">
        <v>1609203</v>
      </c>
      <c r="F58" s="43" t="s">
        <v>13</v>
      </c>
      <c r="G58" s="44">
        <v>20396337</v>
      </c>
      <c r="H58" s="43" t="s">
        <v>40</v>
      </c>
      <c r="I58" s="44">
        <v>1</v>
      </c>
      <c r="J58" s="45">
        <v>8</v>
      </c>
      <c r="K58" s="45">
        <v>8</v>
      </c>
    </row>
    <row r="59" spans="4:11">
      <c r="D59" s="42">
        <v>46177</v>
      </c>
      <c r="E59" s="43">
        <v>1609203</v>
      </c>
      <c r="F59" s="43" t="s">
        <v>13</v>
      </c>
      <c r="G59" s="44">
        <v>20406606</v>
      </c>
      <c r="H59" s="43" t="s">
        <v>144</v>
      </c>
      <c r="I59" s="44">
        <v>1</v>
      </c>
      <c r="J59" s="45">
        <v>8</v>
      </c>
      <c r="K59" s="45">
        <v>8</v>
      </c>
    </row>
    <row r="60" spans="4:11">
      <c r="D60" s="42">
        <v>46177</v>
      </c>
      <c r="E60" s="43">
        <v>1609203</v>
      </c>
      <c r="F60" s="43" t="s">
        <v>13</v>
      </c>
      <c r="G60" s="44">
        <v>20005929</v>
      </c>
      <c r="H60" s="43" t="s">
        <v>28</v>
      </c>
      <c r="I60" s="44">
        <v>1</v>
      </c>
      <c r="J60" s="45">
        <v>8</v>
      </c>
      <c r="K60" s="45">
        <v>8</v>
      </c>
    </row>
    <row r="61" spans="4:11">
      <c r="D61" s="42">
        <v>46177</v>
      </c>
      <c r="E61" s="43">
        <v>1609203</v>
      </c>
      <c r="F61" s="43" t="s">
        <v>13</v>
      </c>
      <c r="G61" s="44">
        <v>20394788</v>
      </c>
      <c r="H61" s="43" t="s">
        <v>113</v>
      </c>
      <c r="I61" s="44">
        <v>1</v>
      </c>
      <c r="J61" s="45">
        <v>8</v>
      </c>
      <c r="K61" s="45">
        <v>8</v>
      </c>
    </row>
    <row r="62" spans="4:11">
      <c r="D62" s="42">
        <v>46177</v>
      </c>
      <c r="E62" s="43">
        <v>1609203</v>
      </c>
      <c r="F62" s="43" t="s">
        <v>13</v>
      </c>
      <c r="G62" s="44">
        <v>20377357</v>
      </c>
      <c r="H62" s="43" t="s">
        <v>37</v>
      </c>
      <c r="I62" s="44">
        <v>1</v>
      </c>
      <c r="J62" s="45">
        <v>8</v>
      </c>
      <c r="K62" s="45">
        <v>8</v>
      </c>
    </row>
    <row r="63" spans="4:11">
      <c r="D63" s="42">
        <v>46177</v>
      </c>
      <c r="E63" s="43">
        <v>1609203</v>
      </c>
      <c r="F63" s="43" t="s">
        <v>13</v>
      </c>
      <c r="G63" s="44">
        <v>20405946</v>
      </c>
      <c r="H63" s="43" t="s">
        <v>145</v>
      </c>
      <c r="I63" s="44">
        <v>1</v>
      </c>
      <c r="J63" s="45">
        <v>11</v>
      </c>
      <c r="K63" s="45">
        <v>11</v>
      </c>
    </row>
    <row r="64" spans="4:11">
      <c r="D64" s="42">
        <v>46177</v>
      </c>
      <c r="E64" s="43">
        <v>1609203</v>
      </c>
      <c r="F64" s="43" t="s">
        <v>13</v>
      </c>
      <c r="G64" s="44">
        <v>20303839</v>
      </c>
      <c r="H64" s="43" t="s">
        <v>80</v>
      </c>
      <c r="I64" s="44">
        <v>2</v>
      </c>
      <c r="J64" s="45">
        <v>8</v>
      </c>
      <c r="K64" s="45">
        <v>16</v>
      </c>
    </row>
    <row r="65" spans="4:11">
      <c r="D65" s="42">
        <v>46177</v>
      </c>
      <c r="E65" s="43">
        <v>1609203</v>
      </c>
      <c r="F65" s="43" t="s">
        <v>13</v>
      </c>
      <c r="G65" s="44">
        <v>20377048</v>
      </c>
      <c r="H65" s="43" t="s">
        <v>130</v>
      </c>
      <c r="I65" s="44">
        <v>1</v>
      </c>
      <c r="J65" s="45">
        <v>8</v>
      </c>
      <c r="K65" s="45">
        <v>8</v>
      </c>
    </row>
    <row r="66" spans="4:11">
      <c r="D66" s="42">
        <v>46177</v>
      </c>
      <c r="E66" s="43">
        <v>1609203</v>
      </c>
      <c r="F66" s="43" t="s">
        <v>114</v>
      </c>
      <c r="G66" s="44">
        <v>20394771</v>
      </c>
      <c r="H66" s="43" t="s">
        <v>115</v>
      </c>
      <c r="I66" s="44">
        <v>1</v>
      </c>
      <c r="J66" s="45">
        <v>88</v>
      </c>
      <c r="K66" s="45">
        <v>88</v>
      </c>
    </row>
    <row r="67" spans="4:11">
      <c r="D67" s="42">
        <v>46179</v>
      </c>
      <c r="E67" s="43">
        <v>1609953</v>
      </c>
      <c r="F67" s="43" t="s">
        <v>13</v>
      </c>
      <c r="G67" s="44">
        <v>20394788</v>
      </c>
      <c r="H67" s="43" t="s">
        <v>113</v>
      </c>
      <c r="I67" s="44">
        <v>1</v>
      </c>
      <c r="J67" s="45">
        <v>8</v>
      </c>
      <c r="K67" s="45">
        <v>8</v>
      </c>
    </row>
    <row r="68" spans="4:11">
      <c r="D68" s="42">
        <v>46179</v>
      </c>
      <c r="E68" s="43">
        <v>1609953</v>
      </c>
      <c r="F68" s="43" t="s">
        <v>13</v>
      </c>
      <c r="G68" s="44">
        <v>20394764</v>
      </c>
      <c r="H68" s="43" t="s">
        <v>134</v>
      </c>
      <c r="I68" s="44">
        <v>1</v>
      </c>
      <c r="J68" s="45">
        <v>8</v>
      </c>
      <c r="K68" s="45">
        <v>8</v>
      </c>
    </row>
    <row r="69" spans="4:11">
      <c r="D69" s="42">
        <v>46179</v>
      </c>
      <c r="E69" s="43">
        <v>1609953</v>
      </c>
      <c r="F69" s="43" t="s">
        <v>114</v>
      </c>
      <c r="G69" s="44">
        <v>20394771</v>
      </c>
      <c r="H69" s="43" t="s">
        <v>115</v>
      </c>
      <c r="I69" s="44">
        <v>1</v>
      </c>
      <c r="J69" s="45">
        <v>88</v>
      </c>
      <c r="K69" s="45">
        <v>88</v>
      </c>
    </row>
    <row r="70" spans="4:11">
      <c r="D70" s="42">
        <v>46179</v>
      </c>
      <c r="E70" s="43">
        <v>1609953</v>
      </c>
      <c r="F70" s="43" t="s">
        <v>16</v>
      </c>
      <c r="G70" s="44">
        <v>20402571</v>
      </c>
      <c r="H70" s="43" t="s">
        <v>132</v>
      </c>
      <c r="I70" s="44">
        <v>1</v>
      </c>
      <c r="J70" s="45">
        <v>38.5</v>
      </c>
      <c r="K70" s="45">
        <v>38.5</v>
      </c>
    </row>
    <row r="71" spans="4:11">
      <c r="D71" s="42">
        <v>46179</v>
      </c>
      <c r="E71" s="43">
        <v>1609953</v>
      </c>
      <c r="F71" s="43" t="s">
        <v>16</v>
      </c>
      <c r="G71" s="44">
        <v>20428723</v>
      </c>
      <c r="H71" s="43" t="s">
        <v>146</v>
      </c>
      <c r="I71" s="44">
        <v>1</v>
      </c>
      <c r="J71" s="45">
        <v>126.5</v>
      </c>
      <c r="K71" s="45">
        <v>126.5</v>
      </c>
    </row>
    <row r="72" spans="4:11">
      <c r="D72" s="42">
        <v>46186</v>
      </c>
      <c r="E72" s="43">
        <v>1612003</v>
      </c>
      <c r="F72" s="43" t="s">
        <v>111</v>
      </c>
      <c r="G72" s="44">
        <v>20394765</v>
      </c>
      <c r="H72" s="43" t="s">
        <v>147</v>
      </c>
      <c r="I72" s="44">
        <v>1</v>
      </c>
      <c r="J72" s="45">
        <v>38.5</v>
      </c>
      <c r="K72" s="45">
        <v>38.5</v>
      </c>
    </row>
    <row r="73" spans="4:11">
      <c r="D73" s="42">
        <v>46186</v>
      </c>
      <c r="E73" s="43">
        <v>1612003</v>
      </c>
      <c r="F73" s="43" t="s">
        <v>13</v>
      </c>
      <c r="G73" s="44">
        <v>20394788</v>
      </c>
      <c r="H73" s="43" t="s">
        <v>113</v>
      </c>
      <c r="I73" s="44">
        <v>1</v>
      </c>
      <c r="J73" s="45">
        <v>8</v>
      </c>
      <c r="K73" s="45">
        <v>8</v>
      </c>
    </row>
    <row r="74" spans="4:11">
      <c r="D74" s="42">
        <v>46186</v>
      </c>
      <c r="E74" s="43">
        <v>1612003</v>
      </c>
      <c r="F74" s="43" t="s">
        <v>13</v>
      </c>
      <c r="G74" s="44">
        <v>20377357</v>
      </c>
      <c r="H74" s="43" t="s">
        <v>37</v>
      </c>
      <c r="I74" s="44">
        <v>1</v>
      </c>
      <c r="J74" s="45">
        <v>8</v>
      </c>
      <c r="K74" s="45">
        <v>8</v>
      </c>
    </row>
    <row r="75" spans="4:11">
      <c r="D75" s="42">
        <v>46186</v>
      </c>
      <c r="E75" s="43">
        <v>1612003</v>
      </c>
      <c r="F75" s="43" t="s">
        <v>114</v>
      </c>
      <c r="G75" s="44">
        <v>20394771</v>
      </c>
      <c r="H75" s="43" t="s">
        <v>115</v>
      </c>
      <c r="I75" s="44">
        <v>1</v>
      </c>
      <c r="J75" s="45">
        <v>88</v>
      </c>
      <c r="K75" s="45">
        <v>88</v>
      </c>
    </row>
    <row r="76" spans="4:11">
      <c r="D76" s="42">
        <v>46186</v>
      </c>
      <c r="E76" s="43">
        <v>1612003</v>
      </c>
      <c r="F76" s="43" t="s">
        <v>16</v>
      </c>
      <c r="G76" s="44">
        <v>20005838</v>
      </c>
      <c r="H76" s="43" t="s">
        <v>93</v>
      </c>
      <c r="I76" s="44">
        <v>1</v>
      </c>
      <c r="J76" s="45">
        <v>16.5</v>
      </c>
      <c r="K76" s="45">
        <v>16.5</v>
      </c>
    </row>
    <row r="77" spans="4:11">
      <c r="D77" s="42">
        <v>46186</v>
      </c>
      <c r="E77" s="43">
        <v>1612003</v>
      </c>
      <c r="F77" s="43" t="s">
        <v>16</v>
      </c>
      <c r="G77" s="44">
        <v>20394766</v>
      </c>
      <c r="H77" s="43" t="s">
        <v>148</v>
      </c>
      <c r="I77" s="44">
        <v>1</v>
      </c>
      <c r="J77" s="45">
        <v>16.5</v>
      </c>
      <c r="K77" s="45">
        <v>16.5</v>
      </c>
    </row>
  </sheetData>
  <autoFilter xmlns:etc="http://www.wps.cn/officeDocument/2017/etCustomData" ref="A7:K77" etc:filterBottomFollowUsedRange="0">
    <extLst/>
  </autoFilter>
  <mergeCells count="5">
    <mergeCell ref="D8:H8"/>
    <mergeCell ref="C7:C77"/>
    <mergeCell ref="B4:H5"/>
    <mergeCell ref="A7:B7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P18" sqref="P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149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1</v>
      </c>
      <c r="J8" s="41"/>
      <c r="K8" s="41">
        <v>11</v>
      </c>
    </row>
    <row r="9" spans="1:11">
      <c r="D9" s="42">
        <v>46184</v>
      </c>
      <c r="E9" s="43">
        <v>1611584</v>
      </c>
      <c r="F9" s="43" t="s">
        <v>13</v>
      </c>
      <c r="G9" s="44">
        <v>20008039</v>
      </c>
      <c r="H9" s="43" t="s">
        <v>150</v>
      </c>
      <c r="I9" s="44">
        <v>1</v>
      </c>
      <c r="J9" s="45">
        <v>11</v>
      </c>
      <c r="K9" s="45">
        <v>11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151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f>SUM(I9:I163)</f>
        <v>224</v>
      </c>
      <c r="J8" s="41"/>
      <c r="K8" s="41">
        <f>SUM(K9:K163)</f>
        <v>12812</v>
      </c>
    </row>
    <row r="9" spans="1:11">
      <c r="D9" s="42">
        <v>46159</v>
      </c>
      <c r="E9" s="43">
        <v>1603831</v>
      </c>
      <c r="F9" s="43" t="s">
        <v>22</v>
      </c>
      <c r="G9" s="44">
        <v>20388031</v>
      </c>
      <c r="H9" s="43" t="s">
        <v>152</v>
      </c>
      <c r="I9" s="44">
        <v>1</v>
      </c>
      <c r="J9" s="45">
        <v>176</v>
      </c>
      <c r="K9" s="45">
        <f t="shared" ref="K9:K18" si="0">J9*I9</f>
        <v>176</v>
      </c>
    </row>
    <row r="10" spans="1:11">
      <c r="D10" s="42">
        <v>46160</v>
      </c>
      <c r="E10" s="43">
        <v>1604061</v>
      </c>
      <c r="F10" s="43" t="s">
        <v>22</v>
      </c>
      <c r="G10" s="44">
        <v>20005228</v>
      </c>
      <c r="H10" s="43" t="s">
        <v>153</v>
      </c>
      <c r="I10" s="44">
        <v>2</v>
      </c>
      <c r="J10" s="45">
        <v>99</v>
      </c>
      <c r="K10" s="45">
        <f t="shared" si="0"/>
        <v>198</v>
      </c>
    </row>
    <row r="11" spans="1:11">
      <c r="D11" s="42">
        <v>46160</v>
      </c>
      <c r="E11" s="43">
        <v>1604061</v>
      </c>
      <c r="F11" s="43" t="s">
        <v>19</v>
      </c>
      <c r="G11" s="44">
        <v>20006043</v>
      </c>
      <c r="H11" s="43" t="s">
        <v>154</v>
      </c>
      <c r="I11" s="44">
        <v>1</v>
      </c>
      <c r="J11" s="45">
        <v>4</v>
      </c>
      <c r="K11" s="45">
        <f t="shared" si="0"/>
        <v>4</v>
      </c>
    </row>
    <row r="12" spans="1:11">
      <c r="D12" s="42">
        <v>46160</v>
      </c>
      <c r="E12" s="43">
        <v>1604161</v>
      </c>
      <c r="F12" s="43" t="s">
        <v>22</v>
      </c>
      <c r="G12" s="44">
        <v>20388031</v>
      </c>
      <c r="H12" s="43" t="s">
        <v>152</v>
      </c>
      <c r="I12" s="44">
        <v>1</v>
      </c>
      <c r="J12" s="45">
        <v>176</v>
      </c>
      <c r="K12" s="45">
        <f t="shared" si="0"/>
        <v>176</v>
      </c>
    </row>
    <row r="13" spans="1:11">
      <c r="D13" s="42">
        <v>46160</v>
      </c>
      <c r="E13" s="43">
        <v>1604161</v>
      </c>
      <c r="F13" s="43" t="s">
        <v>13</v>
      </c>
      <c r="G13" s="44">
        <v>20005842</v>
      </c>
      <c r="H13" s="43" t="s">
        <v>155</v>
      </c>
      <c r="I13" s="44">
        <v>4</v>
      </c>
      <c r="J13" s="45">
        <v>16.5</v>
      </c>
      <c r="K13" s="45">
        <f t="shared" si="0"/>
        <v>66</v>
      </c>
    </row>
    <row r="14" spans="1:11">
      <c r="D14" s="42">
        <v>46160</v>
      </c>
      <c r="E14" s="43">
        <v>1604161</v>
      </c>
      <c r="F14" s="43" t="s">
        <v>13</v>
      </c>
      <c r="G14" s="44">
        <v>20008940</v>
      </c>
      <c r="H14" s="43" t="s">
        <v>156</v>
      </c>
      <c r="I14" s="44">
        <v>1</v>
      </c>
      <c r="J14" s="45">
        <v>8</v>
      </c>
      <c r="K14" s="45">
        <f t="shared" si="0"/>
        <v>8</v>
      </c>
    </row>
    <row r="15" spans="1:11">
      <c r="D15" s="42">
        <v>46160</v>
      </c>
      <c r="E15" s="43">
        <v>1604161</v>
      </c>
      <c r="F15" s="43" t="s">
        <v>13</v>
      </c>
      <c r="G15" s="44">
        <v>20343931</v>
      </c>
      <c r="H15" s="43" t="s">
        <v>157</v>
      </c>
      <c r="I15" s="44">
        <v>1</v>
      </c>
      <c r="J15" s="45">
        <v>11</v>
      </c>
      <c r="K15" s="45">
        <f t="shared" si="0"/>
        <v>11</v>
      </c>
    </row>
    <row r="16" spans="1:11">
      <c r="D16" s="42">
        <v>46160</v>
      </c>
      <c r="E16" s="43">
        <v>1604161</v>
      </c>
      <c r="F16" s="43" t="s">
        <v>13</v>
      </c>
      <c r="G16" s="44">
        <v>20007530</v>
      </c>
      <c r="H16" s="43" t="s">
        <v>158</v>
      </c>
      <c r="I16" s="44">
        <v>1</v>
      </c>
      <c r="J16" s="45">
        <v>16.5</v>
      </c>
      <c r="K16" s="45">
        <f t="shared" si="0"/>
        <v>16.5</v>
      </c>
    </row>
    <row r="17" spans="4:11">
      <c r="D17" s="42">
        <v>46160</v>
      </c>
      <c r="E17" s="43">
        <v>1604161</v>
      </c>
      <c r="F17" s="43" t="s">
        <v>16</v>
      </c>
      <c r="G17" s="44">
        <v>20346748</v>
      </c>
      <c r="H17" s="43" t="s">
        <v>159</v>
      </c>
      <c r="I17" s="44">
        <v>1</v>
      </c>
      <c r="J17" s="45">
        <v>22</v>
      </c>
      <c r="K17" s="45">
        <f t="shared" si="0"/>
        <v>22</v>
      </c>
    </row>
    <row r="18" spans="4:11">
      <c r="D18" s="42">
        <v>46160</v>
      </c>
      <c r="E18" s="43">
        <v>1604161</v>
      </c>
      <c r="F18" s="43" t="s">
        <v>16</v>
      </c>
      <c r="G18" s="44">
        <v>20320898</v>
      </c>
      <c r="H18" s="43" t="s">
        <v>160</v>
      </c>
      <c r="I18" s="44">
        <v>1</v>
      </c>
      <c r="J18" s="45">
        <v>38.5</v>
      </c>
      <c r="K18" s="45">
        <f t="shared" si="0"/>
        <v>38.5</v>
      </c>
    </row>
    <row r="19" spans="4:11">
      <c r="D19" s="42">
        <v>46163</v>
      </c>
      <c r="E19" s="43">
        <v>1605190</v>
      </c>
      <c r="F19" s="43" t="s">
        <v>22</v>
      </c>
      <c r="G19" s="44">
        <v>20005228</v>
      </c>
      <c r="H19" s="43" t="s">
        <v>153</v>
      </c>
      <c r="I19" s="44">
        <v>3</v>
      </c>
      <c r="J19" s="45">
        <v>99</v>
      </c>
      <c r="K19" s="45">
        <f t="shared" ref="K19:K32" si="1">J19*I19</f>
        <v>297</v>
      </c>
    </row>
    <row r="20" spans="4:11">
      <c r="D20" s="42">
        <v>46163</v>
      </c>
      <c r="E20" s="43">
        <v>1605190</v>
      </c>
      <c r="F20" s="43" t="s">
        <v>13</v>
      </c>
      <c r="G20" s="44">
        <v>20005842</v>
      </c>
      <c r="H20" s="43" t="s">
        <v>155</v>
      </c>
      <c r="I20" s="44">
        <v>3</v>
      </c>
      <c r="J20" s="45">
        <v>16.5</v>
      </c>
      <c r="K20" s="45">
        <f t="shared" si="1"/>
        <v>49.5</v>
      </c>
    </row>
    <row r="21" spans="4:11">
      <c r="D21" s="42">
        <v>46163</v>
      </c>
      <c r="E21" s="43">
        <v>1605190</v>
      </c>
      <c r="F21" s="43" t="s">
        <v>13</v>
      </c>
      <c r="G21" s="44">
        <v>20006047</v>
      </c>
      <c r="H21" s="43" t="s">
        <v>26</v>
      </c>
      <c r="I21" s="44">
        <v>2</v>
      </c>
      <c r="J21" s="45">
        <v>8</v>
      </c>
      <c r="K21" s="45">
        <f t="shared" si="1"/>
        <v>16</v>
      </c>
    </row>
    <row r="22" spans="4:11">
      <c r="D22" s="42">
        <v>46163</v>
      </c>
      <c r="E22" s="43">
        <v>1605190</v>
      </c>
      <c r="F22" s="43" t="s">
        <v>16</v>
      </c>
      <c r="G22" s="44">
        <v>20346748</v>
      </c>
      <c r="H22" s="43" t="s">
        <v>159</v>
      </c>
      <c r="I22" s="44">
        <v>2</v>
      </c>
      <c r="J22" s="45">
        <v>22</v>
      </c>
      <c r="K22" s="45">
        <f t="shared" si="1"/>
        <v>44</v>
      </c>
    </row>
    <row r="23" spans="4:11">
      <c r="D23" s="42">
        <v>46163</v>
      </c>
      <c r="E23" s="43">
        <v>1605190</v>
      </c>
      <c r="F23" s="43" t="s">
        <v>16</v>
      </c>
      <c r="G23" s="44">
        <v>20320898</v>
      </c>
      <c r="H23" s="43" t="s">
        <v>161</v>
      </c>
      <c r="I23" s="44">
        <v>1</v>
      </c>
      <c r="J23" s="45">
        <v>33</v>
      </c>
      <c r="K23" s="45">
        <f t="shared" si="1"/>
        <v>33</v>
      </c>
    </row>
    <row r="24" spans="4:11">
      <c r="D24" s="42">
        <v>46163</v>
      </c>
      <c r="E24" s="43">
        <v>1605190</v>
      </c>
      <c r="F24" s="43" t="s">
        <v>19</v>
      </c>
      <c r="G24" s="44">
        <v>20417496</v>
      </c>
      <c r="H24" s="43" t="s">
        <v>162</v>
      </c>
      <c r="I24" s="44">
        <v>1</v>
      </c>
      <c r="J24" s="45">
        <v>4</v>
      </c>
      <c r="K24" s="45">
        <f t="shared" si="1"/>
        <v>4</v>
      </c>
    </row>
    <row r="25" spans="4:11">
      <c r="D25" s="42">
        <v>46163</v>
      </c>
      <c r="E25" s="43">
        <v>1605190</v>
      </c>
      <c r="F25" s="43" t="s">
        <v>19</v>
      </c>
      <c r="G25" s="44">
        <v>20361926</v>
      </c>
      <c r="H25" s="43" t="s">
        <v>163</v>
      </c>
      <c r="I25" s="44">
        <v>3</v>
      </c>
      <c r="J25" s="45">
        <v>4</v>
      </c>
      <c r="K25" s="45">
        <f t="shared" si="1"/>
        <v>12</v>
      </c>
    </row>
    <row r="26" spans="4:11">
      <c r="D26" s="42">
        <v>46163</v>
      </c>
      <c r="E26" s="43">
        <v>1605190</v>
      </c>
      <c r="F26" s="43" t="s">
        <v>19</v>
      </c>
      <c r="G26" s="44">
        <v>20005331</v>
      </c>
      <c r="H26" s="43" t="s">
        <v>164</v>
      </c>
      <c r="I26" s="44">
        <v>4</v>
      </c>
      <c r="J26" s="45">
        <v>2.5</v>
      </c>
      <c r="K26" s="45">
        <f t="shared" si="1"/>
        <v>10</v>
      </c>
    </row>
    <row r="27" spans="4:11">
      <c r="D27" s="42">
        <v>46164</v>
      </c>
      <c r="E27" s="43">
        <v>1605581</v>
      </c>
      <c r="F27" s="43" t="s">
        <v>165</v>
      </c>
      <c r="G27" s="44">
        <v>20336881</v>
      </c>
      <c r="H27" s="43" t="s">
        <v>166</v>
      </c>
      <c r="I27" s="44">
        <v>2</v>
      </c>
      <c r="J27" s="45">
        <v>28</v>
      </c>
      <c r="K27" s="45">
        <f t="shared" si="1"/>
        <v>56</v>
      </c>
    </row>
    <row r="28" spans="4:11">
      <c r="D28" s="42">
        <v>46164</v>
      </c>
      <c r="E28" s="43">
        <v>1605586</v>
      </c>
      <c r="F28" s="43" t="s">
        <v>22</v>
      </c>
      <c r="G28" s="44">
        <v>20005230</v>
      </c>
      <c r="H28" s="43" t="s">
        <v>167</v>
      </c>
      <c r="I28" s="44">
        <v>2</v>
      </c>
      <c r="J28" s="45">
        <v>313.5</v>
      </c>
      <c r="K28" s="45">
        <f t="shared" si="1"/>
        <v>627</v>
      </c>
    </row>
    <row r="29" spans="4:11">
      <c r="D29" s="42">
        <v>46164</v>
      </c>
      <c r="E29" s="43">
        <v>1605586</v>
      </c>
      <c r="F29" s="43" t="s">
        <v>16</v>
      </c>
      <c r="G29" s="44">
        <v>20005327</v>
      </c>
      <c r="H29" s="43" t="s">
        <v>168</v>
      </c>
      <c r="I29" s="44">
        <v>1</v>
      </c>
      <c r="J29" s="45">
        <v>22</v>
      </c>
      <c r="K29" s="45">
        <f t="shared" si="1"/>
        <v>22</v>
      </c>
    </row>
    <row r="30" spans="4:11">
      <c r="D30" s="42">
        <v>46164</v>
      </c>
      <c r="E30" s="43">
        <v>1605586</v>
      </c>
      <c r="F30" s="43" t="s">
        <v>16</v>
      </c>
      <c r="G30" s="44">
        <v>20005206</v>
      </c>
      <c r="H30" s="43" t="s">
        <v>169</v>
      </c>
      <c r="I30" s="44">
        <v>1</v>
      </c>
      <c r="J30" s="45">
        <v>44</v>
      </c>
      <c r="K30" s="45">
        <f t="shared" si="1"/>
        <v>44</v>
      </c>
    </row>
    <row r="31" spans="4:11">
      <c r="D31" s="42">
        <v>46164</v>
      </c>
      <c r="E31" s="43">
        <v>1605586</v>
      </c>
      <c r="F31" s="43" t="s">
        <v>16</v>
      </c>
      <c r="G31" s="44">
        <v>20009083</v>
      </c>
      <c r="H31" s="43" t="s">
        <v>170</v>
      </c>
      <c r="I31" s="44">
        <v>1</v>
      </c>
      <c r="J31" s="45">
        <v>16.5</v>
      </c>
      <c r="K31" s="45">
        <f t="shared" si="1"/>
        <v>16.5</v>
      </c>
    </row>
    <row r="32" spans="4:11">
      <c r="D32" s="42">
        <v>46164</v>
      </c>
      <c r="E32" s="43">
        <v>1605586</v>
      </c>
      <c r="F32" s="43" t="s">
        <v>16</v>
      </c>
      <c r="G32" s="44">
        <v>20005837</v>
      </c>
      <c r="H32" s="43" t="s">
        <v>171</v>
      </c>
      <c r="I32" s="44">
        <v>1</v>
      </c>
      <c r="J32" s="45">
        <v>16.5</v>
      </c>
      <c r="K32" s="45">
        <f t="shared" si="1"/>
        <v>16.5</v>
      </c>
    </row>
    <row r="33" spans="4:11">
      <c r="D33" s="42">
        <v>46164</v>
      </c>
      <c r="E33" s="43">
        <v>1605623</v>
      </c>
      <c r="F33" s="43" t="s">
        <v>13</v>
      </c>
      <c r="G33" s="44">
        <v>20314569</v>
      </c>
      <c r="H33" s="43" t="s">
        <v>172</v>
      </c>
      <c r="I33" s="44">
        <v>1</v>
      </c>
      <c r="J33" s="45">
        <v>16.5</v>
      </c>
      <c r="K33" s="45">
        <f t="shared" ref="K33:K64" si="2">J33*I33</f>
        <v>16.5</v>
      </c>
    </row>
    <row r="34" spans="4:11">
      <c r="D34" s="42">
        <v>46164</v>
      </c>
      <c r="E34" s="43">
        <v>1605623</v>
      </c>
      <c r="F34" s="43" t="s">
        <v>13</v>
      </c>
      <c r="G34" s="44">
        <v>20005842</v>
      </c>
      <c r="H34" s="43" t="s">
        <v>155</v>
      </c>
      <c r="I34" s="44">
        <v>2</v>
      </c>
      <c r="J34" s="45">
        <v>16.5</v>
      </c>
      <c r="K34" s="45">
        <f t="shared" si="2"/>
        <v>33</v>
      </c>
    </row>
    <row r="35" spans="4:11">
      <c r="D35" s="42">
        <v>46164</v>
      </c>
      <c r="E35" s="43">
        <v>1605623</v>
      </c>
      <c r="F35" s="43" t="s">
        <v>13</v>
      </c>
      <c r="G35" s="44">
        <v>20423771</v>
      </c>
      <c r="H35" s="43" t="s">
        <v>173</v>
      </c>
      <c r="I35" s="44">
        <v>1</v>
      </c>
      <c r="J35" s="45">
        <v>16.5</v>
      </c>
      <c r="K35" s="45">
        <f t="shared" si="2"/>
        <v>16.5</v>
      </c>
    </row>
    <row r="36" spans="4:11">
      <c r="D36" s="42">
        <v>46164</v>
      </c>
      <c r="E36" s="43">
        <v>1605623</v>
      </c>
      <c r="F36" s="43" t="s">
        <v>16</v>
      </c>
      <c r="G36" s="44">
        <v>20005222</v>
      </c>
      <c r="H36" s="43" t="s">
        <v>174</v>
      </c>
      <c r="I36" s="44">
        <v>1</v>
      </c>
      <c r="J36" s="45">
        <v>16.5</v>
      </c>
      <c r="K36" s="45">
        <f t="shared" si="2"/>
        <v>16.5</v>
      </c>
    </row>
    <row r="37" spans="4:11">
      <c r="D37" s="42">
        <v>46164</v>
      </c>
      <c r="E37" s="43">
        <v>1605623</v>
      </c>
      <c r="F37" s="43" t="s">
        <v>16</v>
      </c>
      <c r="G37" s="44">
        <v>20005226</v>
      </c>
      <c r="H37" s="43" t="s">
        <v>175</v>
      </c>
      <c r="I37" s="44">
        <v>1</v>
      </c>
      <c r="J37" s="45">
        <v>27.5</v>
      </c>
      <c r="K37" s="45">
        <f t="shared" si="2"/>
        <v>27.5</v>
      </c>
    </row>
    <row r="38" spans="4:11">
      <c r="D38" s="42">
        <v>46164</v>
      </c>
      <c r="E38" s="43">
        <v>1605623</v>
      </c>
      <c r="F38" s="43" t="s">
        <v>19</v>
      </c>
      <c r="G38" s="44">
        <v>20006043</v>
      </c>
      <c r="H38" s="43" t="s">
        <v>154</v>
      </c>
      <c r="I38" s="44">
        <v>2</v>
      </c>
      <c r="J38" s="45">
        <v>4</v>
      </c>
      <c r="K38" s="45">
        <f t="shared" si="2"/>
        <v>8</v>
      </c>
    </row>
    <row r="39" spans="4:11">
      <c r="D39" s="42">
        <v>46167</v>
      </c>
      <c r="E39" s="43">
        <v>1606123</v>
      </c>
      <c r="F39" s="43" t="s">
        <v>22</v>
      </c>
      <c r="G39" s="44">
        <v>20005228</v>
      </c>
      <c r="H39" s="43" t="s">
        <v>153</v>
      </c>
      <c r="I39" s="44">
        <v>2</v>
      </c>
      <c r="J39" s="45">
        <v>99</v>
      </c>
      <c r="K39" s="45">
        <f t="shared" si="2"/>
        <v>198</v>
      </c>
    </row>
    <row r="40" spans="4:11">
      <c r="D40" s="42">
        <v>46167</v>
      </c>
      <c r="E40" s="43">
        <v>1606123</v>
      </c>
      <c r="F40" s="43" t="s">
        <v>13</v>
      </c>
      <c r="G40" s="44">
        <v>20005842</v>
      </c>
      <c r="H40" s="43" t="s">
        <v>155</v>
      </c>
      <c r="I40" s="44">
        <v>1</v>
      </c>
      <c r="J40" s="45">
        <v>16.5</v>
      </c>
      <c r="K40" s="45">
        <f t="shared" si="2"/>
        <v>16.5</v>
      </c>
    </row>
    <row r="41" spans="4:11">
      <c r="D41" s="42">
        <v>46167</v>
      </c>
      <c r="E41" s="43">
        <v>1606123</v>
      </c>
      <c r="F41" s="43" t="s">
        <v>13</v>
      </c>
      <c r="G41" s="44">
        <v>20008940</v>
      </c>
      <c r="H41" s="43" t="s">
        <v>156</v>
      </c>
      <c r="I41" s="44">
        <v>1</v>
      </c>
      <c r="J41" s="45">
        <v>8</v>
      </c>
      <c r="K41" s="45">
        <f t="shared" si="2"/>
        <v>8</v>
      </c>
    </row>
    <row r="42" spans="4:11">
      <c r="D42" s="42">
        <v>46167</v>
      </c>
      <c r="E42" s="43">
        <v>1606123</v>
      </c>
      <c r="F42" s="43" t="s">
        <v>13</v>
      </c>
      <c r="G42" s="44">
        <v>20007918</v>
      </c>
      <c r="H42" s="43" t="s">
        <v>176</v>
      </c>
      <c r="I42" s="44">
        <v>1</v>
      </c>
      <c r="J42" s="45">
        <v>16.5</v>
      </c>
      <c r="K42" s="45">
        <f t="shared" si="2"/>
        <v>16.5</v>
      </c>
    </row>
    <row r="43" spans="4:11">
      <c r="D43" s="42">
        <v>46167</v>
      </c>
      <c r="E43" s="43">
        <v>1606123</v>
      </c>
      <c r="F43" s="43" t="s">
        <v>13</v>
      </c>
      <c r="G43" s="44">
        <v>20008048</v>
      </c>
      <c r="H43" s="43" t="s">
        <v>177</v>
      </c>
      <c r="I43" s="44">
        <v>1</v>
      </c>
      <c r="J43" s="45">
        <v>16.5</v>
      </c>
      <c r="K43" s="45">
        <f t="shared" si="2"/>
        <v>16.5</v>
      </c>
    </row>
    <row r="44" spans="4:11">
      <c r="D44" s="42">
        <v>46167</v>
      </c>
      <c r="E44" s="43">
        <v>1606123</v>
      </c>
      <c r="F44" s="43" t="s">
        <v>13</v>
      </c>
      <c r="G44" s="44">
        <v>20006047</v>
      </c>
      <c r="H44" s="43" t="s">
        <v>26</v>
      </c>
      <c r="I44" s="44">
        <v>1</v>
      </c>
      <c r="J44" s="45">
        <v>8</v>
      </c>
      <c r="K44" s="45">
        <f t="shared" si="2"/>
        <v>8</v>
      </c>
    </row>
    <row r="45" spans="4:11">
      <c r="D45" s="42">
        <v>46167</v>
      </c>
      <c r="E45" s="43">
        <v>1606123</v>
      </c>
      <c r="F45" s="43" t="s">
        <v>16</v>
      </c>
      <c r="G45" s="44">
        <v>20005839</v>
      </c>
      <c r="H45" s="43" t="s">
        <v>178</v>
      </c>
      <c r="I45" s="44">
        <v>1</v>
      </c>
      <c r="J45" s="45">
        <v>16.5</v>
      </c>
      <c r="K45" s="45">
        <f t="shared" si="2"/>
        <v>16.5</v>
      </c>
    </row>
    <row r="46" spans="4:11">
      <c r="D46" s="42">
        <v>46167</v>
      </c>
      <c r="E46" s="43">
        <v>1606123</v>
      </c>
      <c r="F46" s="43" t="s">
        <v>16</v>
      </c>
      <c r="G46" s="44">
        <v>20005318</v>
      </c>
      <c r="H46" s="43" t="s">
        <v>179</v>
      </c>
      <c r="I46" s="44">
        <v>1</v>
      </c>
      <c r="J46" s="45">
        <v>16.5</v>
      </c>
      <c r="K46" s="45">
        <f t="shared" si="2"/>
        <v>16.5</v>
      </c>
    </row>
    <row r="47" spans="4:11">
      <c r="D47" s="42">
        <v>46167</v>
      </c>
      <c r="E47" s="43">
        <v>1606123</v>
      </c>
      <c r="F47" s="43" t="s">
        <v>16</v>
      </c>
      <c r="G47" s="44">
        <v>20007910</v>
      </c>
      <c r="H47" s="43" t="s">
        <v>180</v>
      </c>
      <c r="I47" s="44">
        <v>1</v>
      </c>
      <c r="J47" s="45">
        <v>38.5</v>
      </c>
      <c r="K47" s="45">
        <f t="shared" si="2"/>
        <v>38.5</v>
      </c>
    </row>
    <row r="48" spans="4:11">
      <c r="D48" s="42">
        <v>46167</v>
      </c>
      <c r="E48" s="43">
        <v>1606123</v>
      </c>
      <c r="F48" s="43" t="s">
        <v>16</v>
      </c>
      <c r="G48" s="44">
        <v>20346748</v>
      </c>
      <c r="H48" s="43" t="s">
        <v>159</v>
      </c>
      <c r="I48" s="44">
        <v>1</v>
      </c>
      <c r="J48" s="45">
        <v>22</v>
      </c>
      <c r="K48" s="45">
        <f t="shared" si="2"/>
        <v>22</v>
      </c>
    </row>
    <row r="49" spans="4:11">
      <c r="D49" s="42">
        <v>46167</v>
      </c>
      <c r="E49" s="43">
        <v>1606123</v>
      </c>
      <c r="F49" s="43" t="s">
        <v>16</v>
      </c>
      <c r="G49" s="44">
        <v>20320898</v>
      </c>
      <c r="H49" s="43" t="s">
        <v>160</v>
      </c>
      <c r="I49" s="44">
        <v>1</v>
      </c>
      <c r="J49" s="45">
        <v>38.5</v>
      </c>
      <c r="K49" s="45">
        <f t="shared" si="2"/>
        <v>38.5</v>
      </c>
    </row>
    <row r="50" spans="4:11">
      <c r="D50" s="42">
        <v>46167</v>
      </c>
      <c r="E50" s="43">
        <v>1606123</v>
      </c>
      <c r="F50" s="43" t="s">
        <v>16</v>
      </c>
      <c r="G50" s="44">
        <v>20007909</v>
      </c>
      <c r="H50" s="43" t="s">
        <v>181</v>
      </c>
      <c r="I50" s="44">
        <v>1</v>
      </c>
      <c r="J50" s="45">
        <v>33</v>
      </c>
      <c r="K50" s="45">
        <f t="shared" si="2"/>
        <v>33</v>
      </c>
    </row>
    <row r="51" spans="4:11">
      <c r="D51" s="42">
        <v>46167</v>
      </c>
      <c r="E51" s="43">
        <v>1606123</v>
      </c>
      <c r="F51" s="43" t="s">
        <v>16</v>
      </c>
      <c r="G51" s="44">
        <v>20007932</v>
      </c>
      <c r="H51" s="43" t="s">
        <v>182</v>
      </c>
      <c r="I51" s="44">
        <v>1</v>
      </c>
      <c r="J51" s="45">
        <v>44</v>
      </c>
      <c r="K51" s="45">
        <f t="shared" si="2"/>
        <v>44</v>
      </c>
    </row>
    <row r="52" spans="4:11">
      <c r="D52" s="42">
        <v>46167</v>
      </c>
      <c r="E52" s="43">
        <v>1606123</v>
      </c>
      <c r="F52" s="43" t="s">
        <v>16</v>
      </c>
      <c r="G52" s="44">
        <v>20008050</v>
      </c>
      <c r="H52" s="43" t="s">
        <v>183</v>
      </c>
      <c r="I52" s="44">
        <v>1</v>
      </c>
      <c r="J52" s="45">
        <v>16.5</v>
      </c>
      <c r="K52" s="45">
        <f t="shared" si="2"/>
        <v>16.5</v>
      </c>
    </row>
    <row r="53" spans="4:11">
      <c r="D53" s="42">
        <v>46167</v>
      </c>
      <c r="E53" s="43">
        <v>1606123</v>
      </c>
      <c r="F53" s="43" t="s">
        <v>16</v>
      </c>
      <c r="G53" s="44">
        <v>20007908</v>
      </c>
      <c r="H53" s="43" t="s">
        <v>184</v>
      </c>
      <c r="I53" s="44">
        <v>1</v>
      </c>
      <c r="J53" s="45">
        <v>374</v>
      </c>
      <c r="K53" s="45">
        <f t="shared" si="2"/>
        <v>374</v>
      </c>
    </row>
    <row r="54" spans="4:11">
      <c r="D54" s="42">
        <v>46168</v>
      </c>
      <c r="E54" s="43">
        <v>1606303</v>
      </c>
      <c r="F54" s="43" t="s">
        <v>165</v>
      </c>
      <c r="G54" s="44">
        <v>20361625</v>
      </c>
      <c r="H54" s="43" t="s">
        <v>185</v>
      </c>
      <c r="I54" s="44">
        <v>2</v>
      </c>
      <c r="J54" s="45">
        <v>44</v>
      </c>
      <c r="K54" s="45">
        <f t="shared" si="2"/>
        <v>88</v>
      </c>
    </row>
    <row r="55" spans="4:11">
      <c r="D55" s="42">
        <v>46169</v>
      </c>
      <c r="E55" s="43">
        <v>1606889</v>
      </c>
      <c r="F55" s="43" t="s">
        <v>22</v>
      </c>
      <c r="G55" s="44">
        <v>20005230</v>
      </c>
      <c r="H55" s="43" t="s">
        <v>167</v>
      </c>
      <c r="I55" s="44">
        <v>2</v>
      </c>
      <c r="J55" s="45">
        <v>313.5</v>
      </c>
      <c r="K55" s="45">
        <f t="shared" si="2"/>
        <v>627</v>
      </c>
    </row>
    <row r="56" spans="4:11">
      <c r="D56" s="42">
        <v>46169</v>
      </c>
      <c r="E56" s="43">
        <v>1606889</v>
      </c>
      <c r="F56" s="43" t="s">
        <v>13</v>
      </c>
      <c r="G56" s="44">
        <v>20008027</v>
      </c>
      <c r="H56" s="43" t="s">
        <v>186</v>
      </c>
      <c r="I56" s="44">
        <v>1</v>
      </c>
      <c r="J56" s="45">
        <v>22</v>
      </c>
      <c r="K56" s="45">
        <f t="shared" si="2"/>
        <v>22</v>
      </c>
    </row>
    <row r="57" spans="4:11">
      <c r="D57" s="42">
        <v>46169</v>
      </c>
      <c r="E57" s="43">
        <v>1606889</v>
      </c>
      <c r="F57" s="43" t="s">
        <v>13</v>
      </c>
      <c r="G57" s="44">
        <v>20005842</v>
      </c>
      <c r="H57" s="43" t="s">
        <v>155</v>
      </c>
      <c r="I57" s="44">
        <v>2</v>
      </c>
      <c r="J57" s="45">
        <v>16.5</v>
      </c>
      <c r="K57" s="45">
        <f t="shared" si="2"/>
        <v>33</v>
      </c>
    </row>
    <row r="58" spans="4:11">
      <c r="D58" s="42">
        <v>46169</v>
      </c>
      <c r="E58" s="43">
        <v>1606889</v>
      </c>
      <c r="F58" s="43" t="s">
        <v>13</v>
      </c>
      <c r="G58" s="44">
        <v>20324084</v>
      </c>
      <c r="H58" s="43" t="s">
        <v>24</v>
      </c>
      <c r="I58" s="44">
        <v>4</v>
      </c>
      <c r="J58" s="45">
        <v>8</v>
      </c>
      <c r="K58" s="45">
        <f t="shared" si="2"/>
        <v>32</v>
      </c>
    </row>
    <row r="59" spans="4:11">
      <c r="D59" s="42">
        <v>46169</v>
      </c>
      <c r="E59" s="43">
        <v>1606889</v>
      </c>
      <c r="F59" s="43" t="s">
        <v>13</v>
      </c>
      <c r="G59" s="44">
        <v>20408272</v>
      </c>
      <c r="H59" s="43" t="s">
        <v>187</v>
      </c>
      <c r="I59" s="44">
        <v>1</v>
      </c>
      <c r="J59" s="45">
        <v>16.5</v>
      </c>
      <c r="K59" s="45">
        <f t="shared" si="2"/>
        <v>16.5</v>
      </c>
    </row>
    <row r="60" spans="4:11">
      <c r="D60" s="42">
        <v>46169</v>
      </c>
      <c r="E60" s="43">
        <v>1606889</v>
      </c>
      <c r="F60" s="43" t="s">
        <v>16</v>
      </c>
      <c r="G60" s="44">
        <v>20005224</v>
      </c>
      <c r="H60" s="43" t="s">
        <v>188</v>
      </c>
      <c r="I60" s="44">
        <v>1</v>
      </c>
      <c r="J60" s="45">
        <v>16.5</v>
      </c>
      <c r="K60" s="45">
        <f t="shared" si="2"/>
        <v>16.5</v>
      </c>
    </row>
    <row r="61" spans="4:11">
      <c r="D61" s="42">
        <v>46169</v>
      </c>
      <c r="E61" s="43">
        <v>1606889</v>
      </c>
      <c r="F61" s="43" t="s">
        <v>16</v>
      </c>
      <c r="G61" s="44">
        <v>20005222</v>
      </c>
      <c r="H61" s="43" t="s">
        <v>174</v>
      </c>
      <c r="I61" s="44">
        <v>2</v>
      </c>
      <c r="J61" s="45">
        <v>16.5</v>
      </c>
      <c r="K61" s="45">
        <f t="shared" si="2"/>
        <v>33</v>
      </c>
    </row>
    <row r="62" spans="4:11">
      <c r="D62" s="42">
        <v>46169</v>
      </c>
      <c r="E62" s="43">
        <v>1606889</v>
      </c>
      <c r="F62" s="43" t="s">
        <v>16</v>
      </c>
      <c r="G62" s="44">
        <v>20005226</v>
      </c>
      <c r="H62" s="43" t="s">
        <v>175</v>
      </c>
      <c r="I62" s="44">
        <v>2</v>
      </c>
      <c r="J62" s="45">
        <v>27.5</v>
      </c>
      <c r="K62" s="45">
        <f t="shared" si="2"/>
        <v>55</v>
      </c>
    </row>
    <row r="63" spans="4:11">
      <c r="D63" s="42">
        <v>46169</v>
      </c>
      <c r="E63" s="43">
        <v>1606889</v>
      </c>
      <c r="F63" s="43" t="s">
        <v>16</v>
      </c>
      <c r="G63" s="44">
        <v>20005376</v>
      </c>
      <c r="H63" s="43" t="s">
        <v>189</v>
      </c>
      <c r="I63" s="44">
        <v>1</v>
      </c>
      <c r="J63" s="45">
        <v>60.5</v>
      </c>
      <c r="K63" s="45">
        <f t="shared" si="2"/>
        <v>60.5</v>
      </c>
    </row>
    <row r="64" spans="4:11">
      <c r="D64" s="42">
        <v>46169</v>
      </c>
      <c r="E64" s="43">
        <v>1606889</v>
      </c>
      <c r="F64" s="43" t="s">
        <v>19</v>
      </c>
      <c r="G64" s="44">
        <v>20417496</v>
      </c>
      <c r="H64" s="43" t="s">
        <v>162</v>
      </c>
      <c r="I64" s="44">
        <v>2</v>
      </c>
      <c r="J64" s="45">
        <v>4</v>
      </c>
      <c r="K64" s="45">
        <f t="shared" si="2"/>
        <v>8</v>
      </c>
    </row>
    <row r="65" spans="4:11">
      <c r="D65" s="42">
        <v>46169</v>
      </c>
      <c r="E65" s="43">
        <v>1606889</v>
      </c>
      <c r="F65" s="43" t="s">
        <v>19</v>
      </c>
      <c r="G65" s="44">
        <v>20006044</v>
      </c>
      <c r="H65" s="43" t="s">
        <v>190</v>
      </c>
      <c r="I65" s="44">
        <v>1</v>
      </c>
      <c r="J65" s="45">
        <v>2.5</v>
      </c>
      <c r="K65" s="45">
        <f t="shared" ref="K65:K128" si="3">J65*I65</f>
        <v>2.5</v>
      </c>
    </row>
    <row r="66" spans="4:11">
      <c r="D66" s="42">
        <v>46170</v>
      </c>
      <c r="E66" s="43">
        <v>1607019</v>
      </c>
      <c r="F66" s="43" t="s">
        <v>16</v>
      </c>
      <c r="G66" s="44">
        <v>20007911</v>
      </c>
      <c r="H66" s="43" t="s">
        <v>191</v>
      </c>
      <c r="I66" s="44">
        <v>1</v>
      </c>
      <c r="J66" s="45">
        <v>38.5</v>
      </c>
      <c r="K66" s="45">
        <f t="shared" si="3"/>
        <v>38.5</v>
      </c>
    </row>
    <row r="67" spans="4:11">
      <c r="D67" s="42">
        <v>46170</v>
      </c>
      <c r="E67" s="43">
        <v>1607144</v>
      </c>
      <c r="F67" s="43" t="s">
        <v>165</v>
      </c>
      <c r="G67" s="44">
        <v>20417853</v>
      </c>
      <c r="H67" s="43" t="s">
        <v>192</v>
      </c>
      <c r="I67" s="44">
        <v>1</v>
      </c>
      <c r="J67" s="45">
        <v>44</v>
      </c>
      <c r="K67" s="45">
        <f t="shared" si="3"/>
        <v>44</v>
      </c>
    </row>
    <row r="68" spans="4:11">
      <c r="D68" s="42">
        <v>46170</v>
      </c>
      <c r="E68" s="43">
        <v>1607144</v>
      </c>
      <c r="F68" s="43" t="s">
        <v>193</v>
      </c>
      <c r="G68" s="44">
        <v>20392610</v>
      </c>
      <c r="H68" s="43" t="s">
        <v>194</v>
      </c>
      <c r="I68" s="44">
        <v>1</v>
      </c>
      <c r="J68" s="45">
        <v>165</v>
      </c>
      <c r="K68" s="45">
        <f t="shared" si="3"/>
        <v>165</v>
      </c>
    </row>
    <row r="69" spans="4:11">
      <c r="D69" s="42">
        <v>46170</v>
      </c>
      <c r="E69" s="43">
        <v>1607144</v>
      </c>
      <c r="F69" s="43" t="s">
        <v>195</v>
      </c>
      <c r="G69" s="44">
        <v>20392576</v>
      </c>
      <c r="H69" s="43" t="s">
        <v>196</v>
      </c>
      <c r="I69" s="44">
        <v>1</v>
      </c>
      <c r="J69" s="45">
        <v>28</v>
      </c>
      <c r="K69" s="45">
        <f t="shared" si="3"/>
        <v>28</v>
      </c>
    </row>
    <row r="70" spans="4:11">
      <c r="D70" s="42">
        <v>46170</v>
      </c>
      <c r="E70" s="43">
        <v>1607258</v>
      </c>
      <c r="F70" s="43" t="s">
        <v>22</v>
      </c>
      <c r="G70" s="44">
        <v>20388031</v>
      </c>
      <c r="H70" s="43" t="s">
        <v>152</v>
      </c>
      <c r="I70" s="44">
        <v>1</v>
      </c>
      <c r="J70" s="45">
        <v>176</v>
      </c>
      <c r="K70" s="45">
        <f t="shared" si="3"/>
        <v>176</v>
      </c>
    </row>
    <row r="71" spans="4:11">
      <c r="D71" s="42">
        <v>46170</v>
      </c>
      <c r="E71" s="43">
        <v>1607258</v>
      </c>
      <c r="F71" s="43" t="s">
        <v>13</v>
      </c>
      <c r="G71" s="44">
        <v>20005842</v>
      </c>
      <c r="H71" s="43" t="s">
        <v>155</v>
      </c>
      <c r="I71" s="44">
        <v>1</v>
      </c>
      <c r="J71" s="45">
        <v>16.5</v>
      </c>
      <c r="K71" s="45">
        <f t="shared" si="3"/>
        <v>16.5</v>
      </c>
    </row>
    <row r="72" spans="4:11">
      <c r="D72" s="42">
        <v>46171</v>
      </c>
      <c r="E72" s="43">
        <v>1607610</v>
      </c>
      <c r="F72" s="43" t="s">
        <v>22</v>
      </c>
      <c r="G72" s="44">
        <v>20005227</v>
      </c>
      <c r="H72" s="43" t="s">
        <v>197</v>
      </c>
      <c r="I72" s="44">
        <v>1</v>
      </c>
      <c r="J72" s="45">
        <v>82.5</v>
      </c>
      <c r="K72" s="45">
        <f t="shared" si="3"/>
        <v>82.5</v>
      </c>
    </row>
    <row r="73" spans="4:11">
      <c r="D73" s="42">
        <v>46171</v>
      </c>
      <c r="E73" s="43">
        <v>1607610</v>
      </c>
      <c r="F73" s="43" t="s">
        <v>22</v>
      </c>
      <c r="G73" s="44">
        <v>20005404</v>
      </c>
      <c r="H73" s="43" t="s">
        <v>198</v>
      </c>
      <c r="I73" s="44">
        <v>1</v>
      </c>
      <c r="J73" s="45">
        <v>308</v>
      </c>
      <c r="K73" s="45">
        <f t="shared" si="3"/>
        <v>308</v>
      </c>
    </row>
    <row r="74" spans="4:11">
      <c r="D74" s="42">
        <v>46171</v>
      </c>
      <c r="E74" s="43">
        <v>1607610</v>
      </c>
      <c r="F74" s="43" t="s">
        <v>22</v>
      </c>
      <c r="G74" s="44">
        <v>20005228</v>
      </c>
      <c r="H74" s="43" t="s">
        <v>153</v>
      </c>
      <c r="I74" s="44">
        <v>2</v>
      </c>
      <c r="J74" s="45">
        <v>99</v>
      </c>
      <c r="K74" s="45">
        <f t="shared" si="3"/>
        <v>198</v>
      </c>
    </row>
    <row r="75" spans="4:11">
      <c r="D75" s="42">
        <v>46171</v>
      </c>
      <c r="E75" s="43">
        <v>1607610</v>
      </c>
      <c r="F75" s="43" t="s">
        <v>22</v>
      </c>
      <c r="G75" s="44">
        <v>20005230</v>
      </c>
      <c r="H75" s="43" t="s">
        <v>167</v>
      </c>
      <c r="I75" s="44">
        <v>3</v>
      </c>
      <c r="J75" s="45">
        <v>313.5</v>
      </c>
      <c r="K75" s="45">
        <f t="shared" si="3"/>
        <v>940.5</v>
      </c>
    </row>
    <row r="76" spans="4:11">
      <c r="D76" s="42">
        <v>46171</v>
      </c>
      <c r="E76" s="43">
        <v>1607610</v>
      </c>
      <c r="F76" s="43" t="s">
        <v>13</v>
      </c>
      <c r="G76" s="44">
        <v>20005842</v>
      </c>
      <c r="H76" s="43" t="s">
        <v>155</v>
      </c>
      <c r="I76" s="44">
        <v>2</v>
      </c>
      <c r="J76" s="45">
        <v>16.5</v>
      </c>
      <c r="K76" s="45">
        <f t="shared" si="3"/>
        <v>33</v>
      </c>
    </row>
    <row r="77" spans="4:11">
      <c r="D77" s="42">
        <v>46171</v>
      </c>
      <c r="E77" s="43">
        <v>1607610</v>
      </c>
      <c r="F77" s="43" t="s">
        <v>13</v>
      </c>
      <c r="G77" s="44">
        <v>20312293</v>
      </c>
      <c r="H77" s="43" t="s">
        <v>199</v>
      </c>
      <c r="I77" s="44">
        <v>1</v>
      </c>
      <c r="J77" s="45">
        <v>13</v>
      </c>
      <c r="K77" s="45">
        <f t="shared" si="3"/>
        <v>13</v>
      </c>
    </row>
    <row r="78" spans="4:11">
      <c r="D78" s="42">
        <v>46171</v>
      </c>
      <c r="E78" s="43">
        <v>1607610</v>
      </c>
      <c r="F78" s="43" t="s">
        <v>13</v>
      </c>
      <c r="G78" s="44">
        <v>20011348</v>
      </c>
      <c r="H78" s="43" t="s">
        <v>200</v>
      </c>
      <c r="I78" s="44">
        <v>3</v>
      </c>
      <c r="J78" s="45">
        <v>8</v>
      </c>
      <c r="K78" s="45">
        <f t="shared" si="3"/>
        <v>24</v>
      </c>
    </row>
    <row r="79" spans="4:11">
      <c r="D79" s="42">
        <v>46171</v>
      </c>
      <c r="E79" s="43">
        <v>1607610</v>
      </c>
      <c r="F79" s="43" t="s">
        <v>13</v>
      </c>
      <c r="G79" s="44">
        <v>20006047</v>
      </c>
      <c r="H79" s="43" t="s">
        <v>26</v>
      </c>
      <c r="I79" s="44">
        <v>4</v>
      </c>
      <c r="J79" s="45">
        <v>8</v>
      </c>
      <c r="K79" s="45">
        <f t="shared" si="3"/>
        <v>32</v>
      </c>
    </row>
    <row r="80" spans="4:11">
      <c r="D80" s="42">
        <v>46171</v>
      </c>
      <c r="E80" s="43">
        <v>1607610</v>
      </c>
      <c r="F80" s="43" t="s">
        <v>16</v>
      </c>
      <c r="G80" s="44">
        <v>20005222</v>
      </c>
      <c r="H80" s="43" t="s">
        <v>174</v>
      </c>
      <c r="I80" s="44">
        <v>2</v>
      </c>
      <c r="J80" s="45">
        <v>16.5</v>
      </c>
      <c r="K80" s="45">
        <f t="shared" si="3"/>
        <v>33</v>
      </c>
    </row>
    <row r="81" spans="4:11">
      <c r="D81" s="42">
        <v>46171</v>
      </c>
      <c r="E81" s="43">
        <v>1607610</v>
      </c>
      <c r="F81" s="43" t="s">
        <v>16</v>
      </c>
      <c r="G81" s="44">
        <v>20346748</v>
      </c>
      <c r="H81" s="43" t="s">
        <v>159</v>
      </c>
      <c r="I81" s="44">
        <v>1</v>
      </c>
      <c r="J81" s="45">
        <v>22</v>
      </c>
      <c r="K81" s="45">
        <f t="shared" si="3"/>
        <v>22</v>
      </c>
    </row>
    <row r="82" spans="4:11">
      <c r="D82" s="42">
        <v>46171</v>
      </c>
      <c r="E82" s="43">
        <v>1607610</v>
      </c>
      <c r="F82" s="43" t="s">
        <v>16</v>
      </c>
      <c r="G82" s="44">
        <v>20005206</v>
      </c>
      <c r="H82" s="43" t="s">
        <v>169</v>
      </c>
      <c r="I82" s="44">
        <v>2</v>
      </c>
      <c r="J82" s="45">
        <v>44</v>
      </c>
      <c r="K82" s="45">
        <f t="shared" si="3"/>
        <v>88</v>
      </c>
    </row>
    <row r="83" spans="4:11">
      <c r="D83" s="42">
        <v>46171</v>
      </c>
      <c r="E83" s="43">
        <v>1607610</v>
      </c>
      <c r="F83" s="43" t="s">
        <v>16</v>
      </c>
      <c r="G83" s="44">
        <v>20005226</v>
      </c>
      <c r="H83" s="43" t="s">
        <v>175</v>
      </c>
      <c r="I83" s="44">
        <v>3</v>
      </c>
      <c r="J83" s="45">
        <v>27.5</v>
      </c>
      <c r="K83" s="45">
        <f t="shared" si="3"/>
        <v>82.5</v>
      </c>
    </row>
    <row r="84" spans="4:11">
      <c r="D84" s="42">
        <v>46171</v>
      </c>
      <c r="E84" s="43">
        <v>1607610</v>
      </c>
      <c r="F84" s="43" t="s">
        <v>16</v>
      </c>
      <c r="G84" s="44">
        <v>20007914</v>
      </c>
      <c r="H84" s="43" t="s">
        <v>201</v>
      </c>
      <c r="I84" s="44">
        <v>1</v>
      </c>
      <c r="J84" s="45">
        <v>99</v>
      </c>
      <c r="K84" s="45">
        <f t="shared" si="3"/>
        <v>99</v>
      </c>
    </row>
    <row r="85" spans="4:11">
      <c r="D85" s="42">
        <v>46171</v>
      </c>
      <c r="E85" s="43">
        <v>1607610</v>
      </c>
      <c r="F85" s="43" t="s">
        <v>19</v>
      </c>
      <c r="G85" s="44">
        <v>20427679</v>
      </c>
      <c r="H85" s="43" t="s">
        <v>202</v>
      </c>
      <c r="I85" s="44">
        <v>1</v>
      </c>
      <c r="J85" s="45">
        <v>4</v>
      </c>
      <c r="K85" s="45">
        <f t="shared" si="3"/>
        <v>4</v>
      </c>
    </row>
    <row r="86" spans="4:11">
      <c r="D86" s="42">
        <v>46171</v>
      </c>
      <c r="E86" s="43">
        <v>1607610</v>
      </c>
      <c r="F86" s="43" t="s">
        <v>19</v>
      </c>
      <c r="G86" s="44">
        <v>20006044</v>
      </c>
      <c r="H86" s="43" t="s">
        <v>190</v>
      </c>
      <c r="I86" s="44">
        <v>1</v>
      </c>
      <c r="J86" s="45">
        <v>2.5</v>
      </c>
      <c r="K86" s="45">
        <f t="shared" si="3"/>
        <v>2.5</v>
      </c>
    </row>
    <row r="87" spans="4:11">
      <c r="D87" s="42">
        <v>46174</v>
      </c>
      <c r="E87" s="43">
        <v>1608164</v>
      </c>
      <c r="F87" s="43" t="s">
        <v>22</v>
      </c>
      <c r="G87" s="44">
        <v>20005228</v>
      </c>
      <c r="H87" s="43" t="s">
        <v>153</v>
      </c>
      <c r="I87" s="44">
        <v>1</v>
      </c>
      <c r="J87" s="45">
        <v>99</v>
      </c>
      <c r="K87" s="45">
        <f t="shared" si="3"/>
        <v>99</v>
      </c>
    </row>
    <row r="88" spans="4:11">
      <c r="D88" s="42">
        <v>46174</v>
      </c>
      <c r="E88" s="43">
        <v>1608164</v>
      </c>
      <c r="F88" s="43" t="s">
        <v>13</v>
      </c>
      <c r="G88" s="44">
        <v>20005842</v>
      </c>
      <c r="H88" s="43" t="s">
        <v>155</v>
      </c>
      <c r="I88" s="44">
        <v>1</v>
      </c>
      <c r="J88" s="45">
        <v>16.5</v>
      </c>
      <c r="K88" s="45">
        <f t="shared" si="3"/>
        <v>16.5</v>
      </c>
    </row>
    <row r="89" spans="4:11">
      <c r="D89" s="42">
        <v>46174</v>
      </c>
      <c r="E89" s="43">
        <v>1608164</v>
      </c>
      <c r="F89" s="43" t="s">
        <v>16</v>
      </c>
      <c r="G89" s="44">
        <v>20320898</v>
      </c>
      <c r="H89" s="43" t="s">
        <v>161</v>
      </c>
      <c r="I89" s="44">
        <v>1</v>
      </c>
      <c r="J89" s="45">
        <v>33</v>
      </c>
      <c r="K89" s="45">
        <f t="shared" si="3"/>
        <v>33</v>
      </c>
    </row>
    <row r="90" spans="4:11">
      <c r="D90" s="42">
        <v>46177</v>
      </c>
      <c r="E90" s="43">
        <v>1609319</v>
      </c>
      <c r="F90" s="43" t="s">
        <v>22</v>
      </c>
      <c r="G90" s="44">
        <v>20005227</v>
      </c>
      <c r="H90" s="43" t="s">
        <v>197</v>
      </c>
      <c r="I90" s="44">
        <v>1</v>
      </c>
      <c r="J90" s="45">
        <v>82.5</v>
      </c>
      <c r="K90" s="45">
        <f t="shared" si="3"/>
        <v>82.5</v>
      </c>
    </row>
    <row r="91" spans="4:11">
      <c r="D91" s="42">
        <v>46177</v>
      </c>
      <c r="E91" s="43">
        <v>1609319</v>
      </c>
      <c r="F91" s="43" t="s">
        <v>22</v>
      </c>
      <c r="G91" s="44">
        <v>20005404</v>
      </c>
      <c r="H91" s="43" t="s">
        <v>198</v>
      </c>
      <c r="I91" s="44">
        <v>1</v>
      </c>
      <c r="J91" s="45">
        <v>308</v>
      </c>
      <c r="K91" s="45">
        <f t="shared" si="3"/>
        <v>308</v>
      </c>
    </row>
    <row r="92" spans="4:11">
      <c r="D92" s="42">
        <v>46177</v>
      </c>
      <c r="E92" s="43">
        <v>1609319</v>
      </c>
      <c r="F92" s="43" t="s">
        <v>22</v>
      </c>
      <c r="G92" s="44">
        <v>20005228</v>
      </c>
      <c r="H92" s="43" t="s">
        <v>153</v>
      </c>
      <c r="I92" s="44">
        <v>4</v>
      </c>
      <c r="J92" s="45">
        <v>99</v>
      </c>
      <c r="K92" s="45">
        <f t="shared" si="3"/>
        <v>396</v>
      </c>
    </row>
    <row r="93" spans="4:11">
      <c r="D93" s="42">
        <v>46177</v>
      </c>
      <c r="E93" s="43">
        <v>1609319</v>
      </c>
      <c r="F93" s="43" t="s">
        <v>22</v>
      </c>
      <c r="G93" s="44">
        <v>20005230</v>
      </c>
      <c r="H93" s="43" t="s">
        <v>167</v>
      </c>
      <c r="I93" s="44">
        <v>2</v>
      </c>
      <c r="J93" s="45">
        <v>313.5</v>
      </c>
      <c r="K93" s="45">
        <f t="shared" si="3"/>
        <v>627</v>
      </c>
    </row>
    <row r="94" spans="4:11">
      <c r="D94" s="42">
        <v>46177</v>
      </c>
      <c r="E94" s="43">
        <v>1609319</v>
      </c>
      <c r="F94" s="43" t="s">
        <v>13</v>
      </c>
      <c r="G94" s="44">
        <v>20008037</v>
      </c>
      <c r="H94" s="43" t="s">
        <v>203</v>
      </c>
      <c r="I94" s="44">
        <v>1</v>
      </c>
      <c r="J94" s="45">
        <v>13.5</v>
      </c>
      <c r="K94" s="45">
        <f t="shared" si="3"/>
        <v>13.5</v>
      </c>
    </row>
    <row r="95" spans="4:11">
      <c r="D95" s="42">
        <v>46177</v>
      </c>
      <c r="E95" s="43">
        <v>1609319</v>
      </c>
      <c r="F95" s="43" t="s">
        <v>13</v>
      </c>
      <c r="G95" s="44">
        <v>20005842</v>
      </c>
      <c r="H95" s="43" t="s">
        <v>155</v>
      </c>
      <c r="I95" s="44">
        <v>2</v>
      </c>
      <c r="J95" s="45">
        <v>16.5</v>
      </c>
      <c r="K95" s="45">
        <f t="shared" si="3"/>
        <v>33</v>
      </c>
    </row>
    <row r="96" spans="4:11">
      <c r="D96" s="42">
        <v>46177</v>
      </c>
      <c r="E96" s="43">
        <v>1609319</v>
      </c>
      <c r="F96" s="43" t="s">
        <v>13</v>
      </c>
      <c r="G96" s="44">
        <v>20312293</v>
      </c>
      <c r="H96" s="43" t="s">
        <v>199</v>
      </c>
      <c r="I96" s="44">
        <v>1</v>
      </c>
      <c r="J96" s="45">
        <v>13</v>
      </c>
      <c r="K96" s="45">
        <f t="shared" si="3"/>
        <v>13</v>
      </c>
    </row>
    <row r="97" spans="4:11">
      <c r="D97" s="42">
        <v>46177</v>
      </c>
      <c r="E97" s="43">
        <v>1609319</v>
      </c>
      <c r="F97" s="43" t="s">
        <v>13</v>
      </c>
      <c r="G97" s="44">
        <v>20006047</v>
      </c>
      <c r="H97" s="43" t="s">
        <v>26</v>
      </c>
      <c r="I97" s="44">
        <v>1</v>
      </c>
      <c r="J97" s="45">
        <v>8</v>
      </c>
      <c r="K97" s="45">
        <f t="shared" si="3"/>
        <v>8</v>
      </c>
    </row>
    <row r="98" spans="4:11">
      <c r="D98" s="42">
        <v>46177</v>
      </c>
      <c r="E98" s="43">
        <v>1609319</v>
      </c>
      <c r="F98" s="43" t="s">
        <v>13</v>
      </c>
      <c r="G98" s="44">
        <v>20324084</v>
      </c>
      <c r="H98" s="43" t="s">
        <v>24</v>
      </c>
      <c r="I98" s="44">
        <v>1</v>
      </c>
      <c r="J98" s="45">
        <v>8</v>
      </c>
      <c r="K98" s="45">
        <f t="shared" si="3"/>
        <v>8</v>
      </c>
    </row>
    <row r="99" spans="4:11">
      <c r="D99" s="42">
        <v>46177</v>
      </c>
      <c r="E99" s="43">
        <v>1609319</v>
      </c>
      <c r="F99" s="43" t="s">
        <v>13</v>
      </c>
      <c r="G99" s="44">
        <v>20005841</v>
      </c>
      <c r="H99" s="43" t="s">
        <v>204</v>
      </c>
      <c r="I99" s="44">
        <v>1</v>
      </c>
      <c r="J99" s="45">
        <v>8</v>
      </c>
      <c r="K99" s="45">
        <f t="shared" si="3"/>
        <v>8</v>
      </c>
    </row>
    <row r="100" spans="4:11">
      <c r="D100" s="42">
        <v>46177</v>
      </c>
      <c r="E100" s="43">
        <v>1609319</v>
      </c>
      <c r="F100" s="43" t="s">
        <v>16</v>
      </c>
      <c r="G100" s="44">
        <v>20005224</v>
      </c>
      <c r="H100" s="43" t="s">
        <v>188</v>
      </c>
      <c r="I100" s="44">
        <v>1</v>
      </c>
      <c r="J100" s="45">
        <v>16.5</v>
      </c>
      <c r="K100" s="45">
        <f t="shared" si="3"/>
        <v>16.5</v>
      </c>
    </row>
    <row r="101" spans="4:11">
      <c r="D101" s="42">
        <v>46177</v>
      </c>
      <c r="E101" s="43">
        <v>1609319</v>
      </c>
      <c r="F101" s="43" t="s">
        <v>16</v>
      </c>
      <c r="G101" s="44">
        <v>20005222</v>
      </c>
      <c r="H101" s="43" t="s">
        <v>174</v>
      </c>
      <c r="I101" s="44">
        <v>1</v>
      </c>
      <c r="J101" s="45">
        <v>16.5</v>
      </c>
      <c r="K101" s="45">
        <f t="shared" si="3"/>
        <v>16.5</v>
      </c>
    </row>
    <row r="102" spans="4:11">
      <c r="D102" s="42">
        <v>46177</v>
      </c>
      <c r="E102" s="43">
        <v>1609319</v>
      </c>
      <c r="F102" s="43" t="s">
        <v>16</v>
      </c>
      <c r="G102" s="44">
        <v>20346748</v>
      </c>
      <c r="H102" s="43" t="s">
        <v>159</v>
      </c>
      <c r="I102" s="44">
        <v>1</v>
      </c>
      <c r="J102" s="45">
        <v>22</v>
      </c>
      <c r="K102" s="45">
        <f t="shared" si="3"/>
        <v>22</v>
      </c>
    </row>
    <row r="103" spans="4:11">
      <c r="D103" s="42">
        <v>46177</v>
      </c>
      <c r="E103" s="43">
        <v>1609319</v>
      </c>
      <c r="F103" s="43" t="s">
        <v>16</v>
      </c>
      <c r="G103" s="44">
        <v>20320898</v>
      </c>
      <c r="H103" s="43" t="s">
        <v>161</v>
      </c>
      <c r="I103" s="44">
        <v>1</v>
      </c>
      <c r="J103" s="45">
        <v>33</v>
      </c>
      <c r="K103" s="45">
        <f t="shared" si="3"/>
        <v>33</v>
      </c>
    </row>
    <row r="104" spans="4:11">
      <c r="D104" s="42">
        <v>46177</v>
      </c>
      <c r="E104" s="43">
        <v>1609319</v>
      </c>
      <c r="F104" s="43" t="s">
        <v>16</v>
      </c>
      <c r="G104" s="44">
        <v>20005206</v>
      </c>
      <c r="H104" s="43" t="s">
        <v>169</v>
      </c>
      <c r="I104" s="44">
        <v>2</v>
      </c>
      <c r="J104" s="45">
        <v>44</v>
      </c>
      <c r="K104" s="45">
        <f t="shared" si="3"/>
        <v>88</v>
      </c>
    </row>
    <row r="105" spans="4:11">
      <c r="D105" s="42">
        <v>46177</v>
      </c>
      <c r="E105" s="43">
        <v>1609319</v>
      </c>
      <c r="F105" s="43" t="s">
        <v>16</v>
      </c>
      <c r="G105" s="44">
        <v>20005226</v>
      </c>
      <c r="H105" s="43" t="s">
        <v>175</v>
      </c>
      <c r="I105" s="44">
        <v>1</v>
      </c>
      <c r="J105" s="45">
        <v>27.5</v>
      </c>
      <c r="K105" s="45">
        <f t="shared" si="3"/>
        <v>27.5</v>
      </c>
    </row>
    <row r="106" spans="4:11">
      <c r="D106" s="42">
        <v>46177</v>
      </c>
      <c r="E106" s="43">
        <v>1609319</v>
      </c>
      <c r="F106" s="43" t="s">
        <v>16</v>
      </c>
      <c r="G106" s="44">
        <v>20007902</v>
      </c>
      <c r="H106" s="43" t="s">
        <v>205</v>
      </c>
      <c r="I106" s="44">
        <v>1</v>
      </c>
      <c r="J106" s="45">
        <v>16.5</v>
      </c>
      <c r="K106" s="45">
        <f t="shared" si="3"/>
        <v>16.5</v>
      </c>
    </row>
    <row r="107" spans="4:11">
      <c r="D107" s="42">
        <v>46177</v>
      </c>
      <c r="E107" s="43">
        <v>1609319</v>
      </c>
      <c r="F107" s="43" t="s">
        <v>19</v>
      </c>
      <c r="G107" s="44">
        <v>20417496</v>
      </c>
      <c r="H107" s="43" t="s">
        <v>162</v>
      </c>
      <c r="I107" s="44">
        <v>2</v>
      </c>
      <c r="J107" s="45">
        <v>4</v>
      </c>
      <c r="K107" s="45">
        <f t="shared" si="3"/>
        <v>8</v>
      </c>
    </row>
    <row r="108" spans="4:11">
      <c r="D108" s="42">
        <v>46178</v>
      </c>
      <c r="E108" s="43">
        <v>1609464</v>
      </c>
      <c r="F108" s="43" t="s">
        <v>13</v>
      </c>
      <c r="G108" s="44">
        <v>20005842</v>
      </c>
      <c r="H108" s="43" t="s">
        <v>155</v>
      </c>
      <c r="I108" s="44">
        <v>2</v>
      </c>
      <c r="J108" s="45">
        <v>16.5</v>
      </c>
      <c r="K108" s="45">
        <f t="shared" si="3"/>
        <v>33</v>
      </c>
    </row>
    <row r="109" spans="4:11">
      <c r="D109" s="42">
        <v>46178</v>
      </c>
      <c r="E109" s="43">
        <v>1609464</v>
      </c>
      <c r="F109" s="43" t="s">
        <v>13</v>
      </c>
      <c r="G109" s="44">
        <v>20324084</v>
      </c>
      <c r="H109" s="43" t="s">
        <v>24</v>
      </c>
      <c r="I109" s="44">
        <v>1</v>
      </c>
      <c r="J109" s="45">
        <v>8</v>
      </c>
      <c r="K109" s="45">
        <f t="shared" si="3"/>
        <v>8</v>
      </c>
    </row>
    <row r="110" spans="4:11">
      <c r="D110" s="42">
        <v>46178</v>
      </c>
      <c r="E110" s="43">
        <v>1609464</v>
      </c>
      <c r="F110" s="43" t="s">
        <v>16</v>
      </c>
      <c r="G110" s="44">
        <v>20005224</v>
      </c>
      <c r="H110" s="43" t="s">
        <v>188</v>
      </c>
      <c r="I110" s="44">
        <v>1</v>
      </c>
      <c r="J110" s="45">
        <v>16.5</v>
      </c>
      <c r="K110" s="45">
        <f t="shared" si="3"/>
        <v>16.5</v>
      </c>
    </row>
    <row r="111" spans="4:11">
      <c r="D111" s="42">
        <v>46178</v>
      </c>
      <c r="E111" s="43">
        <v>1609464</v>
      </c>
      <c r="F111" s="43" t="s">
        <v>16</v>
      </c>
      <c r="G111" s="44">
        <v>20005222</v>
      </c>
      <c r="H111" s="43" t="s">
        <v>174</v>
      </c>
      <c r="I111" s="44">
        <v>1</v>
      </c>
      <c r="J111" s="45">
        <v>16.5</v>
      </c>
      <c r="K111" s="45">
        <f t="shared" si="3"/>
        <v>16.5</v>
      </c>
    </row>
    <row r="112" spans="4:11">
      <c r="D112" s="42">
        <v>46178</v>
      </c>
      <c r="E112" s="43">
        <v>1609464</v>
      </c>
      <c r="F112" s="43" t="s">
        <v>16</v>
      </c>
      <c r="G112" s="44">
        <v>20005327</v>
      </c>
      <c r="H112" s="43" t="s">
        <v>168</v>
      </c>
      <c r="I112" s="44">
        <v>1</v>
      </c>
      <c r="J112" s="45">
        <v>22</v>
      </c>
      <c r="K112" s="45">
        <f t="shared" si="3"/>
        <v>22</v>
      </c>
    </row>
    <row r="113" spans="4:11">
      <c r="D113" s="42">
        <v>46178</v>
      </c>
      <c r="E113" s="43">
        <v>1609464</v>
      </c>
      <c r="F113" s="43" t="s">
        <v>16</v>
      </c>
      <c r="G113" s="44">
        <v>20320898</v>
      </c>
      <c r="H113" s="43" t="s">
        <v>206</v>
      </c>
      <c r="I113" s="44">
        <v>1</v>
      </c>
      <c r="J113" s="45">
        <v>38.5</v>
      </c>
      <c r="K113" s="45">
        <f t="shared" si="3"/>
        <v>38.5</v>
      </c>
    </row>
    <row r="114" spans="4:11">
      <c r="D114" s="42">
        <v>46178</v>
      </c>
      <c r="E114" s="43">
        <v>1609464</v>
      </c>
      <c r="F114" s="43" t="s">
        <v>16</v>
      </c>
      <c r="G114" s="44">
        <v>20005226</v>
      </c>
      <c r="H114" s="43" t="s">
        <v>175</v>
      </c>
      <c r="I114" s="44">
        <v>1</v>
      </c>
      <c r="J114" s="45">
        <v>27.5</v>
      </c>
      <c r="K114" s="45">
        <f t="shared" si="3"/>
        <v>27.5</v>
      </c>
    </row>
    <row r="115" spans="4:11">
      <c r="D115" s="42">
        <v>46178</v>
      </c>
      <c r="E115" s="43">
        <v>1609489</v>
      </c>
      <c r="F115" s="43" t="s">
        <v>165</v>
      </c>
      <c r="G115" s="44">
        <v>20336881</v>
      </c>
      <c r="H115" s="43" t="s">
        <v>166</v>
      </c>
      <c r="I115" s="44">
        <v>2</v>
      </c>
      <c r="J115" s="45">
        <v>28</v>
      </c>
      <c r="K115" s="45">
        <f t="shared" si="3"/>
        <v>56</v>
      </c>
    </row>
    <row r="116" spans="4:11">
      <c r="D116" s="42">
        <v>46179</v>
      </c>
      <c r="E116" s="43">
        <v>1609954</v>
      </c>
      <c r="F116" s="43" t="s">
        <v>22</v>
      </c>
      <c r="G116" s="44">
        <v>20388031</v>
      </c>
      <c r="H116" s="43" t="s">
        <v>152</v>
      </c>
      <c r="I116" s="44">
        <v>1</v>
      </c>
      <c r="J116" s="45">
        <v>176</v>
      </c>
      <c r="K116" s="45">
        <f t="shared" si="3"/>
        <v>176</v>
      </c>
    </row>
    <row r="117" spans="4:11">
      <c r="D117" s="42">
        <v>46180</v>
      </c>
      <c r="E117" s="43">
        <v>1610059</v>
      </c>
      <c r="F117" s="43" t="s">
        <v>22</v>
      </c>
      <c r="G117" s="44">
        <v>20388031</v>
      </c>
      <c r="H117" s="43" t="s">
        <v>152</v>
      </c>
      <c r="I117" s="44">
        <v>1</v>
      </c>
      <c r="J117" s="45">
        <v>176</v>
      </c>
      <c r="K117" s="45">
        <f t="shared" si="3"/>
        <v>176</v>
      </c>
    </row>
    <row r="118" spans="4:11">
      <c r="D118" s="42">
        <v>46180</v>
      </c>
      <c r="E118" s="43">
        <v>1610059</v>
      </c>
      <c r="F118" s="43" t="s">
        <v>13</v>
      </c>
      <c r="G118" s="44">
        <v>20005842</v>
      </c>
      <c r="H118" s="43" t="s">
        <v>155</v>
      </c>
      <c r="I118" s="44">
        <v>1</v>
      </c>
      <c r="J118" s="45">
        <v>16.5</v>
      </c>
      <c r="K118" s="45">
        <f t="shared" si="3"/>
        <v>16.5</v>
      </c>
    </row>
    <row r="119" spans="4:11">
      <c r="D119" s="42">
        <v>46181</v>
      </c>
      <c r="E119" s="43">
        <v>1610261</v>
      </c>
      <c r="F119" s="43" t="s">
        <v>22</v>
      </c>
      <c r="G119" s="44">
        <v>20005227</v>
      </c>
      <c r="H119" s="43" t="s">
        <v>197</v>
      </c>
      <c r="I119" s="44">
        <v>1</v>
      </c>
      <c r="J119" s="45">
        <v>82.5</v>
      </c>
      <c r="K119" s="45">
        <f t="shared" si="3"/>
        <v>82.5</v>
      </c>
    </row>
    <row r="120" spans="4:11">
      <c r="D120" s="42">
        <v>46181</v>
      </c>
      <c r="E120" s="43">
        <v>1610261</v>
      </c>
      <c r="F120" s="43" t="s">
        <v>22</v>
      </c>
      <c r="G120" s="44">
        <v>20005228</v>
      </c>
      <c r="H120" s="43" t="s">
        <v>153</v>
      </c>
      <c r="I120" s="44">
        <v>2</v>
      </c>
      <c r="J120" s="45">
        <v>99</v>
      </c>
      <c r="K120" s="45">
        <f t="shared" si="3"/>
        <v>198</v>
      </c>
    </row>
    <row r="121" spans="4:11">
      <c r="D121" s="42">
        <v>46181</v>
      </c>
      <c r="E121" s="43">
        <v>1610261</v>
      </c>
      <c r="F121" s="43" t="s">
        <v>22</v>
      </c>
      <c r="G121" s="44">
        <v>20005230</v>
      </c>
      <c r="H121" s="43" t="s">
        <v>167</v>
      </c>
      <c r="I121" s="44">
        <v>1</v>
      </c>
      <c r="J121" s="45">
        <v>313.5</v>
      </c>
      <c r="K121" s="45">
        <f t="shared" si="3"/>
        <v>313.5</v>
      </c>
    </row>
    <row r="122" spans="4:11">
      <c r="D122" s="42">
        <v>46181</v>
      </c>
      <c r="E122" s="43">
        <v>1610261</v>
      </c>
      <c r="F122" s="43" t="s">
        <v>13</v>
      </c>
      <c r="G122" s="44">
        <v>20005842</v>
      </c>
      <c r="H122" s="43" t="s">
        <v>155</v>
      </c>
      <c r="I122" s="44">
        <v>3</v>
      </c>
      <c r="J122" s="45">
        <v>16.5</v>
      </c>
      <c r="K122" s="45">
        <f t="shared" si="3"/>
        <v>49.5</v>
      </c>
    </row>
    <row r="123" spans="4:11">
      <c r="D123" s="42">
        <v>46181</v>
      </c>
      <c r="E123" s="43">
        <v>1610261</v>
      </c>
      <c r="F123" s="43" t="s">
        <v>13</v>
      </c>
      <c r="G123" s="44">
        <v>20312293</v>
      </c>
      <c r="H123" s="43" t="s">
        <v>199</v>
      </c>
      <c r="I123" s="44">
        <v>1</v>
      </c>
      <c r="J123" s="45">
        <v>13</v>
      </c>
      <c r="K123" s="45">
        <f t="shared" si="3"/>
        <v>13</v>
      </c>
    </row>
    <row r="124" spans="4:11">
      <c r="D124" s="42">
        <v>46181</v>
      </c>
      <c r="E124" s="43">
        <v>1610261</v>
      </c>
      <c r="F124" s="43" t="s">
        <v>13</v>
      </c>
      <c r="G124" s="44">
        <v>20428938</v>
      </c>
      <c r="H124" s="43" t="s">
        <v>207</v>
      </c>
      <c r="I124" s="44">
        <v>1</v>
      </c>
      <c r="J124" s="45">
        <v>8</v>
      </c>
      <c r="K124" s="45">
        <f t="shared" si="3"/>
        <v>8</v>
      </c>
    </row>
    <row r="125" spans="4:11">
      <c r="D125" s="42">
        <v>46181</v>
      </c>
      <c r="E125" s="43">
        <v>1610261</v>
      </c>
      <c r="F125" s="43" t="s">
        <v>16</v>
      </c>
      <c r="G125" s="44">
        <v>20005222</v>
      </c>
      <c r="H125" s="43" t="s">
        <v>174</v>
      </c>
      <c r="I125" s="44">
        <v>1</v>
      </c>
      <c r="J125" s="45">
        <v>16.5</v>
      </c>
      <c r="K125" s="45">
        <f t="shared" si="3"/>
        <v>16.5</v>
      </c>
    </row>
    <row r="126" spans="4:11">
      <c r="D126" s="42">
        <v>46181</v>
      </c>
      <c r="E126" s="43">
        <v>1610261</v>
      </c>
      <c r="F126" s="43" t="s">
        <v>16</v>
      </c>
      <c r="G126" s="44">
        <v>20346748</v>
      </c>
      <c r="H126" s="43" t="s">
        <v>159</v>
      </c>
      <c r="I126" s="44">
        <v>2</v>
      </c>
      <c r="J126" s="45">
        <v>22</v>
      </c>
      <c r="K126" s="45">
        <f t="shared" si="3"/>
        <v>44</v>
      </c>
    </row>
    <row r="127" spans="4:11">
      <c r="D127" s="42">
        <v>46181</v>
      </c>
      <c r="E127" s="43">
        <v>1610261</v>
      </c>
      <c r="F127" s="43" t="s">
        <v>16</v>
      </c>
      <c r="G127" s="44">
        <v>20005226</v>
      </c>
      <c r="H127" s="43" t="s">
        <v>175</v>
      </c>
      <c r="I127" s="44">
        <v>1</v>
      </c>
      <c r="J127" s="45">
        <v>27.5</v>
      </c>
      <c r="K127" s="45">
        <f t="shared" si="3"/>
        <v>27.5</v>
      </c>
    </row>
    <row r="128" spans="4:11">
      <c r="D128" s="42">
        <v>46181</v>
      </c>
      <c r="E128" s="43">
        <v>1610261</v>
      </c>
      <c r="F128" s="43" t="s">
        <v>19</v>
      </c>
      <c r="G128" s="44">
        <v>20417496</v>
      </c>
      <c r="H128" s="43" t="s">
        <v>162</v>
      </c>
      <c r="I128" s="44">
        <v>1</v>
      </c>
      <c r="J128" s="45">
        <v>4</v>
      </c>
      <c r="K128" s="45">
        <f t="shared" si="3"/>
        <v>4</v>
      </c>
    </row>
    <row r="129" spans="4:11">
      <c r="D129" s="42">
        <v>46181</v>
      </c>
      <c r="E129" s="43">
        <v>1610261</v>
      </c>
      <c r="F129" s="43" t="s">
        <v>19</v>
      </c>
      <c r="G129" s="44">
        <v>20006044</v>
      </c>
      <c r="H129" s="43" t="s">
        <v>190</v>
      </c>
      <c r="I129" s="44">
        <v>1</v>
      </c>
      <c r="J129" s="45">
        <v>2.5</v>
      </c>
      <c r="K129" s="45">
        <f t="shared" ref="K129:K163" si="4">J129*I129</f>
        <v>2.5</v>
      </c>
    </row>
    <row r="130" spans="4:11">
      <c r="D130" s="42">
        <v>46182</v>
      </c>
      <c r="E130" s="43">
        <v>1610563</v>
      </c>
      <c r="F130" s="43" t="s">
        <v>165</v>
      </c>
      <c r="G130" s="44">
        <v>20417853</v>
      </c>
      <c r="H130" s="43" t="s">
        <v>192</v>
      </c>
      <c r="I130" s="44">
        <v>2</v>
      </c>
      <c r="J130" s="45">
        <v>44</v>
      </c>
      <c r="K130" s="45">
        <f t="shared" si="4"/>
        <v>88</v>
      </c>
    </row>
    <row r="131" spans="4:11">
      <c r="D131" s="42">
        <v>46182</v>
      </c>
      <c r="E131" s="43">
        <v>1610563</v>
      </c>
      <c r="F131" s="43" t="s">
        <v>193</v>
      </c>
      <c r="G131" s="44">
        <v>20392603</v>
      </c>
      <c r="H131" s="43" t="s">
        <v>208</v>
      </c>
      <c r="I131" s="44">
        <v>1</v>
      </c>
      <c r="J131" s="45">
        <v>300</v>
      </c>
      <c r="K131" s="45">
        <f t="shared" si="4"/>
        <v>300</v>
      </c>
    </row>
    <row r="132" spans="4:11">
      <c r="D132" s="42">
        <v>46182</v>
      </c>
      <c r="E132" s="43">
        <v>1610563</v>
      </c>
      <c r="F132" s="43" t="s">
        <v>195</v>
      </c>
      <c r="G132" s="44">
        <v>20395834</v>
      </c>
      <c r="H132" s="43" t="s">
        <v>209</v>
      </c>
      <c r="I132" s="44">
        <v>1</v>
      </c>
      <c r="J132" s="45">
        <v>35</v>
      </c>
      <c r="K132" s="45">
        <f t="shared" si="4"/>
        <v>35</v>
      </c>
    </row>
    <row r="133" spans="4:11">
      <c r="D133" s="42">
        <v>46182</v>
      </c>
      <c r="E133" s="43">
        <v>1610575</v>
      </c>
      <c r="F133" s="43" t="s">
        <v>22</v>
      </c>
      <c r="G133" s="44">
        <v>20388031</v>
      </c>
      <c r="H133" s="43" t="s">
        <v>152</v>
      </c>
      <c r="I133" s="44">
        <v>3</v>
      </c>
      <c r="J133" s="45">
        <v>176</v>
      </c>
      <c r="K133" s="45">
        <f t="shared" si="4"/>
        <v>528</v>
      </c>
    </row>
    <row r="134" spans="4:11">
      <c r="D134" s="42">
        <v>46182</v>
      </c>
      <c r="E134" s="43">
        <v>1610663</v>
      </c>
      <c r="F134" s="43" t="s">
        <v>22</v>
      </c>
      <c r="G134" s="44">
        <v>20005227</v>
      </c>
      <c r="H134" s="43" t="s">
        <v>197</v>
      </c>
      <c r="I134" s="44">
        <v>1</v>
      </c>
      <c r="J134" s="45">
        <v>82.5</v>
      </c>
      <c r="K134" s="45">
        <f t="shared" si="4"/>
        <v>82.5</v>
      </c>
    </row>
    <row r="135" spans="4:11">
      <c r="D135" s="42">
        <v>46182</v>
      </c>
      <c r="E135" s="43">
        <v>1610663</v>
      </c>
      <c r="F135" s="43" t="s">
        <v>22</v>
      </c>
      <c r="G135" s="44">
        <v>20005228</v>
      </c>
      <c r="H135" s="43" t="s">
        <v>153</v>
      </c>
      <c r="I135" s="44">
        <v>3</v>
      </c>
      <c r="J135" s="45">
        <v>99</v>
      </c>
      <c r="K135" s="45">
        <f t="shared" si="4"/>
        <v>297</v>
      </c>
    </row>
    <row r="136" spans="4:11">
      <c r="D136" s="42">
        <v>46182</v>
      </c>
      <c r="E136" s="43">
        <v>1610684</v>
      </c>
      <c r="F136" s="43" t="s">
        <v>13</v>
      </c>
      <c r="G136" s="44">
        <v>20005842</v>
      </c>
      <c r="H136" s="43" t="s">
        <v>155</v>
      </c>
      <c r="I136" s="44">
        <v>3</v>
      </c>
      <c r="J136" s="45">
        <v>16.5</v>
      </c>
      <c r="K136" s="45">
        <f t="shared" si="4"/>
        <v>49.5</v>
      </c>
    </row>
    <row r="137" spans="4:11">
      <c r="D137" s="42">
        <v>46182</v>
      </c>
      <c r="E137" s="43">
        <v>1610684</v>
      </c>
      <c r="F137" s="43" t="s">
        <v>13</v>
      </c>
      <c r="G137" s="44">
        <v>20006047</v>
      </c>
      <c r="H137" s="43" t="s">
        <v>26</v>
      </c>
      <c r="I137" s="44">
        <v>1</v>
      </c>
      <c r="J137" s="45">
        <v>8</v>
      </c>
      <c r="K137" s="45">
        <f t="shared" si="4"/>
        <v>8</v>
      </c>
    </row>
    <row r="138" spans="4:11">
      <c r="D138" s="42">
        <v>46182</v>
      </c>
      <c r="E138" s="43">
        <v>1610684</v>
      </c>
      <c r="F138" s="43" t="s">
        <v>16</v>
      </c>
      <c r="G138" s="44">
        <v>20320898</v>
      </c>
      <c r="H138" s="43" t="s">
        <v>206</v>
      </c>
      <c r="I138" s="44">
        <v>1</v>
      </c>
      <c r="J138" s="45">
        <v>38.5</v>
      </c>
      <c r="K138" s="45">
        <f t="shared" si="4"/>
        <v>38.5</v>
      </c>
    </row>
    <row r="139" spans="4:11">
      <c r="D139" s="42">
        <v>46182</v>
      </c>
      <c r="E139" s="43">
        <v>1610684</v>
      </c>
      <c r="F139" s="43" t="s">
        <v>16</v>
      </c>
      <c r="G139" s="44">
        <v>20005206</v>
      </c>
      <c r="H139" s="43" t="s">
        <v>169</v>
      </c>
      <c r="I139" s="44">
        <v>2</v>
      </c>
      <c r="J139" s="45">
        <v>44</v>
      </c>
      <c r="K139" s="45">
        <f t="shared" si="4"/>
        <v>88</v>
      </c>
    </row>
    <row r="140" spans="4:11">
      <c r="D140" s="42">
        <v>46182</v>
      </c>
      <c r="E140" s="43">
        <v>1610737</v>
      </c>
      <c r="F140" s="43" t="s">
        <v>165</v>
      </c>
      <c r="G140" s="44">
        <v>20336881</v>
      </c>
      <c r="H140" s="43" t="s">
        <v>166</v>
      </c>
      <c r="I140" s="44">
        <v>1</v>
      </c>
      <c r="J140" s="45">
        <v>28</v>
      </c>
      <c r="K140" s="45">
        <f t="shared" si="4"/>
        <v>28</v>
      </c>
    </row>
    <row r="141" spans="4:11">
      <c r="D141" s="42">
        <v>46183</v>
      </c>
      <c r="E141" s="43">
        <v>1610942</v>
      </c>
      <c r="F141" s="43" t="s">
        <v>193</v>
      </c>
      <c r="G141" s="44">
        <v>20392610</v>
      </c>
      <c r="H141" s="43" t="s">
        <v>194</v>
      </c>
      <c r="I141" s="44">
        <v>1</v>
      </c>
      <c r="J141" s="45">
        <v>165</v>
      </c>
      <c r="K141" s="45">
        <f t="shared" si="4"/>
        <v>165</v>
      </c>
    </row>
    <row r="142" spans="4:11">
      <c r="D142" s="42">
        <v>46183</v>
      </c>
      <c r="E142" s="43">
        <v>1610942</v>
      </c>
      <c r="F142" s="43" t="s">
        <v>195</v>
      </c>
      <c r="G142" s="44">
        <v>20392576</v>
      </c>
      <c r="H142" s="43" t="s">
        <v>196</v>
      </c>
      <c r="I142" s="44">
        <v>1</v>
      </c>
      <c r="J142" s="45">
        <v>28</v>
      </c>
      <c r="K142" s="45">
        <f t="shared" si="4"/>
        <v>28</v>
      </c>
    </row>
    <row r="143" spans="4:11">
      <c r="D143" s="42">
        <v>46183</v>
      </c>
      <c r="E143" s="43">
        <v>1611045</v>
      </c>
      <c r="F143" s="43" t="s">
        <v>22</v>
      </c>
      <c r="G143" s="44">
        <v>20388031</v>
      </c>
      <c r="H143" s="43" t="s">
        <v>152</v>
      </c>
      <c r="I143" s="44">
        <v>1</v>
      </c>
      <c r="J143" s="45">
        <v>176</v>
      </c>
      <c r="K143" s="45">
        <f t="shared" si="4"/>
        <v>176</v>
      </c>
    </row>
    <row r="144" spans="4:11">
      <c r="D144" s="42">
        <v>46183</v>
      </c>
      <c r="E144" s="43">
        <v>1611045</v>
      </c>
      <c r="F144" s="43" t="s">
        <v>22</v>
      </c>
      <c r="G144" s="44">
        <v>20005228</v>
      </c>
      <c r="H144" s="43" t="s">
        <v>153</v>
      </c>
      <c r="I144" s="44">
        <v>1</v>
      </c>
      <c r="J144" s="45">
        <v>99</v>
      </c>
      <c r="K144" s="45">
        <f t="shared" si="4"/>
        <v>99</v>
      </c>
    </row>
    <row r="145" spans="4:11">
      <c r="D145" s="42">
        <v>46183</v>
      </c>
      <c r="E145" s="43">
        <v>1611045</v>
      </c>
      <c r="F145" s="43" t="s">
        <v>13</v>
      </c>
      <c r="G145" s="44">
        <v>20005842</v>
      </c>
      <c r="H145" s="43" t="s">
        <v>155</v>
      </c>
      <c r="I145" s="44">
        <v>2</v>
      </c>
      <c r="J145" s="45">
        <v>16.5</v>
      </c>
      <c r="K145" s="45">
        <f t="shared" si="4"/>
        <v>33</v>
      </c>
    </row>
    <row r="146" spans="4:11">
      <c r="D146" s="42">
        <v>46183</v>
      </c>
      <c r="E146" s="43">
        <v>1611045</v>
      </c>
      <c r="F146" s="43" t="s">
        <v>13</v>
      </c>
      <c r="G146" s="44">
        <v>20006047</v>
      </c>
      <c r="H146" s="43" t="s">
        <v>26</v>
      </c>
      <c r="I146" s="44">
        <v>1</v>
      </c>
      <c r="J146" s="45">
        <v>8</v>
      </c>
      <c r="K146" s="45">
        <f t="shared" si="4"/>
        <v>8</v>
      </c>
    </row>
    <row r="147" spans="4:11">
      <c r="D147" s="42">
        <v>46183</v>
      </c>
      <c r="E147" s="43">
        <v>1611045</v>
      </c>
      <c r="F147" s="43" t="s">
        <v>19</v>
      </c>
      <c r="G147" s="44">
        <v>20417496</v>
      </c>
      <c r="H147" s="43" t="s">
        <v>162</v>
      </c>
      <c r="I147" s="44">
        <v>2</v>
      </c>
      <c r="J147" s="45">
        <v>4</v>
      </c>
      <c r="K147" s="45">
        <f t="shared" si="4"/>
        <v>8</v>
      </c>
    </row>
    <row r="148" spans="4:11">
      <c r="D148" s="42">
        <v>46184</v>
      </c>
      <c r="E148" s="43">
        <v>1611401</v>
      </c>
      <c r="F148" s="43" t="s">
        <v>22</v>
      </c>
      <c r="G148" s="44">
        <v>20005228</v>
      </c>
      <c r="H148" s="43" t="s">
        <v>153</v>
      </c>
      <c r="I148" s="44">
        <v>1</v>
      </c>
      <c r="J148" s="45">
        <v>99</v>
      </c>
      <c r="K148" s="45">
        <f t="shared" si="4"/>
        <v>99</v>
      </c>
    </row>
    <row r="149" spans="4:11">
      <c r="D149" s="42">
        <v>46184</v>
      </c>
      <c r="E149" s="43">
        <v>1611401</v>
      </c>
      <c r="F149" s="43" t="s">
        <v>13</v>
      </c>
      <c r="G149" s="44">
        <v>20005842</v>
      </c>
      <c r="H149" s="43" t="s">
        <v>155</v>
      </c>
      <c r="I149" s="44">
        <v>1</v>
      </c>
      <c r="J149" s="45">
        <v>16.5</v>
      </c>
      <c r="K149" s="45">
        <f t="shared" si="4"/>
        <v>16.5</v>
      </c>
    </row>
    <row r="150" spans="4:11">
      <c r="D150" s="42">
        <v>46184</v>
      </c>
      <c r="E150" s="43">
        <v>1611401</v>
      </c>
      <c r="F150" s="43" t="s">
        <v>13</v>
      </c>
      <c r="G150" s="44">
        <v>20006047</v>
      </c>
      <c r="H150" s="43" t="s">
        <v>26</v>
      </c>
      <c r="I150" s="44">
        <v>1</v>
      </c>
      <c r="J150" s="45">
        <v>8</v>
      </c>
      <c r="K150" s="45">
        <f t="shared" si="4"/>
        <v>8</v>
      </c>
    </row>
    <row r="151" spans="4:11">
      <c r="D151" s="42">
        <v>46185</v>
      </c>
      <c r="E151" s="43">
        <v>1611787</v>
      </c>
      <c r="F151" s="43" t="s">
        <v>22</v>
      </c>
      <c r="G151" s="44">
        <v>20005230</v>
      </c>
      <c r="H151" s="43" t="s">
        <v>167</v>
      </c>
      <c r="I151" s="44">
        <v>2</v>
      </c>
      <c r="J151" s="45">
        <v>313.5</v>
      </c>
      <c r="K151" s="45">
        <f t="shared" si="4"/>
        <v>627</v>
      </c>
    </row>
    <row r="152" spans="4:11">
      <c r="D152" s="42">
        <v>46185</v>
      </c>
      <c r="E152" s="43">
        <v>1611787</v>
      </c>
      <c r="F152" s="43" t="s">
        <v>13</v>
      </c>
      <c r="G152" s="44">
        <v>20005842</v>
      </c>
      <c r="H152" s="43" t="s">
        <v>155</v>
      </c>
      <c r="I152" s="44">
        <v>2</v>
      </c>
      <c r="J152" s="45">
        <v>16.5</v>
      </c>
      <c r="K152" s="45">
        <f t="shared" si="4"/>
        <v>33</v>
      </c>
    </row>
    <row r="153" spans="4:11">
      <c r="D153" s="42">
        <v>46185</v>
      </c>
      <c r="E153" s="43">
        <v>1611787</v>
      </c>
      <c r="F153" s="43" t="s">
        <v>13</v>
      </c>
      <c r="G153" s="44">
        <v>20008940</v>
      </c>
      <c r="H153" s="43" t="s">
        <v>156</v>
      </c>
      <c r="I153" s="44">
        <v>2</v>
      </c>
      <c r="J153" s="45">
        <v>8</v>
      </c>
      <c r="K153" s="45">
        <f t="shared" si="4"/>
        <v>16</v>
      </c>
    </row>
    <row r="154" spans="4:11">
      <c r="D154" s="42">
        <v>46185</v>
      </c>
      <c r="E154" s="43">
        <v>1611787</v>
      </c>
      <c r="F154" s="43" t="s">
        <v>13</v>
      </c>
      <c r="G154" s="44">
        <v>20383971</v>
      </c>
      <c r="H154" s="43" t="s">
        <v>210</v>
      </c>
      <c r="I154" s="44">
        <v>1</v>
      </c>
      <c r="J154" s="45">
        <v>13.5</v>
      </c>
      <c r="K154" s="45">
        <f t="shared" si="4"/>
        <v>13.5</v>
      </c>
    </row>
    <row r="155" spans="4:11">
      <c r="D155" s="42">
        <v>46185</v>
      </c>
      <c r="E155" s="43">
        <v>1611787</v>
      </c>
      <c r="F155" s="43" t="s">
        <v>13</v>
      </c>
      <c r="G155" s="44">
        <v>20008561</v>
      </c>
      <c r="H155" s="43" t="s">
        <v>211</v>
      </c>
      <c r="I155" s="44">
        <v>1</v>
      </c>
      <c r="J155" s="45">
        <v>8</v>
      </c>
      <c r="K155" s="45">
        <f t="shared" si="4"/>
        <v>8</v>
      </c>
    </row>
    <row r="156" spans="4:11">
      <c r="D156" s="42">
        <v>46185</v>
      </c>
      <c r="E156" s="43">
        <v>1611787</v>
      </c>
      <c r="F156" s="43" t="s">
        <v>16</v>
      </c>
      <c r="G156" s="44">
        <v>20005318</v>
      </c>
      <c r="H156" s="43" t="s">
        <v>179</v>
      </c>
      <c r="I156" s="44">
        <v>1</v>
      </c>
      <c r="J156" s="45">
        <v>16.5</v>
      </c>
      <c r="K156" s="45">
        <f t="shared" si="4"/>
        <v>16.5</v>
      </c>
    </row>
    <row r="157" spans="4:11">
      <c r="D157" s="42">
        <v>46185</v>
      </c>
      <c r="E157" s="43">
        <v>1611787</v>
      </c>
      <c r="F157" s="43" t="s">
        <v>16</v>
      </c>
      <c r="G157" s="44">
        <v>20005224</v>
      </c>
      <c r="H157" s="43" t="s">
        <v>188</v>
      </c>
      <c r="I157" s="44">
        <v>1</v>
      </c>
      <c r="J157" s="45">
        <v>16.5</v>
      </c>
      <c r="K157" s="45">
        <f t="shared" si="4"/>
        <v>16.5</v>
      </c>
    </row>
    <row r="158" spans="4:11">
      <c r="D158" s="42">
        <v>46185</v>
      </c>
      <c r="E158" s="43">
        <v>1611787</v>
      </c>
      <c r="F158" s="43" t="s">
        <v>16</v>
      </c>
      <c r="G158" s="44">
        <v>20007936</v>
      </c>
      <c r="H158" s="43" t="s">
        <v>212</v>
      </c>
      <c r="I158" s="44">
        <v>1</v>
      </c>
      <c r="J158" s="45">
        <v>66</v>
      </c>
      <c r="K158" s="45">
        <f t="shared" si="4"/>
        <v>66</v>
      </c>
    </row>
    <row r="159" spans="4:11">
      <c r="D159" s="42">
        <v>46185</v>
      </c>
      <c r="E159" s="43">
        <v>1611787</v>
      </c>
      <c r="F159" s="43" t="s">
        <v>16</v>
      </c>
      <c r="G159" s="44">
        <v>20429557</v>
      </c>
      <c r="H159" s="43" t="s">
        <v>213</v>
      </c>
      <c r="I159" s="44">
        <v>1</v>
      </c>
      <c r="J159" s="45">
        <v>22</v>
      </c>
      <c r="K159" s="45">
        <f t="shared" si="4"/>
        <v>22</v>
      </c>
    </row>
    <row r="160" spans="4:11">
      <c r="D160" s="42">
        <v>46185</v>
      </c>
      <c r="E160" s="43">
        <v>1611787</v>
      </c>
      <c r="F160" s="43" t="s">
        <v>16</v>
      </c>
      <c r="G160" s="44">
        <v>20005194</v>
      </c>
      <c r="H160" s="43" t="s">
        <v>214</v>
      </c>
      <c r="I160" s="44">
        <v>1</v>
      </c>
      <c r="J160" s="45">
        <v>22</v>
      </c>
      <c r="K160" s="45">
        <f t="shared" si="4"/>
        <v>22</v>
      </c>
    </row>
    <row r="161" spans="4:11">
      <c r="D161" s="42">
        <v>46185</v>
      </c>
      <c r="E161" s="43">
        <v>1611787</v>
      </c>
      <c r="F161" s="43" t="s">
        <v>19</v>
      </c>
      <c r="G161" s="44">
        <v>20417496</v>
      </c>
      <c r="H161" s="43" t="s">
        <v>162</v>
      </c>
      <c r="I161" s="44">
        <v>2</v>
      </c>
      <c r="J161" s="45">
        <v>4</v>
      </c>
      <c r="K161" s="45">
        <f t="shared" si="4"/>
        <v>8</v>
      </c>
    </row>
    <row r="162" spans="4:11">
      <c r="D162" s="42">
        <v>46185</v>
      </c>
      <c r="E162" s="43">
        <v>1611927</v>
      </c>
      <c r="F162" s="43" t="s">
        <v>193</v>
      </c>
      <c r="G162" s="44">
        <v>20392610</v>
      </c>
      <c r="H162" s="43" t="s">
        <v>194</v>
      </c>
      <c r="I162" s="44">
        <v>1</v>
      </c>
      <c r="J162" s="45">
        <v>165</v>
      </c>
      <c r="K162" s="45">
        <f t="shared" si="4"/>
        <v>165</v>
      </c>
    </row>
    <row r="163" spans="4:11">
      <c r="D163" s="42">
        <v>46185</v>
      </c>
      <c r="E163" s="43">
        <v>1611927</v>
      </c>
      <c r="F163" s="43" t="s">
        <v>195</v>
      </c>
      <c r="G163" s="44">
        <v>20392576</v>
      </c>
      <c r="H163" s="43" t="s">
        <v>196</v>
      </c>
      <c r="I163" s="44">
        <v>1</v>
      </c>
      <c r="J163" s="45">
        <v>28</v>
      </c>
      <c r="K163" s="45">
        <f t="shared" si="4"/>
        <v>28</v>
      </c>
    </row>
  </sheetData>
  <autoFilter xmlns:etc="http://www.wps.cn/officeDocument/2017/etCustomData" ref="A7:K163" etc:filterBottomFollowUsedRange="0">
    <extLst/>
  </autoFilter>
  <mergeCells count="5">
    <mergeCell ref="D8:H8"/>
    <mergeCell ref="C7:C163"/>
    <mergeCell ref="B4:H5"/>
    <mergeCell ref="C1:H2"/>
    <mergeCell ref="A7:B16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L36" sqref="L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215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84</v>
      </c>
      <c r="J8" s="41"/>
      <c r="K8" s="41">
        <v>879.5</v>
      </c>
    </row>
    <row r="9" spans="1:11">
      <c r="D9" s="42">
        <v>46160</v>
      </c>
      <c r="E9" s="43">
        <v>1604062</v>
      </c>
      <c r="F9" s="43" t="s">
        <v>13</v>
      </c>
      <c r="G9" s="44">
        <v>20324084</v>
      </c>
      <c r="H9" s="43" t="s">
        <v>24</v>
      </c>
      <c r="I9" s="44">
        <v>4</v>
      </c>
      <c r="J9" s="45">
        <v>8</v>
      </c>
      <c r="K9" s="45">
        <v>32</v>
      </c>
    </row>
    <row r="10" spans="1:11">
      <c r="D10" s="42">
        <v>46160</v>
      </c>
      <c r="E10" s="43">
        <v>1604062</v>
      </c>
      <c r="F10" s="43" t="s">
        <v>16</v>
      </c>
      <c r="G10" s="44">
        <v>20014275</v>
      </c>
      <c r="H10" s="43" t="s">
        <v>216</v>
      </c>
      <c r="I10" s="44">
        <v>2</v>
      </c>
      <c r="J10" s="45">
        <v>33</v>
      </c>
      <c r="K10" s="45">
        <v>66</v>
      </c>
    </row>
    <row r="11" spans="1:11">
      <c r="D11" s="42">
        <v>46162</v>
      </c>
      <c r="E11" s="43">
        <v>1604862</v>
      </c>
      <c r="F11" s="43" t="s">
        <v>19</v>
      </c>
      <c r="G11" s="44">
        <v>20320746</v>
      </c>
      <c r="H11" s="43" t="s">
        <v>217</v>
      </c>
      <c r="I11" s="44">
        <v>25</v>
      </c>
      <c r="J11" s="45">
        <v>4</v>
      </c>
      <c r="K11" s="45">
        <v>100</v>
      </c>
    </row>
    <row r="12" spans="1:11">
      <c r="D12" s="42">
        <v>46163</v>
      </c>
      <c r="E12" s="43">
        <v>1605191</v>
      </c>
      <c r="F12" s="43" t="s">
        <v>13</v>
      </c>
      <c r="G12" s="44">
        <v>20324084</v>
      </c>
      <c r="H12" s="43" t="s">
        <v>24</v>
      </c>
      <c r="I12" s="44">
        <v>1</v>
      </c>
      <c r="J12" s="45">
        <v>8</v>
      </c>
      <c r="K12" s="45">
        <v>8</v>
      </c>
    </row>
    <row r="13" spans="1:11">
      <c r="D13" s="42">
        <v>46163</v>
      </c>
      <c r="E13" s="43">
        <v>1605191</v>
      </c>
      <c r="F13" s="43" t="s">
        <v>16</v>
      </c>
      <c r="G13" s="44">
        <v>20014275</v>
      </c>
      <c r="H13" s="43" t="s">
        <v>216</v>
      </c>
      <c r="I13" s="44">
        <v>2</v>
      </c>
      <c r="J13" s="45">
        <v>33</v>
      </c>
      <c r="K13" s="45">
        <v>66</v>
      </c>
    </row>
    <row r="14" spans="1:11">
      <c r="D14" s="42">
        <v>46167</v>
      </c>
      <c r="E14" s="43">
        <v>1606124</v>
      </c>
      <c r="F14" s="43" t="s">
        <v>13</v>
      </c>
      <c r="G14" s="44">
        <v>20324084</v>
      </c>
      <c r="H14" s="43" t="s">
        <v>24</v>
      </c>
      <c r="I14" s="44">
        <v>4</v>
      </c>
      <c r="J14" s="45">
        <v>8</v>
      </c>
      <c r="K14" s="45">
        <v>32</v>
      </c>
    </row>
    <row r="15" spans="1:11">
      <c r="D15" s="42">
        <v>46167</v>
      </c>
      <c r="E15" s="43">
        <v>1606124</v>
      </c>
      <c r="F15" s="43" t="s">
        <v>13</v>
      </c>
      <c r="G15" s="44">
        <v>20008039</v>
      </c>
      <c r="H15" s="43" t="s">
        <v>150</v>
      </c>
      <c r="I15" s="44">
        <v>1</v>
      </c>
      <c r="J15" s="45">
        <v>11</v>
      </c>
      <c r="K15" s="45">
        <v>11</v>
      </c>
    </row>
    <row r="16" spans="1:11">
      <c r="D16" s="42">
        <v>46167</v>
      </c>
      <c r="E16" s="43">
        <v>1606124</v>
      </c>
      <c r="F16" s="43" t="s">
        <v>13</v>
      </c>
      <c r="G16" s="44">
        <v>20313751</v>
      </c>
      <c r="H16" s="43" t="s">
        <v>218</v>
      </c>
      <c r="I16" s="44">
        <v>1</v>
      </c>
      <c r="J16" s="45">
        <v>11</v>
      </c>
      <c r="K16" s="45">
        <v>11</v>
      </c>
    </row>
    <row r="17" spans="4:11">
      <c r="D17" s="42">
        <v>46167</v>
      </c>
      <c r="E17" s="43">
        <v>1606124</v>
      </c>
      <c r="F17" s="43" t="s">
        <v>13</v>
      </c>
      <c r="G17" s="44">
        <v>20008051</v>
      </c>
      <c r="H17" s="43" t="s">
        <v>219</v>
      </c>
      <c r="I17" s="44">
        <v>1</v>
      </c>
      <c r="J17" s="45">
        <v>8</v>
      </c>
      <c r="K17" s="45">
        <v>8</v>
      </c>
    </row>
    <row r="18" spans="4:11">
      <c r="D18" s="42">
        <v>46167</v>
      </c>
      <c r="E18" s="43">
        <v>1606124</v>
      </c>
      <c r="F18" s="43" t="s">
        <v>16</v>
      </c>
      <c r="G18" s="44">
        <v>20014275</v>
      </c>
      <c r="H18" s="43" t="s">
        <v>216</v>
      </c>
      <c r="I18" s="44">
        <v>3</v>
      </c>
      <c r="J18" s="45">
        <v>33</v>
      </c>
      <c r="K18" s="45">
        <v>99</v>
      </c>
    </row>
    <row r="19" spans="4:11">
      <c r="D19" s="42">
        <v>46170</v>
      </c>
      <c r="E19" s="43">
        <v>1607259</v>
      </c>
      <c r="F19" s="43" t="s">
        <v>16</v>
      </c>
      <c r="G19" s="44">
        <v>20014275</v>
      </c>
      <c r="H19" s="43" t="s">
        <v>216</v>
      </c>
      <c r="I19" s="44">
        <v>2</v>
      </c>
      <c r="J19" s="45">
        <v>33</v>
      </c>
      <c r="K19" s="45">
        <v>66</v>
      </c>
    </row>
    <row r="20" spans="4:11">
      <c r="D20" s="42">
        <v>46174</v>
      </c>
      <c r="E20" s="43">
        <v>1608165</v>
      </c>
      <c r="F20" s="43" t="s">
        <v>13</v>
      </c>
      <c r="G20" s="44">
        <v>20324084</v>
      </c>
      <c r="H20" s="43" t="s">
        <v>24</v>
      </c>
      <c r="I20" s="44">
        <v>1</v>
      </c>
      <c r="J20" s="45">
        <v>8</v>
      </c>
      <c r="K20" s="45">
        <v>8</v>
      </c>
    </row>
    <row r="21" spans="4:11">
      <c r="D21" s="42">
        <v>46174</v>
      </c>
      <c r="E21" s="43">
        <v>1608165</v>
      </c>
      <c r="F21" s="43" t="s">
        <v>16</v>
      </c>
      <c r="G21" s="44">
        <v>20014275</v>
      </c>
      <c r="H21" s="43" t="s">
        <v>216</v>
      </c>
      <c r="I21" s="44">
        <v>2</v>
      </c>
      <c r="J21" s="45">
        <v>33</v>
      </c>
      <c r="K21" s="45">
        <v>66</v>
      </c>
    </row>
    <row r="22" spans="4:11">
      <c r="D22" s="42">
        <v>46177</v>
      </c>
      <c r="E22" s="43">
        <v>1609320</v>
      </c>
      <c r="F22" s="43" t="s">
        <v>13</v>
      </c>
      <c r="G22" s="44">
        <v>20324084</v>
      </c>
      <c r="H22" s="43" t="s">
        <v>24</v>
      </c>
      <c r="I22" s="44">
        <v>1</v>
      </c>
      <c r="J22" s="45">
        <v>8</v>
      </c>
      <c r="K22" s="45">
        <v>8</v>
      </c>
    </row>
    <row r="23" spans="4:11">
      <c r="D23" s="42">
        <v>46178</v>
      </c>
      <c r="E23" s="43">
        <v>1609490</v>
      </c>
      <c r="F23" s="43" t="s">
        <v>165</v>
      </c>
      <c r="G23" s="44">
        <v>20313298</v>
      </c>
      <c r="H23" s="43" t="s">
        <v>220</v>
      </c>
      <c r="I23" s="44">
        <v>1</v>
      </c>
      <c r="J23" s="45">
        <v>22</v>
      </c>
      <c r="K23" s="45">
        <v>22</v>
      </c>
    </row>
    <row r="24" spans="4:11">
      <c r="D24" s="42">
        <v>46181</v>
      </c>
      <c r="E24" s="43">
        <v>1610262</v>
      </c>
      <c r="F24" s="43" t="s">
        <v>13</v>
      </c>
      <c r="G24" s="44">
        <v>20428930</v>
      </c>
      <c r="H24" s="43" t="s">
        <v>221</v>
      </c>
      <c r="I24" s="44">
        <v>1</v>
      </c>
      <c r="J24" s="45">
        <v>16.5</v>
      </c>
      <c r="K24" s="45">
        <v>16.5</v>
      </c>
    </row>
    <row r="25" spans="4:11">
      <c r="D25" s="42">
        <v>46181</v>
      </c>
      <c r="E25" s="43">
        <v>1610262</v>
      </c>
      <c r="F25" s="43" t="s">
        <v>16</v>
      </c>
      <c r="G25" s="44">
        <v>20014275</v>
      </c>
      <c r="H25" s="43" t="s">
        <v>216</v>
      </c>
      <c r="I25" s="44">
        <v>1</v>
      </c>
      <c r="J25" s="45">
        <v>33</v>
      </c>
      <c r="K25" s="45">
        <v>33</v>
      </c>
    </row>
    <row r="26" spans="4:11">
      <c r="D26" s="42">
        <v>46184</v>
      </c>
      <c r="E26" s="43">
        <v>1611402</v>
      </c>
      <c r="F26" s="43" t="s">
        <v>13</v>
      </c>
      <c r="G26" s="44">
        <v>20324084</v>
      </c>
      <c r="H26" s="43" t="s">
        <v>24</v>
      </c>
      <c r="I26" s="44">
        <v>4</v>
      </c>
      <c r="J26" s="45">
        <v>8</v>
      </c>
      <c r="K26" s="45">
        <v>32</v>
      </c>
    </row>
    <row r="27" spans="4:11">
      <c r="D27" s="42">
        <v>46184</v>
      </c>
      <c r="E27" s="43">
        <v>1611402</v>
      </c>
      <c r="F27" s="43" t="s">
        <v>16</v>
      </c>
      <c r="G27" s="44">
        <v>20014275</v>
      </c>
      <c r="H27" s="43" t="s">
        <v>216</v>
      </c>
      <c r="I27" s="44">
        <v>3</v>
      </c>
      <c r="J27" s="45">
        <v>33</v>
      </c>
      <c r="K27" s="45">
        <v>99</v>
      </c>
    </row>
    <row r="28" spans="4:11">
      <c r="D28" s="42">
        <v>46185</v>
      </c>
      <c r="E28" s="43">
        <v>1611671</v>
      </c>
      <c r="F28" s="43" t="s">
        <v>19</v>
      </c>
      <c r="G28" s="44">
        <v>20320746</v>
      </c>
      <c r="H28" s="43" t="s">
        <v>217</v>
      </c>
      <c r="I28" s="44">
        <v>24</v>
      </c>
      <c r="J28" s="45">
        <v>4</v>
      </c>
      <c r="K28" s="45">
        <v>96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L9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222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600</v>
      </c>
      <c r="J8" s="41"/>
      <c r="K8" s="41">
        <v>5586.5</v>
      </c>
    </row>
    <row r="9" spans="1:11">
      <c r="D9" s="42">
        <v>46157</v>
      </c>
      <c r="E9" s="43">
        <v>1603534</v>
      </c>
      <c r="F9" s="43" t="s">
        <v>13</v>
      </c>
      <c r="G9" s="44">
        <v>20375845</v>
      </c>
      <c r="H9" s="43" t="s">
        <v>223</v>
      </c>
      <c r="I9" s="44">
        <v>3</v>
      </c>
      <c r="J9" s="45">
        <v>13.5</v>
      </c>
      <c r="K9" s="45">
        <v>40.5</v>
      </c>
    </row>
    <row r="10" spans="1:11">
      <c r="D10" s="42">
        <v>46157</v>
      </c>
      <c r="E10" s="43">
        <v>1603534</v>
      </c>
      <c r="F10" s="43" t="s">
        <v>13</v>
      </c>
      <c r="G10" s="44">
        <v>20324084</v>
      </c>
      <c r="H10" s="43" t="s">
        <v>24</v>
      </c>
      <c r="I10" s="44">
        <v>1</v>
      </c>
      <c r="J10" s="45">
        <v>8</v>
      </c>
      <c r="K10" s="45">
        <v>8</v>
      </c>
    </row>
    <row r="11" spans="1:11">
      <c r="D11" s="42">
        <v>46157</v>
      </c>
      <c r="E11" s="43">
        <v>1603534</v>
      </c>
      <c r="F11" s="43" t="s">
        <v>13</v>
      </c>
      <c r="G11" s="44">
        <v>20338181</v>
      </c>
      <c r="H11" s="43" t="s">
        <v>224</v>
      </c>
      <c r="I11" s="44">
        <v>13</v>
      </c>
      <c r="J11" s="45">
        <v>8</v>
      </c>
      <c r="K11" s="45">
        <v>104</v>
      </c>
    </row>
    <row r="12" spans="1:11">
      <c r="D12" s="42">
        <v>46157</v>
      </c>
      <c r="E12" s="43">
        <v>1603534</v>
      </c>
      <c r="F12" s="43" t="s">
        <v>13</v>
      </c>
      <c r="G12" s="44">
        <v>20324290</v>
      </c>
      <c r="H12" s="43" t="s">
        <v>225</v>
      </c>
      <c r="I12" s="44">
        <v>1</v>
      </c>
      <c r="J12" s="45">
        <v>13.5</v>
      </c>
      <c r="K12" s="45">
        <v>13.5</v>
      </c>
    </row>
    <row r="13" spans="1:11">
      <c r="D13" s="42">
        <v>46160</v>
      </c>
      <c r="E13" s="43">
        <v>1604063</v>
      </c>
      <c r="F13" s="43" t="s">
        <v>13</v>
      </c>
      <c r="G13" s="44">
        <v>20375845</v>
      </c>
      <c r="H13" s="43" t="s">
        <v>223</v>
      </c>
      <c r="I13" s="44">
        <v>10</v>
      </c>
      <c r="J13" s="45">
        <v>13.5</v>
      </c>
      <c r="K13" s="45">
        <v>135</v>
      </c>
    </row>
    <row r="14" spans="1:11">
      <c r="D14" s="42">
        <v>46160</v>
      </c>
      <c r="E14" s="43">
        <v>1604063</v>
      </c>
      <c r="F14" s="43" t="s">
        <v>13</v>
      </c>
      <c r="G14" s="44">
        <v>20338181</v>
      </c>
      <c r="H14" s="43" t="s">
        <v>224</v>
      </c>
      <c r="I14" s="44">
        <v>28</v>
      </c>
      <c r="J14" s="45">
        <v>8</v>
      </c>
      <c r="K14" s="45">
        <v>224</v>
      </c>
    </row>
    <row r="15" spans="1:11">
      <c r="D15" s="42">
        <v>46160</v>
      </c>
      <c r="E15" s="43">
        <v>1604063</v>
      </c>
      <c r="F15" s="43" t="s">
        <v>13</v>
      </c>
      <c r="G15" s="44">
        <v>20324290</v>
      </c>
      <c r="H15" s="43" t="s">
        <v>225</v>
      </c>
      <c r="I15" s="44">
        <v>4</v>
      </c>
      <c r="J15" s="45">
        <v>13.5</v>
      </c>
      <c r="K15" s="45">
        <v>54</v>
      </c>
    </row>
    <row r="16" spans="1:11">
      <c r="D16" s="42">
        <v>46161</v>
      </c>
      <c r="E16" s="43">
        <v>1604418</v>
      </c>
      <c r="F16" s="43" t="s">
        <v>13</v>
      </c>
      <c r="G16" s="44">
        <v>20375845</v>
      </c>
      <c r="H16" s="43" t="s">
        <v>223</v>
      </c>
      <c r="I16" s="44">
        <v>3</v>
      </c>
      <c r="J16" s="45">
        <v>13.5</v>
      </c>
      <c r="K16" s="45">
        <v>40.5</v>
      </c>
    </row>
    <row r="17" spans="4:11">
      <c r="D17" s="42">
        <v>46161</v>
      </c>
      <c r="E17" s="43">
        <v>1604418</v>
      </c>
      <c r="F17" s="43" t="s">
        <v>13</v>
      </c>
      <c r="G17" s="44">
        <v>20338181</v>
      </c>
      <c r="H17" s="43" t="s">
        <v>224</v>
      </c>
      <c r="I17" s="44">
        <v>18</v>
      </c>
      <c r="J17" s="45">
        <v>8</v>
      </c>
      <c r="K17" s="45">
        <v>144</v>
      </c>
    </row>
    <row r="18" spans="4:11">
      <c r="D18" s="42">
        <v>46161</v>
      </c>
      <c r="E18" s="43">
        <v>1604418</v>
      </c>
      <c r="F18" s="43" t="s">
        <v>13</v>
      </c>
      <c r="G18" s="44">
        <v>20324290</v>
      </c>
      <c r="H18" s="43" t="s">
        <v>225</v>
      </c>
      <c r="I18" s="44">
        <v>1</v>
      </c>
      <c r="J18" s="45">
        <v>13.5</v>
      </c>
      <c r="K18" s="45">
        <v>13.5</v>
      </c>
    </row>
    <row r="19" spans="4:11">
      <c r="D19" s="42">
        <v>46162</v>
      </c>
      <c r="E19" s="43">
        <v>1604785</v>
      </c>
      <c r="F19" s="43" t="s">
        <v>13</v>
      </c>
      <c r="G19" s="44">
        <v>20375845</v>
      </c>
      <c r="H19" s="43" t="s">
        <v>223</v>
      </c>
      <c r="I19" s="44">
        <v>4</v>
      </c>
      <c r="J19" s="45">
        <v>13.5</v>
      </c>
      <c r="K19" s="45">
        <v>54</v>
      </c>
    </row>
    <row r="20" spans="4:11">
      <c r="D20" s="42">
        <v>46162</v>
      </c>
      <c r="E20" s="43">
        <v>1604785</v>
      </c>
      <c r="F20" s="43" t="s">
        <v>13</v>
      </c>
      <c r="G20" s="44">
        <v>20338181</v>
      </c>
      <c r="H20" s="43" t="s">
        <v>224</v>
      </c>
      <c r="I20" s="44">
        <v>19</v>
      </c>
      <c r="J20" s="45">
        <v>8</v>
      </c>
      <c r="K20" s="45">
        <v>152</v>
      </c>
    </row>
    <row r="21" spans="4:11">
      <c r="D21" s="42">
        <v>46162</v>
      </c>
      <c r="E21" s="43">
        <v>1604785</v>
      </c>
      <c r="F21" s="43" t="s">
        <v>13</v>
      </c>
      <c r="G21" s="44">
        <v>20324290</v>
      </c>
      <c r="H21" s="43" t="s">
        <v>225</v>
      </c>
      <c r="I21" s="44">
        <v>1</v>
      </c>
      <c r="J21" s="45">
        <v>13.5</v>
      </c>
      <c r="K21" s="45">
        <v>13.5</v>
      </c>
    </row>
    <row r="22" spans="4:11">
      <c r="D22" s="42">
        <v>46163</v>
      </c>
      <c r="E22" s="43">
        <v>1605192</v>
      </c>
      <c r="F22" s="43" t="s">
        <v>13</v>
      </c>
      <c r="G22" s="44">
        <v>20375845</v>
      </c>
      <c r="H22" s="43" t="s">
        <v>223</v>
      </c>
      <c r="I22" s="44">
        <v>7</v>
      </c>
      <c r="J22" s="45">
        <v>13.5</v>
      </c>
      <c r="K22" s="45">
        <v>94.5</v>
      </c>
    </row>
    <row r="23" spans="4:11">
      <c r="D23" s="42">
        <v>46163</v>
      </c>
      <c r="E23" s="43">
        <v>1605192</v>
      </c>
      <c r="F23" s="43" t="s">
        <v>13</v>
      </c>
      <c r="G23" s="44">
        <v>20338181</v>
      </c>
      <c r="H23" s="43" t="s">
        <v>224</v>
      </c>
      <c r="I23" s="44">
        <v>19</v>
      </c>
      <c r="J23" s="45">
        <v>8</v>
      </c>
      <c r="K23" s="45">
        <v>152</v>
      </c>
    </row>
    <row r="24" spans="4:11">
      <c r="D24" s="42">
        <v>46163</v>
      </c>
      <c r="E24" s="43">
        <v>1605192</v>
      </c>
      <c r="F24" s="43" t="s">
        <v>13</v>
      </c>
      <c r="G24" s="44">
        <v>20324290</v>
      </c>
      <c r="H24" s="43" t="s">
        <v>225</v>
      </c>
      <c r="I24" s="44">
        <v>1</v>
      </c>
      <c r="J24" s="45">
        <v>13.5</v>
      </c>
      <c r="K24" s="45">
        <v>13.5</v>
      </c>
    </row>
    <row r="25" spans="4:11">
      <c r="D25" s="42">
        <v>46164</v>
      </c>
      <c r="E25" s="43">
        <v>1605587</v>
      </c>
      <c r="F25" s="43" t="s">
        <v>13</v>
      </c>
      <c r="G25" s="44">
        <v>20375845</v>
      </c>
      <c r="H25" s="43" t="s">
        <v>223</v>
      </c>
      <c r="I25" s="44">
        <v>3</v>
      </c>
      <c r="J25" s="45">
        <v>13.5</v>
      </c>
      <c r="K25" s="45">
        <v>40.5</v>
      </c>
    </row>
    <row r="26" spans="4:11">
      <c r="D26" s="42">
        <v>46164</v>
      </c>
      <c r="E26" s="43">
        <v>1605587</v>
      </c>
      <c r="F26" s="43" t="s">
        <v>13</v>
      </c>
      <c r="G26" s="44">
        <v>20338181</v>
      </c>
      <c r="H26" s="43" t="s">
        <v>224</v>
      </c>
      <c r="I26" s="44">
        <v>17</v>
      </c>
      <c r="J26" s="45">
        <v>8</v>
      </c>
      <c r="K26" s="45">
        <v>136</v>
      </c>
    </row>
    <row r="27" spans="4:11">
      <c r="D27" s="42">
        <v>46164</v>
      </c>
      <c r="E27" s="43">
        <v>1605587</v>
      </c>
      <c r="F27" s="43" t="s">
        <v>13</v>
      </c>
      <c r="G27" s="44">
        <v>20324290</v>
      </c>
      <c r="H27" s="43" t="s">
        <v>225</v>
      </c>
      <c r="I27" s="44">
        <v>2</v>
      </c>
      <c r="J27" s="45">
        <v>13.5</v>
      </c>
      <c r="K27" s="45">
        <v>27</v>
      </c>
    </row>
    <row r="28" spans="4:11">
      <c r="D28" s="42">
        <v>46167</v>
      </c>
      <c r="E28" s="43">
        <v>1606125</v>
      </c>
      <c r="F28" s="43" t="s">
        <v>13</v>
      </c>
      <c r="G28" s="44">
        <v>20375845</v>
      </c>
      <c r="H28" s="43" t="s">
        <v>223</v>
      </c>
      <c r="I28" s="44">
        <v>5</v>
      </c>
      <c r="J28" s="45">
        <v>13.5</v>
      </c>
      <c r="K28" s="45">
        <v>67.5</v>
      </c>
    </row>
    <row r="29" spans="4:11">
      <c r="D29" s="42">
        <v>46167</v>
      </c>
      <c r="E29" s="43">
        <v>1606125</v>
      </c>
      <c r="F29" s="43" t="s">
        <v>13</v>
      </c>
      <c r="G29" s="44">
        <v>20338181</v>
      </c>
      <c r="H29" s="43" t="s">
        <v>224</v>
      </c>
      <c r="I29" s="44">
        <v>22</v>
      </c>
      <c r="J29" s="45">
        <v>8</v>
      </c>
      <c r="K29" s="45">
        <v>176</v>
      </c>
    </row>
    <row r="30" spans="4:11">
      <c r="D30" s="42">
        <v>46167</v>
      </c>
      <c r="E30" s="43">
        <v>1606125</v>
      </c>
      <c r="F30" s="43" t="s">
        <v>13</v>
      </c>
      <c r="G30" s="44">
        <v>20345588</v>
      </c>
      <c r="H30" s="43" t="s">
        <v>226</v>
      </c>
      <c r="I30" s="44">
        <v>1</v>
      </c>
      <c r="J30" s="45">
        <v>8</v>
      </c>
      <c r="K30" s="45">
        <v>8</v>
      </c>
    </row>
    <row r="31" spans="4:11">
      <c r="D31" s="42">
        <v>46167</v>
      </c>
      <c r="E31" s="43">
        <v>1606125</v>
      </c>
      <c r="F31" s="43" t="s">
        <v>13</v>
      </c>
      <c r="G31" s="44">
        <v>20324290</v>
      </c>
      <c r="H31" s="43" t="s">
        <v>225</v>
      </c>
      <c r="I31" s="44">
        <v>3</v>
      </c>
      <c r="J31" s="45">
        <v>13.5</v>
      </c>
      <c r="K31" s="45">
        <v>40.5</v>
      </c>
    </row>
    <row r="32" spans="4:11">
      <c r="D32" s="42">
        <v>46168</v>
      </c>
      <c r="E32" s="43">
        <v>1606497</v>
      </c>
      <c r="F32" s="43" t="s">
        <v>13</v>
      </c>
      <c r="G32" s="44">
        <v>20375845</v>
      </c>
      <c r="H32" s="43" t="s">
        <v>223</v>
      </c>
      <c r="I32" s="44">
        <v>3</v>
      </c>
      <c r="J32" s="45">
        <v>13.5</v>
      </c>
      <c r="K32" s="45">
        <v>40.5</v>
      </c>
    </row>
    <row r="33" spans="4:11">
      <c r="D33" s="42">
        <v>46168</v>
      </c>
      <c r="E33" s="43">
        <v>1606497</v>
      </c>
      <c r="F33" s="43" t="s">
        <v>13</v>
      </c>
      <c r="G33" s="44">
        <v>20338181</v>
      </c>
      <c r="H33" s="43" t="s">
        <v>224</v>
      </c>
      <c r="I33" s="44">
        <v>12</v>
      </c>
      <c r="J33" s="45">
        <v>8</v>
      </c>
      <c r="K33" s="45">
        <v>96</v>
      </c>
    </row>
    <row r="34" spans="4:11">
      <c r="D34" s="42">
        <v>46168</v>
      </c>
      <c r="E34" s="43">
        <v>1606497</v>
      </c>
      <c r="F34" s="43" t="s">
        <v>13</v>
      </c>
      <c r="G34" s="44">
        <v>20324290</v>
      </c>
      <c r="H34" s="43" t="s">
        <v>225</v>
      </c>
      <c r="I34" s="44">
        <v>1</v>
      </c>
      <c r="J34" s="45">
        <v>13.5</v>
      </c>
      <c r="K34" s="45">
        <v>13.5</v>
      </c>
    </row>
    <row r="35" spans="4:11">
      <c r="D35" s="42">
        <v>46169</v>
      </c>
      <c r="E35" s="43">
        <v>1606890</v>
      </c>
      <c r="F35" s="43" t="s">
        <v>13</v>
      </c>
      <c r="G35" s="44">
        <v>20375845</v>
      </c>
      <c r="H35" s="43" t="s">
        <v>223</v>
      </c>
      <c r="I35" s="44">
        <v>4</v>
      </c>
      <c r="J35" s="45">
        <v>13.5</v>
      </c>
      <c r="K35" s="45">
        <v>54</v>
      </c>
    </row>
    <row r="36" spans="4:11">
      <c r="D36" s="42">
        <v>46169</v>
      </c>
      <c r="E36" s="43">
        <v>1606890</v>
      </c>
      <c r="F36" s="43" t="s">
        <v>13</v>
      </c>
      <c r="G36" s="44">
        <v>20338181</v>
      </c>
      <c r="H36" s="43" t="s">
        <v>224</v>
      </c>
      <c r="I36" s="44">
        <v>22</v>
      </c>
      <c r="J36" s="45">
        <v>8</v>
      </c>
      <c r="K36" s="45">
        <v>176</v>
      </c>
    </row>
    <row r="37" spans="4:11">
      <c r="D37" s="42">
        <v>46169</v>
      </c>
      <c r="E37" s="43">
        <v>1606890</v>
      </c>
      <c r="F37" s="43" t="s">
        <v>13</v>
      </c>
      <c r="G37" s="44">
        <v>20345588</v>
      </c>
      <c r="H37" s="43" t="s">
        <v>226</v>
      </c>
      <c r="I37" s="44">
        <v>1</v>
      </c>
      <c r="J37" s="45">
        <v>8</v>
      </c>
      <c r="K37" s="45">
        <v>8</v>
      </c>
    </row>
    <row r="38" spans="4:11">
      <c r="D38" s="42">
        <v>46170</v>
      </c>
      <c r="E38" s="43">
        <v>1607260</v>
      </c>
      <c r="F38" s="43" t="s">
        <v>13</v>
      </c>
      <c r="G38" s="44">
        <v>20375845</v>
      </c>
      <c r="H38" s="43" t="s">
        <v>223</v>
      </c>
      <c r="I38" s="44">
        <v>4</v>
      </c>
      <c r="J38" s="45">
        <v>13.5</v>
      </c>
      <c r="K38" s="45">
        <v>54</v>
      </c>
    </row>
    <row r="39" spans="4:11">
      <c r="D39" s="42">
        <v>46170</v>
      </c>
      <c r="E39" s="43">
        <v>1607260</v>
      </c>
      <c r="F39" s="43" t="s">
        <v>13</v>
      </c>
      <c r="G39" s="44">
        <v>20338181</v>
      </c>
      <c r="H39" s="43" t="s">
        <v>224</v>
      </c>
      <c r="I39" s="44">
        <v>20</v>
      </c>
      <c r="J39" s="45">
        <v>8</v>
      </c>
      <c r="K39" s="45">
        <v>160</v>
      </c>
    </row>
    <row r="40" spans="4:11">
      <c r="D40" s="42">
        <v>46170</v>
      </c>
      <c r="E40" s="43">
        <v>1607260</v>
      </c>
      <c r="F40" s="43" t="s">
        <v>13</v>
      </c>
      <c r="G40" s="44">
        <v>20324290</v>
      </c>
      <c r="H40" s="43" t="s">
        <v>225</v>
      </c>
      <c r="I40" s="44">
        <v>2</v>
      </c>
      <c r="J40" s="45">
        <v>13.5</v>
      </c>
      <c r="K40" s="45">
        <v>27</v>
      </c>
    </row>
    <row r="41" spans="4:11">
      <c r="D41" s="42">
        <v>46171</v>
      </c>
      <c r="E41" s="43">
        <v>1607611</v>
      </c>
      <c r="F41" s="43" t="s">
        <v>13</v>
      </c>
      <c r="G41" s="44">
        <v>20375845</v>
      </c>
      <c r="H41" s="43" t="s">
        <v>223</v>
      </c>
      <c r="I41" s="44">
        <v>4</v>
      </c>
      <c r="J41" s="45">
        <v>13.5</v>
      </c>
      <c r="K41" s="45">
        <v>54</v>
      </c>
    </row>
    <row r="42" spans="4:11">
      <c r="D42" s="42">
        <v>46171</v>
      </c>
      <c r="E42" s="43">
        <v>1607611</v>
      </c>
      <c r="F42" s="43" t="s">
        <v>13</v>
      </c>
      <c r="G42" s="44">
        <v>20338181</v>
      </c>
      <c r="H42" s="43" t="s">
        <v>224</v>
      </c>
      <c r="I42" s="44">
        <v>21</v>
      </c>
      <c r="J42" s="45">
        <v>8</v>
      </c>
      <c r="K42" s="45">
        <v>168</v>
      </c>
    </row>
    <row r="43" spans="4:11">
      <c r="D43" s="42">
        <v>46171</v>
      </c>
      <c r="E43" s="43">
        <v>1607611</v>
      </c>
      <c r="F43" s="43" t="s">
        <v>13</v>
      </c>
      <c r="G43" s="44">
        <v>20324290</v>
      </c>
      <c r="H43" s="43" t="s">
        <v>225</v>
      </c>
      <c r="I43" s="44">
        <v>3</v>
      </c>
      <c r="J43" s="45">
        <v>13.5</v>
      </c>
      <c r="K43" s="45">
        <v>40.5</v>
      </c>
    </row>
    <row r="44" spans="4:11">
      <c r="D44" s="42">
        <v>46174</v>
      </c>
      <c r="E44" s="43">
        <v>1608166</v>
      </c>
      <c r="F44" s="43" t="s">
        <v>13</v>
      </c>
      <c r="G44" s="44">
        <v>20375845</v>
      </c>
      <c r="H44" s="43" t="s">
        <v>223</v>
      </c>
      <c r="I44" s="44">
        <v>10</v>
      </c>
      <c r="J44" s="45">
        <v>13.5</v>
      </c>
      <c r="K44" s="45">
        <v>135</v>
      </c>
    </row>
    <row r="45" spans="4:11">
      <c r="D45" s="42">
        <v>46174</v>
      </c>
      <c r="E45" s="43">
        <v>1608166</v>
      </c>
      <c r="F45" s="43" t="s">
        <v>13</v>
      </c>
      <c r="G45" s="44">
        <v>20324084</v>
      </c>
      <c r="H45" s="43" t="s">
        <v>24</v>
      </c>
      <c r="I45" s="44">
        <v>1</v>
      </c>
      <c r="J45" s="45">
        <v>8</v>
      </c>
      <c r="K45" s="45">
        <v>8</v>
      </c>
    </row>
    <row r="46" spans="4:11">
      <c r="D46" s="42">
        <v>46174</v>
      </c>
      <c r="E46" s="43">
        <v>1608166</v>
      </c>
      <c r="F46" s="43" t="s">
        <v>13</v>
      </c>
      <c r="G46" s="44">
        <v>20338181</v>
      </c>
      <c r="H46" s="43" t="s">
        <v>224</v>
      </c>
      <c r="I46" s="44">
        <v>22</v>
      </c>
      <c r="J46" s="45">
        <v>8</v>
      </c>
      <c r="K46" s="45">
        <v>176</v>
      </c>
    </row>
    <row r="47" spans="4:11">
      <c r="D47" s="42">
        <v>46174</v>
      </c>
      <c r="E47" s="43">
        <v>1608166</v>
      </c>
      <c r="F47" s="43" t="s">
        <v>13</v>
      </c>
      <c r="G47" s="44">
        <v>20324290</v>
      </c>
      <c r="H47" s="43" t="s">
        <v>225</v>
      </c>
      <c r="I47" s="44">
        <v>7</v>
      </c>
      <c r="J47" s="45">
        <v>13.5</v>
      </c>
      <c r="K47" s="45">
        <v>94.5</v>
      </c>
    </row>
    <row r="48" spans="4:11">
      <c r="D48" s="42">
        <v>46175</v>
      </c>
      <c r="E48" s="43">
        <v>1608563</v>
      </c>
      <c r="F48" s="43" t="s">
        <v>13</v>
      </c>
      <c r="G48" s="44">
        <v>20375845</v>
      </c>
      <c r="H48" s="43" t="s">
        <v>223</v>
      </c>
      <c r="I48" s="44">
        <v>3</v>
      </c>
      <c r="J48" s="45">
        <v>13.5</v>
      </c>
      <c r="K48" s="45">
        <v>40.5</v>
      </c>
    </row>
    <row r="49" spans="4:11">
      <c r="D49" s="42">
        <v>46175</v>
      </c>
      <c r="E49" s="43">
        <v>1608563</v>
      </c>
      <c r="F49" s="43" t="s">
        <v>13</v>
      </c>
      <c r="G49" s="44">
        <v>20338181</v>
      </c>
      <c r="H49" s="43" t="s">
        <v>224</v>
      </c>
      <c r="I49" s="44">
        <v>18</v>
      </c>
      <c r="J49" s="45">
        <v>8</v>
      </c>
      <c r="K49" s="45">
        <v>144</v>
      </c>
    </row>
    <row r="50" spans="4:11">
      <c r="D50" s="42">
        <v>46175</v>
      </c>
      <c r="E50" s="43">
        <v>1608563</v>
      </c>
      <c r="F50" s="43" t="s">
        <v>13</v>
      </c>
      <c r="G50" s="44">
        <v>20396550</v>
      </c>
      <c r="H50" s="43" t="s">
        <v>227</v>
      </c>
      <c r="I50" s="44">
        <v>1</v>
      </c>
      <c r="J50" s="45">
        <v>8</v>
      </c>
      <c r="K50" s="45">
        <v>8</v>
      </c>
    </row>
    <row r="51" spans="4:11">
      <c r="D51" s="42">
        <v>46175</v>
      </c>
      <c r="E51" s="43">
        <v>1608563</v>
      </c>
      <c r="F51" s="43" t="s">
        <v>13</v>
      </c>
      <c r="G51" s="44">
        <v>20324290</v>
      </c>
      <c r="H51" s="43" t="s">
        <v>225</v>
      </c>
      <c r="I51" s="44">
        <v>1</v>
      </c>
      <c r="J51" s="45">
        <v>13.5</v>
      </c>
      <c r="K51" s="45">
        <v>13.5</v>
      </c>
    </row>
    <row r="52" spans="4:11">
      <c r="D52" s="42">
        <v>46175</v>
      </c>
      <c r="E52" s="43">
        <v>1608583</v>
      </c>
      <c r="F52" s="43" t="s">
        <v>13</v>
      </c>
      <c r="G52" s="44">
        <v>20338181</v>
      </c>
      <c r="H52" s="43" t="s">
        <v>224</v>
      </c>
      <c r="I52" s="44">
        <v>1</v>
      </c>
      <c r="J52" s="45">
        <v>8</v>
      </c>
      <c r="K52" s="45">
        <v>8</v>
      </c>
    </row>
    <row r="53" spans="4:11">
      <c r="D53" s="42">
        <v>46176</v>
      </c>
      <c r="E53" s="43">
        <v>1608921</v>
      </c>
      <c r="F53" s="43" t="s">
        <v>13</v>
      </c>
      <c r="G53" s="44">
        <v>20375845</v>
      </c>
      <c r="H53" s="43" t="s">
        <v>223</v>
      </c>
      <c r="I53" s="44">
        <v>6</v>
      </c>
      <c r="J53" s="45">
        <v>13.5</v>
      </c>
      <c r="K53" s="45">
        <v>81</v>
      </c>
    </row>
    <row r="54" spans="4:11">
      <c r="D54" s="42">
        <v>46176</v>
      </c>
      <c r="E54" s="43">
        <v>1608921</v>
      </c>
      <c r="F54" s="43" t="s">
        <v>13</v>
      </c>
      <c r="G54" s="44">
        <v>20338181</v>
      </c>
      <c r="H54" s="43" t="s">
        <v>224</v>
      </c>
      <c r="I54" s="44">
        <v>20</v>
      </c>
      <c r="J54" s="45">
        <v>8</v>
      </c>
      <c r="K54" s="45">
        <v>160</v>
      </c>
    </row>
    <row r="55" spans="4:11">
      <c r="D55" s="42">
        <v>46176</v>
      </c>
      <c r="E55" s="43">
        <v>1608921</v>
      </c>
      <c r="F55" s="43" t="s">
        <v>13</v>
      </c>
      <c r="G55" s="44">
        <v>20324290</v>
      </c>
      <c r="H55" s="43" t="s">
        <v>225</v>
      </c>
      <c r="I55" s="44">
        <v>3</v>
      </c>
      <c r="J55" s="45">
        <v>13.5</v>
      </c>
      <c r="K55" s="45">
        <v>40.5</v>
      </c>
    </row>
    <row r="56" spans="4:11">
      <c r="D56" s="42">
        <v>46176</v>
      </c>
      <c r="E56" s="43">
        <v>1608935</v>
      </c>
      <c r="F56" s="43" t="s">
        <v>13</v>
      </c>
      <c r="G56" s="44">
        <v>20338181</v>
      </c>
      <c r="H56" s="43" t="s">
        <v>224</v>
      </c>
      <c r="I56" s="44">
        <v>1</v>
      </c>
      <c r="J56" s="45">
        <v>8</v>
      </c>
      <c r="K56" s="45">
        <v>8</v>
      </c>
    </row>
    <row r="57" spans="4:11">
      <c r="D57" s="42">
        <v>46177</v>
      </c>
      <c r="E57" s="43">
        <v>1609321</v>
      </c>
      <c r="F57" s="43" t="s">
        <v>13</v>
      </c>
      <c r="G57" s="44">
        <v>20375845</v>
      </c>
      <c r="H57" s="43" t="s">
        <v>223</v>
      </c>
      <c r="I57" s="44">
        <v>5</v>
      </c>
      <c r="J57" s="45">
        <v>13.5</v>
      </c>
      <c r="K57" s="45">
        <v>67.5</v>
      </c>
    </row>
    <row r="58" spans="4:11">
      <c r="D58" s="42">
        <v>46177</v>
      </c>
      <c r="E58" s="43">
        <v>1609321</v>
      </c>
      <c r="F58" s="43" t="s">
        <v>13</v>
      </c>
      <c r="G58" s="44">
        <v>20338181</v>
      </c>
      <c r="H58" s="43" t="s">
        <v>224</v>
      </c>
      <c r="I58" s="44">
        <v>30</v>
      </c>
      <c r="J58" s="45">
        <v>8</v>
      </c>
      <c r="K58" s="45">
        <v>240</v>
      </c>
    </row>
    <row r="59" spans="4:11">
      <c r="D59" s="42">
        <v>46177</v>
      </c>
      <c r="E59" s="43">
        <v>1609321</v>
      </c>
      <c r="F59" s="43" t="s">
        <v>13</v>
      </c>
      <c r="G59" s="44">
        <v>20398985</v>
      </c>
      <c r="H59" s="43" t="s">
        <v>228</v>
      </c>
      <c r="I59" s="44">
        <v>1</v>
      </c>
      <c r="J59" s="45">
        <v>8</v>
      </c>
      <c r="K59" s="45">
        <v>8</v>
      </c>
    </row>
    <row r="60" spans="4:11">
      <c r="D60" s="42">
        <v>46177</v>
      </c>
      <c r="E60" s="43">
        <v>1609321</v>
      </c>
      <c r="F60" s="43" t="s">
        <v>13</v>
      </c>
      <c r="G60" s="44">
        <v>20345588</v>
      </c>
      <c r="H60" s="43" t="s">
        <v>226</v>
      </c>
      <c r="I60" s="44">
        <v>1</v>
      </c>
      <c r="J60" s="45">
        <v>8</v>
      </c>
      <c r="K60" s="45">
        <v>8</v>
      </c>
    </row>
    <row r="61" spans="4:11">
      <c r="D61" s="42">
        <v>46177</v>
      </c>
      <c r="E61" s="43">
        <v>1609321</v>
      </c>
      <c r="F61" s="43" t="s">
        <v>13</v>
      </c>
      <c r="G61" s="44">
        <v>20324290</v>
      </c>
      <c r="H61" s="43" t="s">
        <v>225</v>
      </c>
      <c r="I61" s="44">
        <v>3</v>
      </c>
      <c r="J61" s="45">
        <v>13.5</v>
      </c>
      <c r="K61" s="45">
        <v>40.5</v>
      </c>
    </row>
    <row r="62" spans="4:11">
      <c r="D62" s="42">
        <v>46178</v>
      </c>
      <c r="E62" s="43">
        <v>1609669</v>
      </c>
      <c r="F62" s="43" t="s">
        <v>13</v>
      </c>
      <c r="G62" s="44">
        <v>20375845</v>
      </c>
      <c r="H62" s="43" t="s">
        <v>223</v>
      </c>
      <c r="I62" s="44">
        <v>2</v>
      </c>
      <c r="J62" s="45">
        <v>13.5</v>
      </c>
      <c r="K62" s="45">
        <v>27</v>
      </c>
    </row>
    <row r="63" spans="4:11">
      <c r="D63" s="42">
        <v>46178</v>
      </c>
      <c r="E63" s="43">
        <v>1609669</v>
      </c>
      <c r="F63" s="43" t="s">
        <v>13</v>
      </c>
      <c r="G63" s="44">
        <v>20338181</v>
      </c>
      <c r="H63" s="43" t="s">
        <v>224</v>
      </c>
      <c r="I63" s="44">
        <v>25</v>
      </c>
      <c r="J63" s="45">
        <v>8</v>
      </c>
      <c r="K63" s="45">
        <v>200</v>
      </c>
    </row>
    <row r="64" spans="4:11">
      <c r="D64" s="42">
        <v>46178</v>
      </c>
      <c r="E64" s="43">
        <v>1609669</v>
      </c>
      <c r="F64" s="43" t="s">
        <v>13</v>
      </c>
      <c r="G64" s="44">
        <v>20324290</v>
      </c>
      <c r="H64" s="43" t="s">
        <v>225</v>
      </c>
      <c r="I64" s="44">
        <v>1</v>
      </c>
      <c r="J64" s="45">
        <v>13.5</v>
      </c>
      <c r="K64" s="45">
        <v>13.5</v>
      </c>
    </row>
    <row r="65" spans="4:11">
      <c r="D65" s="42">
        <v>46181</v>
      </c>
      <c r="E65" s="43">
        <v>1610263</v>
      </c>
      <c r="F65" s="43" t="s">
        <v>13</v>
      </c>
      <c r="G65" s="44">
        <v>20375845</v>
      </c>
      <c r="H65" s="43" t="s">
        <v>223</v>
      </c>
      <c r="I65" s="44">
        <v>7</v>
      </c>
      <c r="J65" s="45">
        <v>13.5</v>
      </c>
      <c r="K65" s="45">
        <v>94.5</v>
      </c>
    </row>
    <row r="66" spans="4:11">
      <c r="D66" s="42">
        <v>46181</v>
      </c>
      <c r="E66" s="43">
        <v>1610263</v>
      </c>
      <c r="F66" s="43" t="s">
        <v>13</v>
      </c>
      <c r="G66" s="44">
        <v>20324084</v>
      </c>
      <c r="H66" s="43" t="s">
        <v>24</v>
      </c>
      <c r="I66" s="44">
        <v>1</v>
      </c>
      <c r="J66" s="45">
        <v>8</v>
      </c>
      <c r="K66" s="45">
        <v>8</v>
      </c>
    </row>
    <row r="67" spans="4:11">
      <c r="D67" s="42">
        <v>46181</v>
      </c>
      <c r="E67" s="43">
        <v>1610263</v>
      </c>
      <c r="F67" s="43" t="s">
        <v>13</v>
      </c>
      <c r="G67" s="44">
        <v>20338181</v>
      </c>
      <c r="H67" s="43" t="s">
        <v>224</v>
      </c>
      <c r="I67" s="44">
        <v>33</v>
      </c>
      <c r="J67" s="45">
        <v>8</v>
      </c>
      <c r="K67" s="45">
        <v>264</v>
      </c>
    </row>
    <row r="68" spans="4:11">
      <c r="D68" s="42">
        <v>46181</v>
      </c>
      <c r="E68" s="43">
        <v>1610263</v>
      </c>
      <c r="F68" s="43" t="s">
        <v>13</v>
      </c>
      <c r="G68" s="44">
        <v>20324290</v>
      </c>
      <c r="H68" s="43" t="s">
        <v>225</v>
      </c>
      <c r="I68" s="44">
        <v>7</v>
      </c>
      <c r="J68" s="45">
        <v>13.5</v>
      </c>
      <c r="K68" s="45">
        <v>94.5</v>
      </c>
    </row>
    <row r="69" spans="4:11">
      <c r="D69" s="42">
        <v>46181</v>
      </c>
      <c r="E69" s="43">
        <v>1610263</v>
      </c>
      <c r="F69" s="43" t="s">
        <v>13</v>
      </c>
      <c r="G69" s="44">
        <v>20005845</v>
      </c>
      <c r="H69" s="43" t="s">
        <v>229</v>
      </c>
      <c r="I69" s="44">
        <v>1</v>
      </c>
      <c r="J69" s="45">
        <v>8</v>
      </c>
      <c r="K69" s="45">
        <v>8</v>
      </c>
    </row>
    <row r="70" spans="4:11">
      <c r="D70" s="42">
        <v>46182</v>
      </c>
      <c r="E70" s="43">
        <v>1610685</v>
      </c>
      <c r="F70" s="43" t="s">
        <v>13</v>
      </c>
      <c r="G70" s="44">
        <v>20375845</v>
      </c>
      <c r="H70" s="43" t="s">
        <v>223</v>
      </c>
      <c r="I70" s="44">
        <v>5</v>
      </c>
      <c r="J70" s="45">
        <v>13.5</v>
      </c>
      <c r="K70" s="45">
        <v>67.5</v>
      </c>
    </row>
    <row r="71" spans="4:11">
      <c r="D71" s="42">
        <v>46182</v>
      </c>
      <c r="E71" s="43">
        <v>1610685</v>
      </c>
      <c r="F71" s="43" t="s">
        <v>13</v>
      </c>
      <c r="G71" s="44">
        <v>20338181</v>
      </c>
      <c r="H71" s="43" t="s">
        <v>224</v>
      </c>
      <c r="I71" s="44">
        <v>20</v>
      </c>
      <c r="J71" s="45">
        <v>8</v>
      </c>
      <c r="K71" s="45">
        <v>160</v>
      </c>
    </row>
    <row r="72" spans="4:11">
      <c r="D72" s="42">
        <v>46182</v>
      </c>
      <c r="E72" s="43">
        <v>1610685</v>
      </c>
      <c r="F72" s="43" t="s">
        <v>13</v>
      </c>
      <c r="G72" s="44">
        <v>20324290</v>
      </c>
      <c r="H72" s="43" t="s">
        <v>225</v>
      </c>
      <c r="I72" s="44">
        <v>2</v>
      </c>
      <c r="J72" s="45">
        <v>13.5</v>
      </c>
      <c r="K72" s="45">
        <v>27</v>
      </c>
    </row>
    <row r="73" spans="4:11">
      <c r="D73" s="42">
        <v>46183</v>
      </c>
      <c r="E73" s="43">
        <v>1611046</v>
      </c>
      <c r="F73" s="43" t="s">
        <v>13</v>
      </c>
      <c r="G73" s="44">
        <v>20375845</v>
      </c>
      <c r="H73" s="43" t="s">
        <v>223</v>
      </c>
      <c r="I73" s="44">
        <v>2</v>
      </c>
      <c r="J73" s="45">
        <v>13.5</v>
      </c>
      <c r="K73" s="45">
        <v>27</v>
      </c>
    </row>
    <row r="74" spans="4:11">
      <c r="D74" s="42">
        <v>46183</v>
      </c>
      <c r="E74" s="43">
        <v>1611046</v>
      </c>
      <c r="F74" s="43" t="s">
        <v>13</v>
      </c>
      <c r="G74" s="44">
        <v>20338181</v>
      </c>
      <c r="H74" s="43" t="s">
        <v>224</v>
      </c>
      <c r="I74" s="44">
        <v>26</v>
      </c>
      <c r="J74" s="45">
        <v>8</v>
      </c>
      <c r="K74" s="45">
        <v>208</v>
      </c>
    </row>
    <row r="75" spans="4:11">
      <c r="D75" s="42">
        <v>46183</v>
      </c>
      <c r="E75" s="43">
        <v>1611046</v>
      </c>
      <c r="F75" s="43" t="s">
        <v>13</v>
      </c>
      <c r="G75" s="44">
        <v>20324290</v>
      </c>
      <c r="H75" s="43" t="s">
        <v>225</v>
      </c>
      <c r="I75" s="44">
        <v>1</v>
      </c>
      <c r="J75" s="45">
        <v>13.5</v>
      </c>
      <c r="K75" s="45">
        <v>13.5</v>
      </c>
    </row>
    <row r="76" spans="4:11">
      <c r="D76" s="42">
        <v>46184</v>
      </c>
      <c r="E76" s="43">
        <v>1611403</v>
      </c>
      <c r="F76" s="43" t="s">
        <v>13</v>
      </c>
      <c r="G76" s="44">
        <v>20375845</v>
      </c>
      <c r="H76" s="43" t="s">
        <v>223</v>
      </c>
      <c r="I76" s="44">
        <v>5</v>
      </c>
      <c r="J76" s="45">
        <v>13.5</v>
      </c>
      <c r="K76" s="45">
        <v>67.5</v>
      </c>
    </row>
    <row r="77" spans="4:11">
      <c r="D77" s="42">
        <v>46184</v>
      </c>
      <c r="E77" s="43">
        <v>1611403</v>
      </c>
      <c r="F77" s="43" t="s">
        <v>13</v>
      </c>
      <c r="G77" s="44">
        <v>20338181</v>
      </c>
      <c r="H77" s="43" t="s">
        <v>224</v>
      </c>
      <c r="I77" s="44">
        <v>26</v>
      </c>
      <c r="J77" s="45">
        <v>8</v>
      </c>
      <c r="K77" s="45">
        <v>208</v>
      </c>
    </row>
    <row r="78" spans="4:11">
      <c r="D78" s="42">
        <v>46184</v>
      </c>
      <c r="E78" s="43">
        <v>1611403</v>
      </c>
      <c r="F78" s="43" t="s">
        <v>13</v>
      </c>
      <c r="G78" s="44">
        <v>20345588</v>
      </c>
      <c r="H78" s="43" t="s">
        <v>226</v>
      </c>
      <c r="I78" s="44">
        <v>2</v>
      </c>
      <c r="J78" s="45">
        <v>8</v>
      </c>
      <c r="K78" s="45">
        <v>16</v>
      </c>
    </row>
    <row r="79" spans="4:11">
      <c r="D79" s="42">
        <v>46184</v>
      </c>
      <c r="E79" s="43">
        <v>1611403</v>
      </c>
      <c r="F79" s="43" t="s">
        <v>13</v>
      </c>
      <c r="G79" s="44">
        <v>20324290</v>
      </c>
      <c r="H79" s="43" t="s">
        <v>225</v>
      </c>
      <c r="I79" s="44">
        <v>1</v>
      </c>
      <c r="J79" s="45">
        <v>13.5</v>
      </c>
      <c r="K79" s="45">
        <v>13.5</v>
      </c>
    </row>
    <row r="80" spans="4:11">
      <c r="D80" s="42">
        <v>46185</v>
      </c>
      <c r="E80" s="43">
        <v>1611788</v>
      </c>
      <c r="F80" s="43" t="s">
        <v>13</v>
      </c>
      <c r="G80" s="44">
        <v>20375845</v>
      </c>
      <c r="H80" s="43" t="s">
        <v>223</v>
      </c>
      <c r="I80" s="44">
        <v>2</v>
      </c>
      <c r="J80" s="45">
        <v>13.5</v>
      </c>
      <c r="K80" s="45">
        <v>27</v>
      </c>
    </row>
    <row r="81" spans="4:11">
      <c r="D81" s="42">
        <v>46185</v>
      </c>
      <c r="E81" s="43">
        <v>1611788</v>
      </c>
      <c r="F81" s="43" t="s">
        <v>13</v>
      </c>
      <c r="G81" s="44">
        <v>20338181</v>
      </c>
      <c r="H81" s="43" t="s">
        <v>224</v>
      </c>
      <c r="I81" s="44">
        <v>13</v>
      </c>
      <c r="J81" s="45">
        <v>8</v>
      </c>
      <c r="K81" s="45">
        <v>104</v>
      </c>
    </row>
    <row r="82" spans="4:11">
      <c r="D82" s="42">
        <v>46185</v>
      </c>
      <c r="E82" s="43">
        <v>1611788</v>
      </c>
      <c r="F82" s="43" t="s">
        <v>13</v>
      </c>
      <c r="G82" s="44">
        <v>20324290</v>
      </c>
      <c r="H82" s="43" t="s">
        <v>225</v>
      </c>
      <c r="I82" s="44">
        <v>1</v>
      </c>
      <c r="J82" s="45">
        <v>13.5</v>
      </c>
      <c r="K82" s="45">
        <v>13.5</v>
      </c>
    </row>
  </sheetData>
  <autoFilter xmlns:etc="http://www.wps.cn/officeDocument/2017/etCustomData" ref="A7:K82" etc:filterBottomFollowUsedRange="0">
    <extLst/>
  </autoFilter>
  <mergeCells count="5">
    <mergeCell ref="D8:H8"/>
    <mergeCell ref="C7:C82"/>
    <mergeCell ref="B4:H5"/>
    <mergeCell ref="A7:B8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32" t="s">
        <v>0</v>
      </c>
    </row>
    <row r="2" ht="23.05" customHeight="1"/>
    <row r="3" ht="2" customHeight="1"/>
    <row r="4" ht="15.2" customHeight="1" spans="1:11">
      <c r="B4" s="33" t="s">
        <v>1</v>
      </c>
    </row>
    <row r="6" ht="2.95" customHeight="1"/>
    <row r="7" spans="1:11">
      <c r="A7" s="34" t="s">
        <v>2</v>
      </c>
      <c r="B7" s="35" t="s">
        <v>2</v>
      </c>
      <c r="C7" s="36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7" t="s">
        <v>11</v>
      </c>
    </row>
    <row r="8" ht="14.25" spans="1:11">
      <c r="D8" s="38" t="s">
        <v>230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94</v>
      </c>
      <c r="J8" s="41"/>
      <c r="K8" s="41">
        <v>1316.5</v>
      </c>
    </row>
    <row r="9" spans="1:11">
      <c r="D9" s="42">
        <v>46160</v>
      </c>
      <c r="E9" s="43">
        <v>1604064</v>
      </c>
      <c r="F9" s="43" t="s">
        <v>13</v>
      </c>
      <c r="G9" s="44">
        <v>20324084</v>
      </c>
      <c r="H9" s="43" t="s">
        <v>24</v>
      </c>
      <c r="I9" s="44">
        <v>1</v>
      </c>
      <c r="J9" s="45">
        <v>8</v>
      </c>
      <c r="K9" s="45">
        <v>8</v>
      </c>
    </row>
    <row r="10" spans="1:11">
      <c r="D10" s="42">
        <v>46160</v>
      </c>
      <c r="E10" s="43">
        <v>1604064</v>
      </c>
      <c r="F10" s="43" t="s">
        <v>13</v>
      </c>
      <c r="G10" s="44">
        <v>20005930</v>
      </c>
      <c r="H10" s="43" t="s">
        <v>25</v>
      </c>
      <c r="I10" s="44">
        <v>1</v>
      </c>
      <c r="J10" s="45">
        <v>8</v>
      </c>
      <c r="K10" s="45">
        <v>8</v>
      </c>
    </row>
    <row r="11" spans="1:11">
      <c r="D11" s="42">
        <v>46163</v>
      </c>
      <c r="E11" s="43">
        <v>1605193</v>
      </c>
      <c r="F11" s="43" t="s">
        <v>13</v>
      </c>
      <c r="G11" s="44">
        <v>20005255</v>
      </c>
      <c r="H11" s="43" t="s">
        <v>231</v>
      </c>
      <c r="I11" s="44">
        <v>1</v>
      </c>
      <c r="J11" s="45">
        <v>16.5</v>
      </c>
      <c r="K11" s="45">
        <v>16.5</v>
      </c>
    </row>
    <row r="12" spans="1:11">
      <c r="D12" s="42">
        <v>46163</v>
      </c>
      <c r="E12" s="43">
        <v>1605193</v>
      </c>
      <c r="F12" s="43" t="s">
        <v>13</v>
      </c>
      <c r="G12" s="44">
        <v>20314990</v>
      </c>
      <c r="H12" s="43" t="s">
        <v>56</v>
      </c>
      <c r="I12" s="44">
        <v>5</v>
      </c>
      <c r="J12" s="45">
        <v>8</v>
      </c>
      <c r="K12" s="45">
        <v>40</v>
      </c>
    </row>
    <row r="13" spans="1:11">
      <c r="D13" s="42">
        <v>46163</v>
      </c>
      <c r="E13" s="43">
        <v>1605193</v>
      </c>
      <c r="F13" s="43" t="s">
        <v>13</v>
      </c>
      <c r="G13" s="44">
        <v>20005930</v>
      </c>
      <c r="H13" s="43" t="s">
        <v>25</v>
      </c>
      <c r="I13" s="44">
        <v>4</v>
      </c>
      <c r="J13" s="45">
        <v>8</v>
      </c>
      <c r="K13" s="45">
        <v>32</v>
      </c>
    </row>
    <row r="14" spans="1:11">
      <c r="D14" s="42">
        <v>46163</v>
      </c>
      <c r="E14" s="43">
        <v>1605193</v>
      </c>
      <c r="F14" s="43" t="s">
        <v>114</v>
      </c>
      <c r="G14" s="44">
        <v>20381087</v>
      </c>
      <c r="H14" s="43" t="s">
        <v>232</v>
      </c>
      <c r="I14" s="44">
        <v>7</v>
      </c>
      <c r="J14" s="45">
        <v>38.5</v>
      </c>
      <c r="K14" s="45">
        <v>269.5</v>
      </c>
    </row>
    <row r="15" spans="1:11">
      <c r="D15" s="42">
        <v>46167</v>
      </c>
      <c r="E15" s="43">
        <v>1606126</v>
      </c>
      <c r="F15" s="43" t="s">
        <v>13</v>
      </c>
      <c r="G15" s="44">
        <v>20324084</v>
      </c>
      <c r="H15" s="43" t="s">
        <v>24</v>
      </c>
      <c r="I15" s="44">
        <v>1</v>
      </c>
      <c r="J15" s="45">
        <v>8</v>
      </c>
      <c r="K15" s="45">
        <v>8</v>
      </c>
    </row>
    <row r="16" spans="1:11">
      <c r="D16" s="42">
        <v>46167</v>
      </c>
      <c r="E16" s="43">
        <v>1606126</v>
      </c>
      <c r="F16" s="43" t="s">
        <v>13</v>
      </c>
      <c r="G16" s="44">
        <v>20314990</v>
      </c>
      <c r="H16" s="43" t="s">
        <v>56</v>
      </c>
      <c r="I16" s="44">
        <v>2</v>
      </c>
      <c r="J16" s="45">
        <v>8</v>
      </c>
      <c r="K16" s="45">
        <v>16</v>
      </c>
    </row>
    <row r="17" spans="4:11">
      <c r="D17" s="42">
        <v>46167</v>
      </c>
      <c r="E17" s="43">
        <v>1606126</v>
      </c>
      <c r="F17" s="43" t="s">
        <v>13</v>
      </c>
      <c r="G17" s="44">
        <v>20005930</v>
      </c>
      <c r="H17" s="43" t="s">
        <v>25</v>
      </c>
      <c r="I17" s="44">
        <v>3</v>
      </c>
      <c r="J17" s="45">
        <v>8</v>
      </c>
      <c r="K17" s="45">
        <v>24</v>
      </c>
    </row>
    <row r="18" spans="4:11">
      <c r="D18" s="42">
        <v>46170</v>
      </c>
      <c r="E18" s="43">
        <v>1607261</v>
      </c>
      <c r="F18" s="43" t="s">
        <v>13</v>
      </c>
      <c r="G18" s="44">
        <v>20005255</v>
      </c>
      <c r="H18" s="43" t="s">
        <v>231</v>
      </c>
      <c r="I18" s="44">
        <v>2</v>
      </c>
      <c r="J18" s="45">
        <v>16.5</v>
      </c>
      <c r="K18" s="45">
        <v>33</v>
      </c>
    </row>
    <row r="19" spans="4:11">
      <c r="D19" s="42">
        <v>46170</v>
      </c>
      <c r="E19" s="43">
        <v>1607261</v>
      </c>
      <c r="F19" s="43" t="s">
        <v>13</v>
      </c>
      <c r="G19" s="44">
        <v>20324084</v>
      </c>
      <c r="H19" s="43" t="s">
        <v>24</v>
      </c>
      <c r="I19" s="44">
        <v>1</v>
      </c>
      <c r="J19" s="45">
        <v>8</v>
      </c>
      <c r="K19" s="45">
        <v>8</v>
      </c>
    </row>
    <row r="20" spans="4:11">
      <c r="D20" s="42">
        <v>46170</v>
      </c>
      <c r="E20" s="43">
        <v>1607261</v>
      </c>
      <c r="F20" s="43" t="s">
        <v>13</v>
      </c>
      <c r="G20" s="44">
        <v>20381092</v>
      </c>
      <c r="H20" s="43" t="s">
        <v>233</v>
      </c>
      <c r="I20" s="44">
        <v>2</v>
      </c>
      <c r="J20" s="45">
        <v>8</v>
      </c>
      <c r="K20" s="45">
        <v>16</v>
      </c>
    </row>
    <row r="21" spans="4:11">
      <c r="D21" s="42">
        <v>46170</v>
      </c>
      <c r="E21" s="43">
        <v>1607261</v>
      </c>
      <c r="F21" s="43" t="s">
        <v>13</v>
      </c>
      <c r="G21" s="44">
        <v>20005930</v>
      </c>
      <c r="H21" s="43" t="s">
        <v>25</v>
      </c>
      <c r="I21" s="44">
        <v>5</v>
      </c>
      <c r="J21" s="45">
        <v>8</v>
      </c>
      <c r="K21" s="45">
        <v>40</v>
      </c>
    </row>
    <row r="22" spans="4:11">
      <c r="D22" s="42">
        <v>46170</v>
      </c>
      <c r="E22" s="43">
        <v>1607261</v>
      </c>
      <c r="F22" s="43" t="s">
        <v>114</v>
      </c>
      <c r="G22" s="44">
        <v>20381087</v>
      </c>
      <c r="H22" s="43" t="s">
        <v>232</v>
      </c>
      <c r="I22" s="44">
        <v>5</v>
      </c>
      <c r="J22" s="45">
        <v>38.5</v>
      </c>
      <c r="K22" s="45">
        <v>192.5</v>
      </c>
    </row>
    <row r="23" spans="4:11">
      <c r="D23" s="42">
        <v>46174</v>
      </c>
      <c r="E23" s="43">
        <v>1608167</v>
      </c>
      <c r="F23" s="43" t="s">
        <v>13</v>
      </c>
      <c r="G23" s="44">
        <v>20005255</v>
      </c>
      <c r="H23" s="43" t="s">
        <v>231</v>
      </c>
      <c r="I23" s="44">
        <v>1</v>
      </c>
      <c r="J23" s="45">
        <v>16.5</v>
      </c>
      <c r="K23" s="45">
        <v>16.5</v>
      </c>
    </row>
    <row r="24" spans="4:11">
      <c r="D24" s="42">
        <v>46174</v>
      </c>
      <c r="E24" s="43">
        <v>1608167</v>
      </c>
      <c r="F24" s="43" t="s">
        <v>13</v>
      </c>
      <c r="G24" s="44">
        <v>20314990</v>
      </c>
      <c r="H24" s="43" t="s">
        <v>56</v>
      </c>
      <c r="I24" s="44">
        <v>6</v>
      </c>
      <c r="J24" s="45">
        <v>8</v>
      </c>
      <c r="K24" s="45">
        <v>48</v>
      </c>
    </row>
    <row r="25" spans="4:11">
      <c r="D25" s="42">
        <v>46174</v>
      </c>
      <c r="E25" s="43">
        <v>1608167</v>
      </c>
      <c r="F25" s="43" t="s">
        <v>13</v>
      </c>
      <c r="G25" s="44">
        <v>20005930</v>
      </c>
      <c r="H25" s="43" t="s">
        <v>25</v>
      </c>
      <c r="I25" s="44">
        <v>9</v>
      </c>
      <c r="J25" s="45">
        <v>8</v>
      </c>
      <c r="K25" s="45">
        <v>72</v>
      </c>
    </row>
    <row r="26" spans="4:11">
      <c r="D26" s="42">
        <v>46177</v>
      </c>
      <c r="E26" s="43">
        <v>1609322</v>
      </c>
      <c r="F26" s="43" t="s">
        <v>13</v>
      </c>
      <c r="G26" s="44">
        <v>20005255</v>
      </c>
      <c r="H26" s="43" t="s">
        <v>231</v>
      </c>
      <c r="I26" s="44">
        <v>3</v>
      </c>
      <c r="J26" s="45">
        <v>16.5</v>
      </c>
      <c r="K26" s="45">
        <v>49.5</v>
      </c>
    </row>
    <row r="27" spans="4:11">
      <c r="D27" s="42">
        <v>46177</v>
      </c>
      <c r="E27" s="43">
        <v>1609322</v>
      </c>
      <c r="F27" s="43" t="s">
        <v>13</v>
      </c>
      <c r="G27" s="44">
        <v>20324084</v>
      </c>
      <c r="H27" s="43" t="s">
        <v>24</v>
      </c>
      <c r="I27" s="44">
        <v>1</v>
      </c>
      <c r="J27" s="45">
        <v>8</v>
      </c>
      <c r="K27" s="45">
        <v>8</v>
      </c>
    </row>
    <row r="28" spans="4:11">
      <c r="D28" s="42">
        <v>46177</v>
      </c>
      <c r="E28" s="43">
        <v>1609322</v>
      </c>
      <c r="F28" s="43" t="s">
        <v>13</v>
      </c>
      <c r="G28" s="44">
        <v>20314990</v>
      </c>
      <c r="H28" s="43" t="s">
        <v>56</v>
      </c>
      <c r="I28" s="44">
        <v>2</v>
      </c>
      <c r="J28" s="45">
        <v>8</v>
      </c>
      <c r="K28" s="45">
        <v>16</v>
      </c>
    </row>
    <row r="29" spans="4:11">
      <c r="D29" s="42">
        <v>46177</v>
      </c>
      <c r="E29" s="43">
        <v>1609322</v>
      </c>
      <c r="F29" s="43" t="s">
        <v>13</v>
      </c>
      <c r="G29" s="44">
        <v>20005930</v>
      </c>
      <c r="H29" s="43" t="s">
        <v>25</v>
      </c>
      <c r="I29" s="44">
        <v>3</v>
      </c>
      <c r="J29" s="45">
        <v>8</v>
      </c>
      <c r="K29" s="45">
        <v>24</v>
      </c>
    </row>
    <row r="30" spans="4:11">
      <c r="D30" s="42">
        <v>46177</v>
      </c>
      <c r="E30" s="43">
        <v>1609322</v>
      </c>
      <c r="F30" s="43" t="s">
        <v>114</v>
      </c>
      <c r="G30" s="44">
        <v>20381087</v>
      </c>
      <c r="H30" s="43" t="s">
        <v>232</v>
      </c>
      <c r="I30" s="44">
        <v>4</v>
      </c>
      <c r="J30" s="45">
        <v>38.5</v>
      </c>
      <c r="K30" s="45">
        <v>154</v>
      </c>
    </row>
    <row r="31" spans="4:11">
      <c r="D31" s="42">
        <v>46181</v>
      </c>
      <c r="E31" s="43">
        <v>1610264</v>
      </c>
      <c r="F31" s="43" t="s">
        <v>13</v>
      </c>
      <c r="G31" s="44">
        <v>20324084</v>
      </c>
      <c r="H31" s="43" t="s">
        <v>24</v>
      </c>
      <c r="I31" s="44">
        <v>2</v>
      </c>
      <c r="J31" s="45">
        <v>8</v>
      </c>
      <c r="K31" s="45">
        <v>16</v>
      </c>
    </row>
    <row r="32" spans="4:11">
      <c r="D32" s="42">
        <v>46181</v>
      </c>
      <c r="E32" s="43">
        <v>1610264</v>
      </c>
      <c r="F32" s="43" t="s">
        <v>13</v>
      </c>
      <c r="G32" s="44">
        <v>20314990</v>
      </c>
      <c r="H32" s="43" t="s">
        <v>56</v>
      </c>
      <c r="I32" s="44">
        <v>1</v>
      </c>
      <c r="J32" s="45">
        <v>8</v>
      </c>
      <c r="K32" s="45">
        <v>8</v>
      </c>
    </row>
    <row r="33" spans="4:11">
      <c r="D33" s="42">
        <v>46181</v>
      </c>
      <c r="E33" s="43">
        <v>1610264</v>
      </c>
      <c r="F33" s="43" t="s">
        <v>13</v>
      </c>
      <c r="G33" s="44">
        <v>20005930</v>
      </c>
      <c r="H33" s="43" t="s">
        <v>25</v>
      </c>
      <c r="I33" s="44">
        <v>6</v>
      </c>
      <c r="J33" s="45">
        <v>8</v>
      </c>
      <c r="K33" s="45">
        <v>48</v>
      </c>
    </row>
    <row r="34" spans="4:11">
      <c r="D34" s="42">
        <v>46184</v>
      </c>
      <c r="E34" s="43">
        <v>1611404</v>
      </c>
      <c r="F34" s="43" t="s">
        <v>13</v>
      </c>
      <c r="G34" s="44">
        <v>20005255</v>
      </c>
      <c r="H34" s="43" t="s">
        <v>231</v>
      </c>
      <c r="I34" s="44">
        <v>2</v>
      </c>
      <c r="J34" s="45">
        <v>16.5</v>
      </c>
      <c r="K34" s="45">
        <v>33</v>
      </c>
    </row>
    <row r="35" spans="4:11">
      <c r="D35" s="42">
        <v>46184</v>
      </c>
      <c r="E35" s="43">
        <v>1611404</v>
      </c>
      <c r="F35" s="43" t="s">
        <v>13</v>
      </c>
      <c r="G35" s="44">
        <v>20381089</v>
      </c>
      <c r="H35" s="43" t="s">
        <v>234</v>
      </c>
      <c r="I35" s="44">
        <v>1</v>
      </c>
      <c r="J35" s="45">
        <v>8</v>
      </c>
      <c r="K35" s="45">
        <v>8</v>
      </c>
    </row>
    <row r="36" spans="4:11">
      <c r="D36" s="42">
        <v>46184</v>
      </c>
      <c r="E36" s="43">
        <v>1611404</v>
      </c>
      <c r="F36" s="43" t="s">
        <v>13</v>
      </c>
      <c r="G36" s="44">
        <v>20381092</v>
      </c>
      <c r="H36" s="43" t="s">
        <v>233</v>
      </c>
      <c r="I36" s="44">
        <v>4</v>
      </c>
      <c r="J36" s="45">
        <v>8</v>
      </c>
      <c r="K36" s="45">
        <v>32</v>
      </c>
    </row>
    <row r="37" spans="4:11">
      <c r="D37" s="42">
        <v>46184</v>
      </c>
      <c r="E37" s="43">
        <v>1611404</v>
      </c>
      <c r="F37" s="43" t="s">
        <v>13</v>
      </c>
      <c r="G37" s="44">
        <v>20005930</v>
      </c>
      <c r="H37" s="43" t="s">
        <v>25</v>
      </c>
      <c r="I37" s="44">
        <v>9</v>
      </c>
      <c r="J37" s="45">
        <v>8</v>
      </c>
      <c r="K37" s="45">
        <v>72</v>
      </c>
    </row>
  </sheetData>
  <autoFilter xmlns:etc="http://www.wps.cn/officeDocument/2017/etCustomData" ref="A7:K37" etc:filterBottomFollowUsedRange="0">
    <extLst/>
  </autoFilter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&amp;"-,Regular"2026年6月15日 8:04 
&amp;"-,Bold"&amp;10 黑龙江省铂康医疗灭菌有限公司 &amp;R&amp;"Droid Sans Fallback"&amp;9第&amp;P页，共&amp;N页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view="pageBreakPreview" zoomScaleNormal="100" workbookViewId="0">
      <selection activeCell="I5" sqref="I5"/>
    </sheetView>
  </sheetViews>
  <sheetFormatPr defaultColWidth="9" defaultRowHeight="13.5"/>
  <cols>
    <col min="1" max="1" width="10" style="1" customWidth="1"/>
    <col min="2" max="2" width="9" style="1"/>
    <col min="3" max="3" width="15.75" style="1" customWidth="1"/>
    <col min="4" max="4" width="14.25" style="1" customWidth="1"/>
    <col min="5" max="5" width="27.75" style="1" customWidth="1"/>
    <col min="6" max="6" width="7.75" style="1" customWidth="1"/>
    <col min="7" max="7" width="8.875" style="1" customWidth="1"/>
    <col min="8" max="8" width="11.625" style="1" customWidth="1"/>
    <col min="9" max="16384" width="9" style="1"/>
  </cols>
  <sheetData>
    <row r="1" s="1" customFormat="1" ht="40" customHeight="1" spans="1:9">
      <c r="A1" s="2" t="s">
        <v>235</v>
      </c>
      <c r="B1" s="2"/>
      <c r="C1" s="2"/>
      <c r="D1" s="2"/>
      <c r="E1" s="2"/>
      <c r="F1" s="2"/>
      <c r="G1" s="2"/>
      <c r="H1" s="2"/>
    </row>
    <row r="2" s="1" customFormat="1" customHeight="1" spans="1:9">
      <c r="A2" s="3" t="s">
        <v>236</v>
      </c>
      <c r="B2" s="3"/>
      <c r="C2" s="3"/>
      <c r="D2" s="3"/>
      <c r="E2" s="3"/>
      <c r="F2" s="3"/>
      <c r="G2" s="3"/>
      <c r="H2" s="3"/>
    </row>
    <row r="3" s="1" customFormat="1" customHeight="1" spans="1:9">
      <c r="A3" s="3"/>
      <c r="B3" s="3"/>
      <c r="C3" s="3"/>
      <c r="D3" s="3"/>
      <c r="E3" s="3"/>
      <c r="F3" s="3"/>
      <c r="G3" s="3"/>
      <c r="H3" s="3"/>
      <c r="I3" s="1">
        <f>H10+H21+H29+H38+H47+H57+H65</f>
        <v>1637</v>
      </c>
    </row>
    <row r="4" s="1" customFormat="1" customHeight="1" spans="1:9">
      <c r="A4" s="3"/>
      <c r="B4" s="3"/>
      <c r="C4" s="3"/>
      <c r="D4" s="3"/>
      <c r="E4" s="3"/>
      <c r="F4" s="3"/>
      <c r="G4" s="3"/>
      <c r="H4" s="3"/>
      <c r="I4" s="1">
        <f>I3*1.25</f>
        <v>2046.25</v>
      </c>
    </row>
    <row r="5" s="1" customFormat="1" customHeight="1" spans="1:9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="1" customFormat="1" spans="1:9">
      <c r="A6" s="28">
        <v>46159</v>
      </c>
      <c r="B6" s="29">
        <v>1603830</v>
      </c>
      <c r="C6" s="29" t="s">
        <v>165</v>
      </c>
      <c r="D6" s="30">
        <v>20392742</v>
      </c>
      <c r="E6" s="29" t="s">
        <v>237</v>
      </c>
      <c r="F6" s="30">
        <v>1</v>
      </c>
      <c r="G6" s="31">
        <v>35</v>
      </c>
      <c r="H6" s="31">
        <f t="shared" ref="H6:H9" si="0">G6*F6</f>
        <v>35</v>
      </c>
    </row>
    <row r="7" s="1" customFormat="1" spans="1:9">
      <c r="A7" s="28">
        <v>46159</v>
      </c>
      <c r="B7" s="29">
        <v>1603830</v>
      </c>
      <c r="C7" s="29" t="s">
        <v>165</v>
      </c>
      <c r="D7" s="30">
        <v>20425851</v>
      </c>
      <c r="E7" s="29" t="s">
        <v>238</v>
      </c>
      <c r="F7" s="30">
        <v>1</v>
      </c>
      <c r="G7" s="31">
        <v>35</v>
      </c>
      <c r="H7" s="31">
        <f t="shared" si="0"/>
        <v>35</v>
      </c>
    </row>
    <row r="8" s="1" customFormat="1" spans="1:9">
      <c r="A8" s="28">
        <v>46159</v>
      </c>
      <c r="B8" s="29">
        <v>1603830</v>
      </c>
      <c r="C8" s="29" t="s">
        <v>193</v>
      </c>
      <c r="D8" s="30">
        <v>20392610</v>
      </c>
      <c r="E8" s="29" t="s">
        <v>194</v>
      </c>
      <c r="F8" s="30">
        <v>1</v>
      </c>
      <c r="G8" s="31">
        <v>165</v>
      </c>
      <c r="H8" s="31">
        <f t="shared" si="0"/>
        <v>165</v>
      </c>
    </row>
    <row r="9" s="1" customFormat="1" spans="1:9">
      <c r="A9" s="28">
        <v>46159</v>
      </c>
      <c r="B9" s="29">
        <v>1603830</v>
      </c>
      <c r="C9" s="29" t="s">
        <v>195</v>
      </c>
      <c r="D9" s="30">
        <v>20392576</v>
      </c>
      <c r="E9" s="29" t="s">
        <v>196</v>
      </c>
      <c r="F9" s="30">
        <v>1</v>
      </c>
      <c r="G9" s="31">
        <v>28</v>
      </c>
      <c r="H9" s="31">
        <f t="shared" si="0"/>
        <v>28</v>
      </c>
    </row>
    <row r="10" s="1" customFormat="1" spans="1:9">
      <c r="A10" s="10" t="s">
        <v>239</v>
      </c>
      <c r="B10" s="10"/>
      <c r="C10" s="10"/>
      <c r="D10" s="10"/>
      <c r="E10" s="10"/>
      <c r="F10" s="10"/>
      <c r="G10" s="10"/>
      <c r="H10" s="9">
        <f>SUM(H6:H9)</f>
        <v>263</v>
      </c>
    </row>
    <row r="13" s="1" customFormat="1" customHeight="1" spans="1:9">
      <c r="A13" s="3" t="s">
        <v>240</v>
      </c>
      <c r="B13" s="3"/>
      <c r="C13" s="3"/>
      <c r="D13" s="3"/>
      <c r="E13" s="3"/>
      <c r="F13" s="3"/>
      <c r="G13" s="3"/>
      <c r="H13" s="3"/>
    </row>
    <row r="14" s="1" customFormat="1" customHeight="1" spans="1:9">
      <c r="A14" s="3"/>
      <c r="B14" s="3"/>
      <c r="C14" s="3"/>
      <c r="D14" s="3"/>
      <c r="E14" s="3"/>
      <c r="F14" s="3"/>
      <c r="G14" s="3"/>
      <c r="H14" s="3"/>
    </row>
    <row r="15" s="1" customFormat="1" customHeight="1" spans="1:9">
      <c r="A15" s="3"/>
      <c r="B15" s="3"/>
      <c r="C15" s="3"/>
      <c r="D15" s="3"/>
      <c r="E15" s="3"/>
      <c r="F15" s="3"/>
      <c r="G15" s="3"/>
      <c r="H15" s="3"/>
    </row>
    <row r="16" s="1" customFormat="1" customHeight="1" spans="1:9">
      <c r="A16" s="4" t="s">
        <v>4</v>
      </c>
      <c r="B16" s="4" t="s">
        <v>5</v>
      </c>
      <c r="C16" s="4" t="s">
        <v>6</v>
      </c>
      <c r="D16" s="4" t="s">
        <v>7</v>
      </c>
      <c r="E16" s="4" t="s">
        <v>8</v>
      </c>
      <c r="F16" s="4" t="s">
        <v>9</v>
      </c>
      <c r="G16" s="4" t="s">
        <v>10</v>
      </c>
      <c r="H16" s="4" t="s">
        <v>11</v>
      </c>
    </row>
    <row r="17" s="1" customFormat="1" spans="1:8">
      <c r="A17" s="28">
        <v>46160</v>
      </c>
      <c r="B17" s="29">
        <v>1604093</v>
      </c>
      <c r="C17" s="29" t="s">
        <v>165</v>
      </c>
      <c r="D17" s="30">
        <v>20392742</v>
      </c>
      <c r="E17" s="29" t="s">
        <v>237</v>
      </c>
      <c r="F17" s="30">
        <v>1</v>
      </c>
      <c r="G17" s="31">
        <v>35</v>
      </c>
      <c r="H17" s="31">
        <f t="shared" ref="H17:H20" si="1">G17*F17</f>
        <v>35</v>
      </c>
    </row>
    <row r="18" s="1" customFormat="1" spans="1:8">
      <c r="A18" s="28">
        <v>46160</v>
      </c>
      <c r="B18" s="29">
        <v>1604093</v>
      </c>
      <c r="C18" s="29" t="s">
        <v>165</v>
      </c>
      <c r="D18" s="30">
        <v>20336881</v>
      </c>
      <c r="E18" s="29" t="s">
        <v>166</v>
      </c>
      <c r="F18" s="30">
        <v>1</v>
      </c>
      <c r="G18" s="31">
        <v>28</v>
      </c>
      <c r="H18" s="31">
        <f t="shared" si="1"/>
        <v>28</v>
      </c>
    </row>
    <row r="19" s="1" customFormat="1" spans="1:8">
      <c r="A19" s="28">
        <v>46160</v>
      </c>
      <c r="B19" s="29">
        <v>1604093</v>
      </c>
      <c r="C19" s="29" t="s">
        <v>165</v>
      </c>
      <c r="D19" s="30">
        <v>20425851</v>
      </c>
      <c r="E19" s="29" t="s">
        <v>238</v>
      </c>
      <c r="F19" s="30">
        <v>1</v>
      </c>
      <c r="G19" s="31">
        <v>35</v>
      </c>
      <c r="H19" s="31">
        <f t="shared" si="1"/>
        <v>35</v>
      </c>
    </row>
    <row r="20" s="1" customFormat="1" spans="1:8">
      <c r="A20" s="28">
        <v>46160</v>
      </c>
      <c r="B20" s="29">
        <v>1604093</v>
      </c>
      <c r="C20" s="29" t="s">
        <v>193</v>
      </c>
      <c r="D20" s="30">
        <v>20392610</v>
      </c>
      <c r="E20" s="29" t="s">
        <v>194</v>
      </c>
      <c r="F20" s="30">
        <v>1</v>
      </c>
      <c r="G20" s="31">
        <v>165</v>
      </c>
      <c r="H20" s="31">
        <f t="shared" si="1"/>
        <v>165</v>
      </c>
    </row>
    <row r="21" s="1" customFormat="1" spans="1:8">
      <c r="A21" s="10" t="s">
        <v>239</v>
      </c>
      <c r="B21" s="10"/>
      <c r="C21" s="10"/>
      <c r="D21" s="10"/>
      <c r="E21" s="10"/>
      <c r="F21" s="10"/>
      <c r="G21" s="10"/>
      <c r="H21" s="9">
        <f>SUM(H17:H20)</f>
        <v>263</v>
      </c>
    </row>
    <row r="24" s="1" customFormat="1" customHeight="1" spans="1:8">
      <c r="A24" s="3" t="s">
        <v>241</v>
      </c>
      <c r="B24" s="3"/>
      <c r="C24" s="3"/>
      <c r="D24" s="3"/>
      <c r="E24" s="3"/>
      <c r="F24" s="3"/>
      <c r="G24" s="3"/>
      <c r="H24" s="3"/>
    </row>
    <row r="25" s="1" customFormat="1" customHeight="1" spans="1:8">
      <c r="A25" s="3"/>
      <c r="B25" s="3"/>
      <c r="C25" s="3"/>
      <c r="D25" s="3"/>
      <c r="E25" s="3"/>
      <c r="F25" s="3"/>
      <c r="G25" s="3"/>
      <c r="H25" s="3"/>
    </row>
    <row r="26" s="1" customFormat="1" customHeight="1" spans="1:8">
      <c r="A26" s="3"/>
      <c r="B26" s="3"/>
      <c r="C26" s="3"/>
      <c r="D26" s="3"/>
      <c r="E26" s="3"/>
      <c r="F26" s="3"/>
      <c r="G26" s="3"/>
      <c r="H26" s="3"/>
    </row>
    <row r="27" s="1" customFormat="1" customHeight="1" spans="1:8">
      <c r="A27" s="4" t="s">
        <v>4</v>
      </c>
      <c r="B27" s="4" t="s">
        <v>5</v>
      </c>
      <c r="C27" s="4" t="s">
        <v>6</v>
      </c>
      <c r="D27" s="4" t="s">
        <v>7</v>
      </c>
      <c r="E27" s="4" t="s">
        <v>8</v>
      </c>
      <c r="F27" s="4" t="s">
        <v>9</v>
      </c>
      <c r="G27" s="4" t="s">
        <v>10</v>
      </c>
      <c r="H27" s="4" t="s">
        <v>11</v>
      </c>
    </row>
    <row r="28" s="1" customFormat="1" spans="1:8">
      <c r="A28" s="28">
        <v>46162</v>
      </c>
      <c r="B28" s="29">
        <v>1604859</v>
      </c>
      <c r="C28" s="29" t="s">
        <v>195</v>
      </c>
      <c r="D28" s="30">
        <v>20392576</v>
      </c>
      <c r="E28" s="29" t="s">
        <v>196</v>
      </c>
      <c r="F28" s="30">
        <v>1</v>
      </c>
      <c r="G28" s="31">
        <v>28</v>
      </c>
      <c r="H28" s="31">
        <f>G28*F28</f>
        <v>28</v>
      </c>
    </row>
    <row r="29" s="1" customFormat="1" spans="1:8">
      <c r="A29" s="10" t="s">
        <v>239</v>
      </c>
      <c r="B29" s="10"/>
      <c r="C29" s="10"/>
      <c r="D29" s="10"/>
      <c r="E29" s="10"/>
      <c r="F29" s="10"/>
      <c r="G29" s="10"/>
      <c r="H29" s="9">
        <f>SUM(H28:H28)</f>
        <v>28</v>
      </c>
    </row>
    <row r="32" s="1" customFormat="1" customHeight="1" spans="1:8">
      <c r="A32" s="3" t="s">
        <v>242</v>
      </c>
      <c r="B32" s="3"/>
      <c r="C32" s="3"/>
      <c r="D32" s="3"/>
      <c r="E32" s="3"/>
      <c r="F32" s="3"/>
      <c r="G32" s="3"/>
      <c r="H32" s="3"/>
    </row>
    <row r="33" s="1" customFormat="1" customHeight="1" spans="1:8">
      <c r="A33" s="3"/>
      <c r="B33" s="3"/>
      <c r="C33" s="3"/>
      <c r="D33" s="3"/>
      <c r="E33" s="3"/>
      <c r="F33" s="3"/>
      <c r="G33" s="3"/>
      <c r="H33" s="3"/>
    </row>
    <row r="34" s="1" customFormat="1" customHeight="1" spans="1:8">
      <c r="A34" s="3"/>
      <c r="B34" s="3"/>
      <c r="C34" s="3"/>
      <c r="D34" s="3"/>
      <c r="E34" s="3"/>
      <c r="F34" s="3"/>
      <c r="G34" s="3"/>
      <c r="H34" s="3"/>
    </row>
    <row r="35" s="1" customFormat="1" customHeight="1" spans="1:8">
      <c r="A35" s="4" t="s">
        <v>4</v>
      </c>
      <c r="B35" s="4" t="s">
        <v>5</v>
      </c>
      <c r="C35" s="4" t="s">
        <v>6</v>
      </c>
      <c r="D35" s="4" t="s">
        <v>7</v>
      </c>
      <c r="E35" s="4" t="s">
        <v>8</v>
      </c>
      <c r="F35" s="4" t="s">
        <v>9</v>
      </c>
      <c r="G35" s="4" t="s">
        <v>10</v>
      </c>
      <c r="H35" s="4" t="s">
        <v>11</v>
      </c>
    </row>
    <row r="36" s="1" customFormat="1" spans="1:8">
      <c r="A36" s="28">
        <v>46178</v>
      </c>
      <c r="B36" s="29">
        <v>1609815</v>
      </c>
      <c r="C36" s="29" t="s">
        <v>195</v>
      </c>
      <c r="D36" s="30">
        <v>20392576</v>
      </c>
      <c r="E36" s="29" t="s">
        <v>196</v>
      </c>
      <c r="F36" s="30">
        <v>1</v>
      </c>
      <c r="G36" s="31">
        <v>28</v>
      </c>
      <c r="H36" s="31">
        <f>G36*F36</f>
        <v>28</v>
      </c>
    </row>
    <row r="37" s="1" customFormat="1" spans="1:8">
      <c r="A37" s="28">
        <v>46178</v>
      </c>
      <c r="B37" s="29">
        <v>1609907</v>
      </c>
      <c r="C37" s="29" t="s">
        <v>193</v>
      </c>
      <c r="D37" s="30">
        <v>20392610</v>
      </c>
      <c r="E37" s="29" t="s">
        <v>194</v>
      </c>
      <c r="F37" s="30">
        <v>1</v>
      </c>
      <c r="G37" s="31">
        <v>165</v>
      </c>
      <c r="H37" s="31">
        <f>G37*F37</f>
        <v>165</v>
      </c>
    </row>
    <row r="38" s="1" customFormat="1" spans="1:8">
      <c r="A38" s="10" t="s">
        <v>239</v>
      </c>
      <c r="B38" s="10"/>
      <c r="C38" s="10"/>
      <c r="D38" s="10"/>
      <c r="E38" s="10"/>
      <c r="F38" s="10"/>
      <c r="G38" s="10"/>
      <c r="H38" s="9">
        <f>SUM(H36:H37)</f>
        <v>193</v>
      </c>
    </row>
    <row r="41" s="1" customFormat="1" customHeight="1" spans="1:8">
      <c r="A41" s="3" t="s">
        <v>243</v>
      </c>
      <c r="B41" s="3"/>
      <c r="C41" s="3"/>
      <c r="D41" s="3"/>
      <c r="E41" s="3"/>
      <c r="F41" s="3"/>
      <c r="G41" s="3"/>
      <c r="H41" s="3"/>
    </row>
    <row r="42" s="1" customFormat="1" customHeight="1" spans="1:8">
      <c r="A42" s="3"/>
      <c r="B42" s="3"/>
      <c r="C42" s="3"/>
      <c r="D42" s="3"/>
      <c r="E42" s="3"/>
      <c r="F42" s="3"/>
      <c r="G42" s="3"/>
      <c r="H42" s="3"/>
    </row>
    <row r="43" s="1" customFormat="1" customHeight="1" spans="1:8">
      <c r="A43" s="3"/>
      <c r="B43" s="3"/>
      <c r="C43" s="3"/>
      <c r="D43" s="3"/>
      <c r="E43" s="3"/>
      <c r="F43" s="3"/>
      <c r="G43" s="3"/>
      <c r="H43" s="3"/>
    </row>
    <row r="44" s="1" customFormat="1" customHeight="1" spans="1:8">
      <c r="A44" s="4" t="s">
        <v>4</v>
      </c>
      <c r="B44" s="4" t="s">
        <v>5</v>
      </c>
      <c r="C44" s="4" t="s">
        <v>6</v>
      </c>
      <c r="D44" s="4" t="s">
        <v>7</v>
      </c>
      <c r="E44" s="4" t="s">
        <v>8</v>
      </c>
      <c r="F44" s="4" t="s">
        <v>9</v>
      </c>
      <c r="G44" s="4" t="s">
        <v>10</v>
      </c>
      <c r="H44" s="4" t="s">
        <v>11</v>
      </c>
    </row>
    <row r="45" s="1" customFormat="1" customHeight="1" spans="1:8">
      <c r="A45" s="28">
        <v>46180</v>
      </c>
      <c r="B45" s="29">
        <v>1610033</v>
      </c>
      <c r="C45" s="29" t="s">
        <v>193</v>
      </c>
      <c r="D45" s="30">
        <v>20392610</v>
      </c>
      <c r="E45" s="29" t="s">
        <v>194</v>
      </c>
      <c r="F45" s="30">
        <v>1</v>
      </c>
      <c r="G45" s="31">
        <v>165</v>
      </c>
      <c r="H45" s="31">
        <f>G45*F45</f>
        <v>165</v>
      </c>
    </row>
    <row r="46" s="1" customFormat="1" customHeight="1" spans="1:8">
      <c r="A46" s="28">
        <v>46180</v>
      </c>
      <c r="B46" s="29">
        <v>1610033</v>
      </c>
      <c r="C46" s="29" t="s">
        <v>195</v>
      </c>
      <c r="D46" s="30">
        <v>20392576</v>
      </c>
      <c r="E46" s="29" t="s">
        <v>196</v>
      </c>
      <c r="F46" s="30">
        <v>1</v>
      </c>
      <c r="G46" s="31">
        <v>28</v>
      </c>
      <c r="H46" s="31">
        <f>G46*F46</f>
        <v>28</v>
      </c>
    </row>
    <row r="47" s="1" customFormat="1" customHeight="1" spans="1:8">
      <c r="A47" s="10" t="s">
        <v>239</v>
      </c>
      <c r="B47" s="10"/>
      <c r="C47" s="10"/>
      <c r="D47" s="10"/>
      <c r="E47" s="10"/>
      <c r="F47" s="10"/>
      <c r="G47" s="10"/>
      <c r="H47" s="9">
        <f>SUM(H45:H46)</f>
        <v>193</v>
      </c>
    </row>
    <row r="48" s="1" customFormat="1" customHeight="1" spans="1:8">
      <c r="A48" s="3"/>
      <c r="B48" s="3"/>
      <c r="C48" s="3"/>
      <c r="D48" s="3"/>
      <c r="E48" s="3"/>
      <c r="F48" s="3"/>
      <c r="G48" s="3"/>
      <c r="H48" s="3"/>
    </row>
    <row r="49" s="1" customFormat="1" customHeight="1" spans="1:8">
      <c r="A49" s="3"/>
      <c r="B49" s="3"/>
      <c r="C49" s="3"/>
      <c r="D49" s="3"/>
      <c r="E49" s="3"/>
      <c r="F49" s="3"/>
      <c r="G49" s="3"/>
      <c r="H49" s="3"/>
    </row>
    <row r="50" s="1" customFormat="1" customHeight="1" spans="1:8">
      <c r="A50" s="3" t="s">
        <v>244</v>
      </c>
      <c r="B50" s="3"/>
      <c r="C50" s="3"/>
      <c r="D50" s="3"/>
      <c r="E50" s="3"/>
      <c r="F50" s="3"/>
      <c r="G50" s="3"/>
      <c r="H50" s="3"/>
    </row>
    <row r="51" s="1" customFormat="1" customHeight="1" spans="1:8">
      <c r="A51" s="3"/>
      <c r="B51" s="3"/>
      <c r="C51" s="3"/>
      <c r="D51" s="3"/>
      <c r="E51" s="3"/>
      <c r="F51" s="3"/>
      <c r="G51" s="3"/>
      <c r="H51" s="3"/>
    </row>
    <row r="52" s="1" customFormat="1" customHeight="1" spans="1:8">
      <c r="A52" s="3"/>
      <c r="B52" s="3"/>
      <c r="C52" s="3"/>
      <c r="D52" s="3"/>
      <c r="E52" s="3"/>
      <c r="F52" s="3"/>
      <c r="G52" s="3"/>
      <c r="H52" s="3"/>
    </row>
    <row r="53" s="1" customFormat="1" customHeight="1" spans="1:8">
      <c r="A53" s="4" t="s">
        <v>4</v>
      </c>
      <c r="B53" s="4" t="s">
        <v>5</v>
      </c>
      <c r="C53" s="4" t="s">
        <v>6</v>
      </c>
      <c r="D53" s="4" t="s">
        <v>7</v>
      </c>
      <c r="E53" s="4" t="s">
        <v>8</v>
      </c>
      <c r="F53" s="4" t="s">
        <v>9</v>
      </c>
      <c r="G53" s="4" t="s">
        <v>10</v>
      </c>
      <c r="H53" s="4" t="s">
        <v>11</v>
      </c>
    </row>
    <row r="54" s="1" customFormat="1" spans="1:8">
      <c r="A54" s="28">
        <v>46181</v>
      </c>
      <c r="B54" s="29">
        <v>1610346</v>
      </c>
      <c r="C54" s="29" t="s">
        <v>193</v>
      </c>
      <c r="D54" s="30">
        <v>20392630</v>
      </c>
      <c r="E54" s="29" t="s">
        <v>245</v>
      </c>
      <c r="F54" s="30">
        <v>1</v>
      </c>
      <c r="G54" s="31">
        <v>300</v>
      </c>
      <c r="H54" s="31">
        <f t="shared" ref="H54:H56" si="2">G54*F54</f>
        <v>300</v>
      </c>
    </row>
    <row r="55" s="1" customFormat="1" spans="1:8">
      <c r="A55" s="28">
        <v>46181</v>
      </c>
      <c r="B55" s="29">
        <v>1610346</v>
      </c>
      <c r="C55" s="29" t="s">
        <v>193</v>
      </c>
      <c r="D55" s="30">
        <v>20392610</v>
      </c>
      <c r="E55" s="29" t="s">
        <v>194</v>
      </c>
      <c r="F55" s="30">
        <v>1</v>
      </c>
      <c r="G55" s="31">
        <v>165</v>
      </c>
      <c r="H55" s="31">
        <f t="shared" si="2"/>
        <v>165</v>
      </c>
    </row>
    <row r="56" s="1" customFormat="1" spans="1:8">
      <c r="A56" s="28">
        <v>46181</v>
      </c>
      <c r="B56" s="29">
        <v>1610346</v>
      </c>
      <c r="C56" s="29" t="s">
        <v>195</v>
      </c>
      <c r="D56" s="30">
        <v>20392576</v>
      </c>
      <c r="E56" s="29" t="s">
        <v>196</v>
      </c>
      <c r="F56" s="30">
        <v>2</v>
      </c>
      <c r="G56" s="31">
        <v>28</v>
      </c>
      <c r="H56" s="31">
        <f t="shared" si="2"/>
        <v>56</v>
      </c>
    </row>
    <row r="57" s="1" customFormat="1" spans="1:8">
      <c r="A57" s="10" t="s">
        <v>239</v>
      </c>
      <c r="B57" s="10"/>
      <c r="C57" s="10"/>
      <c r="D57" s="10"/>
      <c r="E57" s="10"/>
      <c r="F57" s="10"/>
      <c r="G57" s="10"/>
      <c r="H57" s="9">
        <f>SUM(H54:H56)</f>
        <v>521</v>
      </c>
    </row>
    <row r="60" s="1" customFormat="1" customHeight="1" spans="1:8">
      <c r="A60" s="3" t="s">
        <v>246</v>
      </c>
      <c r="B60" s="3"/>
      <c r="C60" s="3"/>
      <c r="D60" s="3"/>
      <c r="E60" s="3"/>
      <c r="F60" s="3"/>
      <c r="G60" s="3"/>
      <c r="H60" s="3"/>
    </row>
    <row r="61" s="1" customFormat="1" customHeight="1" spans="1:8">
      <c r="A61" s="3"/>
      <c r="B61" s="3"/>
      <c r="C61" s="3"/>
      <c r="D61" s="3"/>
      <c r="E61" s="3"/>
      <c r="F61" s="3"/>
      <c r="G61" s="3"/>
      <c r="H61" s="3"/>
    </row>
    <row r="62" s="1" customFormat="1" customHeight="1" spans="1:8">
      <c r="A62" s="3"/>
      <c r="B62" s="3"/>
      <c r="C62" s="3"/>
      <c r="D62" s="3"/>
      <c r="E62" s="3"/>
      <c r="F62" s="3"/>
      <c r="G62" s="3"/>
      <c r="H62" s="3"/>
    </row>
    <row r="63" s="1" customFormat="1" customHeight="1" spans="1:8">
      <c r="A63" s="4" t="s">
        <v>4</v>
      </c>
      <c r="B63" s="4" t="s">
        <v>5</v>
      </c>
      <c r="C63" s="4" t="s">
        <v>6</v>
      </c>
      <c r="D63" s="4" t="s">
        <v>7</v>
      </c>
      <c r="E63" s="4" t="s">
        <v>8</v>
      </c>
      <c r="F63" s="4" t="s">
        <v>9</v>
      </c>
      <c r="G63" s="4" t="s">
        <v>10</v>
      </c>
      <c r="H63" s="4" t="s">
        <v>11</v>
      </c>
    </row>
    <row r="64" s="1" customFormat="1" spans="1:8">
      <c r="A64" s="28">
        <v>46185</v>
      </c>
      <c r="B64" s="29">
        <v>1611901</v>
      </c>
      <c r="C64" s="29" t="s">
        <v>22</v>
      </c>
      <c r="D64" s="30">
        <v>20388031</v>
      </c>
      <c r="E64" s="29" t="s">
        <v>152</v>
      </c>
      <c r="F64" s="30">
        <v>1</v>
      </c>
      <c r="G64" s="31">
        <v>176</v>
      </c>
      <c r="H64" s="31">
        <f>G64*F64</f>
        <v>176</v>
      </c>
    </row>
    <row r="65" s="1" customFormat="1" spans="1:8">
      <c r="A65" s="10" t="s">
        <v>239</v>
      </c>
      <c r="B65" s="10"/>
      <c r="C65" s="10"/>
      <c r="D65" s="10"/>
      <c r="E65" s="10"/>
      <c r="F65" s="10"/>
      <c r="G65" s="10"/>
      <c r="H65" s="9">
        <f>SUM(H64)</f>
        <v>176</v>
      </c>
    </row>
  </sheetData>
  <mergeCells count="15">
    <mergeCell ref="A1:H1"/>
    <mergeCell ref="A10:G10"/>
    <mergeCell ref="A21:G21"/>
    <mergeCell ref="A29:G29"/>
    <mergeCell ref="A38:G38"/>
    <mergeCell ref="A47:G47"/>
    <mergeCell ref="A57:G57"/>
    <mergeCell ref="A65:G65"/>
    <mergeCell ref="A2:H4"/>
    <mergeCell ref="A32:H34"/>
    <mergeCell ref="A41:H43"/>
    <mergeCell ref="A13:H15"/>
    <mergeCell ref="A24:H26"/>
    <mergeCell ref="A50:H52"/>
    <mergeCell ref="A60:H62"/>
  </mergeCells>
  <pageMargins left="0.25" right="0.25" top="0.75" bottom="0.75" header="0.298611111111111" footer="0.298611111111111"/>
  <pageSetup paperSize="9" scale="88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view="pageBreakPreview" zoomScaleNormal="100" workbookViewId="0">
      <selection activeCell="N29" sqref="N29"/>
    </sheetView>
  </sheetViews>
  <sheetFormatPr defaultColWidth="9" defaultRowHeight="13.5"/>
  <cols>
    <col min="1" max="1" width="10.5" style="1" customWidth="1"/>
    <col min="2" max="2" width="9.8" style="1" customWidth="1"/>
    <col min="3" max="3" width="9.4" style="1" customWidth="1"/>
    <col min="4" max="4" width="15.4333333333333" style="1" customWidth="1"/>
    <col min="5" max="5" width="10.5" style="1" customWidth="1"/>
    <col min="6" max="6" width="23.125" style="1" customWidth="1"/>
    <col min="7" max="7" width="10.625" style="1" customWidth="1"/>
    <col min="8" max="8" width="9.25" style="1" customWidth="1"/>
    <col min="9" max="9" width="11" style="1" customWidth="1"/>
    <col min="10" max="16384" width="9" style="1"/>
  </cols>
  <sheetData>
    <row r="1" s="1" customFormat="1" spans="1:9">
      <c r="A1" s="11" t="s">
        <v>247</v>
      </c>
    </row>
    <row r="2" s="1" customFormat="1" ht="23.05" customHeight="1"/>
    <row r="3" s="1" customFormat="1" ht="2" customHeight="1"/>
    <row r="4" s="1" customFormat="1" ht="15.2" customHeight="1" spans="1:9">
      <c r="A4" s="12" t="s">
        <v>248</v>
      </c>
    </row>
    <row r="6" s="1" customFormat="1" ht="2.05" customHeight="1"/>
    <row r="7" s="1" customFormat="1" ht="1.9" customHeight="1" spans="1:9">
      <c r="A7" s="13" t="s">
        <v>2</v>
      </c>
      <c r="B7" s="13" t="s">
        <v>2</v>
      </c>
      <c r="C7" s="13" t="s">
        <v>2</v>
      </c>
      <c r="D7" s="13" t="s">
        <v>2</v>
      </c>
      <c r="E7" s="13" t="s">
        <v>2</v>
      </c>
      <c r="F7" s="13" t="s">
        <v>2</v>
      </c>
      <c r="G7" s="13" t="s">
        <v>2</v>
      </c>
    </row>
    <row r="9" s="1" customFormat="1" ht="2.95" customHeight="1"/>
    <row r="10" s="1" customFormat="1" spans="1:9">
      <c r="A10" s="14" t="s">
        <v>4</v>
      </c>
      <c r="B10" s="14" t="s">
        <v>5</v>
      </c>
      <c r="C10" s="14" t="s">
        <v>249</v>
      </c>
      <c r="D10" s="14" t="s">
        <v>6</v>
      </c>
      <c r="E10" s="14" t="s">
        <v>250</v>
      </c>
      <c r="F10" s="14" t="s">
        <v>8</v>
      </c>
      <c r="G10" s="15" t="s">
        <v>251</v>
      </c>
      <c r="H10" s="15" t="s">
        <v>10</v>
      </c>
      <c r="I10" s="15" t="s">
        <v>239</v>
      </c>
    </row>
    <row r="11" s="1" customFormat="1" ht="15" spans="1:9">
      <c r="A11" s="16" t="s">
        <v>252</v>
      </c>
      <c r="B11" s="17" t="s">
        <v>2</v>
      </c>
      <c r="C11" s="17" t="s">
        <v>2</v>
      </c>
      <c r="D11" s="17" t="s">
        <v>2</v>
      </c>
      <c r="E11" s="17" t="s">
        <v>2</v>
      </c>
      <c r="F11" s="16" t="s">
        <v>2</v>
      </c>
      <c r="G11" s="18">
        <v>4</v>
      </c>
      <c r="H11" s="16" t="s">
        <v>2</v>
      </c>
      <c r="I11" s="19">
        <v>1038.5</v>
      </c>
    </row>
    <row r="12" s="1" customFormat="1" ht="14.25" spans="1:9">
      <c r="A12" s="20" t="s">
        <v>253</v>
      </c>
      <c r="B12" s="17" t="s">
        <v>2</v>
      </c>
      <c r="C12" s="17" t="s">
        <v>2</v>
      </c>
      <c r="D12" s="17" t="s">
        <v>2</v>
      </c>
      <c r="E12" s="17" t="s">
        <v>2</v>
      </c>
      <c r="F12" s="20" t="s">
        <v>2</v>
      </c>
      <c r="G12" s="21">
        <v>4</v>
      </c>
      <c r="H12" s="20" t="s">
        <v>2</v>
      </c>
      <c r="I12" s="22">
        <v>1038.5</v>
      </c>
    </row>
    <row r="13" s="1" customFormat="1" ht="24.75" spans="1:9">
      <c r="A13" s="23">
        <v>46165</v>
      </c>
      <c r="B13" s="24">
        <v>1605867</v>
      </c>
      <c r="C13" s="24" t="s">
        <v>254</v>
      </c>
      <c r="D13" s="25" t="s">
        <v>255</v>
      </c>
      <c r="E13" s="24">
        <v>20426786</v>
      </c>
      <c r="F13" s="25" t="s">
        <v>256</v>
      </c>
      <c r="G13" s="26">
        <v>1</v>
      </c>
      <c r="H13" s="27">
        <v>200</v>
      </c>
      <c r="I13" s="27">
        <v>200</v>
      </c>
    </row>
    <row r="14" s="1" customFormat="1" ht="24.75" spans="1:9">
      <c r="A14" s="23">
        <v>46165</v>
      </c>
      <c r="B14" s="24">
        <v>1605867</v>
      </c>
      <c r="C14" s="24" t="s">
        <v>254</v>
      </c>
      <c r="D14" s="25" t="s">
        <v>255</v>
      </c>
      <c r="E14" s="24">
        <v>20426787</v>
      </c>
      <c r="F14" s="25" t="s">
        <v>257</v>
      </c>
      <c r="G14" s="26">
        <v>1</v>
      </c>
      <c r="H14" s="27">
        <v>50</v>
      </c>
      <c r="I14" s="27">
        <v>50</v>
      </c>
    </row>
    <row r="15" s="1" customFormat="1" ht="24.75" spans="1:9">
      <c r="A15" s="23">
        <v>46165</v>
      </c>
      <c r="B15" s="24">
        <v>1605867</v>
      </c>
      <c r="C15" s="24" t="s">
        <v>254</v>
      </c>
      <c r="D15" s="25" t="s">
        <v>258</v>
      </c>
      <c r="E15" s="24">
        <v>20426788</v>
      </c>
      <c r="F15" s="25" t="s">
        <v>259</v>
      </c>
      <c r="G15" s="26">
        <v>1</v>
      </c>
      <c r="H15" s="27">
        <v>357.5</v>
      </c>
      <c r="I15" s="27">
        <v>357.5</v>
      </c>
    </row>
    <row r="16" s="1" customFormat="1" ht="24.75" spans="1:9">
      <c r="A16" s="23">
        <v>46170</v>
      </c>
      <c r="B16" s="24">
        <v>1607026</v>
      </c>
      <c r="C16" s="24" t="s">
        <v>254</v>
      </c>
      <c r="D16" s="25" t="s">
        <v>255</v>
      </c>
      <c r="E16" s="24">
        <v>20427371</v>
      </c>
      <c r="F16" s="25" t="s">
        <v>260</v>
      </c>
      <c r="G16" s="26">
        <v>1</v>
      </c>
      <c r="H16" s="27">
        <v>431</v>
      </c>
      <c r="I16" s="27">
        <v>431</v>
      </c>
    </row>
  </sheetData>
  <mergeCells count="4">
    <mergeCell ref="A11:E11"/>
    <mergeCell ref="A12:E12"/>
    <mergeCell ref="A1:G2"/>
    <mergeCell ref="A4:G5"/>
  </mergeCells>
  <pageMargins left="0.25" right="0.25" top="0.75" bottom="0.75" header="0.298611111111111" footer="0.298611111111111"/>
  <pageSetup paperSize="9" scale="85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view="pageBreakPreview" zoomScaleNormal="100" workbookViewId="0">
      <selection activeCell="N22" sqref="N22"/>
    </sheetView>
  </sheetViews>
  <sheetFormatPr defaultColWidth="9" defaultRowHeight="13.5" outlineLevelCol="7"/>
  <cols>
    <col min="1" max="1" width="10" style="1" customWidth="1"/>
    <col min="2" max="2" width="9" style="1"/>
    <col min="3" max="3" width="15.75" style="1" customWidth="1"/>
    <col min="4" max="4" width="14.25" style="1" customWidth="1"/>
    <col min="5" max="5" width="27.75" style="1" customWidth="1"/>
    <col min="6" max="6" width="7.75" style="1" customWidth="1"/>
    <col min="7" max="7" width="8.875" style="1" customWidth="1"/>
    <col min="8" max="8" width="11.625" style="1" customWidth="1"/>
    <col min="9" max="16384" width="9" style="1"/>
  </cols>
  <sheetData>
    <row r="1" s="1" customFormat="1" ht="40" customHeight="1" spans="1:8">
      <c r="A1" s="2" t="s">
        <v>261</v>
      </c>
      <c r="B1" s="2"/>
      <c r="C1" s="2"/>
      <c r="D1" s="2"/>
      <c r="E1" s="2"/>
      <c r="F1" s="2"/>
      <c r="G1" s="2"/>
      <c r="H1" s="2"/>
    </row>
    <row r="2" s="1" customFormat="1" customHeight="1" spans="1:8">
      <c r="A2" s="3" t="s">
        <v>262</v>
      </c>
      <c r="B2" s="3"/>
      <c r="C2" s="3"/>
      <c r="D2" s="3"/>
      <c r="E2" s="3"/>
      <c r="F2" s="3"/>
      <c r="G2" s="3"/>
      <c r="H2" s="3"/>
    </row>
    <row r="3" s="1" customFormat="1" customHeight="1" spans="1:8">
      <c r="A3" s="3"/>
      <c r="B3" s="3"/>
      <c r="C3" s="3"/>
      <c r="D3" s="3"/>
      <c r="E3" s="3"/>
      <c r="F3" s="3"/>
      <c r="G3" s="3"/>
      <c r="H3" s="3"/>
    </row>
    <row r="4" s="1" customFormat="1" customHeight="1" spans="1:8">
      <c r="A4" s="3"/>
      <c r="B4" s="3"/>
      <c r="C4" s="3"/>
      <c r="D4" s="3"/>
      <c r="E4" s="3"/>
      <c r="F4" s="3"/>
      <c r="G4" s="3"/>
      <c r="H4" s="3"/>
    </row>
    <row r="5" s="1" customFormat="1" customHeight="1" spans="1:8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="1" customFormat="1" ht="24.75" spans="1:8">
      <c r="A6" s="5">
        <v>46184</v>
      </c>
      <c r="B6" s="6">
        <v>1611192</v>
      </c>
      <c r="C6" s="7" t="s">
        <v>263</v>
      </c>
      <c r="D6" s="6">
        <v>20429318</v>
      </c>
      <c r="E6" s="7" t="s">
        <v>264</v>
      </c>
      <c r="F6" s="8">
        <v>1</v>
      </c>
      <c r="G6" s="9">
        <v>368.5</v>
      </c>
      <c r="H6" s="9">
        <v>368.5</v>
      </c>
    </row>
    <row r="7" s="1" customFormat="1" ht="24.75" spans="1:8">
      <c r="A7" s="5">
        <v>46184</v>
      </c>
      <c r="B7" s="6">
        <v>1611192</v>
      </c>
      <c r="C7" s="7" t="s">
        <v>263</v>
      </c>
      <c r="D7" s="6">
        <v>20429316</v>
      </c>
      <c r="E7" s="7" t="s">
        <v>265</v>
      </c>
      <c r="F7" s="8">
        <v>1</v>
      </c>
      <c r="G7" s="9">
        <v>16.5</v>
      </c>
      <c r="H7" s="9">
        <v>16.5</v>
      </c>
    </row>
    <row r="8" s="1" customFormat="1" spans="1:8">
      <c r="A8" s="5">
        <v>46184</v>
      </c>
      <c r="B8" s="6">
        <v>1611208</v>
      </c>
      <c r="C8" s="7" t="s">
        <v>266</v>
      </c>
      <c r="D8" s="6">
        <v>20429317</v>
      </c>
      <c r="E8" s="7" t="s">
        <v>267</v>
      </c>
      <c r="F8" s="8">
        <v>1</v>
      </c>
      <c r="G8" s="9">
        <v>88</v>
      </c>
      <c r="H8" s="9">
        <v>88</v>
      </c>
    </row>
    <row r="9" s="1" customFormat="1" spans="1:8">
      <c r="A9" s="5">
        <v>46184</v>
      </c>
      <c r="B9" s="6">
        <v>1611208</v>
      </c>
      <c r="C9" s="7" t="s">
        <v>266</v>
      </c>
      <c r="D9" s="6">
        <v>20429319</v>
      </c>
      <c r="E9" s="7" t="s">
        <v>268</v>
      </c>
      <c r="F9" s="8">
        <v>1</v>
      </c>
      <c r="G9" s="9">
        <v>88</v>
      </c>
      <c r="H9" s="9">
        <v>88</v>
      </c>
    </row>
    <row r="10" s="1" customFormat="1" spans="1:8">
      <c r="A10" s="10" t="s">
        <v>239</v>
      </c>
      <c r="B10" s="10"/>
      <c r="C10" s="10"/>
      <c r="D10" s="10"/>
      <c r="E10" s="10"/>
      <c r="F10" s="10"/>
      <c r="G10" s="10"/>
      <c r="H10" s="9">
        <f>SUM(H6:H9)</f>
        <v>561</v>
      </c>
    </row>
  </sheetData>
  <mergeCells count="3">
    <mergeCell ref="A1:H1"/>
    <mergeCell ref="A10:G10"/>
    <mergeCell ref="A2:H4"/>
  </mergeCells>
  <pageMargins left="0.25" right="0.25" top="0.75" bottom="0.75" header="0.298611111111111" footer="0.298611111111111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放射线</vt:lpstr>
      <vt:lpstr>妇科门诊</vt:lpstr>
      <vt:lpstr>急诊科</vt:lpstr>
      <vt:lpstr>口腔科（4楼韩宗凯）</vt:lpstr>
      <vt:lpstr>口腔科（4楼姜杨杨）</vt:lpstr>
      <vt:lpstr>口腔科（4楼金华）</vt:lpstr>
      <vt:lpstr>口腔科（4楼宋雪婧）</vt:lpstr>
      <vt:lpstr>口腔科（4楼于金彪）</vt:lpstr>
      <vt:lpstr>口腔科（5楼白雪）</vt:lpstr>
      <vt:lpstr>口腔科（5楼刘冰）</vt:lpstr>
      <vt:lpstr>口腔科（5楼刘升臣）</vt:lpstr>
      <vt:lpstr>口腔科（5楼穆美玲）</vt:lpstr>
      <vt:lpstr>口腔科（5楼姚金辉）</vt:lpstr>
      <vt:lpstr>口腔科（5楼张冬青）</vt:lpstr>
      <vt:lpstr>口腔科（5楼钟志奇）</vt:lpstr>
      <vt:lpstr>口腔科（5楼朱晓丽）</vt:lpstr>
      <vt:lpstr>口腔科（公共二）</vt:lpstr>
      <vt:lpstr>口腔科（公共一）</vt:lpstr>
      <vt:lpstr>口腔科（种植诊室）</vt:lpstr>
      <vt:lpstr>内三</vt:lpstr>
      <vt:lpstr>手术室</vt:lpstr>
      <vt:lpstr>外科病房</vt:lpstr>
      <vt:lpstr>五官科</vt:lpstr>
      <vt:lpstr>中医皮肤</vt:lpstr>
      <vt:lpstr>加急</vt:lpstr>
      <vt:lpstr>外来器械</vt:lpstr>
      <vt:lpstr>外来器械加急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2026-06-15T00:04:00Z</dcterms:created>
  <dcterms:modified xsi:type="dcterms:W3CDTF">2026-06-16T06:51:09Z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DDE349952D0E42F281C5C06917011079_13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