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<sst xmlns="http://schemas.openxmlformats.org/spreadsheetml/2006/main" count="28" uniqueCount="28">
  <si>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黑龙江省第二医院6月份结款通知函</t>
  </si>
  <si>
    <t>致：黑龙江省第二医院</t>
  </si>
  <si>
    <r>
      <rPr>
        <u/>
        <sz val="14"/>
        <color rgb="FF000000"/>
        <rFont val="宋体"/>
        <charset val="134"/>
      </rPr>
      <t xml:space="preserve">2026 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6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 xml:space="preserve">日至 </t>
    </r>
    <r>
      <rPr>
        <u/>
        <sz val="14"/>
        <color rgb="FF000000"/>
        <rFont val="宋体"/>
        <charset val="134"/>
      </rPr>
      <t xml:space="preserve"> 2026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6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30 </t>
    </r>
    <r>
      <rPr>
        <sz val="14"/>
        <color rgb="FF000000"/>
        <rFont val="宋体"/>
        <charset val="134"/>
      </rPr>
      <t>日灭菌费用总清单如下：</t>
    </r>
  </si>
  <si>
    <t>序号</t>
  </si>
  <si>
    <t>条目</t>
  </si>
  <si>
    <t>实际费用</t>
  </si>
  <si>
    <t>备注</t>
  </si>
  <si>
    <t>灭菌费用（松北）</t>
  </si>
  <si>
    <t>加急灭菌费</t>
  </si>
  <si>
    <t>外来器械灭菌费（松北）</t>
  </si>
  <si>
    <t>外来器械加急灭菌费（松北）</t>
  </si>
  <si>
    <t>物流费用</t>
  </si>
  <si>
    <t>（松北）80.5元/趟</t>
  </si>
  <si>
    <t>加急物流费</t>
  </si>
  <si>
    <t>费用调整</t>
  </si>
  <si>
    <t>合  计</t>
  </si>
  <si>
    <t>当月实际收取账单金额合计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</si>
  <si>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</si>
  <si>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</si>
  <si>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</si>
  <si>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</si>
  <si>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</si>
  <si>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</si>
  <si>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</si>
  <si>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</rPr>
      <t>截止本月末最后一天前不将反馈信息反馈到我公司，视同默认金额，并以此账单为结算依据。</t>
    </r>
  </si>
  <si>
    <t>此致</t>
  </si>
  <si>
    <t>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</si>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</sst>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DBNum2][$RMB]General;[Red][DBNum2][$RMB]General"/>
  </numFmts>
  <fonts count="29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u/>
      <sz val="14"/>
      <color rgb="FF000000"/>
      <name val="宋体"/>
      <charset val="134"/>
    </font>
    <font>
      <sz val="14"/>
      <color rgb="FF000000"/>
      <name val="宋体"/>
      <charset val="134"/>
    </font>
    <font>
      <sz val="10"/>
      <color rgb="FF000000"/>
      <name val="宋体"/>
      <charset val="134"/>
    </font>
    <font>
      <b/>
      <sz val="14"/>
      <name val="宋体"/>
      <charset val="134"/>
    </font>
    <font>
      <b/>
      <sz val="14"/>
      <color rgb="FF000000"/>
      <name val="宋体"/>
      <charset val="134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7" fontId="6" fillId="0" borderId="3" xfId="0" applyNumberFormat="1" applyFont="1" applyFill="1" applyBorder="1" applyAlignment="1">
      <alignment horizontal="center" vertical="center" wrapText="1"/>
    </xf>
    <xf numFmtId="177" fontId="6" fillId="0" borderId="4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31" fontId="4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148377</xdr:colOff>
      <xdr:row>0</xdr:row>
      <xdr:rowOff>12055</xdr:rowOff>
    </xdr:from>
    <xdr:to>
      <xdr:col>4</xdr:col>
      <xdr:colOff>388113</xdr:colOff>
      <xdr:row>1</xdr:row>
      <xdr:rowOff>228203</xdr:rowOff>
    </xdr:to>
    <xdr:pic>
      <xdr:nvPicPr>
        <xdr:cNvPr id="2" name="图片 2" descr=" "/>
        <xdr:cNvPicPr/>
      </xdr:nvPicPr>
      <xdr:blipFill>
        <a:blip r:embed="rId1"/>
        <a:srcRect/>
        <a:stretch>
          <a:fillRect/>
        </a:stretch>
      </xdr:blipFill>
      <xdr:spPr>
        <a:xfrm>
          <a:off x="147955" y="11430"/>
          <a:ext cx="3459480" cy="3879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0657;&#40857;&#27743;&#30465;&#31532;&#20108;&#21307;&#38498;&#65288;&#26494;&#21271;&#21306;&#65289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CU"/>
      <sheetName val="导管室"/>
      <sheetName val="耳鼻喉"/>
      <sheetName val="妇科病房"/>
      <sheetName val="妇科手术室"/>
      <sheetName val="骨一科"/>
      <sheetName val="急诊"/>
      <sheetName val="静配中心"/>
      <sheetName val="康复科"/>
      <sheetName val="麻醉科"/>
      <sheetName val="美容（手术室）"/>
      <sheetName val="美容科病房"/>
      <sheetName val="泌尿外"/>
      <sheetName val="泌尿外科（一病区）"/>
      <sheetName val="普外科"/>
      <sheetName val="神经外科"/>
      <sheetName val="手术室"/>
      <sheetName val="物理诊断科"/>
      <sheetName val="消化科"/>
      <sheetName val="心内二"/>
      <sheetName val="心内四"/>
      <sheetName val="眼科手术室"/>
      <sheetName val="影像科"/>
      <sheetName val="中医科"/>
      <sheetName val="周围血管病"/>
      <sheetName val="外来器械"/>
      <sheetName val="加急"/>
      <sheetName val="外来器械加急"/>
      <sheetName val="异常物流"/>
      <sheetName val="费用调整"/>
    </sheetNames>
    <sheetDataSet>
      <sheetData sheetId="0">
        <row r="10">
          <cell r="K10">
            <v>65.8</v>
          </cell>
        </row>
      </sheetData>
      <sheetData sheetId="1">
        <row r="8">
          <cell r="K8">
            <v>163.1</v>
          </cell>
        </row>
      </sheetData>
      <sheetData sheetId="2">
        <row r="8">
          <cell r="K8">
            <v>173.6</v>
          </cell>
        </row>
      </sheetData>
      <sheetData sheetId="3">
        <row r="8">
          <cell r="K8">
            <v>5553.45</v>
          </cell>
        </row>
      </sheetData>
      <sheetData sheetId="4">
        <row r="8">
          <cell r="K8">
            <v>2299.15</v>
          </cell>
        </row>
      </sheetData>
      <sheetData sheetId="5">
        <row r="8">
          <cell r="K8">
            <v>793.45</v>
          </cell>
        </row>
      </sheetData>
      <sheetData sheetId="6">
        <row r="8">
          <cell r="K8">
            <v>2061.15</v>
          </cell>
        </row>
      </sheetData>
      <sheetData sheetId="7">
        <row r="8">
          <cell r="K8">
            <v>78.4</v>
          </cell>
        </row>
      </sheetData>
      <sheetData sheetId="8">
        <row r="8">
          <cell r="K8">
            <v>24.5</v>
          </cell>
        </row>
      </sheetData>
      <sheetData sheetId="9">
        <row r="8">
          <cell r="K8">
            <v>30.8</v>
          </cell>
        </row>
      </sheetData>
      <sheetData sheetId="10">
        <row r="8">
          <cell r="K8">
            <v>2050.3</v>
          </cell>
        </row>
      </sheetData>
      <sheetData sheetId="11">
        <row r="8">
          <cell r="K8">
            <v>481.6</v>
          </cell>
        </row>
      </sheetData>
      <sheetData sheetId="12">
        <row r="8">
          <cell r="K8">
            <v>95.9</v>
          </cell>
        </row>
      </sheetData>
      <sheetData sheetId="13">
        <row r="8">
          <cell r="K8">
            <v>534.8</v>
          </cell>
        </row>
      </sheetData>
      <sheetData sheetId="14">
        <row r="8">
          <cell r="K8">
            <v>209.3</v>
          </cell>
        </row>
      </sheetData>
      <sheetData sheetId="15">
        <row r="8">
          <cell r="K8">
            <v>255.85</v>
          </cell>
        </row>
      </sheetData>
      <sheetData sheetId="16">
        <row r="8">
          <cell r="K8">
            <v>49343.3499999999</v>
          </cell>
        </row>
      </sheetData>
      <sheetData sheetId="17">
        <row r="8">
          <cell r="K8">
            <v>5.6</v>
          </cell>
        </row>
      </sheetData>
      <sheetData sheetId="18">
        <row r="8">
          <cell r="K8">
            <v>24.5</v>
          </cell>
        </row>
      </sheetData>
      <sheetData sheetId="19">
        <row r="8">
          <cell r="K8">
            <v>24.5</v>
          </cell>
        </row>
      </sheetData>
      <sheetData sheetId="20">
        <row r="8">
          <cell r="K8">
            <v>24.5</v>
          </cell>
        </row>
      </sheetData>
      <sheetData sheetId="21">
        <row r="8">
          <cell r="K8">
            <v>849.45</v>
          </cell>
        </row>
      </sheetData>
      <sheetData sheetId="22">
        <row r="8">
          <cell r="K8">
            <v>49</v>
          </cell>
        </row>
      </sheetData>
      <sheetData sheetId="23">
        <row r="8">
          <cell r="K8">
            <v>95.2</v>
          </cell>
        </row>
      </sheetData>
      <sheetData sheetId="24">
        <row r="8">
          <cell r="K8">
            <v>462</v>
          </cell>
        </row>
      </sheetData>
      <sheetData sheetId="25">
        <row r="9">
          <cell r="L9">
            <v>2356.9</v>
          </cell>
        </row>
        <row r="31">
          <cell r="L31">
            <v>1366</v>
          </cell>
        </row>
      </sheetData>
      <sheetData sheetId="26"/>
      <sheetData sheetId="27"/>
      <sheetData sheetId="28"/>
      <sheetData sheetId="29">
        <row r="7">
          <cell r="J7">
            <v>-425.6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8"/>
  <sheetViews>
    <sheetView tabSelected="1" view="pageBreakPreview" zoomScaleNormal="100" topLeftCell="B3" workbookViewId="0">
      <selection activeCell="E9" sqref="E9:F9"/>
    </sheetView>
  </sheetViews>
  <sheetFormatPr defaultColWidth="9" defaultRowHeight="13.5" outlineLevelCol="6"/>
  <cols>
    <col min="1" max="1" width="2.25" style="1" customWidth="1"/>
    <col min="2" max="2" width="8" style="1" customWidth="1"/>
    <col min="3" max="3" width="9.375" style="1"/>
    <col min="4" max="4" width="22.625" style="1" customWidth="1"/>
    <col min="5" max="5" width="19.25" style="1" customWidth="1"/>
    <col min="6" max="6" width="19.875" style="1" customWidth="1"/>
    <col min="7" max="7" width="23.375" style="1" customWidth="1"/>
    <col min="8" max="16384" width="9" style="1"/>
  </cols>
  <sheetData>
    <row r="2" s="1" customFormat="1" ht="20" customHeight="1" spans="1:7">
      <c r="A2" s="2"/>
      <c r="B2" s="3"/>
      <c r="C2" s="3"/>
      <c r="D2" s="3"/>
      <c r="E2" s="3"/>
      <c r="F2" s="3"/>
      <c r="G2" s="3"/>
    </row>
    <row r="3" s="1" customFormat="1" ht="20" customHeight="1"/>
    <row r="4" s="1" customFormat="1" ht="30" customHeight="1" spans="1:7">
      <c r="B4" s="4" t="s">
        <v>0</v>
      </c>
      <c r="C4" s="4"/>
      <c r="D4" s="4"/>
      <c r="E4" s="4"/>
      <c r="F4" s="4"/>
      <c r="G4" s="4"/>
    </row>
    <row r="5" s="1" customFormat="1" ht="24" customHeight="1" spans="1:7">
      <c r="B5" s="5" t="s">
        <v>1</v>
      </c>
      <c r="C5" s="5"/>
      <c r="D5" s="5"/>
      <c r="E5" s="5"/>
      <c r="F5" s="5"/>
      <c r="G5" s="5"/>
    </row>
    <row r="6" s="1" customFormat="1" ht="18.75" spans="1:7">
      <c r="B6" s="6" t="s">
        <v>2</v>
      </c>
      <c r="C6" s="6"/>
      <c r="D6" s="6"/>
      <c r="E6" s="6"/>
      <c r="F6" s="6"/>
      <c r="G6" s="6"/>
    </row>
    <row r="7" s="1" customFormat="1" ht="24" customHeight="1" spans="1:7">
      <c r="B7" s="7" t="s">
        <v>3</v>
      </c>
      <c r="C7" s="8" t="s">
        <v>4</v>
      </c>
      <c r="D7" s="8"/>
      <c r="E7" s="9" t="s">
        <v>5</v>
      </c>
      <c r="F7" s="10"/>
      <c r="G7" s="7" t="s">
        <v>6</v>
      </c>
    </row>
    <row r="8" s="1" customFormat="1" ht="24" customHeight="1" spans="1:7">
      <c r="B8" s="7">
        <v>1</v>
      </c>
      <c r="C8" s="7" t="s">
        <v>7</v>
      </c>
      <c r="D8" s="7"/>
      <c r="E8" s="9">
        <f>[1]ICU!$K$10+[1]导管室!$K$8+[1]耳鼻喉!$K$8+[1]妇科病房!$K$8+[1]妇科手术室!$K$8+[1]骨一科!$K$8+[1]急诊!$K$8+[1]静配中心!$K$8+[1]康复科!$K$8+[1]麻醉科!$K$8+'[1]美容（手术室）'!$K$8+[1]美容科病房!$K$8+[1]泌尿外!$K$8+'[1]泌尿外科（一病区）'!$K$8+[1]普外科!$K$8+[1]神经外科!$K$8+[1]手术室!$K$8+[1]物理诊断科!$K$8+[1]消化科!$K$8+[1]心内二!$K$8+[1]心内四!$K$8+[1]眼科手术室!$K$8+[1]影像科!$K$8+[1]中医科!$K$8+[1]周围血管病!$K$8</f>
        <v>65749.2499999999</v>
      </c>
      <c r="F8" s="10"/>
      <c r="G8" s="8"/>
    </row>
    <row r="9" s="1" customFormat="1" ht="24" customHeight="1" spans="1:7">
      <c r="B9" s="7">
        <v>2</v>
      </c>
      <c r="C9" s="9" t="s">
        <v>8</v>
      </c>
      <c r="D9" s="10"/>
      <c r="E9" s="9">
        <v>4413.5</v>
      </c>
      <c r="F9" s="10"/>
      <c r="G9" s="8"/>
    </row>
    <row r="10" s="1" customFormat="1" ht="24" customHeight="1" spans="1:7">
      <c r="B10" s="7">
        <v>3</v>
      </c>
      <c r="C10" s="9" t="s">
        <v>9</v>
      </c>
      <c r="D10" s="10"/>
      <c r="E10" s="11">
        <f>[1]外来器械!$L$9+[1]外来器械!$L$31</f>
        <v>3722.9</v>
      </c>
      <c r="F10" s="12"/>
      <c r="G10" s="8"/>
    </row>
    <row r="11" s="1" customFormat="1" ht="24" customHeight="1" spans="1:7">
      <c r="B11" s="7">
        <v>4</v>
      </c>
      <c r="C11" s="9" t="s">
        <v>10</v>
      </c>
      <c r="D11" s="10"/>
      <c r="E11" s="9">
        <v>2558.27</v>
      </c>
      <c r="F11" s="10"/>
      <c r="G11" s="8"/>
    </row>
    <row r="12" s="1" customFormat="1" ht="24" customHeight="1" spans="1:7">
      <c r="B12" s="7">
        <v>5</v>
      </c>
      <c r="C12" s="9" t="s">
        <v>11</v>
      </c>
      <c r="D12" s="10"/>
      <c r="E12" s="9">
        <f>(21+4)*80.5</f>
        <v>2012.5</v>
      </c>
      <c r="F12" s="10"/>
      <c r="G12" s="8" t="s">
        <v>12</v>
      </c>
    </row>
    <row r="13" s="1" customFormat="1" ht="24" customHeight="1" spans="1:7">
      <c r="B13" s="7">
        <v>6</v>
      </c>
      <c r="C13" s="9" t="s">
        <v>13</v>
      </c>
      <c r="D13" s="10"/>
      <c r="E13" s="9">
        <v>1008</v>
      </c>
      <c r="F13" s="10"/>
      <c r="G13" s="13"/>
    </row>
    <row r="14" s="1" customFormat="1" ht="24" customHeight="1" spans="1:7">
      <c r="B14" s="7">
        <v>7</v>
      </c>
      <c r="C14" s="9" t="s">
        <v>14</v>
      </c>
      <c r="D14" s="10"/>
      <c r="E14" s="9">
        <f>[1]费用调整!$J$7</f>
        <v>-425.6</v>
      </c>
      <c r="F14" s="10"/>
      <c r="G14" s="13"/>
    </row>
    <row r="15" s="1" customFormat="1" ht="24" customHeight="1" spans="1:7">
      <c r="B15" s="8" t="s">
        <v>15</v>
      </c>
      <c r="C15" s="8"/>
      <c r="D15" s="8"/>
      <c r="E15" s="14">
        <f>E8+E9+E10+E11+E12+E13+E14</f>
        <v>79038.8199999999</v>
      </c>
      <c r="F15" s="15"/>
      <c r="G15" s="7"/>
    </row>
    <row r="16" s="1" customFormat="1" ht="24" customHeight="1" spans="1:7">
      <c r="B16" s="16" t="s">
        <v>16</v>
      </c>
      <c r="C16" s="17"/>
      <c r="D16" s="18"/>
      <c r="E16" s="19">
        <f>E15</f>
        <v>79038.8199999999</v>
      </c>
      <c r="F16" s="20"/>
      <c r="G16" s="7"/>
    </row>
    <row r="17" s="1" customFormat="1" ht="24" customHeight="1" spans="2:7">
      <c r="B17" s="8" t="s">
        <v>17</v>
      </c>
      <c r="C17" s="8"/>
      <c r="D17" s="8"/>
      <c r="E17" s="21">
        <f>E16</f>
        <v>79038.8199999999</v>
      </c>
      <c r="F17" s="22"/>
      <c r="G17" s="7"/>
    </row>
    <row r="18" s="1" customFormat="1" ht="24" customHeight="1" spans="2:7">
      <c r="B18" s="23" t="s">
        <v>18</v>
      </c>
      <c r="C18" s="23"/>
      <c r="D18" s="23"/>
      <c r="E18" s="23"/>
      <c r="F18" s="23"/>
      <c r="G18" s="23"/>
    </row>
    <row r="19" s="1" customFormat="1" ht="42" customHeight="1" spans="2:7">
      <c r="B19" s="24" t="s">
        <v>19</v>
      </c>
      <c r="C19" s="24"/>
      <c r="D19" s="24"/>
      <c r="E19" s="24"/>
      <c r="F19" s="24"/>
      <c r="G19" s="24"/>
    </row>
    <row r="20" s="1" customFormat="1" ht="18.75" spans="2:7">
      <c r="B20" s="25" t="s">
        <v>20</v>
      </c>
      <c r="C20" s="25"/>
      <c r="D20" s="25"/>
      <c r="E20" s="25"/>
      <c r="F20" s="25"/>
      <c r="G20" s="25"/>
    </row>
    <row r="21" s="1" customFormat="1" ht="24" customHeight="1" spans="2:7">
      <c r="B21" s="25" t="s">
        <v>21</v>
      </c>
      <c r="C21" s="25"/>
      <c r="D21" s="25"/>
      <c r="E21" s="25"/>
      <c r="F21" s="25"/>
      <c r="G21" s="25"/>
    </row>
    <row r="22" s="1" customFormat="1" ht="24" customHeight="1" spans="2:7">
      <c r="B22" s="25" t="s">
        <v>22</v>
      </c>
      <c r="C22" s="25"/>
      <c r="D22" s="25"/>
      <c r="E22" s="25"/>
      <c r="F22" s="25"/>
      <c r="G22" s="25"/>
    </row>
    <row r="23" s="1" customFormat="1" ht="24" customHeight="1" spans="2:7">
      <c r="B23" s="25" t="s">
        <v>23</v>
      </c>
      <c r="C23" s="25"/>
      <c r="D23" s="25"/>
      <c r="E23" s="25"/>
      <c r="F23" s="25"/>
      <c r="G23" s="25"/>
    </row>
    <row r="24" s="1" customFormat="1" ht="39" customHeight="1" spans="2:7">
      <c r="B24" s="26" t="s">
        <v>24</v>
      </c>
      <c r="C24" s="25"/>
      <c r="D24" s="25"/>
      <c r="E24" s="25"/>
      <c r="F24" s="25"/>
      <c r="G24" s="25"/>
    </row>
    <row r="25" s="1" customFormat="1" ht="48" customHeight="1" spans="2:7">
      <c r="B25" s="27" t="s">
        <v>25</v>
      </c>
      <c r="C25" s="27"/>
      <c r="D25" s="27"/>
      <c r="E25" s="27"/>
      <c r="F25" s="27"/>
      <c r="G25" s="27"/>
    </row>
    <row r="26" s="1" customFormat="1" ht="24" customHeight="1" spans="2:7">
      <c r="B26" s="28" t="s">
        <v>26</v>
      </c>
      <c r="C26" s="28"/>
      <c r="D26" s="28"/>
      <c r="E26" s="28"/>
      <c r="F26" s="28"/>
      <c r="G26" s="28"/>
    </row>
    <row r="27" s="1" customFormat="1" ht="24" customHeight="1" spans="2:7">
      <c r="B27" s="29" t="s">
        <v>27</v>
      </c>
      <c r="C27" s="29"/>
      <c r="D27" s="29"/>
      <c r="E27" s="29"/>
      <c r="F27" s="29"/>
      <c r="G27" s="29"/>
    </row>
    <row r="28" s="1" customFormat="1" ht="24" customHeight="1" spans="2:7">
      <c r="B28" s="30">
        <v>46203</v>
      </c>
      <c r="C28" s="30"/>
      <c r="D28" s="30"/>
      <c r="E28" s="30"/>
      <c r="F28" s="30"/>
      <c r="G28" s="30"/>
    </row>
  </sheetData>
  <mergeCells count="36">
    <mergeCell ref="B4:G4"/>
    <mergeCell ref="B5:G5"/>
    <mergeCell ref="B6:G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B15:D15"/>
    <mergeCell ref="E15:F15"/>
    <mergeCell ref="B16:D16"/>
    <mergeCell ref="E16:F16"/>
    <mergeCell ref="B17:D17"/>
    <mergeCell ref="E17:F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</mergeCells>
  <pageMargins left="0.25" right="0.25" top="0.75" bottom="0.75" header="0.298611111111111" footer="0.298611111111111"/>
  <pageSetup paperSize="9" scale="9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街道无人</cp:lastModifiedBy>
  <dcterms:created xsi:type="dcterms:W3CDTF">2023-06-05T08:30:00Z</dcterms:created>
  <dcterms:modified xsi:type="dcterms:W3CDTF">2026-07-06T04:55:27Z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BEB9028D34E5466E99958FAC0DFDDEE0_13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