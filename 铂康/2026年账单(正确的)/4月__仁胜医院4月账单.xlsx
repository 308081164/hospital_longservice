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加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<sst xmlns="http://schemas.openxmlformats.org/spreadsheetml/2006/main" count="21" uniqueCount="18">
  <si>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哈尔滨仁胜医院2026年4月加急灭菌费合计884.38元，加急物流费合计150元，总计金额1034.38元。</t>
  </si>
  <si>
    <t>哈尔滨仁胜医院2026年4月5日加急灭菌费707.5+707.5*25%=884.38元，加急物流费150元，合计金额1034.38元。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</si>
  <si>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</si>
  <si>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</si>
  <si>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</si>
  <si>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</si>
  <si>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</si>
  <si>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</si>
  <si>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</si>
  <si>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</si>
  <si>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</si>
  <si>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刀柄-1/Z7520</t>
  </si>
  <si>
    <t>换药碗-1/z2530</t>
  </si>
  <si>
    <t>肌钩-2/Z1026</t>
  </si>
  <si>
    <t>剪刀-1/Z1026</t>
  </si>
  <si>
    <t>器械包(ZSD)</t>
  </si>
  <si>
    <t>包皮切开包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</si>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</sst>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3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176" fontId="5" fillId="0" borderId="2" xfId="0" applyNumberFormat="1" applyFont="1" applyFill="1" applyBorder="1" applyAlignment="1">
      <alignment horizontal="center" vertical="top" readingOrder="1"/>
    </xf>
    <xf numFmtId="176" fontId="4" fillId="0" borderId="3" xfId="0" applyNumberFormat="1" applyFont="1" applyFill="1" applyBorder="1" applyAlignment="1">
      <alignment horizontal="center" vertical="top" readingOrder="1"/>
    </xf>
    <xf numFmtId="176" fontId="4" fillId="0" borderId="4" xfId="0" applyNumberFormat="1" applyFont="1" applyFill="1" applyBorder="1" applyAlignment="1">
      <alignment horizontal="center" vertical="top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view="pageBreakPreview" zoomScaleNormal="100" workbookViewId="0">
      <selection activeCell="I8" sqref="I8"/>
    </sheetView>
  </sheetViews>
  <sheetFormatPr defaultColWidth="9" defaultRowHeight="13.5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  <col min="13" max="13" width="9.375"/>
  </cols>
  <sheetData>
    <row r="1" customFormat="1" ht="40" customHeight="1" spans="1:9">
      <c r="A1" s="1" t="s">
        <v>0</v>
      </c>
      <c r="B1" s="1"/>
      <c r="C1" s="1"/>
      <c r="D1" s="1"/>
      <c r="E1" s="1"/>
      <c r="F1" s="1"/>
      <c r="G1" s="1"/>
      <c r="H1" s="1"/>
    </row>
    <row r="2" customFormat="1" customHeight="1" spans="1:9">
      <c r="A2" s="2" t="s">
        <v>1</v>
      </c>
      <c r="B2" s="2"/>
      <c r="C2" s="2"/>
      <c r="D2" s="2"/>
      <c r="E2" s="2"/>
      <c r="F2" s="2"/>
      <c r="G2" s="3"/>
      <c r="H2" s="2"/>
    </row>
    <row r="3" customFormat="1" customHeight="1" spans="1:9">
      <c r="A3" s="2"/>
      <c r="B3" s="2"/>
      <c r="C3" s="2"/>
      <c r="D3" s="2"/>
      <c r="E3" s="2"/>
      <c r="F3" s="2"/>
      <c r="G3" s="3"/>
      <c r="H3" s="2"/>
    </row>
    <row r="4" customFormat="1" customHeight="1" spans="1:9">
      <c r="A4" s="2"/>
      <c r="B4" s="2"/>
      <c r="C4" s="2"/>
      <c r="D4" s="2"/>
      <c r="E4" s="2"/>
      <c r="F4" s="2"/>
      <c r="G4" s="3"/>
      <c r="H4" s="2"/>
    </row>
    <row r="5" customFormat="1" customHeight="1" spans="1:9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4" t="s">
        <v>9</v>
      </c>
    </row>
    <row r="6" spans="1:9">
      <c r="A6" s="6">
        <v>46117</v>
      </c>
      <c r="B6" s="7">
        <v>1592299</v>
      </c>
      <c r="C6" s="7" t="s">
        <v>10</v>
      </c>
      <c r="D6" s="8">
        <v>20380293</v>
      </c>
      <c r="E6" s="7" t="s">
        <v>11</v>
      </c>
      <c r="F6" s="8">
        <v>5</v>
      </c>
      <c r="G6" s="9">
        <v>8</v>
      </c>
      <c r="H6" s="9">
        <v>40</v>
      </c>
    </row>
    <row r="7" spans="1:9">
      <c r="A7" s="6">
        <v>46117</v>
      </c>
      <c r="B7" s="7">
        <v>1592299</v>
      </c>
      <c r="C7" s="7" t="s">
        <v>10</v>
      </c>
      <c r="D7" s="8">
        <v>20300268</v>
      </c>
      <c r="E7" s="7" t="s">
        <v>12</v>
      </c>
      <c r="F7" s="8">
        <v>5</v>
      </c>
      <c r="G7" s="9">
        <v>16</v>
      </c>
      <c r="H7" s="9">
        <v>80</v>
      </c>
      <c r="I7">
        <f>707.5*1.25</f>
        <v>884.375</v>
      </c>
    </row>
    <row r="8" spans="1:9">
      <c r="A8" s="6">
        <v>46117</v>
      </c>
      <c r="B8" s="7">
        <v>1592299</v>
      </c>
      <c r="C8" s="7" t="s">
        <v>10</v>
      </c>
      <c r="D8" s="8">
        <v>20362669</v>
      </c>
      <c r="E8" s="7" t="s">
        <v>13</v>
      </c>
      <c r="F8" s="8">
        <v>1</v>
      </c>
      <c r="G8" s="9">
        <v>13.5</v>
      </c>
      <c r="H8" s="9">
        <v>13.5</v>
      </c>
    </row>
    <row r="9" spans="1:9">
      <c r="A9" s="6">
        <v>46117</v>
      </c>
      <c r="B9" s="7">
        <v>1592299</v>
      </c>
      <c r="C9" s="7" t="s">
        <v>10</v>
      </c>
      <c r="D9" s="8">
        <v>20382190</v>
      </c>
      <c r="E9" s="7" t="s">
        <v>14</v>
      </c>
      <c r="F9" s="8">
        <v>3</v>
      </c>
      <c r="G9" s="9">
        <v>8</v>
      </c>
      <c r="H9" s="9">
        <v>24</v>
      </c>
    </row>
    <row r="10" spans="1:9">
      <c r="A10" s="6">
        <v>46117</v>
      </c>
      <c r="B10" s="7">
        <v>1592299</v>
      </c>
      <c r="C10" s="7" t="s">
        <v>15</v>
      </c>
      <c r="D10" s="8">
        <v>20015281</v>
      </c>
      <c r="E10" s="7" t="s">
        <v>16</v>
      </c>
      <c r="F10" s="8">
        <v>10</v>
      </c>
      <c r="G10" s="9">
        <v>55</v>
      </c>
      <c r="H10" s="9">
        <v>550</v>
      </c>
    </row>
    <row r="11" spans="1:9">
      <c r="A11" s="10" t="s">
        <v>17</v>
      </c>
      <c r="B11" s="11"/>
      <c r="C11" s="11"/>
      <c r="D11" s="11"/>
      <c r="E11" s="11"/>
      <c r="F11" s="11"/>
      <c r="G11" s="12"/>
      <c r="H11" s="9">
        <f>SUM(H6:H10)</f>
        <v>707.5</v>
      </c>
    </row>
  </sheetData>
  <mergeCells count="3">
    <mergeCell ref="A1:H1"/>
    <mergeCell ref="A11:G11"/>
    <mergeCell ref="A2:H4"/>
  </mergeCells>
  <pageMargins left="0.25" right="0.25" top="0.75" bottom="0.75" header="0.298611111111111" footer="0.298611111111111"/>
  <pageSetup paperSize="9" scale="8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2026-05-07T02:31:00Z</dcterms:created>
  <dcterms:modified xsi:type="dcterms:W3CDTF">2026-05-11T05:10:01Z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D739B56E56BB4E7989E937F1A6A8CF2E_13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