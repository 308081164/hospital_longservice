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01" activeTab="11"/>
  </bookViews>
  <sheets>
    <sheet name="耳科" sheetId="1" r:id="rId1"/>
    <sheet name="妇科门诊（一病区）" sheetId="2" r:id="rId2"/>
    <sheet name="急诊" sheetId="3" r:id="rId3"/>
    <sheet name="口腔科" sheetId="4" r:id="rId4"/>
    <sheet name="泌外科" sheetId="5" r:id="rId5"/>
    <sheet name="皮肤科" sheetId="6" r:id="rId6"/>
    <sheet name="普外科" sheetId="7" r:id="rId7"/>
    <sheet name="手术室" sheetId="8" r:id="rId8"/>
    <sheet name="透析科" sheetId="9" r:id="rId9"/>
    <sheet name="眼科" sheetId="10" r:id="rId10"/>
    <sheet name="外来器械" sheetId="11" r:id="rId11"/>
    <sheet name="费用调整" sheetId="12" r:id="rId12"/>
  </sheets>
  <definedNames>
    <definedName name="_xlnm._FilterDatabase" localSheetId="7" hidden="1">手术室!$A$7:$L$188</definedName>
    <definedName name="_xlnm.Print_Titles" localSheetId="0">耳科!$1:$6</definedName>
    <definedName name="_xlnm.Print_Titles" localSheetId="1">'妇科门诊（一病区）'!$1:$6</definedName>
    <definedName name="_xlnm.Print_Titles" localSheetId="2">急诊!$1:$6</definedName>
    <definedName name="_xlnm.Print_Titles" localSheetId="3">口腔科!$1:$6</definedName>
    <definedName name="_xlnm.Print_Titles" localSheetId="4">泌外科!$1:$6</definedName>
    <definedName name="_xlnm.Print_Titles" localSheetId="5">皮肤科!$1:$6</definedName>
    <definedName name="_xlnm.Print_Titles" localSheetId="6">普外科!$1:$6</definedName>
    <definedName name="_xlnm.Print_Titles" localSheetId="7">手术室!$1:$6</definedName>
    <definedName name="_xlnm.Print_Titles" localSheetId="8">透析科!$1:$6</definedName>
    <definedName name="_xlnm.Print_Titles" localSheetId="9">眼科!$1:$6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<sst xmlns="http://schemas.openxmlformats.org/spreadsheetml/2006/main" count="1410" uniqueCount="210">
  <si>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</si>
  <si>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</si>
  <si>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</si>
  <si>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黑龙江省中医药大学附属第三医院（电力）</t>
  </si>
  <si>
    <t>发货日期</t>
  </si>
  <si>
    <t>发货单号</t>
  </si>
  <si>
    <t>类型</t>
  </si>
  <si>
    <t>包类别号</t>
  </si>
  <si>
    <t>包名</t>
  </si>
  <si>
    <t>包数</t>
  </si>
  <si>
    <t>器械数</t>
  </si>
  <si>
    <t>单价</t>
  </si>
  <si>
    <t>总价</t>
  </si>
  <si>
    <t>耳科</t>
  </si>
  <si>
    <t>额外包(纸塑袋)</t>
  </si>
  <si>
    <t>刀柄-1/z7526</t>
  </si>
  <si>
    <t>刮匙-1/Z7530</t>
  </si>
  <si>
    <t>喉滴入针-1/z7526</t>
  </si>
  <si>
    <t>小剪刀-1/z7526</t>
  </si>
  <si>
    <t>针头(7号)-1/z7526</t>
  </si>
  <si>
    <t>针头-1/z7526</t>
  </si>
  <si>
    <t>止血钳（大）-1/z1035</t>
  </si>
  <si>
    <t>止血钳（小直）-1/z1026</t>
  </si>
  <si>
    <t>止血钳-1/z1029</t>
  </si>
  <si>
    <t>敷料包(纸塑袋)</t>
  </si>
  <si>
    <t>卷棉子/Z1026</t>
  </si>
  <si>
    <t>小棉条/Z7520</t>
  </si>
  <si>
    <t>妇科门诊（一病区）</t>
  </si>
  <si>
    <t>额外包(ETO)</t>
  </si>
  <si>
    <t>水管-1/z3040</t>
  </si>
  <si>
    <t>单包装包(EO)</t>
  </si>
  <si>
    <t>宫腔镜-3件/z2060</t>
  </si>
  <si>
    <t>取环器-1/z1535</t>
  </si>
  <si>
    <t>器械包(ZSD)</t>
  </si>
  <si>
    <t>小刮宫包</t>
  </si>
  <si>
    <t>额外包(无纺布)</t>
  </si>
  <si>
    <t>取环-4件/W6050</t>
  </si>
  <si>
    <t>吸头（7号）-1/z7534</t>
  </si>
  <si>
    <t>扩棒-1/z7530</t>
  </si>
  <si>
    <t>妇科探针-1/z7537</t>
  </si>
  <si>
    <t>宫颈钳-1/z1535</t>
  </si>
  <si>
    <t>取环钩-1/z7537</t>
  </si>
  <si>
    <t>凹凸钳-1/z1035</t>
  </si>
  <si>
    <t>扩棒（4.5号）-1/Z7526</t>
  </si>
  <si>
    <t>镊子-1/z7526</t>
  </si>
  <si>
    <t>窥器-1/z1526</t>
  </si>
  <si>
    <t>大镊子-1件/z7537</t>
  </si>
  <si>
    <t>妇科刮匙-1/z7537</t>
  </si>
  <si>
    <t>卵圆钳-1/z1535</t>
  </si>
  <si>
    <t>吸头-1/z7534</t>
  </si>
  <si>
    <t>宫腔镜剪刀-1/z2060</t>
  </si>
  <si>
    <t>小件盒-2/z1526</t>
  </si>
  <si>
    <t>急诊</t>
  </si>
  <si>
    <t>器械包</t>
  </si>
  <si>
    <t>缝合包-急诊</t>
  </si>
  <si>
    <t>单包装包</t>
  </si>
  <si>
    <t>持物钳罐-2/z2044</t>
  </si>
  <si>
    <t>无菌缸-1/z2530</t>
  </si>
  <si>
    <t>钩镊-1/z7526</t>
  </si>
  <si>
    <t>刮勺-1/Z7530</t>
  </si>
  <si>
    <t>开口器-1/z1526</t>
  </si>
  <si>
    <t>舌钳子-1/z1526</t>
  </si>
  <si>
    <t>蚊式钳-1/1020</t>
  </si>
  <si>
    <t>压舌板--1/Z7526</t>
  </si>
  <si>
    <t>喉镜片-1/z1026</t>
  </si>
  <si>
    <t>剪刀-1/z1029</t>
  </si>
  <si>
    <t>换药包</t>
  </si>
  <si>
    <t>显微镊子-1/Z7520</t>
  </si>
  <si>
    <t>口腔科</t>
  </si>
  <si>
    <t>拔牙钳-1/z1029</t>
  </si>
  <si>
    <t>拔牙挺-1/z7526</t>
  </si>
  <si>
    <t>光敏刀-1/Z7530</t>
  </si>
  <si>
    <t>洁牙尖-5/z7520</t>
  </si>
  <si>
    <t>手机-1/z7526</t>
  </si>
  <si>
    <t>挖匙-1/z7526</t>
  </si>
  <si>
    <t>成型片-15/Z7520</t>
  </si>
  <si>
    <t>成型片-5/Z7520</t>
  </si>
  <si>
    <t>充填器-1/Z7526</t>
  </si>
  <si>
    <t>唇钩-5/z7520</t>
  </si>
  <si>
    <t>洁牙机钥匙-1/z1026</t>
  </si>
  <si>
    <t>针类一包（数量不定）/z7520</t>
  </si>
  <si>
    <t>持针器-1/z1029</t>
  </si>
  <si>
    <t>启冠器头-3/z7526</t>
  </si>
  <si>
    <t>成型夹-3/z1526</t>
  </si>
  <si>
    <t>泌外科</t>
  </si>
  <si>
    <t>镜头-1/双/保/z2050</t>
  </si>
  <si>
    <t>输尿管镜-1件/双/保/z2080</t>
  </si>
  <si>
    <t>探针-1/Z7580</t>
  </si>
  <si>
    <t>电切环-3（盒1）/z1045</t>
  </si>
  <si>
    <t>加件-3/z2044</t>
  </si>
  <si>
    <t>抓钳-1/z2060</t>
  </si>
  <si>
    <t>膀胱镜-1/z2060</t>
  </si>
  <si>
    <t>膀胱镜-2/z2060</t>
  </si>
  <si>
    <t>加件-4/z2044</t>
  </si>
  <si>
    <t>扳手-2/Z1526</t>
  </si>
  <si>
    <t>膀胱软镜-1/W12050</t>
  </si>
  <si>
    <t>冲洗瓶-1/z2035</t>
  </si>
  <si>
    <t>电切环-1/保/1045</t>
  </si>
  <si>
    <t>尿道探子-4/z1037</t>
  </si>
  <si>
    <t>皮肤科</t>
  </si>
  <si>
    <t>止血钳（直）-1/z1029</t>
  </si>
  <si>
    <t>弯盘-1件/z2032</t>
  </si>
  <si>
    <t>止血钳（弯）-1/z1029</t>
  </si>
  <si>
    <t>无钩直镊-1/z7526</t>
  </si>
  <si>
    <t>排针-1/z7526</t>
  </si>
  <si>
    <t>平镊（小）-1/z7526</t>
  </si>
  <si>
    <t>普外科</t>
  </si>
  <si>
    <t>缝合包</t>
  </si>
  <si>
    <t>清创包</t>
  </si>
  <si>
    <t>平镊-1/z7526</t>
  </si>
  <si>
    <t>手术室</t>
  </si>
  <si>
    <t>TUR包</t>
  </si>
  <si>
    <t>包皮包</t>
  </si>
  <si>
    <t>胆囊腔镜包</t>
  </si>
  <si>
    <t>盆1盘1杯1/z3032</t>
  </si>
  <si>
    <t>脓肿切开包-6件</t>
  </si>
  <si>
    <t>盆1盘2杯1/W9050</t>
  </si>
  <si>
    <t>毛巾/z3044</t>
  </si>
  <si>
    <t>奥林帕斯一体镜-1/双/z4080</t>
  </si>
  <si>
    <t>阑尾钳-1/z2060</t>
  </si>
  <si>
    <t>气腹管-1/z3040</t>
  </si>
  <si>
    <t>取石钳-1/z2060</t>
  </si>
  <si>
    <t>弯头分离钳-1/z2060</t>
  </si>
  <si>
    <t>吸引器（EO）-1/z1560</t>
  </si>
  <si>
    <t>血管扣钳-1/z2060</t>
  </si>
  <si>
    <t>体表包△</t>
  </si>
  <si>
    <t>小手术包</t>
  </si>
  <si>
    <t>痔切除</t>
  </si>
  <si>
    <t>刮勺-3/Z1035</t>
  </si>
  <si>
    <t>肛门加件-6件/W6050</t>
  </si>
  <si>
    <t>棉垫绷带/Z3044</t>
  </si>
  <si>
    <t>肌钩-2/Z1035</t>
  </si>
  <si>
    <t>肌钩2解剖钳1/W6050</t>
  </si>
  <si>
    <t>灯罩（大）-1/z2032</t>
  </si>
  <si>
    <t>灯罩（小）-1/z1530</t>
  </si>
  <si>
    <t>置管包</t>
  </si>
  <si>
    <t>碗1盘1杯1/z2530</t>
  </si>
  <si>
    <t>等离子套件-4/z2044</t>
  </si>
  <si>
    <t>等离子镜-1/z2060</t>
  </si>
  <si>
    <t>胆囊取加件-2/Z1535</t>
  </si>
  <si>
    <t>宫颈钳-1探针-1/Z1537</t>
  </si>
  <si>
    <t>结甲加件-3/W6050</t>
  </si>
  <si>
    <t>甲状腺单/Z3040</t>
  </si>
  <si>
    <t>剪刀（EO）-1/z2060</t>
  </si>
  <si>
    <t>鸭嘴钳-1/z2060</t>
  </si>
  <si>
    <t>小缝合-32</t>
  </si>
  <si>
    <t>克氏剪-1/Z1029</t>
  </si>
  <si>
    <t>点式复位钳-2/W6050</t>
  </si>
  <si>
    <t>电钻-4/W9050</t>
  </si>
  <si>
    <t>显微器械-23件（盘1）/w9050</t>
  </si>
  <si>
    <t>狼牙钳-1/z2060</t>
  </si>
  <si>
    <t>鼠齿抓钳-1/z2060</t>
  </si>
  <si>
    <t>腹腔镜镜头-1/z2060</t>
  </si>
  <si>
    <t>阑尾加件-5件/w6050</t>
  </si>
  <si>
    <t>显微镜套-5/z2032</t>
  </si>
  <si>
    <t>剖腹包△</t>
  </si>
  <si>
    <t>9号针头-1/z7526</t>
  </si>
  <si>
    <t>解剖钳1剪刀1/z1535</t>
  </si>
  <si>
    <t>针板-12/Z7520</t>
  </si>
  <si>
    <t>针板-2/Z7520</t>
  </si>
  <si>
    <t>阴式加件-7件/w6050</t>
  </si>
  <si>
    <t>钳子 长（EO）/Z2060</t>
  </si>
  <si>
    <t>鞍钩-2/w7050</t>
  </si>
  <si>
    <t>产钳-2/w9050</t>
  </si>
  <si>
    <t>连接管1 冲洗瓶1/z2035</t>
  </si>
  <si>
    <t>手柄-1/Z3040</t>
  </si>
  <si>
    <t>骨折包（大）</t>
  </si>
  <si>
    <t>电钻-3件/W7050</t>
  </si>
  <si>
    <t>长镜头-1/双/保/z2080</t>
  </si>
  <si>
    <t>透析科</t>
  </si>
  <si>
    <t>眼科</t>
  </si>
  <si>
    <t>弯盘-1/z2032</t>
  </si>
  <si>
    <t>睑板夹-1/z7526</t>
  </si>
  <si>
    <t>开睑器-1/z7520</t>
  </si>
  <si>
    <t>显微持针器-1-z7526</t>
  </si>
  <si>
    <t>显微剪刀-1/z7526</t>
  </si>
  <si>
    <t>显微无钩直镊-1/z7526</t>
  </si>
  <si>
    <t>显微有钩直镊-1/z7526</t>
  </si>
  <si>
    <t>泪道探针-1/z7520</t>
  </si>
  <si>
    <t>发货单汇总表(可选科室)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</si>
  <si>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2026/3/1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2026/3/31</t>
    </r>
  </si>
  <si>
    <t>基本类型</t>
  </si>
  <si>
    <t>包编号</t>
  </si>
  <si>
    <t>包数量</t>
  </si>
  <si>
    <t>器械数量</t>
  </si>
  <si>
    <t>合计</t>
  </si>
  <si>
    <t>沈阳鑫美辰商贸有限公司</t>
  </si>
  <si>
    <t>中医药大学附属第三医院（骨二科）</t>
  </si>
  <si>
    <t>骨科租赁器械包</t>
  </si>
  <si>
    <t>骨科租赁器械包-不带植入物</t>
  </si>
  <si>
    <t>董志坚-股骨粗隆间骨折6/6</t>
  </si>
  <si>
    <t>董志坚-股骨粗隆间骨折2/6</t>
  </si>
  <si>
    <t>骨科租赁器械包-带植入物</t>
  </si>
  <si>
    <t>董志坚-股骨粗隆间骨折1/6</t>
  </si>
  <si>
    <t>董志坚-股骨粗隆间骨折5/6</t>
  </si>
  <si>
    <t>董志坚-股骨粗隆间骨折4/6</t>
  </si>
  <si>
    <t>董志坚-股骨粗隆间骨折3/6</t>
  </si>
  <si>
    <t>李顺友-跖骨基底骨折  1/2</t>
  </si>
  <si>
    <t>李顺友-跖骨基底骨折  2/2</t>
  </si>
  <si>
    <t>贾博-踝关节骨折  1/1</t>
  </si>
  <si>
    <t>从发票中删除-按客户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</si>
  <si>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2026/4/2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2026/4/2</t>
    </r>
  </si>
  <si>
    <t>处理序号</t>
  </si>
  <si>
    <t>发票操作时间</t>
  </si>
  <si>
    <t>原因</t>
  </si>
  <si>
    <t>处理序号完成时间</t>
  </si>
  <si>
    <t>包名称</t>
  </si>
  <si>
    <t>金额</t>
  </si>
  <si>
    <t>额外包</t>
  </si>
  <si>
    <t>调整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</si>
</sst>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"/>
    <numFmt numFmtId="177" formatCode="[$-10804]yyyy/m/d\ h:mm:ss"/>
    <numFmt numFmtId="178" formatCode="[$-10804]0;\(0\)"/>
    <numFmt numFmtId="179" formatCode="[$-10804]0.00;\(0.00\)"/>
    <numFmt numFmtId="180" formatCode="[$-10804]yyyy/m/d"/>
  </numFmts>
  <fonts count="31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b/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0"/>
      <color rgb="FF000000"/>
      <name val="宋体"/>
      <charset val="134"/>
    </font>
    <font>
      <sz val="12"/>
      <color rgb="FFFFFFFF"/>
      <name val="Droid Sans Fallback"/>
      <charset val="134"/>
    </font>
    <font>
      <b/>
      <sz val="10"/>
      <color rgb="FFFFFFFF"/>
      <name val="Droid Sans Fallback"/>
      <charset val="134"/>
    </font>
    <font>
      <b/>
      <sz val="10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DFE3E8"/>
        <bgColor rgb="FFDFE3E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6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7" borderId="9" applyNumberFormat="0" applyAlignment="0" applyProtection="0">
      <alignment vertical="center"/>
    </xf>
    <xf numFmtId="0" fontId="22" fillId="8" borderId="11" applyNumberFormat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30" fillId="0" borderId="0"/>
  </cellStyleXfs>
  <cellXfs count="45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 readingOrder="1"/>
    </xf>
    <xf numFmtId="0" fontId="0" fillId="0" borderId="2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vertical="top" wrapText="1" readingOrder="1"/>
    </xf>
    <xf numFmtId="176" fontId="3" fillId="2" borderId="2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3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176" fontId="3" fillId="3" borderId="2" xfId="0" applyNumberFormat="1" applyFont="1" applyFill="1" applyBorder="1" applyAlignment="1">
      <alignment vertical="top" wrapText="1" readingOrder="1"/>
    </xf>
    <xf numFmtId="0" fontId="3" fillId="4" borderId="2" xfId="0" applyNumberFormat="1" applyFont="1" applyFill="1" applyBorder="1" applyAlignment="1">
      <alignment horizontal="left" vertical="top" wrapText="1" readingOrder="1"/>
    </xf>
    <xf numFmtId="0" fontId="3" fillId="4" borderId="2" xfId="0" applyNumberFormat="1" applyFont="1" applyFill="1" applyBorder="1" applyAlignment="1">
      <alignment vertical="top" wrapText="1" readingOrder="1"/>
    </xf>
    <xf numFmtId="176" fontId="3" fillId="4" borderId="2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left" vertical="top" wrapText="1" readingOrder="1"/>
    </xf>
    <xf numFmtId="177" fontId="3" fillId="0" borderId="3" xfId="0" applyNumberFormat="1" applyFont="1" applyFill="1" applyBorder="1" applyAlignment="1">
      <alignment horizontal="left" vertical="top" wrapText="1" readingOrder="1"/>
    </xf>
    <xf numFmtId="0" fontId="6" fillId="0" borderId="3" xfId="0" applyNumberFormat="1" applyFont="1" applyFill="1" applyBorder="1" applyAlignment="1">
      <alignment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176" fontId="3" fillId="0" borderId="3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7" fillId="2" borderId="2" xfId="0" applyNumberFormat="1" applyFont="1" applyFill="1" applyBorder="1" applyAlignment="1">
      <alignment vertical="top" wrapText="1" readingOrder="1"/>
    </xf>
    <xf numFmtId="0" fontId="8" fillId="2" borderId="2" xfId="0" applyNumberFormat="1" applyFont="1" applyFill="1" applyBorder="1" applyAlignment="1">
      <alignment horizontal="center" vertical="top" wrapText="1" readingOrder="1"/>
    </xf>
    <xf numFmtId="178" fontId="8" fillId="2" borderId="2" xfId="0" applyNumberFormat="1" applyFont="1" applyFill="1" applyBorder="1" applyAlignment="1">
      <alignment horizontal="center" vertical="top" wrapText="1" readingOrder="1"/>
    </xf>
    <xf numFmtId="179" fontId="8" fillId="2" borderId="2" xfId="0" applyNumberFormat="1" applyFont="1" applyFill="1" applyBorder="1" applyAlignment="1">
      <alignment vertical="top" wrapText="1" readingOrder="1"/>
    </xf>
    <xf numFmtId="0" fontId="9" fillId="3" borderId="2" xfId="0" applyNumberFormat="1" applyFont="1" applyFill="1" applyBorder="1" applyAlignment="1">
      <alignment horizontal="center" vertical="top" wrapText="1" readingOrder="1"/>
    </xf>
    <xf numFmtId="178" fontId="9" fillId="3" borderId="2" xfId="0" applyNumberFormat="1" applyFont="1" applyFill="1" applyBorder="1" applyAlignment="1">
      <alignment horizontal="center" vertical="top" wrapText="1" readingOrder="1"/>
    </xf>
    <xf numFmtId="179" fontId="9" fillId="3" borderId="2" xfId="0" applyNumberFormat="1" applyFont="1" applyFill="1" applyBorder="1" applyAlignment="1">
      <alignment vertical="top" wrapText="1" readingOrder="1"/>
    </xf>
    <xf numFmtId="180" fontId="3" fillId="0" borderId="3" xfId="0" applyNumberFormat="1" applyFont="1" applyFill="1" applyBorder="1" applyAlignment="1">
      <alignment horizontal="left" vertical="top" wrapText="1" readingOrder="1"/>
    </xf>
    <xf numFmtId="0" fontId="9" fillId="0" borderId="3" xfId="0" applyNumberFormat="1" applyFont="1" applyFill="1" applyBorder="1" applyAlignment="1">
      <alignment horizontal="center" vertical="top" wrapText="1" readingOrder="1"/>
    </xf>
    <xf numFmtId="178" fontId="9" fillId="0" borderId="3" xfId="0" applyNumberFormat="1" applyFont="1" applyFill="1" applyBorder="1" applyAlignment="1">
      <alignment horizontal="center" vertical="top" wrapText="1" readingOrder="1"/>
    </xf>
    <xf numFmtId="179" fontId="9" fillId="0" borderId="3" xfId="0" applyNumberFormat="1" applyFont="1" applyFill="1" applyBorder="1" applyAlignment="1">
      <alignment vertical="top" wrapText="1" readingOrder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4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0" fillId="0" borderId="5" xfId="0" applyNumberFormat="1" applyFont="1" applyFill="1" applyBorder="1" applyAlignment="1">
      <alignment vertical="top" wrapText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9" fontId="5" fillId="3" borderId="3" xfId="0" applyNumberFormat="1" applyFont="1" applyFill="1" applyBorder="1" applyAlignment="1">
      <alignment horizontal="center" vertical="top" wrapText="1" readingOrder="1"/>
    </xf>
    <xf numFmtId="18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9" fontId="3" fillId="0" borderId="3" xfId="0" applyNumberFormat="1" applyFont="1" applyFill="1" applyBorder="1" applyAlignment="1">
      <alignment horizontal="center" vertical="top" wrapText="1" readingOrder="1"/>
    </xf>
    <xf numFmtId="0" fontId="7" fillId="2" borderId="3" xfId="0" applyNumberFormat="1" applyFont="1" applyFill="1" applyBorder="1" applyAlignment="1">
      <alignment vertical="top" wrapText="1" readingOrder="1"/>
    </xf>
    <xf numFmtId="0" fontId="7" fillId="2" borderId="3" xfId="0" applyNumberFormat="1" applyFont="1" applyFill="1" applyBorder="1" applyAlignment="1">
      <alignment horizontal="center" vertical="top" wrapText="1" readingOrder="1"/>
    </xf>
    <xf numFmtId="179" fontId="7" fillId="2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57150</xdr:colOff>
      <xdr:row>0</xdr:row>
      <xdr:rowOff>114300</xdr:rowOff>
    </xdr:from>
    <xdr:to>
      <xdr:col>11</xdr:col>
      <xdr:colOff>567138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0029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0</xdr:row>
      <xdr:rowOff>114300</xdr:rowOff>
    </xdr:from>
    <xdr:to>
      <xdr:col>11</xdr:col>
      <xdr:colOff>719538</xdr:colOff>
      <xdr:row>3</xdr:row>
      <xdr:rowOff>133350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2690" y="114300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276225</xdr:colOff>
      <xdr:row>0</xdr:row>
      <xdr:rowOff>142875</xdr:rowOff>
    </xdr:from>
    <xdr:to>
      <xdr:col>11</xdr:col>
      <xdr:colOff>786213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619365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142875</xdr:colOff>
      <xdr:row>0</xdr:row>
      <xdr:rowOff>123825</xdr:rowOff>
    </xdr:from>
    <xdr:to>
      <xdr:col>11</xdr:col>
      <xdr:colOff>652863</xdr:colOff>
      <xdr:row>3</xdr:row>
      <xdr:rowOff>142875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86015" y="1238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66675</xdr:rowOff>
    </xdr:from>
    <xdr:to>
      <xdr:col>11</xdr:col>
      <xdr:colOff>757638</xdr:colOff>
      <xdr:row>3</xdr:row>
      <xdr:rowOff>85725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90790" y="66675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209550</xdr:colOff>
      <xdr:row>1</xdr:row>
      <xdr:rowOff>38100</xdr:rowOff>
    </xdr:from>
    <xdr:to>
      <xdr:col>11</xdr:col>
      <xdr:colOff>719538</xdr:colOff>
      <xdr:row>4</xdr:row>
      <xdr:rowOff>35560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52690" y="209550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152400</xdr:rowOff>
    </xdr:from>
    <xdr:to>
      <xdr:col>11</xdr:col>
      <xdr:colOff>757638</xdr:colOff>
      <xdr:row>3</xdr:row>
      <xdr:rowOff>171450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90790" y="15240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247650</xdr:colOff>
      <xdr:row>0</xdr:row>
      <xdr:rowOff>142875</xdr:rowOff>
    </xdr:from>
    <xdr:to>
      <xdr:col>11</xdr:col>
      <xdr:colOff>757638</xdr:colOff>
      <xdr:row>3</xdr:row>
      <xdr:rowOff>161925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90790" y="14287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104775</xdr:colOff>
      <xdr:row>1</xdr:row>
      <xdr:rowOff>76200</xdr:rowOff>
    </xdr:from>
    <xdr:to>
      <xdr:col>11</xdr:col>
      <xdr:colOff>614763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447915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219075</xdr:colOff>
      <xdr:row>1</xdr:row>
      <xdr:rowOff>28575</xdr:rowOff>
    </xdr:from>
    <xdr:to>
      <xdr:col>11</xdr:col>
      <xdr:colOff>729063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56221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114300</xdr:colOff>
      <xdr:row>0</xdr:row>
      <xdr:rowOff>95250</xdr:rowOff>
    </xdr:from>
    <xdr:to>
      <xdr:col>12</xdr:col>
      <xdr:colOff>624288</xdr:colOff>
      <xdr:row>3</xdr:row>
      <xdr:rowOff>114300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8453755" y="95250"/>
          <a:ext cx="509905" cy="5086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295275</xdr:colOff>
      <xdr:row>0</xdr:row>
      <xdr:rowOff>635</xdr:rowOff>
    </xdr:from>
    <xdr:to>
      <xdr:col>9</xdr:col>
      <xdr:colOff>805263</xdr:colOff>
      <xdr:row>2</xdr:row>
      <xdr:rowOff>153035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7014210" y="635"/>
          <a:ext cx="509905" cy="501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showGridLines="0" view="pageBreakPreview" zoomScaleNormal="100" workbookViewId="0">
      <pane ySplit="6" topLeftCell="A7" activePane="bottomLeft" state="frozen"/>
      <selection/>
      <selection pane="bottomLeft" activeCell="L26" sqref="L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2:12">
      <c r="C1" s="1" t="s">
        <v>0</v>
      </c>
    </row>
    <row r="2" ht="23.05" customHeight="1"/>
    <row r="3" ht="2" customHeight="1"/>
    <row r="4" ht="15.2" customHeight="1" spans="2:12">
      <c r="B4" s="2" t="s">
        <v>1</v>
      </c>
    </row>
    <row r="6" ht="2.95" customHeight="1"/>
    <row r="7" ht="3.95" customHeight="1" spans="2:12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  <c r="L7" s="3" t="s">
        <v>2</v>
      </c>
    </row>
    <row r="8" ht="15" spans="2:12">
      <c r="C8" s="8" t="s">
        <v>2</v>
      </c>
      <c r="D8" s="42" t="s">
        <v>3</v>
      </c>
      <c r="E8" s="36" t="s">
        <v>2</v>
      </c>
      <c r="F8" s="36" t="s">
        <v>2</v>
      </c>
      <c r="G8" s="36" t="s">
        <v>2</v>
      </c>
      <c r="H8" s="36" t="s">
        <v>2</v>
      </c>
      <c r="I8" s="43"/>
      <c r="J8" s="43"/>
      <c r="K8" s="44"/>
      <c r="L8" s="44"/>
    </row>
    <row r="9" spans="2:12">
      <c r="C9" s="8" t="s">
        <v>2</v>
      </c>
      <c r="D9" s="40" t="s">
        <v>4</v>
      </c>
      <c r="E9" s="40" t="s">
        <v>5</v>
      </c>
      <c r="F9" s="40" t="s">
        <v>6</v>
      </c>
      <c r="G9" s="40" t="s">
        <v>7</v>
      </c>
      <c r="H9" s="40" t="s">
        <v>8</v>
      </c>
      <c r="I9" s="40" t="s">
        <v>9</v>
      </c>
      <c r="J9" s="40" t="s">
        <v>10</v>
      </c>
      <c r="K9" s="40" t="s">
        <v>11</v>
      </c>
      <c r="L9" s="40" t="s">
        <v>12</v>
      </c>
    </row>
    <row r="10" ht="14.25" spans="2:12">
      <c r="D10" s="35" t="s">
        <v>13</v>
      </c>
      <c r="E10" s="36" t="s">
        <v>2</v>
      </c>
      <c r="F10" s="36" t="s">
        <v>2</v>
      </c>
      <c r="G10" s="36" t="s">
        <v>2</v>
      </c>
      <c r="H10" s="36" t="s">
        <v>2</v>
      </c>
      <c r="I10" s="37">
        <v>47</v>
      </c>
      <c r="J10" s="37">
        <v>16</v>
      </c>
      <c r="K10" s="38"/>
      <c r="L10" s="38">
        <v>205.5</v>
      </c>
    </row>
    <row r="11" spans="2:12">
      <c r="D11" s="39">
        <v>46091</v>
      </c>
      <c r="E11" s="19">
        <v>1583429</v>
      </c>
      <c r="F11" s="19" t="s">
        <v>14</v>
      </c>
      <c r="G11" s="40">
        <v>20008717</v>
      </c>
      <c r="H11" s="19" t="s">
        <v>15</v>
      </c>
      <c r="I11" s="40">
        <v>2</v>
      </c>
      <c r="J11" s="40">
        <v>2</v>
      </c>
      <c r="K11" s="41">
        <v>8</v>
      </c>
      <c r="L11" s="41">
        <v>16</v>
      </c>
    </row>
    <row r="12" spans="2:12">
      <c r="D12" s="39">
        <v>46091</v>
      </c>
      <c r="E12" s="19">
        <v>1583429</v>
      </c>
      <c r="F12" s="19" t="s">
        <v>14</v>
      </c>
      <c r="G12" s="40">
        <v>20352832</v>
      </c>
      <c r="H12" s="19" t="s">
        <v>16</v>
      </c>
      <c r="I12" s="40">
        <v>2</v>
      </c>
      <c r="J12" s="40">
        <v>2</v>
      </c>
      <c r="K12" s="41">
        <v>8</v>
      </c>
      <c r="L12" s="41">
        <v>16</v>
      </c>
    </row>
    <row r="13" spans="2:12">
      <c r="D13" s="39">
        <v>46091</v>
      </c>
      <c r="E13" s="19">
        <v>1583429</v>
      </c>
      <c r="F13" s="19" t="s">
        <v>14</v>
      </c>
      <c r="G13" s="40">
        <v>20012520</v>
      </c>
      <c r="H13" s="19" t="s">
        <v>17</v>
      </c>
      <c r="I13" s="40">
        <v>2</v>
      </c>
      <c r="J13" s="40">
        <v>2</v>
      </c>
      <c r="K13" s="41">
        <v>8</v>
      </c>
      <c r="L13" s="41">
        <v>16</v>
      </c>
    </row>
    <row r="14" spans="2:12">
      <c r="D14" s="39">
        <v>46091</v>
      </c>
      <c r="E14" s="19">
        <v>1583429</v>
      </c>
      <c r="F14" s="19" t="s">
        <v>14</v>
      </c>
      <c r="G14" s="40">
        <v>20007303</v>
      </c>
      <c r="H14" s="19" t="s">
        <v>18</v>
      </c>
      <c r="I14" s="40">
        <v>2</v>
      </c>
      <c r="J14" s="40">
        <v>2</v>
      </c>
      <c r="K14" s="41">
        <v>8</v>
      </c>
      <c r="L14" s="41">
        <v>16</v>
      </c>
    </row>
    <row r="15" spans="2:12">
      <c r="D15" s="39">
        <v>46091</v>
      </c>
      <c r="E15" s="19">
        <v>1583429</v>
      </c>
      <c r="F15" s="19" t="s">
        <v>14</v>
      </c>
      <c r="G15" s="40">
        <v>20011916</v>
      </c>
      <c r="H15" s="19" t="s">
        <v>19</v>
      </c>
      <c r="I15" s="40">
        <v>1</v>
      </c>
      <c r="J15" s="40">
        <v>1</v>
      </c>
      <c r="K15" s="41">
        <v>8</v>
      </c>
      <c r="L15" s="41">
        <v>8</v>
      </c>
    </row>
    <row r="16" spans="2:12">
      <c r="D16" s="39">
        <v>46091</v>
      </c>
      <c r="E16" s="19">
        <v>1583429</v>
      </c>
      <c r="F16" s="19" t="s">
        <v>14</v>
      </c>
      <c r="G16" s="40">
        <v>20011917</v>
      </c>
      <c r="H16" s="19" t="s">
        <v>20</v>
      </c>
      <c r="I16" s="40">
        <v>3</v>
      </c>
      <c r="J16" s="40">
        <v>3</v>
      </c>
      <c r="K16" s="41">
        <v>8</v>
      </c>
      <c r="L16" s="41">
        <v>24</v>
      </c>
    </row>
    <row r="17" spans="4:12">
      <c r="D17" s="39">
        <v>46091</v>
      </c>
      <c r="E17" s="19">
        <v>1583429</v>
      </c>
      <c r="F17" s="19" t="s">
        <v>14</v>
      </c>
      <c r="G17" s="40">
        <v>20007325</v>
      </c>
      <c r="H17" s="19" t="s">
        <v>21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46091</v>
      </c>
      <c r="E18" s="19">
        <v>1583429</v>
      </c>
      <c r="F18" s="19" t="s">
        <v>14</v>
      </c>
      <c r="G18" s="40">
        <v>20007362</v>
      </c>
      <c r="H18" s="19" t="s">
        <v>22</v>
      </c>
      <c r="I18" s="40">
        <v>1</v>
      </c>
      <c r="J18" s="40">
        <v>1</v>
      </c>
      <c r="K18" s="41">
        <v>8</v>
      </c>
      <c r="L18" s="41">
        <v>8</v>
      </c>
    </row>
    <row r="19" spans="4:12">
      <c r="D19" s="39">
        <v>46091</v>
      </c>
      <c r="E19" s="19">
        <v>1583429</v>
      </c>
      <c r="F19" s="19" t="s">
        <v>14</v>
      </c>
      <c r="G19" s="40">
        <v>20007417</v>
      </c>
      <c r="H19" s="19" t="s">
        <v>23</v>
      </c>
      <c r="I19" s="40">
        <v>2</v>
      </c>
      <c r="J19" s="40">
        <v>2</v>
      </c>
      <c r="K19" s="41">
        <v>8</v>
      </c>
      <c r="L19" s="41">
        <v>16</v>
      </c>
    </row>
    <row r="20" spans="4:12">
      <c r="D20" s="39">
        <v>46109</v>
      </c>
      <c r="E20" s="19">
        <v>1589989</v>
      </c>
      <c r="F20" s="19" t="s">
        <v>24</v>
      </c>
      <c r="G20" s="40">
        <v>20410292</v>
      </c>
      <c r="H20" s="19" t="s">
        <v>25</v>
      </c>
      <c r="I20" s="40">
        <v>1</v>
      </c>
      <c r="J20" s="40">
        <v>0</v>
      </c>
      <c r="K20" s="41">
        <v>2.5</v>
      </c>
      <c r="L20" s="41">
        <v>2.5</v>
      </c>
    </row>
    <row r="21" spans="4:12">
      <c r="D21" s="39">
        <v>46109</v>
      </c>
      <c r="E21" s="19">
        <v>1589989</v>
      </c>
      <c r="F21" s="19" t="s">
        <v>24</v>
      </c>
      <c r="G21" s="40">
        <v>20412030</v>
      </c>
      <c r="H21" s="19" t="s">
        <v>26</v>
      </c>
      <c r="I21" s="40">
        <v>30</v>
      </c>
      <c r="J21" s="40">
        <v>0</v>
      </c>
      <c r="K21" s="41">
        <v>2.5</v>
      </c>
      <c r="L21" s="41">
        <v>75</v>
      </c>
    </row>
  </sheetData>
  <mergeCells count="6">
    <mergeCell ref="D8:H8"/>
    <mergeCell ref="D10:H10"/>
    <mergeCell ref="C9:C21"/>
    <mergeCell ref="B4:H5"/>
    <mergeCell ref="A8:B21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0"/>
  <sheetViews>
    <sheetView showGridLines="0" view="pageBreakPreview" zoomScaleNormal="100" workbookViewId="0">
      <pane ySplit="6" topLeftCell="A7" activePane="bottomLeft" state="frozen"/>
      <selection/>
      <selection pane="bottomLeft" activeCell="N7" sqref="N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27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94</v>
      </c>
      <c r="J8" s="37">
        <v>353</v>
      </c>
      <c r="K8" s="38"/>
      <c r="L8" s="38">
        <v>3019</v>
      </c>
    </row>
    <row r="9" spans="1:12">
      <c r="D9" s="39">
        <v>46082</v>
      </c>
      <c r="E9" s="19">
        <v>1581238</v>
      </c>
      <c r="F9" s="19" t="s">
        <v>28</v>
      </c>
      <c r="G9" s="40">
        <v>20007465</v>
      </c>
      <c r="H9" s="19" t="s">
        <v>29</v>
      </c>
      <c r="I9" s="40">
        <v>1</v>
      </c>
      <c r="J9" s="40">
        <v>1</v>
      </c>
      <c r="K9" s="41">
        <v>35</v>
      </c>
      <c r="L9" s="41">
        <v>35</v>
      </c>
    </row>
    <row r="10" spans="1:12">
      <c r="D10" s="39">
        <v>46082</v>
      </c>
      <c r="E10" s="19">
        <v>1581238</v>
      </c>
      <c r="F10" s="19" t="s">
        <v>30</v>
      </c>
      <c r="G10" s="40">
        <v>20324939</v>
      </c>
      <c r="H10" s="19" t="s">
        <v>31</v>
      </c>
      <c r="I10" s="40">
        <v>1</v>
      </c>
      <c r="J10" s="40">
        <v>3</v>
      </c>
      <c r="K10" s="41">
        <v>66</v>
      </c>
      <c r="L10" s="41">
        <v>66</v>
      </c>
    </row>
    <row r="11" spans="1:12">
      <c r="D11" s="39">
        <v>46083</v>
      </c>
      <c r="E11" s="19">
        <v>1581595</v>
      </c>
      <c r="F11" s="19" t="s">
        <v>14</v>
      </c>
      <c r="G11" s="40">
        <v>20008624</v>
      </c>
      <c r="H11" s="19" t="s">
        <v>32</v>
      </c>
      <c r="I11" s="40">
        <v>1</v>
      </c>
      <c r="J11" s="40">
        <v>1</v>
      </c>
      <c r="K11" s="41">
        <v>11</v>
      </c>
      <c r="L11" s="41">
        <v>11</v>
      </c>
    </row>
    <row r="12" spans="1:12">
      <c r="D12" s="39">
        <v>46083</v>
      </c>
      <c r="E12" s="19">
        <v>1581595</v>
      </c>
      <c r="F12" s="19" t="s">
        <v>33</v>
      </c>
      <c r="G12" s="40">
        <v>20008398</v>
      </c>
      <c r="H12" s="19" t="s">
        <v>34</v>
      </c>
      <c r="I12" s="40">
        <v>1</v>
      </c>
      <c r="J12" s="40">
        <v>15</v>
      </c>
      <c r="K12" s="41">
        <v>82.5</v>
      </c>
      <c r="L12" s="41">
        <v>82.5</v>
      </c>
    </row>
    <row r="13" spans="1:12">
      <c r="D13" s="39">
        <v>46083</v>
      </c>
      <c r="E13" s="19">
        <v>1581595</v>
      </c>
      <c r="F13" s="19" t="s">
        <v>35</v>
      </c>
      <c r="G13" s="40">
        <v>20390991</v>
      </c>
      <c r="H13" s="19" t="s">
        <v>36</v>
      </c>
      <c r="I13" s="40">
        <v>1</v>
      </c>
      <c r="J13" s="40">
        <v>4</v>
      </c>
      <c r="K13" s="41">
        <v>22</v>
      </c>
      <c r="L13" s="41">
        <v>22</v>
      </c>
    </row>
    <row r="14" spans="1:12">
      <c r="D14" s="39">
        <v>46084</v>
      </c>
      <c r="E14" s="19">
        <v>1581886</v>
      </c>
      <c r="F14" s="19" t="s">
        <v>14</v>
      </c>
      <c r="G14" s="40">
        <v>20382014</v>
      </c>
      <c r="H14" s="19" t="s">
        <v>37</v>
      </c>
      <c r="I14" s="40">
        <v>1</v>
      </c>
      <c r="J14" s="40">
        <v>1</v>
      </c>
      <c r="K14" s="41">
        <v>8</v>
      </c>
      <c r="L14" s="41">
        <v>8</v>
      </c>
    </row>
    <row r="15" spans="1:12">
      <c r="D15" s="39">
        <v>46084</v>
      </c>
      <c r="E15" s="19">
        <v>1581886</v>
      </c>
      <c r="F15" s="19" t="s">
        <v>33</v>
      </c>
      <c r="G15" s="40">
        <v>20008398</v>
      </c>
      <c r="H15" s="19" t="s">
        <v>34</v>
      </c>
      <c r="I15" s="40">
        <v>2</v>
      </c>
      <c r="J15" s="40">
        <v>30</v>
      </c>
      <c r="K15" s="41">
        <v>82.5</v>
      </c>
      <c r="L15" s="41">
        <v>165</v>
      </c>
    </row>
    <row r="16" spans="1:12">
      <c r="D16" s="39">
        <v>46084</v>
      </c>
      <c r="E16" s="19">
        <v>1581886</v>
      </c>
      <c r="F16" s="19" t="s">
        <v>35</v>
      </c>
      <c r="G16" s="40">
        <v>20390991</v>
      </c>
      <c r="H16" s="19" t="s">
        <v>36</v>
      </c>
      <c r="I16" s="40">
        <v>1</v>
      </c>
      <c r="J16" s="40">
        <v>4</v>
      </c>
      <c r="K16" s="41">
        <v>22</v>
      </c>
      <c r="L16" s="41">
        <v>22</v>
      </c>
    </row>
    <row r="17" spans="4:12">
      <c r="D17" s="39">
        <v>46084</v>
      </c>
      <c r="E17" s="19">
        <v>1581896</v>
      </c>
      <c r="F17" s="19" t="s">
        <v>14</v>
      </c>
      <c r="G17" s="40">
        <v>20012989</v>
      </c>
      <c r="H17" s="19" t="s">
        <v>38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46084</v>
      </c>
      <c r="E18" s="19">
        <v>1581911</v>
      </c>
      <c r="F18" s="19" t="s">
        <v>28</v>
      </c>
      <c r="G18" s="40">
        <v>20007465</v>
      </c>
      <c r="H18" s="19" t="s">
        <v>29</v>
      </c>
      <c r="I18" s="40">
        <v>1</v>
      </c>
      <c r="J18" s="40">
        <v>1</v>
      </c>
      <c r="K18" s="41">
        <v>35</v>
      </c>
      <c r="L18" s="41">
        <v>35</v>
      </c>
    </row>
    <row r="19" spans="4:12">
      <c r="D19" s="39">
        <v>46084</v>
      </c>
      <c r="E19" s="19">
        <v>1581911</v>
      </c>
      <c r="F19" s="19" t="s">
        <v>30</v>
      </c>
      <c r="G19" s="40">
        <v>20324939</v>
      </c>
      <c r="H19" s="19" t="s">
        <v>31</v>
      </c>
      <c r="I19" s="40">
        <v>1</v>
      </c>
      <c r="J19" s="40">
        <v>3</v>
      </c>
      <c r="K19" s="41">
        <v>66</v>
      </c>
      <c r="L19" s="41">
        <v>66</v>
      </c>
    </row>
    <row r="20" spans="4:12">
      <c r="D20" s="39">
        <v>46085</v>
      </c>
      <c r="E20" s="19">
        <v>1582159</v>
      </c>
      <c r="F20" s="19" t="s">
        <v>33</v>
      </c>
      <c r="G20" s="40">
        <v>20008398</v>
      </c>
      <c r="H20" s="19" t="s">
        <v>34</v>
      </c>
      <c r="I20" s="40">
        <v>1</v>
      </c>
      <c r="J20" s="40">
        <v>15</v>
      </c>
      <c r="K20" s="41">
        <v>82.5</v>
      </c>
      <c r="L20" s="41">
        <v>82.5</v>
      </c>
    </row>
    <row r="21" spans="4:12">
      <c r="D21" s="39">
        <v>46087</v>
      </c>
      <c r="E21" s="19">
        <v>1582578</v>
      </c>
      <c r="F21" s="19" t="s">
        <v>14</v>
      </c>
      <c r="G21" s="40">
        <v>20012989</v>
      </c>
      <c r="H21" s="19" t="s">
        <v>38</v>
      </c>
      <c r="I21" s="40">
        <v>1</v>
      </c>
      <c r="J21" s="40">
        <v>1</v>
      </c>
      <c r="K21" s="41">
        <v>8</v>
      </c>
      <c r="L21" s="41">
        <v>8</v>
      </c>
    </row>
    <row r="22" spans="4:12">
      <c r="D22" s="39">
        <v>46087</v>
      </c>
      <c r="E22" s="19">
        <v>1582578</v>
      </c>
      <c r="F22" s="19" t="s">
        <v>35</v>
      </c>
      <c r="G22" s="40">
        <v>20390991</v>
      </c>
      <c r="H22" s="19" t="s">
        <v>36</v>
      </c>
      <c r="I22" s="40">
        <v>1</v>
      </c>
      <c r="J22" s="40">
        <v>4</v>
      </c>
      <c r="K22" s="41">
        <v>22</v>
      </c>
      <c r="L22" s="41">
        <v>22</v>
      </c>
    </row>
    <row r="23" spans="4:12">
      <c r="D23" s="39">
        <v>46088</v>
      </c>
      <c r="E23" s="19">
        <v>1582928</v>
      </c>
      <c r="F23" s="19" t="s">
        <v>14</v>
      </c>
      <c r="G23" s="40">
        <v>20012989</v>
      </c>
      <c r="H23" s="19" t="s">
        <v>38</v>
      </c>
      <c r="I23" s="40">
        <v>1</v>
      </c>
      <c r="J23" s="40">
        <v>1</v>
      </c>
      <c r="K23" s="41">
        <v>8</v>
      </c>
      <c r="L23" s="41">
        <v>8</v>
      </c>
    </row>
    <row r="24" spans="4:12">
      <c r="D24" s="39">
        <v>46088</v>
      </c>
      <c r="E24" s="19">
        <v>1582928</v>
      </c>
      <c r="F24" s="19" t="s">
        <v>35</v>
      </c>
      <c r="G24" s="40">
        <v>20390991</v>
      </c>
      <c r="H24" s="19" t="s">
        <v>36</v>
      </c>
      <c r="I24" s="40">
        <v>1</v>
      </c>
      <c r="J24" s="40">
        <v>4</v>
      </c>
      <c r="K24" s="41">
        <v>22</v>
      </c>
      <c r="L24" s="41">
        <v>22</v>
      </c>
    </row>
    <row r="25" spans="4:12">
      <c r="D25" s="39">
        <v>46091</v>
      </c>
      <c r="E25" s="19">
        <v>1583430</v>
      </c>
      <c r="F25" s="19" t="s">
        <v>14</v>
      </c>
      <c r="G25" s="40">
        <v>20382014</v>
      </c>
      <c r="H25" s="19" t="s">
        <v>37</v>
      </c>
      <c r="I25" s="40">
        <v>1</v>
      </c>
      <c r="J25" s="40">
        <v>1</v>
      </c>
      <c r="K25" s="41">
        <v>8</v>
      </c>
      <c r="L25" s="41">
        <v>8</v>
      </c>
    </row>
    <row r="26" spans="4:12">
      <c r="D26" s="39">
        <v>46091</v>
      </c>
      <c r="E26" s="19">
        <v>1583430</v>
      </c>
      <c r="F26" s="19" t="s">
        <v>33</v>
      </c>
      <c r="G26" s="40">
        <v>20008398</v>
      </c>
      <c r="H26" s="19" t="s">
        <v>34</v>
      </c>
      <c r="I26" s="40">
        <v>1</v>
      </c>
      <c r="J26" s="40">
        <v>15</v>
      </c>
      <c r="K26" s="41">
        <v>82.5</v>
      </c>
      <c r="L26" s="41">
        <v>82.5</v>
      </c>
    </row>
    <row r="27" spans="4:12">
      <c r="D27" s="39">
        <v>46091</v>
      </c>
      <c r="E27" s="19">
        <v>1583430</v>
      </c>
      <c r="F27" s="19" t="s">
        <v>35</v>
      </c>
      <c r="G27" s="40">
        <v>20390991</v>
      </c>
      <c r="H27" s="19" t="s">
        <v>36</v>
      </c>
      <c r="I27" s="40">
        <v>1</v>
      </c>
      <c r="J27" s="40">
        <v>4</v>
      </c>
      <c r="K27" s="41">
        <v>22</v>
      </c>
      <c r="L27" s="41">
        <v>22</v>
      </c>
    </row>
    <row r="28" spans="4:12">
      <c r="D28" s="39">
        <v>46092</v>
      </c>
      <c r="E28" s="19">
        <v>1584809</v>
      </c>
      <c r="F28" s="19" t="s">
        <v>14</v>
      </c>
      <c r="G28" s="40">
        <v>20013201</v>
      </c>
      <c r="H28" s="19" t="s">
        <v>39</v>
      </c>
      <c r="I28" s="40">
        <v>1</v>
      </c>
      <c r="J28" s="40">
        <v>1</v>
      </c>
      <c r="K28" s="41">
        <v>8</v>
      </c>
      <c r="L28" s="41">
        <v>8</v>
      </c>
    </row>
    <row r="29" spans="4:12">
      <c r="D29" s="39">
        <v>46092</v>
      </c>
      <c r="E29" s="19">
        <v>1584809</v>
      </c>
      <c r="F29" s="19" t="s">
        <v>14</v>
      </c>
      <c r="G29" s="40">
        <v>20008019</v>
      </c>
      <c r="H29" s="19" t="s">
        <v>40</v>
      </c>
      <c r="I29" s="40">
        <v>1</v>
      </c>
      <c r="J29" s="40">
        <v>1</v>
      </c>
      <c r="K29" s="41">
        <v>11</v>
      </c>
      <c r="L29" s="41">
        <v>11</v>
      </c>
    </row>
    <row r="30" spans="4:12">
      <c r="D30" s="39">
        <v>46092</v>
      </c>
      <c r="E30" s="19">
        <v>1584809</v>
      </c>
      <c r="F30" s="19" t="s">
        <v>14</v>
      </c>
      <c r="G30" s="40">
        <v>20008020</v>
      </c>
      <c r="H30" s="19" t="s">
        <v>41</v>
      </c>
      <c r="I30" s="40">
        <v>1</v>
      </c>
      <c r="J30" s="40">
        <v>1</v>
      </c>
      <c r="K30" s="41">
        <v>8</v>
      </c>
      <c r="L30" s="41">
        <v>8</v>
      </c>
    </row>
    <row r="31" spans="4:12">
      <c r="D31" s="39">
        <v>46092</v>
      </c>
      <c r="E31" s="19">
        <v>1584809</v>
      </c>
      <c r="F31" s="19" t="s">
        <v>33</v>
      </c>
      <c r="G31" s="40">
        <v>20008398</v>
      </c>
      <c r="H31" s="19" t="s">
        <v>34</v>
      </c>
      <c r="I31" s="40">
        <v>1</v>
      </c>
      <c r="J31" s="40">
        <v>15</v>
      </c>
      <c r="K31" s="41">
        <v>82.5</v>
      </c>
      <c r="L31" s="41">
        <v>82.5</v>
      </c>
    </row>
    <row r="32" spans="4:12">
      <c r="D32" s="39">
        <v>46092</v>
      </c>
      <c r="E32" s="19">
        <v>1584838</v>
      </c>
      <c r="F32" s="19" t="s">
        <v>28</v>
      </c>
      <c r="G32" s="40">
        <v>20007465</v>
      </c>
      <c r="H32" s="19" t="s">
        <v>29</v>
      </c>
      <c r="I32" s="40">
        <v>1</v>
      </c>
      <c r="J32" s="40">
        <v>1</v>
      </c>
      <c r="K32" s="41">
        <v>35</v>
      </c>
      <c r="L32" s="41">
        <v>35</v>
      </c>
    </row>
    <row r="33" spans="4:12">
      <c r="D33" s="39">
        <v>46092</v>
      </c>
      <c r="E33" s="19">
        <v>1584838</v>
      </c>
      <c r="F33" s="19" t="s">
        <v>30</v>
      </c>
      <c r="G33" s="40">
        <v>20324939</v>
      </c>
      <c r="H33" s="19" t="s">
        <v>31</v>
      </c>
      <c r="I33" s="40">
        <v>1</v>
      </c>
      <c r="J33" s="40">
        <v>3</v>
      </c>
      <c r="K33" s="41">
        <v>66</v>
      </c>
      <c r="L33" s="41">
        <v>66</v>
      </c>
    </row>
    <row r="34" spans="4:12">
      <c r="D34" s="39">
        <v>46092</v>
      </c>
      <c r="E34" s="19">
        <v>1585160</v>
      </c>
      <c r="F34" s="19" t="s">
        <v>14</v>
      </c>
      <c r="G34" s="40">
        <v>20008018</v>
      </c>
      <c r="H34" s="19" t="s">
        <v>42</v>
      </c>
      <c r="I34" s="40">
        <v>1</v>
      </c>
      <c r="J34" s="40">
        <v>1</v>
      </c>
      <c r="K34" s="41">
        <v>8</v>
      </c>
      <c r="L34" s="41">
        <v>8</v>
      </c>
    </row>
    <row r="35" spans="4:12">
      <c r="D35" s="39">
        <v>46092</v>
      </c>
      <c r="E35" s="19">
        <v>1585160</v>
      </c>
      <c r="F35" s="19" t="s">
        <v>14</v>
      </c>
      <c r="G35" s="40">
        <v>20399398</v>
      </c>
      <c r="H35" s="19" t="s">
        <v>43</v>
      </c>
      <c r="I35" s="40">
        <v>1</v>
      </c>
      <c r="J35" s="40">
        <v>1</v>
      </c>
      <c r="K35" s="41">
        <v>8</v>
      </c>
      <c r="L35" s="41">
        <v>8</v>
      </c>
    </row>
    <row r="36" spans="4:12">
      <c r="D36" s="39">
        <v>46092</v>
      </c>
      <c r="E36" s="19">
        <v>1585160</v>
      </c>
      <c r="F36" s="19" t="s">
        <v>14</v>
      </c>
      <c r="G36" s="40">
        <v>20007351</v>
      </c>
      <c r="H36" s="19" t="s">
        <v>44</v>
      </c>
      <c r="I36" s="40">
        <v>1</v>
      </c>
      <c r="J36" s="40">
        <v>1</v>
      </c>
      <c r="K36" s="41">
        <v>8</v>
      </c>
      <c r="L36" s="41">
        <v>8</v>
      </c>
    </row>
    <row r="37" spans="4:12">
      <c r="D37" s="39">
        <v>46092</v>
      </c>
      <c r="E37" s="19">
        <v>1585160</v>
      </c>
      <c r="F37" s="19" t="s">
        <v>33</v>
      </c>
      <c r="G37" s="40">
        <v>20008398</v>
      </c>
      <c r="H37" s="19" t="s">
        <v>34</v>
      </c>
      <c r="I37" s="40">
        <v>1</v>
      </c>
      <c r="J37" s="40">
        <v>15</v>
      </c>
      <c r="K37" s="41">
        <v>82.5</v>
      </c>
      <c r="L37" s="41">
        <v>82.5</v>
      </c>
    </row>
    <row r="38" spans="4:12">
      <c r="D38" s="39">
        <v>46092</v>
      </c>
      <c r="E38" s="19">
        <v>1585160</v>
      </c>
      <c r="F38" s="19" t="s">
        <v>35</v>
      </c>
      <c r="G38" s="40">
        <v>20390991</v>
      </c>
      <c r="H38" s="19" t="s">
        <v>36</v>
      </c>
      <c r="I38" s="40">
        <v>1</v>
      </c>
      <c r="J38" s="40">
        <v>4</v>
      </c>
      <c r="K38" s="41">
        <v>22</v>
      </c>
      <c r="L38" s="41">
        <v>22</v>
      </c>
    </row>
    <row r="39" spans="4:12">
      <c r="D39" s="39">
        <v>46093</v>
      </c>
      <c r="E39" s="19">
        <v>1585214</v>
      </c>
      <c r="F39" s="19" t="s">
        <v>28</v>
      </c>
      <c r="G39" s="40">
        <v>20007465</v>
      </c>
      <c r="H39" s="19" t="s">
        <v>29</v>
      </c>
      <c r="I39" s="40">
        <v>1</v>
      </c>
      <c r="J39" s="40">
        <v>1</v>
      </c>
      <c r="K39" s="41">
        <v>35</v>
      </c>
      <c r="L39" s="41">
        <v>35</v>
      </c>
    </row>
    <row r="40" spans="4:12">
      <c r="D40" s="39">
        <v>46093</v>
      </c>
      <c r="E40" s="19">
        <v>1585214</v>
      </c>
      <c r="F40" s="19" t="s">
        <v>30</v>
      </c>
      <c r="G40" s="40">
        <v>20324939</v>
      </c>
      <c r="H40" s="19" t="s">
        <v>31</v>
      </c>
      <c r="I40" s="40">
        <v>1</v>
      </c>
      <c r="J40" s="40">
        <v>3</v>
      </c>
      <c r="K40" s="41">
        <v>66</v>
      </c>
      <c r="L40" s="41">
        <v>66</v>
      </c>
    </row>
    <row r="41" spans="4:12">
      <c r="D41" s="39">
        <v>46094</v>
      </c>
      <c r="E41" s="19">
        <v>1585602</v>
      </c>
      <c r="F41" s="19" t="s">
        <v>14</v>
      </c>
      <c r="G41" s="40">
        <v>20012989</v>
      </c>
      <c r="H41" s="19" t="s">
        <v>38</v>
      </c>
      <c r="I41" s="40">
        <v>1</v>
      </c>
      <c r="J41" s="40">
        <v>1</v>
      </c>
      <c r="K41" s="41">
        <v>8</v>
      </c>
      <c r="L41" s="41">
        <v>8</v>
      </c>
    </row>
    <row r="42" spans="4:12">
      <c r="D42" s="39">
        <v>46094</v>
      </c>
      <c r="E42" s="19">
        <v>1585602</v>
      </c>
      <c r="F42" s="19" t="s">
        <v>14</v>
      </c>
      <c r="G42" s="40">
        <v>20008624</v>
      </c>
      <c r="H42" s="19" t="s">
        <v>32</v>
      </c>
      <c r="I42" s="40">
        <v>1</v>
      </c>
      <c r="J42" s="40">
        <v>1</v>
      </c>
      <c r="K42" s="41">
        <v>11</v>
      </c>
      <c r="L42" s="41">
        <v>11</v>
      </c>
    </row>
    <row r="43" spans="4:12">
      <c r="D43" s="39">
        <v>46094</v>
      </c>
      <c r="E43" s="19">
        <v>1585602</v>
      </c>
      <c r="F43" s="19" t="s">
        <v>35</v>
      </c>
      <c r="G43" s="40">
        <v>20390991</v>
      </c>
      <c r="H43" s="19" t="s">
        <v>36</v>
      </c>
      <c r="I43" s="40">
        <v>2</v>
      </c>
      <c r="J43" s="40">
        <v>8</v>
      </c>
      <c r="K43" s="41">
        <v>22</v>
      </c>
      <c r="L43" s="41">
        <v>44</v>
      </c>
    </row>
    <row r="44" spans="4:12">
      <c r="D44" s="39">
        <v>46094</v>
      </c>
      <c r="E44" s="19">
        <v>1585633</v>
      </c>
      <c r="F44" s="19" t="s">
        <v>28</v>
      </c>
      <c r="G44" s="40">
        <v>20007465</v>
      </c>
      <c r="H44" s="19" t="s">
        <v>29</v>
      </c>
      <c r="I44" s="40">
        <v>1</v>
      </c>
      <c r="J44" s="40">
        <v>1</v>
      </c>
      <c r="K44" s="41">
        <v>35</v>
      </c>
      <c r="L44" s="41">
        <v>35</v>
      </c>
    </row>
    <row r="45" spans="4:12">
      <c r="D45" s="39">
        <v>46094</v>
      </c>
      <c r="E45" s="19">
        <v>1585633</v>
      </c>
      <c r="F45" s="19" t="s">
        <v>30</v>
      </c>
      <c r="G45" s="40">
        <v>20324939</v>
      </c>
      <c r="H45" s="19" t="s">
        <v>31</v>
      </c>
      <c r="I45" s="40">
        <v>2</v>
      </c>
      <c r="J45" s="40">
        <v>6</v>
      </c>
      <c r="K45" s="41">
        <v>66</v>
      </c>
      <c r="L45" s="41">
        <v>132</v>
      </c>
    </row>
    <row r="46" spans="4:12">
      <c r="D46" s="39">
        <v>46099</v>
      </c>
      <c r="E46" s="19">
        <v>1586887</v>
      </c>
      <c r="F46" s="19" t="s">
        <v>14</v>
      </c>
      <c r="G46" s="40">
        <v>20008018</v>
      </c>
      <c r="H46" s="19" t="s">
        <v>42</v>
      </c>
      <c r="I46" s="40">
        <v>1</v>
      </c>
      <c r="J46" s="40">
        <v>1</v>
      </c>
      <c r="K46" s="41">
        <v>8</v>
      </c>
      <c r="L46" s="41">
        <v>8</v>
      </c>
    </row>
    <row r="47" spans="4:12">
      <c r="D47" s="39">
        <v>46099</v>
      </c>
      <c r="E47" s="19">
        <v>1586887</v>
      </c>
      <c r="F47" s="19" t="s">
        <v>14</v>
      </c>
      <c r="G47" s="40">
        <v>20008016</v>
      </c>
      <c r="H47" s="19" t="s">
        <v>45</v>
      </c>
      <c r="I47" s="40">
        <v>1</v>
      </c>
      <c r="J47" s="40">
        <v>1</v>
      </c>
      <c r="K47" s="41">
        <v>11</v>
      </c>
      <c r="L47" s="41">
        <v>11</v>
      </c>
    </row>
    <row r="48" spans="4:12">
      <c r="D48" s="39">
        <v>46099</v>
      </c>
      <c r="E48" s="19">
        <v>1586887</v>
      </c>
      <c r="F48" s="19" t="s">
        <v>14</v>
      </c>
      <c r="G48" s="40">
        <v>20012989</v>
      </c>
      <c r="H48" s="19" t="s">
        <v>38</v>
      </c>
      <c r="I48" s="40">
        <v>2</v>
      </c>
      <c r="J48" s="40">
        <v>2</v>
      </c>
      <c r="K48" s="41">
        <v>8</v>
      </c>
      <c r="L48" s="41">
        <v>16</v>
      </c>
    </row>
    <row r="49" spans="4:12">
      <c r="D49" s="39">
        <v>46099</v>
      </c>
      <c r="E49" s="19">
        <v>1586887</v>
      </c>
      <c r="F49" s="19" t="s">
        <v>14</v>
      </c>
      <c r="G49" s="40">
        <v>20008020</v>
      </c>
      <c r="H49" s="19" t="s">
        <v>41</v>
      </c>
      <c r="I49" s="40">
        <v>1</v>
      </c>
      <c r="J49" s="40">
        <v>1</v>
      </c>
      <c r="K49" s="41">
        <v>8</v>
      </c>
      <c r="L49" s="41">
        <v>8</v>
      </c>
    </row>
    <row r="50" spans="4:12">
      <c r="D50" s="39">
        <v>46099</v>
      </c>
      <c r="E50" s="19">
        <v>1586887</v>
      </c>
      <c r="F50" s="19" t="s">
        <v>33</v>
      </c>
      <c r="G50" s="40">
        <v>20008398</v>
      </c>
      <c r="H50" s="19" t="s">
        <v>34</v>
      </c>
      <c r="I50" s="40">
        <v>2</v>
      </c>
      <c r="J50" s="40">
        <v>30</v>
      </c>
      <c r="K50" s="41">
        <v>82.5</v>
      </c>
      <c r="L50" s="41">
        <v>165</v>
      </c>
    </row>
    <row r="51" spans="4:12">
      <c r="D51" s="39">
        <v>46099</v>
      </c>
      <c r="E51" s="19">
        <v>1586887</v>
      </c>
      <c r="F51" s="19" t="s">
        <v>35</v>
      </c>
      <c r="G51" s="40">
        <v>20390991</v>
      </c>
      <c r="H51" s="19" t="s">
        <v>36</v>
      </c>
      <c r="I51" s="40">
        <v>1</v>
      </c>
      <c r="J51" s="40">
        <v>4</v>
      </c>
      <c r="K51" s="41">
        <v>22</v>
      </c>
      <c r="L51" s="41">
        <v>22</v>
      </c>
    </row>
    <row r="52" spans="4:12">
      <c r="D52" s="39">
        <v>46099</v>
      </c>
      <c r="E52" s="19">
        <v>1586904</v>
      </c>
      <c r="F52" s="19" t="s">
        <v>28</v>
      </c>
      <c r="G52" s="40">
        <v>20007465</v>
      </c>
      <c r="H52" s="19" t="s">
        <v>29</v>
      </c>
      <c r="I52" s="40">
        <v>1</v>
      </c>
      <c r="J52" s="40">
        <v>1</v>
      </c>
      <c r="K52" s="41">
        <v>35</v>
      </c>
      <c r="L52" s="41">
        <v>35</v>
      </c>
    </row>
    <row r="53" spans="4:12">
      <c r="D53" s="39">
        <v>46099</v>
      </c>
      <c r="E53" s="19">
        <v>1586904</v>
      </c>
      <c r="F53" s="19" t="s">
        <v>30</v>
      </c>
      <c r="G53" s="40">
        <v>20324939</v>
      </c>
      <c r="H53" s="19" t="s">
        <v>31</v>
      </c>
      <c r="I53" s="40">
        <v>1</v>
      </c>
      <c r="J53" s="40">
        <v>3</v>
      </c>
      <c r="K53" s="41">
        <v>66</v>
      </c>
      <c r="L53" s="41">
        <v>66</v>
      </c>
    </row>
    <row r="54" spans="4:12">
      <c r="D54" s="39">
        <v>46100</v>
      </c>
      <c r="E54" s="19">
        <v>1587609</v>
      </c>
      <c r="F54" s="19" t="s">
        <v>14</v>
      </c>
      <c r="G54" s="40">
        <v>20008019</v>
      </c>
      <c r="H54" s="19" t="s">
        <v>40</v>
      </c>
      <c r="I54" s="40">
        <v>1</v>
      </c>
      <c r="J54" s="40">
        <v>1</v>
      </c>
      <c r="K54" s="41">
        <v>11</v>
      </c>
      <c r="L54" s="41">
        <v>11</v>
      </c>
    </row>
    <row r="55" spans="4:12">
      <c r="D55" s="39">
        <v>46100</v>
      </c>
      <c r="E55" s="19">
        <v>1587609</v>
      </c>
      <c r="F55" s="19" t="s">
        <v>14</v>
      </c>
      <c r="G55" s="40">
        <v>20008016</v>
      </c>
      <c r="H55" s="19" t="s">
        <v>45</v>
      </c>
      <c r="I55" s="40">
        <v>1</v>
      </c>
      <c r="J55" s="40">
        <v>1</v>
      </c>
      <c r="K55" s="41">
        <v>11</v>
      </c>
      <c r="L55" s="41">
        <v>11</v>
      </c>
    </row>
    <row r="56" spans="4:12">
      <c r="D56" s="39">
        <v>46100</v>
      </c>
      <c r="E56" s="19">
        <v>1587609</v>
      </c>
      <c r="F56" s="19" t="s">
        <v>14</v>
      </c>
      <c r="G56" s="40">
        <v>20012989</v>
      </c>
      <c r="H56" s="19" t="s">
        <v>38</v>
      </c>
      <c r="I56" s="40">
        <v>4</v>
      </c>
      <c r="J56" s="40">
        <v>4</v>
      </c>
      <c r="K56" s="41">
        <v>8</v>
      </c>
      <c r="L56" s="41">
        <v>32</v>
      </c>
    </row>
    <row r="57" spans="4:12">
      <c r="D57" s="39">
        <v>46100</v>
      </c>
      <c r="E57" s="19">
        <v>1587609</v>
      </c>
      <c r="F57" s="19" t="s">
        <v>14</v>
      </c>
      <c r="G57" s="40">
        <v>20008020</v>
      </c>
      <c r="H57" s="19" t="s">
        <v>41</v>
      </c>
      <c r="I57" s="40">
        <v>1</v>
      </c>
      <c r="J57" s="40">
        <v>1</v>
      </c>
      <c r="K57" s="41">
        <v>8</v>
      </c>
      <c r="L57" s="41">
        <v>8</v>
      </c>
    </row>
    <row r="58" spans="4:12">
      <c r="D58" s="39">
        <v>46100</v>
      </c>
      <c r="E58" s="19">
        <v>1587609</v>
      </c>
      <c r="F58" s="19" t="s">
        <v>33</v>
      </c>
      <c r="G58" s="40">
        <v>20008398</v>
      </c>
      <c r="H58" s="19" t="s">
        <v>34</v>
      </c>
      <c r="I58" s="40">
        <v>1</v>
      </c>
      <c r="J58" s="40">
        <v>15</v>
      </c>
      <c r="K58" s="41">
        <v>82.5</v>
      </c>
      <c r="L58" s="41">
        <v>82.5</v>
      </c>
    </row>
    <row r="59" spans="4:12">
      <c r="D59" s="39">
        <v>46100</v>
      </c>
      <c r="E59" s="19">
        <v>1587609</v>
      </c>
      <c r="F59" s="19" t="s">
        <v>35</v>
      </c>
      <c r="G59" s="40">
        <v>20390991</v>
      </c>
      <c r="H59" s="19" t="s">
        <v>36</v>
      </c>
      <c r="I59" s="40">
        <v>2</v>
      </c>
      <c r="J59" s="40">
        <v>8</v>
      </c>
      <c r="K59" s="41">
        <v>22</v>
      </c>
      <c r="L59" s="41">
        <v>44</v>
      </c>
    </row>
    <row r="60" spans="4:12">
      <c r="D60" s="39">
        <v>46101</v>
      </c>
      <c r="E60" s="19">
        <v>1587663</v>
      </c>
      <c r="F60" s="19" t="s">
        <v>28</v>
      </c>
      <c r="G60" s="40">
        <v>20007465</v>
      </c>
      <c r="H60" s="19" t="s">
        <v>29</v>
      </c>
      <c r="I60" s="40">
        <v>1</v>
      </c>
      <c r="J60" s="40">
        <v>1</v>
      </c>
      <c r="K60" s="41">
        <v>35</v>
      </c>
      <c r="L60" s="41">
        <v>35</v>
      </c>
    </row>
    <row r="61" spans="4:12">
      <c r="D61" s="39">
        <v>46101</v>
      </c>
      <c r="E61" s="19">
        <v>1587663</v>
      </c>
      <c r="F61" s="19" t="s">
        <v>30</v>
      </c>
      <c r="G61" s="40">
        <v>20324939</v>
      </c>
      <c r="H61" s="19" t="s">
        <v>31</v>
      </c>
      <c r="I61" s="40">
        <v>2</v>
      </c>
      <c r="J61" s="40">
        <v>6</v>
      </c>
      <c r="K61" s="41">
        <v>66</v>
      </c>
      <c r="L61" s="41">
        <v>132</v>
      </c>
    </row>
    <row r="62" spans="4:12">
      <c r="D62" s="39">
        <v>46101</v>
      </c>
      <c r="E62" s="19">
        <v>1587901</v>
      </c>
      <c r="F62" s="19" t="s">
        <v>14</v>
      </c>
      <c r="G62" s="40">
        <v>20009733</v>
      </c>
      <c r="H62" s="19" t="s">
        <v>46</v>
      </c>
      <c r="I62" s="40">
        <v>1</v>
      </c>
      <c r="J62" s="40">
        <v>1</v>
      </c>
      <c r="K62" s="41">
        <v>8</v>
      </c>
      <c r="L62" s="41">
        <v>8</v>
      </c>
    </row>
    <row r="63" spans="4:12">
      <c r="D63" s="39">
        <v>46101</v>
      </c>
      <c r="E63" s="19">
        <v>1587901</v>
      </c>
      <c r="F63" s="19" t="s">
        <v>14</v>
      </c>
      <c r="G63" s="40">
        <v>20014298</v>
      </c>
      <c r="H63" s="19" t="s">
        <v>47</v>
      </c>
      <c r="I63" s="40">
        <v>1</v>
      </c>
      <c r="J63" s="40">
        <v>1</v>
      </c>
      <c r="K63" s="41">
        <v>8</v>
      </c>
      <c r="L63" s="41">
        <v>8</v>
      </c>
    </row>
    <row r="64" spans="4:12">
      <c r="D64" s="39">
        <v>46101</v>
      </c>
      <c r="E64" s="19">
        <v>1587901</v>
      </c>
      <c r="F64" s="19" t="s">
        <v>33</v>
      </c>
      <c r="G64" s="40">
        <v>20008398</v>
      </c>
      <c r="H64" s="19" t="s">
        <v>34</v>
      </c>
      <c r="I64" s="40">
        <v>1</v>
      </c>
      <c r="J64" s="40">
        <v>15</v>
      </c>
      <c r="K64" s="41">
        <v>82.5</v>
      </c>
      <c r="L64" s="41">
        <v>82.5</v>
      </c>
    </row>
    <row r="65" spans="4:12">
      <c r="D65" s="39">
        <v>46102</v>
      </c>
      <c r="E65" s="19">
        <v>1588006</v>
      </c>
      <c r="F65" s="19" t="s">
        <v>28</v>
      </c>
      <c r="G65" s="40">
        <v>20007465</v>
      </c>
      <c r="H65" s="19" t="s">
        <v>29</v>
      </c>
      <c r="I65" s="40">
        <v>1</v>
      </c>
      <c r="J65" s="40">
        <v>1</v>
      </c>
      <c r="K65" s="41">
        <v>35</v>
      </c>
      <c r="L65" s="41">
        <v>35</v>
      </c>
    </row>
    <row r="66" spans="4:12">
      <c r="D66" s="39">
        <v>46102</v>
      </c>
      <c r="E66" s="19">
        <v>1588006</v>
      </c>
      <c r="F66" s="19" t="s">
        <v>30</v>
      </c>
      <c r="G66" s="40">
        <v>20324939</v>
      </c>
      <c r="H66" s="19" t="s">
        <v>31</v>
      </c>
      <c r="I66" s="40">
        <v>1</v>
      </c>
      <c r="J66" s="40">
        <v>3</v>
      </c>
      <c r="K66" s="41">
        <v>66</v>
      </c>
      <c r="L66" s="41">
        <v>66</v>
      </c>
    </row>
    <row r="67" spans="4:12">
      <c r="D67" s="39">
        <v>46107</v>
      </c>
      <c r="E67" s="19">
        <v>1589225</v>
      </c>
      <c r="F67" s="19" t="s">
        <v>14</v>
      </c>
      <c r="G67" s="40">
        <v>20014298</v>
      </c>
      <c r="H67" s="19" t="s">
        <v>47</v>
      </c>
      <c r="I67" s="40">
        <v>1</v>
      </c>
      <c r="J67" s="40">
        <v>1</v>
      </c>
      <c r="K67" s="41">
        <v>8</v>
      </c>
      <c r="L67" s="41">
        <v>8</v>
      </c>
    </row>
    <row r="68" spans="4:12">
      <c r="D68" s="39">
        <v>46107</v>
      </c>
      <c r="E68" s="19">
        <v>1589225</v>
      </c>
      <c r="F68" s="19" t="s">
        <v>14</v>
      </c>
      <c r="G68" s="40">
        <v>20008019</v>
      </c>
      <c r="H68" s="19" t="s">
        <v>40</v>
      </c>
      <c r="I68" s="40">
        <v>1</v>
      </c>
      <c r="J68" s="40">
        <v>1</v>
      </c>
      <c r="K68" s="41">
        <v>11</v>
      </c>
      <c r="L68" s="41">
        <v>11</v>
      </c>
    </row>
    <row r="69" spans="4:12">
      <c r="D69" s="39">
        <v>46107</v>
      </c>
      <c r="E69" s="19">
        <v>1589225</v>
      </c>
      <c r="F69" s="19" t="s">
        <v>14</v>
      </c>
      <c r="G69" s="40">
        <v>20008017</v>
      </c>
      <c r="H69" s="19" t="s">
        <v>48</v>
      </c>
      <c r="I69" s="40">
        <v>2</v>
      </c>
      <c r="J69" s="40">
        <v>2</v>
      </c>
      <c r="K69" s="41">
        <v>11</v>
      </c>
      <c r="L69" s="41">
        <v>22</v>
      </c>
    </row>
    <row r="70" spans="4:12">
      <c r="D70" s="39">
        <v>46107</v>
      </c>
      <c r="E70" s="19">
        <v>1589225</v>
      </c>
      <c r="F70" s="19" t="s">
        <v>14</v>
      </c>
      <c r="G70" s="40">
        <v>20008020</v>
      </c>
      <c r="H70" s="19" t="s">
        <v>41</v>
      </c>
      <c r="I70" s="40">
        <v>1</v>
      </c>
      <c r="J70" s="40">
        <v>1</v>
      </c>
      <c r="K70" s="41">
        <v>8</v>
      </c>
      <c r="L70" s="41">
        <v>8</v>
      </c>
    </row>
    <row r="71" spans="4:12">
      <c r="D71" s="39">
        <v>46107</v>
      </c>
      <c r="E71" s="19">
        <v>1589225</v>
      </c>
      <c r="F71" s="19" t="s">
        <v>14</v>
      </c>
      <c r="G71" s="40">
        <v>20008624</v>
      </c>
      <c r="H71" s="19" t="s">
        <v>32</v>
      </c>
      <c r="I71" s="40">
        <v>1</v>
      </c>
      <c r="J71" s="40">
        <v>1</v>
      </c>
      <c r="K71" s="41">
        <v>11</v>
      </c>
      <c r="L71" s="41">
        <v>11</v>
      </c>
    </row>
    <row r="72" spans="4:12">
      <c r="D72" s="39">
        <v>46107</v>
      </c>
      <c r="E72" s="19">
        <v>1589225</v>
      </c>
      <c r="F72" s="19" t="s">
        <v>33</v>
      </c>
      <c r="G72" s="40">
        <v>20008398</v>
      </c>
      <c r="H72" s="19" t="s">
        <v>34</v>
      </c>
      <c r="I72" s="40">
        <v>1</v>
      </c>
      <c r="J72" s="40">
        <v>15</v>
      </c>
      <c r="K72" s="41">
        <v>82.5</v>
      </c>
      <c r="L72" s="41">
        <v>82.5</v>
      </c>
    </row>
    <row r="73" spans="4:12">
      <c r="D73" s="39">
        <v>46107</v>
      </c>
      <c r="E73" s="19">
        <v>1589242</v>
      </c>
      <c r="F73" s="19" t="s">
        <v>28</v>
      </c>
      <c r="G73" s="40">
        <v>20007465</v>
      </c>
      <c r="H73" s="19" t="s">
        <v>29</v>
      </c>
      <c r="I73" s="40">
        <v>1</v>
      </c>
      <c r="J73" s="40">
        <v>1</v>
      </c>
      <c r="K73" s="41">
        <v>35</v>
      </c>
      <c r="L73" s="41">
        <v>35</v>
      </c>
    </row>
    <row r="74" spans="4:12">
      <c r="D74" s="39">
        <v>46107</v>
      </c>
      <c r="E74" s="19">
        <v>1589242</v>
      </c>
      <c r="F74" s="19" t="s">
        <v>30</v>
      </c>
      <c r="G74" s="40">
        <v>20324939</v>
      </c>
      <c r="H74" s="19" t="s">
        <v>31</v>
      </c>
      <c r="I74" s="40">
        <v>1</v>
      </c>
      <c r="J74" s="40">
        <v>3</v>
      </c>
      <c r="K74" s="41">
        <v>66</v>
      </c>
      <c r="L74" s="41">
        <v>66</v>
      </c>
    </row>
    <row r="75" spans="4:12">
      <c r="D75" s="39">
        <v>46109</v>
      </c>
      <c r="E75" s="19">
        <v>1589990</v>
      </c>
      <c r="F75" s="19" t="s">
        <v>14</v>
      </c>
      <c r="G75" s="40">
        <v>20008018</v>
      </c>
      <c r="H75" s="19" t="s">
        <v>42</v>
      </c>
      <c r="I75" s="40">
        <v>1</v>
      </c>
      <c r="J75" s="40">
        <v>1</v>
      </c>
      <c r="K75" s="41">
        <v>8</v>
      </c>
      <c r="L75" s="41">
        <v>8</v>
      </c>
    </row>
    <row r="76" spans="4:12">
      <c r="D76" s="39">
        <v>46109</v>
      </c>
      <c r="E76" s="19">
        <v>1589990</v>
      </c>
      <c r="F76" s="19" t="s">
        <v>14</v>
      </c>
      <c r="G76" s="40">
        <v>20013201</v>
      </c>
      <c r="H76" s="19" t="s">
        <v>39</v>
      </c>
      <c r="I76" s="40">
        <v>1</v>
      </c>
      <c r="J76" s="40">
        <v>1</v>
      </c>
      <c r="K76" s="41">
        <v>8</v>
      </c>
      <c r="L76" s="41">
        <v>8</v>
      </c>
    </row>
    <row r="77" spans="4:12">
      <c r="D77" s="39">
        <v>46109</v>
      </c>
      <c r="E77" s="19">
        <v>1589990</v>
      </c>
      <c r="F77" s="19" t="s">
        <v>14</v>
      </c>
      <c r="G77" s="40">
        <v>20008019</v>
      </c>
      <c r="H77" s="19" t="s">
        <v>40</v>
      </c>
      <c r="I77" s="40">
        <v>1</v>
      </c>
      <c r="J77" s="40">
        <v>1</v>
      </c>
      <c r="K77" s="41">
        <v>11</v>
      </c>
      <c r="L77" s="41">
        <v>11</v>
      </c>
    </row>
    <row r="78" spans="4:12">
      <c r="D78" s="39">
        <v>46109</v>
      </c>
      <c r="E78" s="19">
        <v>1589990</v>
      </c>
      <c r="F78" s="19" t="s">
        <v>14</v>
      </c>
      <c r="G78" s="40">
        <v>20008016</v>
      </c>
      <c r="H78" s="19" t="s">
        <v>45</v>
      </c>
      <c r="I78" s="40">
        <v>1</v>
      </c>
      <c r="J78" s="40">
        <v>1</v>
      </c>
      <c r="K78" s="41">
        <v>11</v>
      </c>
      <c r="L78" s="41">
        <v>11</v>
      </c>
    </row>
    <row r="79" spans="4:12">
      <c r="D79" s="39">
        <v>46109</v>
      </c>
      <c r="E79" s="19">
        <v>1589990</v>
      </c>
      <c r="F79" s="19" t="s">
        <v>14</v>
      </c>
      <c r="G79" s="40">
        <v>20012989</v>
      </c>
      <c r="H79" s="19" t="s">
        <v>38</v>
      </c>
      <c r="I79" s="40">
        <v>2</v>
      </c>
      <c r="J79" s="40">
        <v>2</v>
      </c>
      <c r="K79" s="41">
        <v>8</v>
      </c>
      <c r="L79" s="41">
        <v>16</v>
      </c>
    </row>
    <row r="80" spans="4:12">
      <c r="D80" s="39">
        <v>46109</v>
      </c>
      <c r="E80" s="19">
        <v>1589990</v>
      </c>
      <c r="F80" s="19" t="s">
        <v>14</v>
      </c>
      <c r="G80" s="40">
        <v>20008020</v>
      </c>
      <c r="H80" s="19" t="s">
        <v>41</v>
      </c>
      <c r="I80" s="40">
        <v>1</v>
      </c>
      <c r="J80" s="40">
        <v>1</v>
      </c>
      <c r="K80" s="41">
        <v>8</v>
      </c>
      <c r="L80" s="41">
        <v>8</v>
      </c>
    </row>
    <row r="81" spans="4:12">
      <c r="D81" s="39">
        <v>46109</v>
      </c>
      <c r="E81" s="19">
        <v>1589990</v>
      </c>
      <c r="F81" s="19" t="s">
        <v>14</v>
      </c>
      <c r="G81" s="40">
        <v>20013968</v>
      </c>
      <c r="H81" s="19" t="s">
        <v>49</v>
      </c>
      <c r="I81" s="40">
        <v>1</v>
      </c>
      <c r="J81" s="40">
        <v>1</v>
      </c>
      <c r="K81" s="41">
        <v>8</v>
      </c>
      <c r="L81" s="41">
        <v>8</v>
      </c>
    </row>
    <row r="82" spans="4:12">
      <c r="D82" s="39">
        <v>46109</v>
      </c>
      <c r="E82" s="19">
        <v>1589990</v>
      </c>
      <c r="F82" s="19" t="s">
        <v>33</v>
      </c>
      <c r="G82" s="40">
        <v>20008398</v>
      </c>
      <c r="H82" s="19" t="s">
        <v>34</v>
      </c>
      <c r="I82" s="40">
        <v>1</v>
      </c>
      <c r="J82" s="40">
        <v>15</v>
      </c>
      <c r="K82" s="41">
        <v>82.5</v>
      </c>
      <c r="L82" s="41">
        <v>82.5</v>
      </c>
    </row>
    <row r="83" spans="4:12">
      <c r="D83" s="39">
        <v>46109</v>
      </c>
      <c r="E83" s="19">
        <v>1589990</v>
      </c>
      <c r="F83" s="19" t="s">
        <v>35</v>
      </c>
      <c r="G83" s="40">
        <v>20390991</v>
      </c>
      <c r="H83" s="19" t="s">
        <v>36</v>
      </c>
      <c r="I83" s="40">
        <v>2</v>
      </c>
      <c r="J83" s="40">
        <v>8</v>
      </c>
      <c r="K83" s="41">
        <v>22</v>
      </c>
      <c r="L83" s="41">
        <v>44</v>
      </c>
    </row>
    <row r="84" spans="4:12">
      <c r="D84" s="39">
        <v>46109</v>
      </c>
      <c r="E84" s="19">
        <v>1590041</v>
      </c>
      <c r="F84" s="19" t="s">
        <v>28</v>
      </c>
      <c r="G84" s="40">
        <v>20007467</v>
      </c>
      <c r="H84" s="19" t="s">
        <v>50</v>
      </c>
      <c r="I84" s="40">
        <v>1</v>
      </c>
      <c r="J84" s="40">
        <v>1</v>
      </c>
      <c r="K84" s="41">
        <v>28</v>
      </c>
      <c r="L84" s="41">
        <v>28</v>
      </c>
    </row>
    <row r="85" spans="4:12">
      <c r="D85" s="39">
        <v>46109</v>
      </c>
      <c r="E85" s="19">
        <v>1590041</v>
      </c>
      <c r="F85" s="19" t="s">
        <v>28</v>
      </c>
      <c r="G85" s="40">
        <v>20007465</v>
      </c>
      <c r="H85" s="19" t="s">
        <v>29</v>
      </c>
      <c r="I85" s="40">
        <v>1</v>
      </c>
      <c r="J85" s="40">
        <v>1</v>
      </c>
      <c r="K85" s="41">
        <v>35</v>
      </c>
      <c r="L85" s="41">
        <v>35</v>
      </c>
    </row>
    <row r="86" spans="4:12">
      <c r="D86" s="39">
        <v>46109</v>
      </c>
      <c r="E86" s="19">
        <v>1590041</v>
      </c>
      <c r="F86" s="19" t="s">
        <v>28</v>
      </c>
      <c r="G86" s="40">
        <v>20011207</v>
      </c>
      <c r="H86" s="19" t="s">
        <v>51</v>
      </c>
      <c r="I86" s="40">
        <v>1</v>
      </c>
      <c r="J86" s="40">
        <v>1</v>
      </c>
      <c r="K86" s="41">
        <v>25</v>
      </c>
      <c r="L86" s="41">
        <v>25</v>
      </c>
    </row>
    <row r="87" spans="4:12">
      <c r="D87" s="39">
        <v>46109</v>
      </c>
      <c r="E87" s="19">
        <v>1590041</v>
      </c>
      <c r="F87" s="19" t="s">
        <v>30</v>
      </c>
      <c r="G87" s="40">
        <v>20324939</v>
      </c>
      <c r="H87" s="19" t="s">
        <v>31</v>
      </c>
      <c r="I87" s="40">
        <v>1</v>
      </c>
      <c r="J87" s="40">
        <v>3</v>
      </c>
      <c r="K87" s="41">
        <v>66</v>
      </c>
      <c r="L87" s="41">
        <v>66</v>
      </c>
    </row>
    <row r="88" spans="4:12">
      <c r="D88" s="39">
        <v>46111</v>
      </c>
      <c r="E88" s="19">
        <v>1590484</v>
      </c>
      <c r="F88" s="19" t="s">
        <v>14</v>
      </c>
      <c r="G88" s="40">
        <v>20008017</v>
      </c>
      <c r="H88" s="19" t="s">
        <v>48</v>
      </c>
      <c r="I88" s="40">
        <v>1</v>
      </c>
      <c r="J88" s="40">
        <v>1</v>
      </c>
      <c r="K88" s="41">
        <v>11</v>
      </c>
      <c r="L88" s="41">
        <v>11</v>
      </c>
    </row>
    <row r="89" spans="4:12">
      <c r="D89" s="39">
        <v>46111</v>
      </c>
      <c r="E89" s="19">
        <v>1590484</v>
      </c>
      <c r="F89" s="19" t="s">
        <v>33</v>
      </c>
      <c r="G89" s="40">
        <v>20008398</v>
      </c>
      <c r="H89" s="19" t="s">
        <v>34</v>
      </c>
      <c r="I89" s="40">
        <v>1</v>
      </c>
      <c r="J89" s="40">
        <v>15</v>
      </c>
      <c r="K89" s="41">
        <v>82.5</v>
      </c>
      <c r="L89" s="41">
        <v>82.5</v>
      </c>
    </row>
    <row r="90" ht="0.05" customHeight="1"/>
  </sheetData>
  <mergeCells count="5">
    <mergeCell ref="D8:H8"/>
    <mergeCell ref="C7:C89"/>
    <mergeCell ref="B4:H5"/>
    <mergeCell ref="A7:B8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M1" sqref="M$1:R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52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97</v>
      </c>
      <c r="J8" s="37">
        <v>317</v>
      </c>
      <c r="K8" s="38"/>
      <c r="L8" s="38">
        <v>2087.5</v>
      </c>
    </row>
    <row r="9" spans="1:12">
      <c r="D9" s="39">
        <v>46083</v>
      </c>
      <c r="E9" s="19">
        <v>1581596</v>
      </c>
      <c r="F9" s="19" t="s">
        <v>53</v>
      </c>
      <c r="G9" s="40">
        <v>20007398</v>
      </c>
      <c r="H9" s="19" t="s">
        <v>54</v>
      </c>
      <c r="I9" s="40">
        <v>5</v>
      </c>
      <c r="J9" s="40">
        <v>35</v>
      </c>
      <c r="K9" s="41">
        <v>38.5</v>
      </c>
      <c r="L9" s="41">
        <v>192.5</v>
      </c>
    </row>
    <row r="10" spans="1:12">
      <c r="D10" s="39">
        <v>46083</v>
      </c>
      <c r="E10" s="19">
        <v>1581596</v>
      </c>
      <c r="F10" s="19" t="s">
        <v>55</v>
      </c>
      <c r="G10" s="40">
        <v>20008605</v>
      </c>
      <c r="H10" s="19" t="s">
        <v>56</v>
      </c>
      <c r="I10" s="40">
        <v>3</v>
      </c>
      <c r="J10" s="40">
        <v>6</v>
      </c>
      <c r="K10" s="41">
        <v>16.5</v>
      </c>
      <c r="L10" s="41">
        <v>49.5</v>
      </c>
    </row>
    <row r="11" spans="1:12">
      <c r="D11" s="39">
        <v>46083</v>
      </c>
      <c r="E11" s="19">
        <v>1581596</v>
      </c>
      <c r="F11" s="19" t="s">
        <v>55</v>
      </c>
      <c r="G11" s="40">
        <v>20009149</v>
      </c>
      <c r="H11" s="19" t="s">
        <v>57</v>
      </c>
      <c r="I11" s="40">
        <v>2</v>
      </c>
      <c r="J11" s="40">
        <v>2</v>
      </c>
      <c r="K11" s="41">
        <v>16</v>
      </c>
      <c r="L11" s="41">
        <v>32</v>
      </c>
    </row>
    <row r="12" spans="1:12">
      <c r="D12" s="39">
        <v>46087</v>
      </c>
      <c r="E12" s="19">
        <v>1582579</v>
      </c>
      <c r="F12" s="19" t="s">
        <v>53</v>
      </c>
      <c r="G12" s="40">
        <v>20007398</v>
      </c>
      <c r="H12" s="19" t="s">
        <v>54</v>
      </c>
      <c r="I12" s="40">
        <v>1</v>
      </c>
      <c r="J12" s="40">
        <v>7</v>
      </c>
      <c r="K12" s="41">
        <v>38.5</v>
      </c>
      <c r="L12" s="41">
        <v>38.5</v>
      </c>
    </row>
    <row r="13" spans="1:12">
      <c r="D13" s="39">
        <v>46087</v>
      </c>
      <c r="E13" s="19">
        <v>1582579</v>
      </c>
      <c r="F13" s="19" t="s">
        <v>55</v>
      </c>
      <c r="G13" s="40">
        <v>20008605</v>
      </c>
      <c r="H13" s="19" t="s">
        <v>56</v>
      </c>
      <c r="I13" s="40">
        <v>3</v>
      </c>
      <c r="J13" s="40">
        <v>6</v>
      </c>
      <c r="K13" s="41">
        <v>16.5</v>
      </c>
      <c r="L13" s="41">
        <v>49.5</v>
      </c>
    </row>
    <row r="14" spans="1:12">
      <c r="D14" s="39">
        <v>46087</v>
      </c>
      <c r="E14" s="19">
        <v>1582579</v>
      </c>
      <c r="F14" s="19" t="s">
        <v>55</v>
      </c>
      <c r="G14" s="40">
        <v>20009149</v>
      </c>
      <c r="H14" s="19" t="s">
        <v>57</v>
      </c>
      <c r="I14" s="40">
        <v>1</v>
      </c>
      <c r="J14" s="40">
        <v>1</v>
      </c>
      <c r="K14" s="41">
        <v>16</v>
      </c>
      <c r="L14" s="41">
        <v>16</v>
      </c>
    </row>
    <row r="15" spans="1:12">
      <c r="D15" s="39">
        <v>46087</v>
      </c>
      <c r="E15" s="19">
        <v>1582579</v>
      </c>
      <c r="F15" s="19" t="s">
        <v>14</v>
      </c>
      <c r="G15" s="40">
        <v>20007417</v>
      </c>
      <c r="H15" s="19" t="s">
        <v>23</v>
      </c>
      <c r="I15" s="40">
        <v>1</v>
      </c>
      <c r="J15" s="40">
        <v>1</v>
      </c>
      <c r="K15" s="41">
        <v>8</v>
      </c>
      <c r="L15" s="41">
        <v>8</v>
      </c>
    </row>
    <row r="16" spans="1:12">
      <c r="D16" s="39">
        <v>46091</v>
      </c>
      <c r="E16" s="19">
        <v>1583431</v>
      </c>
      <c r="F16" s="19" t="s">
        <v>53</v>
      </c>
      <c r="G16" s="40">
        <v>20007398</v>
      </c>
      <c r="H16" s="19" t="s">
        <v>54</v>
      </c>
      <c r="I16" s="40">
        <v>2</v>
      </c>
      <c r="J16" s="40">
        <v>14</v>
      </c>
      <c r="K16" s="41">
        <v>38.5</v>
      </c>
      <c r="L16" s="41">
        <v>77</v>
      </c>
    </row>
    <row r="17" spans="4:12">
      <c r="D17" s="39">
        <v>46091</v>
      </c>
      <c r="E17" s="19">
        <v>1583431</v>
      </c>
      <c r="F17" s="19" t="s">
        <v>55</v>
      </c>
      <c r="G17" s="40">
        <v>20008605</v>
      </c>
      <c r="H17" s="19" t="s">
        <v>56</v>
      </c>
      <c r="I17" s="40">
        <v>3</v>
      </c>
      <c r="J17" s="40">
        <v>6</v>
      </c>
      <c r="K17" s="41">
        <v>16.5</v>
      </c>
      <c r="L17" s="41">
        <v>49.5</v>
      </c>
    </row>
    <row r="18" spans="4:12">
      <c r="D18" s="39">
        <v>46091</v>
      </c>
      <c r="E18" s="19">
        <v>1583431</v>
      </c>
      <c r="F18" s="19" t="s">
        <v>55</v>
      </c>
      <c r="G18" s="40">
        <v>20009149</v>
      </c>
      <c r="H18" s="19" t="s">
        <v>57</v>
      </c>
      <c r="I18" s="40">
        <v>1</v>
      </c>
      <c r="J18" s="40">
        <v>1</v>
      </c>
      <c r="K18" s="41">
        <v>16</v>
      </c>
      <c r="L18" s="41">
        <v>16</v>
      </c>
    </row>
    <row r="19" spans="4:12">
      <c r="D19" s="39">
        <v>46094</v>
      </c>
      <c r="E19" s="19">
        <v>1585603</v>
      </c>
      <c r="F19" s="19" t="s">
        <v>53</v>
      </c>
      <c r="G19" s="40">
        <v>20007398</v>
      </c>
      <c r="H19" s="19" t="s">
        <v>54</v>
      </c>
      <c r="I19" s="40">
        <v>2</v>
      </c>
      <c r="J19" s="40">
        <v>14</v>
      </c>
      <c r="K19" s="41">
        <v>38.5</v>
      </c>
      <c r="L19" s="41">
        <v>77</v>
      </c>
    </row>
    <row r="20" spans="4:12">
      <c r="D20" s="39">
        <v>46094</v>
      </c>
      <c r="E20" s="19">
        <v>1585603</v>
      </c>
      <c r="F20" s="19" t="s">
        <v>55</v>
      </c>
      <c r="G20" s="40">
        <v>20008605</v>
      </c>
      <c r="H20" s="19" t="s">
        <v>56</v>
      </c>
      <c r="I20" s="40">
        <v>3</v>
      </c>
      <c r="J20" s="40">
        <v>6</v>
      </c>
      <c r="K20" s="41">
        <v>16.5</v>
      </c>
      <c r="L20" s="41">
        <v>49.5</v>
      </c>
    </row>
    <row r="21" spans="4:12">
      <c r="D21" s="39">
        <v>46094</v>
      </c>
      <c r="E21" s="19">
        <v>1585603</v>
      </c>
      <c r="F21" s="19" t="s">
        <v>55</v>
      </c>
      <c r="G21" s="40">
        <v>20009149</v>
      </c>
      <c r="H21" s="19" t="s">
        <v>57</v>
      </c>
      <c r="I21" s="40">
        <v>1</v>
      </c>
      <c r="J21" s="40">
        <v>1</v>
      </c>
      <c r="K21" s="41">
        <v>16</v>
      </c>
      <c r="L21" s="41">
        <v>16</v>
      </c>
    </row>
    <row r="22" spans="4:12">
      <c r="D22" s="39">
        <v>46094</v>
      </c>
      <c r="E22" s="19">
        <v>1585603</v>
      </c>
      <c r="F22" s="19" t="s">
        <v>14</v>
      </c>
      <c r="G22" s="40">
        <v>20008717</v>
      </c>
      <c r="H22" s="19" t="s">
        <v>15</v>
      </c>
      <c r="I22" s="40">
        <v>2</v>
      </c>
      <c r="J22" s="40">
        <v>2</v>
      </c>
      <c r="K22" s="41">
        <v>8</v>
      </c>
      <c r="L22" s="41">
        <v>16</v>
      </c>
    </row>
    <row r="23" spans="4:12">
      <c r="D23" s="39">
        <v>46094</v>
      </c>
      <c r="E23" s="19">
        <v>1585603</v>
      </c>
      <c r="F23" s="19" t="s">
        <v>14</v>
      </c>
      <c r="G23" s="40">
        <v>20352877</v>
      </c>
      <c r="H23" s="19" t="s">
        <v>58</v>
      </c>
      <c r="I23" s="40">
        <v>1</v>
      </c>
      <c r="J23" s="40">
        <v>1</v>
      </c>
      <c r="K23" s="41">
        <v>8</v>
      </c>
      <c r="L23" s="41">
        <v>8</v>
      </c>
    </row>
    <row r="24" spans="4:12">
      <c r="D24" s="39">
        <v>46094</v>
      </c>
      <c r="E24" s="19">
        <v>1585603</v>
      </c>
      <c r="F24" s="19" t="s">
        <v>14</v>
      </c>
      <c r="G24" s="40">
        <v>20368074</v>
      </c>
      <c r="H24" s="19" t="s">
        <v>59</v>
      </c>
      <c r="I24" s="40">
        <v>1</v>
      </c>
      <c r="J24" s="40">
        <v>1</v>
      </c>
      <c r="K24" s="41">
        <v>8</v>
      </c>
      <c r="L24" s="41">
        <v>8</v>
      </c>
    </row>
    <row r="25" spans="4:12">
      <c r="D25" s="39">
        <v>46094</v>
      </c>
      <c r="E25" s="19">
        <v>1585603</v>
      </c>
      <c r="F25" s="19" t="s">
        <v>14</v>
      </c>
      <c r="G25" s="40">
        <v>20007396</v>
      </c>
      <c r="H25" s="19" t="s">
        <v>60</v>
      </c>
      <c r="I25" s="40">
        <v>1</v>
      </c>
      <c r="J25" s="40">
        <v>1</v>
      </c>
      <c r="K25" s="41">
        <v>11</v>
      </c>
      <c r="L25" s="41">
        <v>11</v>
      </c>
    </row>
    <row r="26" spans="4:12">
      <c r="D26" s="39">
        <v>46094</v>
      </c>
      <c r="E26" s="19">
        <v>1585603</v>
      </c>
      <c r="F26" s="19" t="s">
        <v>14</v>
      </c>
      <c r="G26" s="40">
        <v>20007397</v>
      </c>
      <c r="H26" s="19" t="s">
        <v>61</v>
      </c>
      <c r="I26" s="40">
        <v>1</v>
      </c>
      <c r="J26" s="40">
        <v>1</v>
      </c>
      <c r="K26" s="41">
        <v>11</v>
      </c>
      <c r="L26" s="41">
        <v>11</v>
      </c>
    </row>
    <row r="27" spans="4:12">
      <c r="D27" s="39">
        <v>46094</v>
      </c>
      <c r="E27" s="19">
        <v>1585603</v>
      </c>
      <c r="F27" s="19" t="s">
        <v>14</v>
      </c>
      <c r="G27" s="40">
        <v>20368341</v>
      </c>
      <c r="H27" s="19" t="s">
        <v>62</v>
      </c>
      <c r="I27" s="40">
        <v>1</v>
      </c>
      <c r="J27" s="40">
        <v>1</v>
      </c>
      <c r="K27" s="41">
        <v>8</v>
      </c>
      <c r="L27" s="41">
        <v>8</v>
      </c>
    </row>
    <row r="28" spans="4:12">
      <c r="D28" s="39">
        <v>46094</v>
      </c>
      <c r="E28" s="19">
        <v>1585603</v>
      </c>
      <c r="F28" s="19" t="s">
        <v>14</v>
      </c>
      <c r="G28" s="40">
        <v>20007306</v>
      </c>
      <c r="H28" s="19" t="s">
        <v>63</v>
      </c>
      <c r="I28" s="40">
        <v>1</v>
      </c>
      <c r="J28" s="40">
        <v>1</v>
      </c>
      <c r="K28" s="41">
        <v>8</v>
      </c>
      <c r="L28" s="41">
        <v>8</v>
      </c>
    </row>
    <row r="29" spans="4:12">
      <c r="D29" s="39">
        <v>46094</v>
      </c>
      <c r="E29" s="19">
        <v>1585634</v>
      </c>
      <c r="F29" s="19" t="s">
        <v>28</v>
      </c>
      <c r="G29" s="40">
        <v>20008722</v>
      </c>
      <c r="H29" s="19" t="s">
        <v>64</v>
      </c>
      <c r="I29" s="40">
        <v>1</v>
      </c>
      <c r="J29" s="40">
        <v>1</v>
      </c>
      <c r="K29" s="41">
        <v>22</v>
      </c>
      <c r="L29" s="41">
        <v>22</v>
      </c>
    </row>
    <row r="30" spans="4:12">
      <c r="D30" s="39">
        <v>46098</v>
      </c>
      <c r="E30" s="19">
        <v>1586488</v>
      </c>
      <c r="F30" s="19" t="s">
        <v>53</v>
      </c>
      <c r="G30" s="40">
        <v>20007398</v>
      </c>
      <c r="H30" s="19" t="s">
        <v>54</v>
      </c>
      <c r="I30" s="40">
        <v>3</v>
      </c>
      <c r="J30" s="40">
        <v>21</v>
      </c>
      <c r="K30" s="41">
        <v>38.5</v>
      </c>
      <c r="L30" s="41">
        <v>115.5</v>
      </c>
    </row>
    <row r="31" spans="4:12">
      <c r="D31" s="39">
        <v>46098</v>
      </c>
      <c r="E31" s="19">
        <v>1586488</v>
      </c>
      <c r="F31" s="19" t="s">
        <v>55</v>
      </c>
      <c r="G31" s="40">
        <v>20008605</v>
      </c>
      <c r="H31" s="19" t="s">
        <v>56</v>
      </c>
      <c r="I31" s="40">
        <v>3</v>
      </c>
      <c r="J31" s="40">
        <v>6</v>
      </c>
      <c r="K31" s="41">
        <v>16.5</v>
      </c>
      <c r="L31" s="41">
        <v>49.5</v>
      </c>
    </row>
    <row r="32" spans="4:12">
      <c r="D32" s="39">
        <v>46098</v>
      </c>
      <c r="E32" s="19">
        <v>1586488</v>
      </c>
      <c r="F32" s="19" t="s">
        <v>55</v>
      </c>
      <c r="G32" s="40">
        <v>20009149</v>
      </c>
      <c r="H32" s="19" t="s">
        <v>57</v>
      </c>
      <c r="I32" s="40">
        <v>1</v>
      </c>
      <c r="J32" s="40">
        <v>1</v>
      </c>
      <c r="K32" s="41">
        <v>16</v>
      </c>
      <c r="L32" s="41">
        <v>16</v>
      </c>
    </row>
    <row r="33" spans="4:12">
      <c r="D33" s="39">
        <v>46098</v>
      </c>
      <c r="E33" s="19">
        <v>1586488</v>
      </c>
      <c r="F33" s="19" t="s">
        <v>14</v>
      </c>
      <c r="G33" s="40">
        <v>20008591</v>
      </c>
      <c r="H33" s="19" t="s">
        <v>65</v>
      </c>
      <c r="I33" s="40">
        <v>1</v>
      </c>
      <c r="J33" s="40">
        <v>1</v>
      </c>
      <c r="K33" s="41">
        <v>8</v>
      </c>
      <c r="L33" s="41">
        <v>8</v>
      </c>
    </row>
    <row r="34" spans="4:12">
      <c r="D34" s="39">
        <v>46098</v>
      </c>
      <c r="E34" s="19">
        <v>1586488</v>
      </c>
      <c r="F34" s="19" t="s">
        <v>33</v>
      </c>
      <c r="G34" s="40">
        <v>20008943</v>
      </c>
      <c r="H34" s="19" t="s">
        <v>66</v>
      </c>
      <c r="I34" s="40">
        <v>2</v>
      </c>
      <c r="J34" s="40">
        <v>8</v>
      </c>
      <c r="K34" s="41">
        <v>22</v>
      </c>
      <c r="L34" s="41">
        <v>44</v>
      </c>
    </row>
    <row r="35" spans="4:12">
      <c r="D35" s="39">
        <v>46100</v>
      </c>
      <c r="E35" s="19">
        <v>1587610</v>
      </c>
      <c r="F35" s="19" t="s">
        <v>53</v>
      </c>
      <c r="G35" s="40">
        <v>20007398</v>
      </c>
      <c r="H35" s="19" t="s">
        <v>54</v>
      </c>
      <c r="I35" s="40">
        <v>7</v>
      </c>
      <c r="J35" s="40">
        <v>49</v>
      </c>
      <c r="K35" s="41">
        <v>38.5</v>
      </c>
      <c r="L35" s="41">
        <v>269.5</v>
      </c>
    </row>
    <row r="36" spans="4:12">
      <c r="D36" s="39">
        <v>46100</v>
      </c>
      <c r="E36" s="19">
        <v>1587610</v>
      </c>
      <c r="F36" s="19" t="s">
        <v>55</v>
      </c>
      <c r="G36" s="40">
        <v>20008605</v>
      </c>
      <c r="H36" s="19" t="s">
        <v>56</v>
      </c>
      <c r="I36" s="40">
        <v>3</v>
      </c>
      <c r="J36" s="40">
        <v>6</v>
      </c>
      <c r="K36" s="41">
        <v>16.5</v>
      </c>
      <c r="L36" s="41">
        <v>49.5</v>
      </c>
    </row>
    <row r="37" spans="4:12">
      <c r="D37" s="39">
        <v>46100</v>
      </c>
      <c r="E37" s="19">
        <v>1587610</v>
      </c>
      <c r="F37" s="19" t="s">
        <v>55</v>
      </c>
      <c r="G37" s="40">
        <v>20009149</v>
      </c>
      <c r="H37" s="19" t="s">
        <v>57</v>
      </c>
      <c r="I37" s="40">
        <v>1</v>
      </c>
      <c r="J37" s="40">
        <v>1</v>
      </c>
      <c r="K37" s="41">
        <v>16</v>
      </c>
      <c r="L37" s="41">
        <v>16</v>
      </c>
    </row>
    <row r="38" spans="4:12">
      <c r="D38" s="39">
        <v>46100</v>
      </c>
      <c r="E38" s="19">
        <v>1587610</v>
      </c>
      <c r="F38" s="19" t="s">
        <v>14</v>
      </c>
      <c r="G38" s="40">
        <v>20008591</v>
      </c>
      <c r="H38" s="19" t="s">
        <v>65</v>
      </c>
      <c r="I38" s="40">
        <v>1</v>
      </c>
      <c r="J38" s="40">
        <v>1</v>
      </c>
      <c r="K38" s="41">
        <v>8</v>
      </c>
      <c r="L38" s="41">
        <v>8</v>
      </c>
    </row>
    <row r="39" spans="4:12">
      <c r="D39" s="39">
        <v>46100</v>
      </c>
      <c r="E39" s="19">
        <v>1587610</v>
      </c>
      <c r="F39" s="19" t="s">
        <v>14</v>
      </c>
      <c r="G39" s="40">
        <v>20007351</v>
      </c>
      <c r="H39" s="19" t="s">
        <v>44</v>
      </c>
      <c r="I39" s="40">
        <v>1</v>
      </c>
      <c r="J39" s="40">
        <v>1</v>
      </c>
      <c r="K39" s="41">
        <v>8</v>
      </c>
      <c r="L39" s="41">
        <v>8</v>
      </c>
    </row>
    <row r="40" spans="4:12">
      <c r="D40" s="39">
        <v>46100</v>
      </c>
      <c r="E40" s="19">
        <v>1587610</v>
      </c>
      <c r="F40" s="19" t="s">
        <v>14</v>
      </c>
      <c r="G40" s="40">
        <v>20368539</v>
      </c>
      <c r="H40" s="19" t="s">
        <v>67</v>
      </c>
      <c r="I40" s="40">
        <v>1</v>
      </c>
      <c r="J40" s="40">
        <v>1</v>
      </c>
      <c r="K40" s="41">
        <v>8</v>
      </c>
      <c r="L40" s="41">
        <v>8</v>
      </c>
    </row>
    <row r="41" spans="4:12">
      <c r="D41" s="39">
        <v>46105</v>
      </c>
      <c r="E41" s="19">
        <v>1588504</v>
      </c>
      <c r="F41" s="19" t="s">
        <v>53</v>
      </c>
      <c r="G41" s="40">
        <v>20007398</v>
      </c>
      <c r="H41" s="19" t="s">
        <v>54</v>
      </c>
      <c r="I41" s="40">
        <v>2</v>
      </c>
      <c r="J41" s="40">
        <v>14</v>
      </c>
      <c r="K41" s="41">
        <v>38.5</v>
      </c>
      <c r="L41" s="41">
        <v>77</v>
      </c>
    </row>
    <row r="42" spans="4:12">
      <c r="D42" s="39">
        <v>46105</v>
      </c>
      <c r="E42" s="19">
        <v>1588504</v>
      </c>
      <c r="F42" s="19" t="s">
        <v>55</v>
      </c>
      <c r="G42" s="40">
        <v>20008605</v>
      </c>
      <c r="H42" s="19" t="s">
        <v>56</v>
      </c>
      <c r="I42" s="40">
        <v>4</v>
      </c>
      <c r="J42" s="40">
        <v>8</v>
      </c>
      <c r="K42" s="41">
        <v>16.5</v>
      </c>
      <c r="L42" s="41">
        <v>66</v>
      </c>
    </row>
    <row r="43" spans="4:12">
      <c r="D43" s="39">
        <v>46105</v>
      </c>
      <c r="E43" s="19">
        <v>1588504</v>
      </c>
      <c r="F43" s="19" t="s">
        <v>55</v>
      </c>
      <c r="G43" s="40">
        <v>20009149</v>
      </c>
      <c r="H43" s="19" t="s">
        <v>57</v>
      </c>
      <c r="I43" s="40">
        <v>1</v>
      </c>
      <c r="J43" s="40">
        <v>1</v>
      </c>
      <c r="K43" s="41">
        <v>16</v>
      </c>
      <c r="L43" s="41">
        <v>16</v>
      </c>
    </row>
    <row r="44" spans="4:12">
      <c r="D44" s="39">
        <v>46105</v>
      </c>
      <c r="E44" s="19">
        <v>1588504</v>
      </c>
      <c r="F44" s="19" t="s">
        <v>14</v>
      </c>
      <c r="G44" s="40">
        <v>20008591</v>
      </c>
      <c r="H44" s="19" t="s">
        <v>65</v>
      </c>
      <c r="I44" s="40">
        <v>1</v>
      </c>
      <c r="J44" s="40">
        <v>1</v>
      </c>
      <c r="K44" s="41">
        <v>8</v>
      </c>
      <c r="L44" s="41">
        <v>8</v>
      </c>
    </row>
    <row r="45" spans="4:12">
      <c r="D45" s="39">
        <v>46105</v>
      </c>
      <c r="E45" s="19">
        <v>1588504</v>
      </c>
      <c r="F45" s="19" t="s">
        <v>14</v>
      </c>
      <c r="G45" s="40">
        <v>20007417</v>
      </c>
      <c r="H45" s="19" t="s">
        <v>23</v>
      </c>
      <c r="I45" s="40">
        <v>2</v>
      </c>
      <c r="J45" s="40">
        <v>2</v>
      </c>
      <c r="K45" s="41">
        <v>8</v>
      </c>
      <c r="L45" s="41">
        <v>16</v>
      </c>
    </row>
    <row r="46" spans="4:12">
      <c r="D46" s="39">
        <v>46106</v>
      </c>
      <c r="E46" s="19">
        <v>1588782</v>
      </c>
      <c r="F46" s="19" t="s">
        <v>53</v>
      </c>
      <c r="G46" s="40">
        <v>20007398</v>
      </c>
      <c r="H46" s="19" t="s">
        <v>54</v>
      </c>
      <c r="I46" s="40">
        <v>1</v>
      </c>
      <c r="J46" s="40">
        <v>7</v>
      </c>
      <c r="K46" s="41">
        <v>38.5</v>
      </c>
      <c r="L46" s="41">
        <v>38.5</v>
      </c>
    </row>
    <row r="47" spans="4:12">
      <c r="D47" s="39">
        <v>46108</v>
      </c>
      <c r="E47" s="19">
        <v>1589555</v>
      </c>
      <c r="F47" s="19" t="s">
        <v>53</v>
      </c>
      <c r="G47" s="40">
        <v>20007398</v>
      </c>
      <c r="H47" s="19" t="s">
        <v>54</v>
      </c>
      <c r="I47" s="40">
        <v>3</v>
      </c>
      <c r="J47" s="40">
        <v>21</v>
      </c>
      <c r="K47" s="41">
        <v>38.5</v>
      </c>
      <c r="L47" s="41">
        <v>115.5</v>
      </c>
    </row>
    <row r="48" spans="4:12">
      <c r="D48" s="39">
        <v>46108</v>
      </c>
      <c r="E48" s="19">
        <v>1589555</v>
      </c>
      <c r="F48" s="19" t="s">
        <v>55</v>
      </c>
      <c r="G48" s="40">
        <v>20009149</v>
      </c>
      <c r="H48" s="19" t="s">
        <v>57</v>
      </c>
      <c r="I48" s="40">
        <v>1</v>
      </c>
      <c r="J48" s="40">
        <v>1</v>
      </c>
      <c r="K48" s="41">
        <v>16</v>
      </c>
      <c r="L48" s="41">
        <v>16</v>
      </c>
    </row>
    <row r="49" spans="4:12">
      <c r="D49" s="39">
        <v>46108</v>
      </c>
      <c r="E49" s="19">
        <v>1589555</v>
      </c>
      <c r="F49" s="19" t="s">
        <v>14</v>
      </c>
      <c r="G49" s="40">
        <v>20403200</v>
      </c>
      <c r="H49" s="19" t="s">
        <v>56</v>
      </c>
      <c r="I49" s="40">
        <v>2</v>
      </c>
      <c r="J49" s="40">
        <v>4</v>
      </c>
      <c r="K49" s="41">
        <v>16.5</v>
      </c>
      <c r="L49" s="41">
        <v>33</v>
      </c>
    </row>
    <row r="50" spans="4:12">
      <c r="D50" s="39">
        <v>46108</v>
      </c>
      <c r="E50" s="19">
        <v>1589555</v>
      </c>
      <c r="F50" s="19" t="s">
        <v>14</v>
      </c>
      <c r="G50" s="40">
        <v>20008717</v>
      </c>
      <c r="H50" s="19" t="s">
        <v>15</v>
      </c>
      <c r="I50" s="40">
        <v>2</v>
      </c>
      <c r="J50" s="40">
        <v>2</v>
      </c>
      <c r="K50" s="41">
        <v>8</v>
      </c>
      <c r="L50" s="41">
        <v>16</v>
      </c>
    </row>
    <row r="51" spans="4:12">
      <c r="D51" s="39">
        <v>46108</v>
      </c>
      <c r="E51" s="19">
        <v>1589555</v>
      </c>
      <c r="F51" s="19" t="s">
        <v>14</v>
      </c>
      <c r="G51" s="40">
        <v>20008591</v>
      </c>
      <c r="H51" s="19" t="s">
        <v>65</v>
      </c>
      <c r="I51" s="40">
        <v>1</v>
      </c>
      <c r="J51" s="40">
        <v>1</v>
      </c>
      <c r="K51" s="41">
        <v>8</v>
      </c>
      <c r="L51" s="41">
        <v>8</v>
      </c>
    </row>
    <row r="52" spans="4:12">
      <c r="D52" s="39">
        <v>46108</v>
      </c>
      <c r="E52" s="19">
        <v>1589555</v>
      </c>
      <c r="F52" s="19" t="s">
        <v>14</v>
      </c>
      <c r="G52" s="40">
        <v>20007417</v>
      </c>
      <c r="H52" s="19" t="s">
        <v>23</v>
      </c>
      <c r="I52" s="40">
        <v>1</v>
      </c>
      <c r="J52" s="40">
        <v>1</v>
      </c>
      <c r="K52" s="41">
        <v>8</v>
      </c>
      <c r="L52" s="41">
        <v>8</v>
      </c>
    </row>
    <row r="53" spans="4:12">
      <c r="D53" s="39">
        <v>46111</v>
      </c>
      <c r="E53" s="19">
        <v>1590485</v>
      </c>
      <c r="F53" s="19" t="s">
        <v>53</v>
      </c>
      <c r="G53" s="40">
        <v>20007398</v>
      </c>
      <c r="H53" s="19" t="s">
        <v>54</v>
      </c>
      <c r="I53" s="40">
        <v>5</v>
      </c>
      <c r="J53" s="40">
        <v>35</v>
      </c>
      <c r="K53" s="41">
        <v>38.5</v>
      </c>
      <c r="L53" s="41">
        <v>192.5</v>
      </c>
    </row>
    <row r="54" spans="4:12">
      <c r="D54" s="39">
        <v>46111</v>
      </c>
      <c r="E54" s="19">
        <v>1590485</v>
      </c>
      <c r="F54" s="19" t="s">
        <v>55</v>
      </c>
      <c r="G54" s="40">
        <v>20008605</v>
      </c>
      <c r="H54" s="19" t="s">
        <v>56</v>
      </c>
      <c r="I54" s="40">
        <v>4</v>
      </c>
      <c r="J54" s="40">
        <v>8</v>
      </c>
      <c r="K54" s="41">
        <v>16.5</v>
      </c>
      <c r="L54" s="41">
        <v>66</v>
      </c>
    </row>
    <row r="55" spans="4:12">
      <c r="D55" s="39">
        <v>46111</v>
      </c>
      <c r="E55" s="19">
        <v>1590485</v>
      </c>
      <c r="F55" s="19" t="s">
        <v>55</v>
      </c>
      <c r="G55" s="40">
        <v>20009149</v>
      </c>
      <c r="H55" s="19" t="s">
        <v>57</v>
      </c>
      <c r="I55" s="40">
        <v>1</v>
      </c>
      <c r="J55" s="40">
        <v>1</v>
      </c>
      <c r="K55" s="41">
        <v>16</v>
      </c>
      <c r="L55" s="41">
        <v>16</v>
      </c>
    </row>
    <row r="56" spans="4:12">
      <c r="D56" s="39">
        <v>46111</v>
      </c>
      <c r="E56" s="19">
        <v>1590485</v>
      </c>
      <c r="F56" s="19" t="s">
        <v>14</v>
      </c>
      <c r="G56" s="40">
        <v>20008717</v>
      </c>
      <c r="H56" s="19" t="s">
        <v>15</v>
      </c>
      <c r="I56" s="40">
        <v>1</v>
      </c>
      <c r="J56" s="40">
        <v>1</v>
      </c>
      <c r="K56" s="41">
        <v>8</v>
      </c>
      <c r="L56" s="41">
        <v>8</v>
      </c>
    </row>
    <row r="57" spans="4:12">
      <c r="D57" s="39">
        <v>46111</v>
      </c>
      <c r="E57" s="19">
        <v>1590485</v>
      </c>
      <c r="F57" s="19" t="s">
        <v>14</v>
      </c>
      <c r="G57" s="40">
        <v>20008591</v>
      </c>
      <c r="H57" s="19" t="s">
        <v>65</v>
      </c>
      <c r="I57" s="40">
        <v>1</v>
      </c>
      <c r="J57" s="40">
        <v>1</v>
      </c>
      <c r="K57" s="41">
        <v>8</v>
      </c>
      <c r="L57" s="41">
        <v>8</v>
      </c>
    </row>
    <row r="58" spans="4:12">
      <c r="D58" s="39">
        <v>46111</v>
      </c>
      <c r="E58" s="19">
        <v>1590485</v>
      </c>
      <c r="F58" s="19" t="s">
        <v>14</v>
      </c>
      <c r="G58" s="40">
        <v>20368341</v>
      </c>
      <c r="H58" s="19" t="s">
        <v>62</v>
      </c>
      <c r="I58" s="40">
        <v>1</v>
      </c>
      <c r="J58" s="40">
        <v>1</v>
      </c>
      <c r="K58" s="41">
        <v>8</v>
      </c>
      <c r="L58" s="41">
        <v>8</v>
      </c>
    </row>
    <row r="59" spans="4:12">
      <c r="D59" s="39">
        <v>46111</v>
      </c>
      <c r="E59" s="19">
        <v>1590485</v>
      </c>
      <c r="F59" s="19" t="s">
        <v>14</v>
      </c>
      <c r="G59" s="40">
        <v>20368539</v>
      </c>
      <c r="H59" s="19" t="s">
        <v>67</v>
      </c>
      <c r="I59" s="40">
        <v>1</v>
      </c>
      <c r="J59" s="40">
        <v>1</v>
      </c>
      <c r="K59" s="41">
        <v>8</v>
      </c>
      <c r="L59" s="41">
        <v>8</v>
      </c>
    </row>
    <row r="60" spans="4:12">
      <c r="D60" s="39">
        <v>46111</v>
      </c>
      <c r="E60" s="19">
        <v>1590485</v>
      </c>
      <c r="F60" s="19" t="s">
        <v>14</v>
      </c>
      <c r="G60" s="40">
        <v>20007417</v>
      </c>
      <c r="H60" s="19" t="s">
        <v>23</v>
      </c>
      <c r="I60" s="40">
        <v>1</v>
      </c>
      <c r="J60" s="40">
        <v>1</v>
      </c>
      <c r="K60" s="41">
        <v>8</v>
      </c>
      <c r="L60" s="41">
        <v>8</v>
      </c>
    </row>
  </sheetData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N39" sqref="N3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68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515</v>
      </c>
      <c r="J8" s="37">
        <v>599</v>
      </c>
      <c r="K8" s="38"/>
      <c r="L8" s="38">
        <v>4307.5</v>
      </c>
    </row>
    <row r="9" spans="1:12">
      <c r="D9" s="39">
        <v>46083</v>
      </c>
      <c r="E9" s="19">
        <v>1581597</v>
      </c>
      <c r="F9" s="19" t="s">
        <v>14</v>
      </c>
      <c r="G9" s="40">
        <v>20007400</v>
      </c>
      <c r="H9" s="19" t="s">
        <v>69</v>
      </c>
      <c r="I9" s="40">
        <v>6</v>
      </c>
      <c r="J9" s="40">
        <v>6</v>
      </c>
      <c r="K9" s="41">
        <v>8</v>
      </c>
      <c r="L9" s="41">
        <v>48</v>
      </c>
    </row>
    <row r="10" spans="1:12">
      <c r="D10" s="39">
        <v>46083</v>
      </c>
      <c r="E10" s="19">
        <v>1581597</v>
      </c>
      <c r="F10" s="19" t="s">
        <v>14</v>
      </c>
      <c r="G10" s="40">
        <v>20007300</v>
      </c>
      <c r="H10" s="19" t="s">
        <v>70</v>
      </c>
      <c r="I10" s="40">
        <v>3</v>
      </c>
      <c r="J10" s="40">
        <v>3</v>
      </c>
      <c r="K10" s="41">
        <v>8</v>
      </c>
      <c r="L10" s="41">
        <v>24</v>
      </c>
    </row>
    <row r="11" spans="1:12">
      <c r="D11" s="39">
        <v>46083</v>
      </c>
      <c r="E11" s="19">
        <v>1581597</v>
      </c>
      <c r="F11" s="19" t="s">
        <v>14</v>
      </c>
      <c r="G11" s="40">
        <v>20399747</v>
      </c>
      <c r="H11" s="19" t="s">
        <v>71</v>
      </c>
      <c r="I11" s="40">
        <v>9</v>
      </c>
      <c r="J11" s="40">
        <v>9</v>
      </c>
      <c r="K11" s="41">
        <v>8</v>
      </c>
      <c r="L11" s="41">
        <v>72</v>
      </c>
    </row>
    <row r="12" spans="1:12">
      <c r="D12" s="39">
        <v>46083</v>
      </c>
      <c r="E12" s="19">
        <v>1581597</v>
      </c>
      <c r="F12" s="19" t="s">
        <v>14</v>
      </c>
      <c r="G12" s="40">
        <v>20013631</v>
      </c>
      <c r="H12" s="19" t="s">
        <v>72</v>
      </c>
      <c r="I12" s="40">
        <v>3</v>
      </c>
      <c r="J12" s="40">
        <v>15</v>
      </c>
      <c r="K12" s="41">
        <v>8</v>
      </c>
      <c r="L12" s="41">
        <v>24</v>
      </c>
    </row>
    <row r="13" spans="1:12">
      <c r="D13" s="39">
        <v>46083</v>
      </c>
      <c r="E13" s="19">
        <v>1581597</v>
      </c>
      <c r="F13" s="19" t="s">
        <v>14</v>
      </c>
      <c r="G13" s="40">
        <v>20007399</v>
      </c>
      <c r="H13" s="19" t="s">
        <v>73</v>
      </c>
      <c r="I13" s="40">
        <v>38</v>
      </c>
      <c r="J13" s="40">
        <v>38</v>
      </c>
      <c r="K13" s="41">
        <v>8</v>
      </c>
      <c r="L13" s="41">
        <v>304</v>
      </c>
    </row>
    <row r="14" spans="1:12">
      <c r="D14" s="39">
        <v>46083</v>
      </c>
      <c r="E14" s="19">
        <v>1581597</v>
      </c>
      <c r="F14" s="19" t="s">
        <v>14</v>
      </c>
      <c r="G14" s="40">
        <v>20007299</v>
      </c>
      <c r="H14" s="19" t="s">
        <v>74</v>
      </c>
      <c r="I14" s="40">
        <v>14</v>
      </c>
      <c r="J14" s="40">
        <v>14</v>
      </c>
      <c r="K14" s="41">
        <v>8</v>
      </c>
      <c r="L14" s="41">
        <v>112</v>
      </c>
    </row>
    <row r="15" spans="1:12">
      <c r="D15" s="39">
        <v>46085</v>
      </c>
      <c r="E15" s="19">
        <v>1582186</v>
      </c>
      <c r="F15" s="19" t="s">
        <v>14</v>
      </c>
      <c r="G15" s="40">
        <v>20349353</v>
      </c>
      <c r="H15" s="19" t="s">
        <v>75</v>
      </c>
      <c r="I15" s="40">
        <v>1</v>
      </c>
      <c r="J15" s="40">
        <v>15</v>
      </c>
      <c r="K15" s="41">
        <v>16.5</v>
      </c>
      <c r="L15" s="41">
        <v>16.5</v>
      </c>
    </row>
    <row r="16" spans="1:12">
      <c r="D16" s="39">
        <v>46085</v>
      </c>
      <c r="E16" s="19">
        <v>1582186</v>
      </c>
      <c r="F16" s="19" t="s">
        <v>14</v>
      </c>
      <c r="G16" s="40">
        <v>20344528</v>
      </c>
      <c r="H16" s="19" t="s">
        <v>76</v>
      </c>
      <c r="I16" s="40">
        <v>1</v>
      </c>
      <c r="J16" s="40">
        <v>5</v>
      </c>
      <c r="K16" s="41">
        <v>8</v>
      </c>
      <c r="L16" s="41">
        <v>8</v>
      </c>
    </row>
    <row r="17" spans="4:12">
      <c r="D17" s="39">
        <v>46085</v>
      </c>
      <c r="E17" s="19">
        <v>1582186</v>
      </c>
      <c r="F17" s="19" t="s">
        <v>14</v>
      </c>
      <c r="G17" s="40">
        <v>20399748</v>
      </c>
      <c r="H17" s="19" t="s">
        <v>77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46085</v>
      </c>
      <c r="E18" s="19">
        <v>1582186</v>
      </c>
      <c r="F18" s="19" t="s">
        <v>14</v>
      </c>
      <c r="G18" s="40">
        <v>20012739</v>
      </c>
      <c r="H18" s="19" t="s">
        <v>78</v>
      </c>
      <c r="I18" s="40">
        <v>1</v>
      </c>
      <c r="J18" s="40">
        <v>5</v>
      </c>
      <c r="K18" s="41">
        <v>27.5</v>
      </c>
      <c r="L18" s="41">
        <v>27.5</v>
      </c>
    </row>
    <row r="19" spans="4:12">
      <c r="D19" s="39">
        <v>46085</v>
      </c>
      <c r="E19" s="19">
        <v>1582186</v>
      </c>
      <c r="F19" s="19" t="s">
        <v>14</v>
      </c>
      <c r="G19" s="40">
        <v>20399747</v>
      </c>
      <c r="H19" s="19" t="s">
        <v>71</v>
      </c>
      <c r="I19" s="40">
        <v>2</v>
      </c>
      <c r="J19" s="40">
        <v>2</v>
      </c>
      <c r="K19" s="41">
        <v>8</v>
      </c>
      <c r="L19" s="41">
        <v>16</v>
      </c>
    </row>
    <row r="20" spans="4:12">
      <c r="D20" s="39">
        <v>46085</v>
      </c>
      <c r="E20" s="19">
        <v>1582186</v>
      </c>
      <c r="F20" s="19" t="s">
        <v>14</v>
      </c>
      <c r="G20" s="40">
        <v>20007402</v>
      </c>
      <c r="H20" s="19" t="s">
        <v>79</v>
      </c>
      <c r="I20" s="40">
        <v>2</v>
      </c>
      <c r="J20" s="40">
        <v>2</v>
      </c>
      <c r="K20" s="41">
        <v>8</v>
      </c>
      <c r="L20" s="41">
        <v>16</v>
      </c>
    </row>
    <row r="21" spans="4:12">
      <c r="D21" s="39">
        <v>46085</v>
      </c>
      <c r="E21" s="19">
        <v>1582186</v>
      </c>
      <c r="F21" s="19" t="s">
        <v>14</v>
      </c>
      <c r="G21" s="40">
        <v>20007399</v>
      </c>
      <c r="H21" s="19" t="s">
        <v>73</v>
      </c>
      <c r="I21" s="40">
        <v>11</v>
      </c>
      <c r="J21" s="40">
        <v>11</v>
      </c>
      <c r="K21" s="41">
        <v>8</v>
      </c>
      <c r="L21" s="41">
        <v>88</v>
      </c>
    </row>
    <row r="22" spans="4:12">
      <c r="D22" s="39">
        <v>46085</v>
      </c>
      <c r="E22" s="19">
        <v>1582186</v>
      </c>
      <c r="F22" s="19" t="s">
        <v>14</v>
      </c>
      <c r="G22" s="40">
        <v>20007299</v>
      </c>
      <c r="H22" s="19" t="s">
        <v>74</v>
      </c>
      <c r="I22" s="40">
        <v>4</v>
      </c>
      <c r="J22" s="40">
        <v>4</v>
      </c>
      <c r="K22" s="41">
        <v>8</v>
      </c>
      <c r="L22" s="41">
        <v>32</v>
      </c>
    </row>
    <row r="23" spans="4:12">
      <c r="D23" s="39">
        <v>46085</v>
      </c>
      <c r="E23" s="19">
        <v>1582186</v>
      </c>
      <c r="F23" s="19" t="s">
        <v>14</v>
      </c>
      <c r="G23" s="40">
        <v>20008009</v>
      </c>
      <c r="H23" s="19" t="s">
        <v>80</v>
      </c>
      <c r="I23" s="40">
        <v>7</v>
      </c>
      <c r="J23" s="40">
        <v>7</v>
      </c>
      <c r="K23" s="41">
        <v>8</v>
      </c>
      <c r="L23" s="41">
        <v>56</v>
      </c>
    </row>
    <row r="24" spans="4:12">
      <c r="D24" s="39">
        <v>46085</v>
      </c>
      <c r="E24" s="19">
        <v>1582209</v>
      </c>
      <c r="F24" s="19" t="s">
        <v>14</v>
      </c>
      <c r="G24" s="40">
        <v>20008009</v>
      </c>
      <c r="H24" s="19" t="s">
        <v>80</v>
      </c>
      <c r="I24" s="40">
        <v>1</v>
      </c>
      <c r="J24" s="40">
        <v>1</v>
      </c>
      <c r="K24" s="41">
        <v>8</v>
      </c>
      <c r="L24" s="41">
        <v>8</v>
      </c>
    </row>
    <row r="25" spans="4:12">
      <c r="D25" s="39">
        <v>46088</v>
      </c>
      <c r="E25" s="19">
        <v>1582929</v>
      </c>
      <c r="F25" s="19" t="s">
        <v>14</v>
      </c>
      <c r="G25" s="40">
        <v>20007400</v>
      </c>
      <c r="H25" s="19" t="s">
        <v>69</v>
      </c>
      <c r="I25" s="40">
        <v>9</v>
      </c>
      <c r="J25" s="40">
        <v>9</v>
      </c>
      <c r="K25" s="41">
        <v>8</v>
      </c>
      <c r="L25" s="41">
        <v>72</v>
      </c>
    </row>
    <row r="26" spans="4:12">
      <c r="D26" s="39">
        <v>46088</v>
      </c>
      <c r="E26" s="19">
        <v>1582929</v>
      </c>
      <c r="F26" s="19" t="s">
        <v>14</v>
      </c>
      <c r="G26" s="40">
        <v>20007300</v>
      </c>
      <c r="H26" s="19" t="s">
        <v>70</v>
      </c>
      <c r="I26" s="40">
        <v>7</v>
      </c>
      <c r="J26" s="40">
        <v>7</v>
      </c>
      <c r="K26" s="41">
        <v>8</v>
      </c>
      <c r="L26" s="41">
        <v>56</v>
      </c>
    </row>
    <row r="27" spans="4:12">
      <c r="D27" s="39">
        <v>46088</v>
      </c>
      <c r="E27" s="19">
        <v>1582929</v>
      </c>
      <c r="F27" s="19" t="s">
        <v>14</v>
      </c>
      <c r="G27" s="40">
        <v>20344528</v>
      </c>
      <c r="H27" s="19" t="s">
        <v>76</v>
      </c>
      <c r="I27" s="40">
        <v>1</v>
      </c>
      <c r="J27" s="40">
        <v>5</v>
      </c>
      <c r="K27" s="41">
        <v>8</v>
      </c>
      <c r="L27" s="41">
        <v>8</v>
      </c>
    </row>
    <row r="28" spans="4:12">
      <c r="D28" s="39">
        <v>46088</v>
      </c>
      <c r="E28" s="19">
        <v>1582929</v>
      </c>
      <c r="F28" s="19" t="s">
        <v>14</v>
      </c>
      <c r="G28" s="40">
        <v>20010965</v>
      </c>
      <c r="H28" s="19" t="s">
        <v>81</v>
      </c>
      <c r="I28" s="40">
        <v>1</v>
      </c>
      <c r="J28" s="40">
        <v>1</v>
      </c>
      <c r="K28" s="41">
        <v>8</v>
      </c>
      <c r="L28" s="41">
        <v>8</v>
      </c>
    </row>
    <row r="29" spans="4:12">
      <c r="D29" s="39">
        <v>46088</v>
      </c>
      <c r="E29" s="19">
        <v>1582929</v>
      </c>
      <c r="F29" s="19" t="s">
        <v>14</v>
      </c>
      <c r="G29" s="40">
        <v>20399748</v>
      </c>
      <c r="H29" s="19" t="s">
        <v>77</v>
      </c>
      <c r="I29" s="40">
        <v>1</v>
      </c>
      <c r="J29" s="40">
        <v>1</v>
      </c>
      <c r="K29" s="41">
        <v>8</v>
      </c>
      <c r="L29" s="41">
        <v>8</v>
      </c>
    </row>
    <row r="30" spans="4:12">
      <c r="D30" s="39">
        <v>46088</v>
      </c>
      <c r="E30" s="19">
        <v>1582929</v>
      </c>
      <c r="F30" s="19" t="s">
        <v>14</v>
      </c>
      <c r="G30" s="40">
        <v>20399747</v>
      </c>
      <c r="H30" s="19" t="s">
        <v>71</v>
      </c>
      <c r="I30" s="40">
        <v>3</v>
      </c>
      <c r="J30" s="40">
        <v>3</v>
      </c>
      <c r="K30" s="41">
        <v>8</v>
      </c>
      <c r="L30" s="41">
        <v>24</v>
      </c>
    </row>
    <row r="31" spans="4:12">
      <c r="D31" s="39">
        <v>46088</v>
      </c>
      <c r="E31" s="19">
        <v>1582929</v>
      </c>
      <c r="F31" s="19" t="s">
        <v>14</v>
      </c>
      <c r="G31" s="40">
        <v>20007399</v>
      </c>
      <c r="H31" s="19" t="s">
        <v>73</v>
      </c>
      <c r="I31" s="40">
        <v>11</v>
      </c>
      <c r="J31" s="40">
        <v>11</v>
      </c>
      <c r="K31" s="41">
        <v>8</v>
      </c>
      <c r="L31" s="41">
        <v>88</v>
      </c>
    </row>
    <row r="32" spans="4:12">
      <c r="D32" s="39">
        <v>46088</v>
      </c>
      <c r="E32" s="19">
        <v>1582929</v>
      </c>
      <c r="F32" s="19" t="s">
        <v>14</v>
      </c>
      <c r="G32" s="40">
        <v>20007299</v>
      </c>
      <c r="H32" s="19" t="s">
        <v>74</v>
      </c>
      <c r="I32" s="40">
        <v>1</v>
      </c>
      <c r="J32" s="40">
        <v>1</v>
      </c>
      <c r="K32" s="41">
        <v>8</v>
      </c>
      <c r="L32" s="41">
        <v>8</v>
      </c>
    </row>
    <row r="33" spans="4:12">
      <c r="D33" s="39">
        <v>46088</v>
      </c>
      <c r="E33" s="19">
        <v>1582929</v>
      </c>
      <c r="F33" s="19" t="s">
        <v>14</v>
      </c>
      <c r="G33" s="40">
        <v>20007303</v>
      </c>
      <c r="H33" s="19" t="s">
        <v>18</v>
      </c>
      <c r="I33" s="40">
        <v>2</v>
      </c>
      <c r="J33" s="40">
        <v>2</v>
      </c>
      <c r="K33" s="41">
        <v>8</v>
      </c>
      <c r="L33" s="41">
        <v>16</v>
      </c>
    </row>
    <row r="34" spans="4:12">
      <c r="D34" s="39">
        <v>46088</v>
      </c>
      <c r="E34" s="19">
        <v>1582929</v>
      </c>
      <c r="F34" s="19" t="s">
        <v>14</v>
      </c>
      <c r="G34" s="40">
        <v>20008009</v>
      </c>
      <c r="H34" s="19" t="s">
        <v>80</v>
      </c>
      <c r="I34" s="40">
        <v>8</v>
      </c>
      <c r="J34" s="40">
        <v>8</v>
      </c>
      <c r="K34" s="41">
        <v>8</v>
      </c>
      <c r="L34" s="41">
        <v>64</v>
      </c>
    </row>
    <row r="35" spans="4:12">
      <c r="D35" s="39">
        <v>46091</v>
      </c>
      <c r="E35" s="19">
        <v>1583432</v>
      </c>
      <c r="F35" s="19" t="s">
        <v>14</v>
      </c>
      <c r="G35" s="40">
        <v>20399747</v>
      </c>
      <c r="H35" s="19" t="s">
        <v>71</v>
      </c>
      <c r="I35" s="40">
        <v>8</v>
      </c>
      <c r="J35" s="40">
        <v>8</v>
      </c>
      <c r="K35" s="41">
        <v>8</v>
      </c>
      <c r="L35" s="41">
        <v>64</v>
      </c>
    </row>
    <row r="36" spans="4:12">
      <c r="D36" s="39">
        <v>46091</v>
      </c>
      <c r="E36" s="19">
        <v>1583432</v>
      </c>
      <c r="F36" s="19" t="s">
        <v>14</v>
      </c>
      <c r="G36" s="40">
        <v>20007399</v>
      </c>
      <c r="H36" s="19" t="s">
        <v>73</v>
      </c>
      <c r="I36" s="40">
        <v>15</v>
      </c>
      <c r="J36" s="40">
        <v>15</v>
      </c>
      <c r="K36" s="41">
        <v>8</v>
      </c>
      <c r="L36" s="41">
        <v>120</v>
      </c>
    </row>
    <row r="37" spans="4:12">
      <c r="D37" s="39">
        <v>46091</v>
      </c>
      <c r="E37" s="19">
        <v>1583432</v>
      </c>
      <c r="F37" s="19" t="s">
        <v>14</v>
      </c>
      <c r="G37" s="40">
        <v>20007299</v>
      </c>
      <c r="H37" s="19" t="s">
        <v>74</v>
      </c>
      <c r="I37" s="40">
        <v>7</v>
      </c>
      <c r="J37" s="40">
        <v>7</v>
      </c>
      <c r="K37" s="41">
        <v>8</v>
      </c>
      <c r="L37" s="41">
        <v>56</v>
      </c>
    </row>
    <row r="38" spans="4:12">
      <c r="D38" s="39">
        <v>46092</v>
      </c>
      <c r="E38" s="19">
        <v>1585161</v>
      </c>
      <c r="F38" s="19" t="s">
        <v>14</v>
      </c>
      <c r="G38" s="40">
        <v>20007400</v>
      </c>
      <c r="H38" s="19" t="s">
        <v>69</v>
      </c>
      <c r="I38" s="40">
        <v>5</v>
      </c>
      <c r="J38" s="40">
        <v>5</v>
      </c>
      <c r="K38" s="41">
        <v>8</v>
      </c>
      <c r="L38" s="41">
        <v>40</v>
      </c>
    </row>
    <row r="39" spans="4:12">
      <c r="D39" s="39">
        <v>46092</v>
      </c>
      <c r="E39" s="19">
        <v>1585161</v>
      </c>
      <c r="F39" s="19" t="s">
        <v>14</v>
      </c>
      <c r="G39" s="40">
        <v>20007300</v>
      </c>
      <c r="H39" s="19" t="s">
        <v>70</v>
      </c>
      <c r="I39" s="40">
        <v>5</v>
      </c>
      <c r="J39" s="40">
        <v>5</v>
      </c>
      <c r="K39" s="41">
        <v>8</v>
      </c>
      <c r="L39" s="41">
        <v>40</v>
      </c>
    </row>
    <row r="40" spans="4:12">
      <c r="D40" s="39">
        <v>46092</v>
      </c>
      <c r="E40" s="19">
        <v>1585161</v>
      </c>
      <c r="F40" s="19" t="s">
        <v>14</v>
      </c>
      <c r="G40" s="40">
        <v>20399747</v>
      </c>
      <c r="H40" s="19" t="s">
        <v>71</v>
      </c>
      <c r="I40" s="40">
        <v>2</v>
      </c>
      <c r="J40" s="40">
        <v>2</v>
      </c>
      <c r="K40" s="41">
        <v>8</v>
      </c>
      <c r="L40" s="41">
        <v>16</v>
      </c>
    </row>
    <row r="41" spans="4:12">
      <c r="D41" s="39">
        <v>46092</v>
      </c>
      <c r="E41" s="19">
        <v>1585161</v>
      </c>
      <c r="F41" s="19" t="s">
        <v>14</v>
      </c>
      <c r="G41" s="40">
        <v>20314246</v>
      </c>
      <c r="H41" s="19" t="s">
        <v>82</v>
      </c>
      <c r="I41" s="40">
        <v>1</v>
      </c>
      <c r="J41" s="40">
        <v>3</v>
      </c>
      <c r="K41" s="41">
        <v>16.5</v>
      </c>
      <c r="L41" s="41">
        <v>16.5</v>
      </c>
    </row>
    <row r="42" spans="4:12">
      <c r="D42" s="39">
        <v>46092</v>
      </c>
      <c r="E42" s="19">
        <v>1585161</v>
      </c>
      <c r="F42" s="19" t="s">
        <v>14</v>
      </c>
      <c r="G42" s="40">
        <v>20007399</v>
      </c>
      <c r="H42" s="19" t="s">
        <v>73</v>
      </c>
      <c r="I42" s="40">
        <v>7</v>
      </c>
      <c r="J42" s="40">
        <v>7</v>
      </c>
      <c r="K42" s="41">
        <v>8</v>
      </c>
      <c r="L42" s="41">
        <v>56</v>
      </c>
    </row>
    <row r="43" spans="4:12">
      <c r="D43" s="39">
        <v>46092</v>
      </c>
      <c r="E43" s="19">
        <v>1585161</v>
      </c>
      <c r="F43" s="19" t="s">
        <v>14</v>
      </c>
      <c r="G43" s="40">
        <v>20007299</v>
      </c>
      <c r="H43" s="19" t="s">
        <v>74</v>
      </c>
      <c r="I43" s="40">
        <v>2</v>
      </c>
      <c r="J43" s="40">
        <v>2</v>
      </c>
      <c r="K43" s="41">
        <v>8</v>
      </c>
      <c r="L43" s="41">
        <v>16</v>
      </c>
    </row>
    <row r="44" spans="4:12">
      <c r="D44" s="39">
        <v>46092</v>
      </c>
      <c r="E44" s="19">
        <v>1585161</v>
      </c>
      <c r="F44" s="19" t="s">
        <v>14</v>
      </c>
      <c r="G44" s="40">
        <v>20007303</v>
      </c>
      <c r="H44" s="19" t="s">
        <v>18</v>
      </c>
      <c r="I44" s="40">
        <v>1</v>
      </c>
      <c r="J44" s="40">
        <v>1</v>
      </c>
      <c r="K44" s="41">
        <v>8</v>
      </c>
      <c r="L44" s="41">
        <v>8</v>
      </c>
    </row>
    <row r="45" spans="4:12">
      <c r="D45" s="39">
        <v>46092</v>
      </c>
      <c r="E45" s="19">
        <v>1585161</v>
      </c>
      <c r="F45" s="19" t="s">
        <v>14</v>
      </c>
      <c r="G45" s="40">
        <v>20007417</v>
      </c>
      <c r="H45" s="19" t="s">
        <v>23</v>
      </c>
      <c r="I45" s="40">
        <v>1</v>
      </c>
      <c r="J45" s="40">
        <v>1</v>
      </c>
      <c r="K45" s="41">
        <v>8</v>
      </c>
      <c r="L45" s="41">
        <v>8</v>
      </c>
    </row>
    <row r="46" spans="4:12">
      <c r="D46" s="39">
        <v>46095</v>
      </c>
      <c r="E46" s="19">
        <v>1585982</v>
      </c>
      <c r="F46" s="19" t="s">
        <v>14</v>
      </c>
      <c r="G46" s="40">
        <v>20007400</v>
      </c>
      <c r="H46" s="19" t="s">
        <v>69</v>
      </c>
      <c r="I46" s="40">
        <v>7</v>
      </c>
      <c r="J46" s="40">
        <v>7</v>
      </c>
      <c r="K46" s="41">
        <v>8</v>
      </c>
      <c r="L46" s="41">
        <v>56</v>
      </c>
    </row>
    <row r="47" spans="4:12">
      <c r="D47" s="39">
        <v>46095</v>
      </c>
      <c r="E47" s="19">
        <v>1585982</v>
      </c>
      <c r="F47" s="19" t="s">
        <v>14</v>
      </c>
      <c r="G47" s="40">
        <v>20007300</v>
      </c>
      <c r="H47" s="19" t="s">
        <v>70</v>
      </c>
      <c r="I47" s="40">
        <v>4</v>
      </c>
      <c r="J47" s="40">
        <v>4</v>
      </c>
      <c r="K47" s="41">
        <v>8</v>
      </c>
      <c r="L47" s="41">
        <v>32</v>
      </c>
    </row>
    <row r="48" spans="4:12">
      <c r="D48" s="39">
        <v>46095</v>
      </c>
      <c r="E48" s="19">
        <v>1585982</v>
      </c>
      <c r="F48" s="19" t="s">
        <v>14</v>
      </c>
      <c r="G48" s="40">
        <v>20300283</v>
      </c>
      <c r="H48" s="19" t="s">
        <v>83</v>
      </c>
      <c r="I48" s="40">
        <v>1</v>
      </c>
      <c r="J48" s="40">
        <v>3</v>
      </c>
      <c r="K48" s="41">
        <v>16.5</v>
      </c>
      <c r="L48" s="41">
        <v>16.5</v>
      </c>
    </row>
    <row r="49" spans="4:12">
      <c r="D49" s="39">
        <v>46095</v>
      </c>
      <c r="E49" s="19">
        <v>1585982</v>
      </c>
      <c r="F49" s="19" t="s">
        <v>14</v>
      </c>
      <c r="G49" s="40">
        <v>20399747</v>
      </c>
      <c r="H49" s="19" t="s">
        <v>71</v>
      </c>
      <c r="I49" s="40">
        <v>3</v>
      </c>
      <c r="J49" s="40">
        <v>3</v>
      </c>
      <c r="K49" s="41">
        <v>8</v>
      </c>
      <c r="L49" s="41">
        <v>24</v>
      </c>
    </row>
    <row r="50" spans="4:12">
      <c r="D50" s="39">
        <v>46095</v>
      </c>
      <c r="E50" s="19">
        <v>1585982</v>
      </c>
      <c r="F50" s="19" t="s">
        <v>14</v>
      </c>
      <c r="G50" s="40">
        <v>20007399</v>
      </c>
      <c r="H50" s="19" t="s">
        <v>73</v>
      </c>
      <c r="I50" s="40">
        <v>16</v>
      </c>
      <c r="J50" s="40">
        <v>16</v>
      </c>
      <c r="K50" s="41">
        <v>8</v>
      </c>
      <c r="L50" s="41">
        <v>128</v>
      </c>
    </row>
    <row r="51" spans="4:12">
      <c r="D51" s="39">
        <v>46095</v>
      </c>
      <c r="E51" s="19">
        <v>1585982</v>
      </c>
      <c r="F51" s="19" t="s">
        <v>14</v>
      </c>
      <c r="G51" s="40">
        <v>20007299</v>
      </c>
      <c r="H51" s="19" t="s">
        <v>74</v>
      </c>
      <c r="I51" s="40">
        <v>1</v>
      </c>
      <c r="J51" s="40">
        <v>1</v>
      </c>
      <c r="K51" s="41">
        <v>8</v>
      </c>
      <c r="L51" s="41">
        <v>8</v>
      </c>
    </row>
    <row r="52" spans="4:12">
      <c r="D52" s="39">
        <v>46098</v>
      </c>
      <c r="E52" s="19">
        <v>1586489</v>
      </c>
      <c r="F52" s="19" t="s">
        <v>14</v>
      </c>
      <c r="G52" s="40">
        <v>20007400</v>
      </c>
      <c r="H52" s="19" t="s">
        <v>69</v>
      </c>
      <c r="I52" s="40">
        <v>4</v>
      </c>
      <c r="J52" s="40">
        <v>4</v>
      </c>
      <c r="K52" s="41">
        <v>8</v>
      </c>
      <c r="L52" s="41">
        <v>32</v>
      </c>
    </row>
    <row r="53" spans="4:12">
      <c r="D53" s="39">
        <v>46098</v>
      </c>
      <c r="E53" s="19">
        <v>1586489</v>
      </c>
      <c r="F53" s="19" t="s">
        <v>14</v>
      </c>
      <c r="G53" s="40">
        <v>20007300</v>
      </c>
      <c r="H53" s="19" t="s">
        <v>70</v>
      </c>
      <c r="I53" s="40">
        <v>3</v>
      </c>
      <c r="J53" s="40">
        <v>3</v>
      </c>
      <c r="K53" s="41">
        <v>8</v>
      </c>
      <c r="L53" s="41">
        <v>24</v>
      </c>
    </row>
    <row r="54" spans="4:12">
      <c r="D54" s="39">
        <v>46098</v>
      </c>
      <c r="E54" s="19">
        <v>1586489</v>
      </c>
      <c r="F54" s="19" t="s">
        <v>14</v>
      </c>
      <c r="G54" s="40">
        <v>20012739</v>
      </c>
      <c r="H54" s="19" t="s">
        <v>78</v>
      </c>
      <c r="I54" s="40">
        <v>2</v>
      </c>
      <c r="J54" s="40">
        <v>10</v>
      </c>
      <c r="K54" s="41">
        <v>27.5</v>
      </c>
      <c r="L54" s="41">
        <v>55</v>
      </c>
    </row>
    <row r="55" spans="4:12">
      <c r="D55" s="39">
        <v>46098</v>
      </c>
      <c r="E55" s="19">
        <v>1586489</v>
      </c>
      <c r="F55" s="19" t="s">
        <v>14</v>
      </c>
      <c r="G55" s="40">
        <v>20399747</v>
      </c>
      <c r="H55" s="19" t="s">
        <v>71</v>
      </c>
      <c r="I55" s="40">
        <v>2</v>
      </c>
      <c r="J55" s="40">
        <v>2</v>
      </c>
      <c r="K55" s="41">
        <v>8</v>
      </c>
      <c r="L55" s="41">
        <v>16</v>
      </c>
    </row>
    <row r="56" spans="4:12">
      <c r="D56" s="39">
        <v>46098</v>
      </c>
      <c r="E56" s="19">
        <v>1586489</v>
      </c>
      <c r="F56" s="19" t="s">
        <v>14</v>
      </c>
      <c r="G56" s="40">
        <v>20013631</v>
      </c>
      <c r="H56" s="19" t="s">
        <v>72</v>
      </c>
      <c r="I56" s="40">
        <v>1</v>
      </c>
      <c r="J56" s="40">
        <v>5</v>
      </c>
      <c r="K56" s="41">
        <v>8</v>
      </c>
      <c r="L56" s="41">
        <v>8</v>
      </c>
    </row>
    <row r="57" spans="4:12">
      <c r="D57" s="39">
        <v>46098</v>
      </c>
      <c r="E57" s="19">
        <v>1586489</v>
      </c>
      <c r="F57" s="19" t="s">
        <v>14</v>
      </c>
      <c r="G57" s="40">
        <v>20007399</v>
      </c>
      <c r="H57" s="19" t="s">
        <v>73</v>
      </c>
      <c r="I57" s="40">
        <v>13</v>
      </c>
      <c r="J57" s="40">
        <v>13</v>
      </c>
      <c r="K57" s="41">
        <v>8</v>
      </c>
      <c r="L57" s="41">
        <v>104</v>
      </c>
    </row>
    <row r="58" spans="4:12">
      <c r="D58" s="39">
        <v>46098</v>
      </c>
      <c r="E58" s="19">
        <v>1586489</v>
      </c>
      <c r="F58" s="19" t="s">
        <v>14</v>
      </c>
      <c r="G58" s="40">
        <v>20007299</v>
      </c>
      <c r="H58" s="19" t="s">
        <v>74</v>
      </c>
      <c r="I58" s="40">
        <v>6</v>
      </c>
      <c r="J58" s="40">
        <v>6</v>
      </c>
      <c r="K58" s="41">
        <v>8</v>
      </c>
      <c r="L58" s="41">
        <v>48</v>
      </c>
    </row>
    <row r="59" spans="4:12">
      <c r="D59" s="39">
        <v>46099</v>
      </c>
      <c r="E59" s="19">
        <v>1587147</v>
      </c>
      <c r="F59" s="19" t="s">
        <v>14</v>
      </c>
      <c r="G59" s="40">
        <v>20007400</v>
      </c>
      <c r="H59" s="19" t="s">
        <v>69</v>
      </c>
      <c r="I59" s="40">
        <v>4</v>
      </c>
      <c r="J59" s="40">
        <v>4</v>
      </c>
      <c r="K59" s="41">
        <v>8</v>
      </c>
      <c r="L59" s="41">
        <v>32</v>
      </c>
    </row>
    <row r="60" spans="4:12">
      <c r="D60" s="39">
        <v>46099</v>
      </c>
      <c r="E60" s="19">
        <v>1587147</v>
      </c>
      <c r="F60" s="19" t="s">
        <v>14</v>
      </c>
      <c r="G60" s="40">
        <v>20007300</v>
      </c>
      <c r="H60" s="19" t="s">
        <v>70</v>
      </c>
      <c r="I60" s="40">
        <v>8</v>
      </c>
      <c r="J60" s="40">
        <v>8</v>
      </c>
      <c r="K60" s="41">
        <v>8</v>
      </c>
      <c r="L60" s="41">
        <v>64</v>
      </c>
    </row>
    <row r="61" spans="4:12">
      <c r="D61" s="39">
        <v>46099</v>
      </c>
      <c r="E61" s="19">
        <v>1587147</v>
      </c>
      <c r="F61" s="19" t="s">
        <v>14</v>
      </c>
      <c r="G61" s="40">
        <v>20399748</v>
      </c>
      <c r="H61" s="19" t="s">
        <v>77</v>
      </c>
      <c r="I61" s="40">
        <v>3</v>
      </c>
      <c r="J61" s="40">
        <v>3</v>
      </c>
      <c r="K61" s="41">
        <v>8</v>
      </c>
      <c r="L61" s="41">
        <v>24</v>
      </c>
    </row>
    <row r="62" spans="4:12">
      <c r="D62" s="39">
        <v>46099</v>
      </c>
      <c r="E62" s="19">
        <v>1587147</v>
      </c>
      <c r="F62" s="19" t="s">
        <v>14</v>
      </c>
      <c r="G62" s="40">
        <v>20399747</v>
      </c>
      <c r="H62" s="19" t="s">
        <v>71</v>
      </c>
      <c r="I62" s="40">
        <v>8</v>
      </c>
      <c r="J62" s="40">
        <v>8</v>
      </c>
      <c r="K62" s="41">
        <v>8</v>
      </c>
      <c r="L62" s="41">
        <v>64</v>
      </c>
    </row>
    <row r="63" spans="4:12">
      <c r="D63" s="39">
        <v>46099</v>
      </c>
      <c r="E63" s="19">
        <v>1587147</v>
      </c>
      <c r="F63" s="19" t="s">
        <v>14</v>
      </c>
      <c r="G63" s="40">
        <v>20007399</v>
      </c>
      <c r="H63" s="19" t="s">
        <v>73</v>
      </c>
      <c r="I63" s="40">
        <v>17</v>
      </c>
      <c r="J63" s="40">
        <v>17</v>
      </c>
      <c r="K63" s="41">
        <v>8</v>
      </c>
      <c r="L63" s="41">
        <v>136</v>
      </c>
    </row>
    <row r="64" spans="4:12">
      <c r="D64" s="39">
        <v>46099</v>
      </c>
      <c r="E64" s="19">
        <v>1587147</v>
      </c>
      <c r="F64" s="19" t="s">
        <v>14</v>
      </c>
      <c r="G64" s="40">
        <v>20007299</v>
      </c>
      <c r="H64" s="19" t="s">
        <v>74</v>
      </c>
      <c r="I64" s="40">
        <v>1</v>
      </c>
      <c r="J64" s="40">
        <v>1</v>
      </c>
      <c r="K64" s="41">
        <v>8</v>
      </c>
      <c r="L64" s="41">
        <v>8</v>
      </c>
    </row>
    <row r="65" spans="4:12">
      <c r="D65" s="39">
        <v>46099</v>
      </c>
      <c r="E65" s="19">
        <v>1587147</v>
      </c>
      <c r="F65" s="19" t="s">
        <v>14</v>
      </c>
      <c r="G65" s="40">
        <v>20007417</v>
      </c>
      <c r="H65" s="19" t="s">
        <v>23</v>
      </c>
      <c r="I65" s="40">
        <v>1</v>
      </c>
      <c r="J65" s="40">
        <v>1</v>
      </c>
      <c r="K65" s="41">
        <v>8</v>
      </c>
      <c r="L65" s="41">
        <v>8</v>
      </c>
    </row>
    <row r="66" spans="4:12">
      <c r="D66" s="39">
        <v>46101</v>
      </c>
      <c r="E66" s="19">
        <v>1587902</v>
      </c>
      <c r="F66" s="19" t="s">
        <v>14</v>
      </c>
      <c r="G66" s="40">
        <v>20007400</v>
      </c>
      <c r="H66" s="19" t="s">
        <v>69</v>
      </c>
      <c r="I66" s="40">
        <v>3</v>
      </c>
      <c r="J66" s="40">
        <v>3</v>
      </c>
      <c r="K66" s="41">
        <v>8</v>
      </c>
      <c r="L66" s="41">
        <v>24</v>
      </c>
    </row>
    <row r="67" spans="4:12">
      <c r="D67" s="39">
        <v>46101</v>
      </c>
      <c r="E67" s="19">
        <v>1587902</v>
      </c>
      <c r="F67" s="19" t="s">
        <v>14</v>
      </c>
      <c r="G67" s="40">
        <v>20007300</v>
      </c>
      <c r="H67" s="19" t="s">
        <v>70</v>
      </c>
      <c r="I67" s="40">
        <v>3</v>
      </c>
      <c r="J67" s="40">
        <v>3</v>
      </c>
      <c r="K67" s="41">
        <v>8</v>
      </c>
      <c r="L67" s="41">
        <v>24</v>
      </c>
    </row>
    <row r="68" spans="4:12">
      <c r="D68" s="39">
        <v>46101</v>
      </c>
      <c r="E68" s="19">
        <v>1587902</v>
      </c>
      <c r="F68" s="19" t="s">
        <v>14</v>
      </c>
      <c r="G68" s="40">
        <v>20300283</v>
      </c>
      <c r="H68" s="19" t="s">
        <v>83</v>
      </c>
      <c r="I68" s="40">
        <v>1</v>
      </c>
      <c r="J68" s="40">
        <v>3</v>
      </c>
      <c r="K68" s="41">
        <v>16.5</v>
      </c>
      <c r="L68" s="41">
        <v>16.5</v>
      </c>
    </row>
    <row r="69" spans="4:12">
      <c r="D69" s="39">
        <v>46101</v>
      </c>
      <c r="E69" s="19">
        <v>1587902</v>
      </c>
      <c r="F69" s="19" t="s">
        <v>14</v>
      </c>
      <c r="G69" s="40">
        <v>20012739</v>
      </c>
      <c r="H69" s="19" t="s">
        <v>78</v>
      </c>
      <c r="I69" s="40">
        <v>1</v>
      </c>
      <c r="J69" s="40">
        <v>5</v>
      </c>
      <c r="K69" s="41">
        <v>27.5</v>
      </c>
      <c r="L69" s="41">
        <v>27.5</v>
      </c>
    </row>
    <row r="70" spans="4:12">
      <c r="D70" s="39">
        <v>46101</v>
      </c>
      <c r="E70" s="19">
        <v>1587902</v>
      </c>
      <c r="F70" s="19" t="s">
        <v>14</v>
      </c>
      <c r="G70" s="40">
        <v>20399747</v>
      </c>
      <c r="H70" s="19" t="s">
        <v>71</v>
      </c>
      <c r="I70" s="40">
        <v>7</v>
      </c>
      <c r="J70" s="40">
        <v>7</v>
      </c>
      <c r="K70" s="41">
        <v>8</v>
      </c>
      <c r="L70" s="41">
        <v>56</v>
      </c>
    </row>
    <row r="71" spans="4:12">
      <c r="D71" s="39">
        <v>46101</v>
      </c>
      <c r="E71" s="19">
        <v>1587902</v>
      </c>
      <c r="F71" s="19" t="s">
        <v>14</v>
      </c>
      <c r="G71" s="40">
        <v>20007402</v>
      </c>
      <c r="H71" s="19" t="s">
        <v>79</v>
      </c>
      <c r="I71" s="40">
        <v>1</v>
      </c>
      <c r="J71" s="40">
        <v>1</v>
      </c>
      <c r="K71" s="41">
        <v>8</v>
      </c>
      <c r="L71" s="41">
        <v>8</v>
      </c>
    </row>
    <row r="72" spans="4:12">
      <c r="D72" s="39">
        <v>46101</v>
      </c>
      <c r="E72" s="19">
        <v>1587902</v>
      </c>
      <c r="F72" s="19" t="s">
        <v>14</v>
      </c>
      <c r="G72" s="40">
        <v>20013631</v>
      </c>
      <c r="H72" s="19" t="s">
        <v>72</v>
      </c>
      <c r="I72" s="40">
        <v>1</v>
      </c>
      <c r="J72" s="40">
        <v>5</v>
      </c>
      <c r="K72" s="41">
        <v>8</v>
      </c>
      <c r="L72" s="41">
        <v>8</v>
      </c>
    </row>
    <row r="73" spans="4:12">
      <c r="D73" s="39">
        <v>46101</v>
      </c>
      <c r="E73" s="19">
        <v>1587902</v>
      </c>
      <c r="F73" s="19" t="s">
        <v>14</v>
      </c>
      <c r="G73" s="40">
        <v>20314246</v>
      </c>
      <c r="H73" s="19" t="s">
        <v>82</v>
      </c>
      <c r="I73" s="40">
        <v>1</v>
      </c>
      <c r="J73" s="40">
        <v>3</v>
      </c>
      <c r="K73" s="41">
        <v>16.5</v>
      </c>
      <c r="L73" s="41">
        <v>16.5</v>
      </c>
    </row>
    <row r="74" spans="4:12">
      <c r="D74" s="39">
        <v>46101</v>
      </c>
      <c r="E74" s="19">
        <v>1587902</v>
      </c>
      <c r="F74" s="19" t="s">
        <v>14</v>
      </c>
      <c r="G74" s="40">
        <v>20007399</v>
      </c>
      <c r="H74" s="19" t="s">
        <v>73</v>
      </c>
      <c r="I74" s="40">
        <v>21</v>
      </c>
      <c r="J74" s="40">
        <v>21</v>
      </c>
      <c r="K74" s="41">
        <v>8</v>
      </c>
      <c r="L74" s="41">
        <v>168</v>
      </c>
    </row>
    <row r="75" spans="4:12">
      <c r="D75" s="39">
        <v>46101</v>
      </c>
      <c r="E75" s="19">
        <v>1587902</v>
      </c>
      <c r="F75" s="19" t="s">
        <v>14</v>
      </c>
      <c r="G75" s="40">
        <v>20007299</v>
      </c>
      <c r="H75" s="19" t="s">
        <v>74</v>
      </c>
      <c r="I75" s="40">
        <v>15</v>
      </c>
      <c r="J75" s="40">
        <v>15</v>
      </c>
      <c r="K75" s="41">
        <v>8</v>
      </c>
      <c r="L75" s="41">
        <v>120</v>
      </c>
    </row>
    <row r="76" spans="4:12">
      <c r="D76" s="39">
        <v>46101</v>
      </c>
      <c r="E76" s="19">
        <v>1587902</v>
      </c>
      <c r="F76" s="19" t="s">
        <v>14</v>
      </c>
      <c r="G76" s="40">
        <v>20008009</v>
      </c>
      <c r="H76" s="19" t="s">
        <v>80</v>
      </c>
      <c r="I76" s="40">
        <v>10</v>
      </c>
      <c r="J76" s="40">
        <v>10</v>
      </c>
      <c r="K76" s="41">
        <v>8</v>
      </c>
      <c r="L76" s="41">
        <v>80</v>
      </c>
    </row>
    <row r="77" spans="4:12">
      <c r="D77" s="39">
        <v>46101</v>
      </c>
      <c r="E77" s="19">
        <v>1587939</v>
      </c>
      <c r="F77" s="19" t="s">
        <v>14</v>
      </c>
      <c r="G77" s="40">
        <v>20007399</v>
      </c>
      <c r="H77" s="19" t="s">
        <v>73</v>
      </c>
      <c r="I77" s="40">
        <v>1</v>
      </c>
      <c r="J77" s="40">
        <v>1</v>
      </c>
      <c r="K77" s="41">
        <v>8</v>
      </c>
      <c r="L77" s="41">
        <v>8</v>
      </c>
    </row>
    <row r="78" spans="4:12">
      <c r="D78" s="39">
        <v>46106</v>
      </c>
      <c r="E78" s="19">
        <v>1588783</v>
      </c>
      <c r="F78" s="19" t="s">
        <v>14</v>
      </c>
      <c r="G78" s="40">
        <v>20007400</v>
      </c>
      <c r="H78" s="19" t="s">
        <v>69</v>
      </c>
      <c r="I78" s="40">
        <v>5</v>
      </c>
      <c r="J78" s="40">
        <v>5</v>
      </c>
      <c r="K78" s="41">
        <v>8</v>
      </c>
      <c r="L78" s="41">
        <v>40</v>
      </c>
    </row>
    <row r="79" spans="4:12">
      <c r="D79" s="39">
        <v>46106</v>
      </c>
      <c r="E79" s="19">
        <v>1588783</v>
      </c>
      <c r="F79" s="19" t="s">
        <v>14</v>
      </c>
      <c r="G79" s="40">
        <v>20007300</v>
      </c>
      <c r="H79" s="19" t="s">
        <v>70</v>
      </c>
      <c r="I79" s="40">
        <v>3</v>
      </c>
      <c r="J79" s="40">
        <v>3</v>
      </c>
      <c r="K79" s="41">
        <v>8</v>
      </c>
      <c r="L79" s="41">
        <v>24</v>
      </c>
    </row>
    <row r="80" spans="4:12">
      <c r="D80" s="39">
        <v>46106</v>
      </c>
      <c r="E80" s="19">
        <v>1588783</v>
      </c>
      <c r="F80" s="19" t="s">
        <v>14</v>
      </c>
      <c r="G80" s="40">
        <v>20012739</v>
      </c>
      <c r="H80" s="19" t="s">
        <v>78</v>
      </c>
      <c r="I80" s="40">
        <v>1</v>
      </c>
      <c r="J80" s="40">
        <v>5</v>
      </c>
      <c r="K80" s="41">
        <v>27.5</v>
      </c>
      <c r="L80" s="41">
        <v>27.5</v>
      </c>
    </row>
    <row r="81" spans="4:12">
      <c r="D81" s="39">
        <v>46106</v>
      </c>
      <c r="E81" s="19">
        <v>1588783</v>
      </c>
      <c r="F81" s="19" t="s">
        <v>14</v>
      </c>
      <c r="G81" s="40">
        <v>20399747</v>
      </c>
      <c r="H81" s="19" t="s">
        <v>71</v>
      </c>
      <c r="I81" s="40">
        <v>5</v>
      </c>
      <c r="J81" s="40">
        <v>5</v>
      </c>
      <c r="K81" s="41">
        <v>8</v>
      </c>
      <c r="L81" s="41">
        <v>40</v>
      </c>
    </row>
    <row r="82" spans="4:12">
      <c r="D82" s="39">
        <v>46106</v>
      </c>
      <c r="E82" s="19">
        <v>1588783</v>
      </c>
      <c r="F82" s="19" t="s">
        <v>14</v>
      </c>
      <c r="G82" s="40">
        <v>20013631</v>
      </c>
      <c r="H82" s="19" t="s">
        <v>72</v>
      </c>
      <c r="I82" s="40">
        <v>1</v>
      </c>
      <c r="J82" s="40">
        <v>5</v>
      </c>
      <c r="K82" s="41">
        <v>8</v>
      </c>
      <c r="L82" s="41">
        <v>8</v>
      </c>
    </row>
    <row r="83" spans="4:12">
      <c r="D83" s="39">
        <v>46106</v>
      </c>
      <c r="E83" s="19">
        <v>1588783</v>
      </c>
      <c r="F83" s="19" t="s">
        <v>14</v>
      </c>
      <c r="G83" s="40">
        <v>20007399</v>
      </c>
      <c r="H83" s="19" t="s">
        <v>73</v>
      </c>
      <c r="I83" s="40">
        <v>18</v>
      </c>
      <c r="J83" s="40">
        <v>18</v>
      </c>
      <c r="K83" s="41">
        <v>8</v>
      </c>
      <c r="L83" s="41">
        <v>144</v>
      </c>
    </row>
    <row r="84" spans="4:12">
      <c r="D84" s="39">
        <v>46106</v>
      </c>
      <c r="E84" s="19">
        <v>1588783</v>
      </c>
      <c r="F84" s="19" t="s">
        <v>14</v>
      </c>
      <c r="G84" s="40">
        <v>20007299</v>
      </c>
      <c r="H84" s="19" t="s">
        <v>74</v>
      </c>
      <c r="I84" s="40">
        <v>5</v>
      </c>
      <c r="J84" s="40">
        <v>5</v>
      </c>
      <c r="K84" s="41">
        <v>8</v>
      </c>
      <c r="L84" s="41">
        <v>40</v>
      </c>
    </row>
    <row r="85" spans="4:12">
      <c r="D85" s="39">
        <v>46106</v>
      </c>
      <c r="E85" s="19">
        <v>1588783</v>
      </c>
      <c r="F85" s="19" t="s">
        <v>14</v>
      </c>
      <c r="G85" s="40">
        <v>20008009</v>
      </c>
      <c r="H85" s="19" t="s">
        <v>80</v>
      </c>
      <c r="I85" s="40">
        <v>2</v>
      </c>
      <c r="J85" s="40">
        <v>2</v>
      </c>
      <c r="K85" s="41">
        <v>8</v>
      </c>
      <c r="L85" s="41">
        <v>16</v>
      </c>
    </row>
    <row r="86" spans="4:12">
      <c r="D86" s="39">
        <v>46108</v>
      </c>
      <c r="E86" s="19">
        <v>1589556</v>
      </c>
      <c r="F86" s="19" t="s">
        <v>14</v>
      </c>
      <c r="G86" s="40">
        <v>20007400</v>
      </c>
      <c r="H86" s="19" t="s">
        <v>69</v>
      </c>
      <c r="I86" s="40">
        <v>1</v>
      </c>
      <c r="J86" s="40">
        <v>1</v>
      </c>
      <c r="K86" s="41">
        <v>8</v>
      </c>
      <c r="L86" s="41">
        <v>8</v>
      </c>
    </row>
    <row r="87" spans="4:12">
      <c r="D87" s="39">
        <v>46108</v>
      </c>
      <c r="E87" s="19">
        <v>1589556</v>
      </c>
      <c r="F87" s="19" t="s">
        <v>14</v>
      </c>
      <c r="G87" s="40">
        <v>20007300</v>
      </c>
      <c r="H87" s="19" t="s">
        <v>70</v>
      </c>
      <c r="I87" s="40">
        <v>1</v>
      </c>
      <c r="J87" s="40">
        <v>1</v>
      </c>
      <c r="K87" s="41">
        <v>8</v>
      </c>
      <c r="L87" s="41">
        <v>8</v>
      </c>
    </row>
    <row r="88" spans="4:12">
      <c r="D88" s="39">
        <v>46108</v>
      </c>
      <c r="E88" s="19">
        <v>1589556</v>
      </c>
      <c r="F88" s="19" t="s">
        <v>14</v>
      </c>
      <c r="G88" s="40">
        <v>20012739</v>
      </c>
      <c r="H88" s="19" t="s">
        <v>78</v>
      </c>
      <c r="I88" s="40">
        <v>1</v>
      </c>
      <c r="J88" s="40">
        <v>5</v>
      </c>
      <c r="K88" s="41">
        <v>27.5</v>
      </c>
      <c r="L88" s="41">
        <v>27.5</v>
      </c>
    </row>
    <row r="89" spans="4:12">
      <c r="D89" s="39">
        <v>46108</v>
      </c>
      <c r="E89" s="19">
        <v>1589556</v>
      </c>
      <c r="F89" s="19" t="s">
        <v>14</v>
      </c>
      <c r="G89" s="40">
        <v>20399747</v>
      </c>
      <c r="H89" s="19" t="s">
        <v>71</v>
      </c>
      <c r="I89" s="40">
        <v>11</v>
      </c>
      <c r="J89" s="40">
        <v>11</v>
      </c>
      <c r="K89" s="41">
        <v>8</v>
      </c>
      <c r="L89" s="41">
        <v>88</v>
      </c>
    </row>
    <row r="90" spans="4:12">
      <c r="D90" s="39">
        <v>46108</v>
      </c>
      <c r="E90" s="19">
        <v>1589556</v>
      </c>
      <c r="F90" s="19" t="s">
        <v>14</v>
      </c>
      <c r="G90" s="40">
        <v>20007399</v>
      </c>
      <c r="H90" s="19" t="s">
        <v>73</v>
      </c>
      <c r="I90" s="40">
        <v>29</v>
      </c>
      <c r="J90" s="40">
        <v>29</v>
      </c>
      <c r="K90" s="41">
        <v>8</v>
      </c>
      <c r="L90" s="41">
        <v>232</v>
      </c>
    </row>
    <row r="91" spans="4:12">
      <c r="D91" s="39">
        <v>46108</v>
      </c>
      <c r="E91" s="19">
        <v>1589556</v>
      </c>
      <c r="F91" s="19" t="s">
        <v>14</v>
      </c>
      <c r="G91" s="40">
        <v>20007299</v>
      </c>
      <c r="H91" s="19" t="s">
        <v>74</v>
      </c>
      <c r="I91" s="40">
        <v>9</v>
      </c>
      <c r="J91" s="40">
        <v>9</v>
      </c>
      <c r="K91" s="41">
        <v>8</v>
      </c>
      <c r="L91" s="41">
        <v>72</v>
      </c>
    </row>
    <row r="92" spans="4:12">
      <c r="D92" s="39">
        <v>46108</v>
      </c>
      <c r="E92" s="19">
        <v>1589556</v>
      </c>
      <c r="F92" s="19" t="s">
        <v>14</v>
      </c>
      <c r="G92" s="40">
        <v>20007303</v>
      </c>
      <c r="H92" s="19" t="s">
        <v>18</v>
      </c>
      <c r="I92" s="40">
        <v>1</v>
      </c>
      <c r="J92" s="40">
        <v>1</v>
      </c>
      <c r="K92" s="41">
        <v>8</v>
      </c>
      <c r="L92" s="41">
        <v>8</v>
      </c>
    </row>
    <row r="93" spans="4:12">
      <c r="D93" s="39">
        <v>46111</v>
      </c>
      <c r="E93" s="19">
        <v>1590486</v>
      </c>
      <c r="F93" s="19" t="s">
        <v>14</v>
      </c>
      <c r="G93" s="40">
        <v>20007400</v>
      </c>
      <c r="H93" s="19" t="s">
        <v>69</v>
      </c>
      <c r="I93" s="40">
        <v>3</v>
      </c>
      <c r="J93" s="40">
        <v>3</v>
      </c>
      <c r="K93" s="41">
        <v>8</v>
      </c>
      <c r="L93" s="41">
        <v>24</v>
      </c>
    </row>
    <row r="94" spans="4:12">
      <c r="D94" s="39">
        <v>46111</v>
      </c>
      <c r="E94" s="19">
        <v>1590486</v>
      </c>
      <c r="F94" s="19" t="s">
        <v>14</v>
      </c>
      <c r="G94" s="40">
        <v>20007300</v>
      </c>
      <c r="H94" s="19" t="s">
        <v>70</v>
      </c>
      <c r="I94" s="40">
        <v>2</v>
      </c>
      <c r="J94" s="40">
        <v>2</v>
      </c>
      <c r="K94" s="41">
        <v>8</v>
      </c>
      <c r="L94" s="41">
        <v>16</v>
      </c>
    </row>
    <row r="95" spans="4:12">
      <c r="D95" s="39">
        <v>46111</v>
      </c>
      <c r="E95" s="19">
        <v>1590486</v>
      </c>
      <c r="F95" s="19" t="s">
        <v>14</v>
      </c>
      <c r="G95" s="40">
        <v>20012739</v>
      </c>
      <c r="H95" s="19" t="s">
        <v>78</v>
      </c>
      <c r="I95" s="40">
        <v>1</v>
      </c>
      <c r="J95" s="40">
        <v>5</v>
      </c>
      <c r="K95" s="41">
        <v>27.5</v>
      </c>
      <c r="L95" s="41">
        <v>27.5</v>
      </c>
    </row>
    <row r="96" spans="4:12">
      <c r="D96" s="39">
        <v>46111</v>
      </c>
      <c r="E96" s="19">
        <v>1590486</v>
      </c>
      <c r="F96" s="19" t="s">
        <v>14</v>
      </c>
      <c r="G96" s="40">
        <v>20399747</v>
      </c>
      <c r="H96" s="19" t="s">
        <v>71</v>
      </c>
      <c r="I96" s="40">
        <v>5</v>
      </c>
      <c r="J96" s="40">
        <v>5</v>
      </c>
      <c r="K96" s="41">
        <v>8</v>
      </c>
      <c r="L96" s="41">
        <v>40</v>
      </c>
    </row>
    <row r="97" spans="4:12">
      <c r="D97" s="39">
        <v>46111</v>
      </c>
      <c r="E97" s="19">
        <v>1590486</v>
      </c>
      <c r="F97" s="19" t="s">
        <v>14</v>
      </c>
      <c r="G97" s="40">
        <v>20314246</v>
      </c>
      <c r="H97" s="19" t="s">
        <v>82</v>
      </c>
      <c r="I97" s="40">
        <v>1</v>
      </c>
      <c r="J97" s="40">
        <v>3</v>
      </c>
      <c r="K97" s="41">
        <v>16.5</v>
      </c>
      <c r="L97" s="41">
        <v>16.5</v>
      </c>
    </row>
    <row r="98" spans="4:12">
      <c r="D98" s="39">
        <v>46111</v>
      </c>
      <c r="E98" s="19">
        <v>1590486</v>
      </c>
      <c r="F98" s="19" t="s">
        <v>14</v>
      </c>
      <c r="G98" s="40">
        <v>20007399</v>
      </c>
      <c r="H98" s="19" t="s">
        <v>73</v>
      </c>
      <c r="I98" s="40">
        <v>23</v>
      </c>
      <c r="J98" s="40">
        <v>23</v>
      </c>
      <c r="K98" s="41">
        <v>8</v>
      </c>
      <c r="L98" s="41">
        <v>184</v>
      </c>
    </row>
    <row r="99" spans="4:12">
      <c r="D99" s="39">
        <v>46111</v>
      </c>
      <c r="E99" s="19">
        <v>1590486</v>
      </c>
      <c r="F99" s="19" t="s">
        <v>14</v>
      </c>
      <c r="G99" s="40">
        <v>20007299</v>
      </c>
      <c r="H99" s="19" t="s">
        <v>74</v>
      </c>
      <c r="I99" s="40">
        <v>15</v>
      </c>
      <c r="J99" s="40">
        <v>15</v>
      </c>
      <c r="K99" s="41">
        <v>8</v>
      </c>
      <c r="L99" s="41">
        <v>120</v>
      </c>
    </row>
  </sheetData>
  <mergeCells count="5">
    <mergeCell ref="D8:H8"/>
    <mergeCell ref="C7:C99"/>
    <mergeCell ref="B4:H5"/>
    <mergeCell ref="A7:B99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N10" sqref="N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37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84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74</v>
      </c>
      <c r="J8" s="37">
        <v>113</v>
      </c>
      <c r="K8" s="38"/>
      <c r="L8" s="38">
        <v>2949</v>
      </c>
    </row>
    <row r="9" spans="1:12">
      <c r="D9" s="39">
        <v>46086</v>
      </c>
      <c r="E9" s="19">
        <v>1582246</v>
      </c>
      <c r="F9" s="19" t="s">
        <v>28</v>
      </c>
      <c r="G9" s="40">
        <v>20008861</v>
      </c>
      <c r="H9" s="19" t="s">
        <v>85</v>
      </c>
      <c r="I9" s="40">
        <v>1</v>
      </c>
      <c r="J9" s="40">
        <v>1</v>
      </c>
      <c r="K9" s="41">
        <v>35</v>
      </c>
      <c r="L9" s="41">
        <v>35</v>
      </c>
    </row>
    <row r="10" spans="1:12">
      <c r="D10" s="39">
        <v>46086</v>
      </c>
      <c r="E10" s="19">
        <v>1582246</v>
      </c>
      <c r="F10" s="19" t="s">
        <v>28</v>
      </c>
      <c r="G10" s="40">
        <v>20007525</v>
      </c>
      <c r="H10" s="19" t="s">
        <v>86</v>
      </c>
      <c r="I10" s="40">
        <v>1</v>
      </c>
      <c r="J10" s="40">
        <v>1</v>
      </c>
      <c r="K10" s="41">
        <v>35</v>
      </c>
      <c r="L10" s="41">
        <v>35</v>
      </c>
    </row>
    <row r="11" spans="1:12">
      <c r="D11" s="39">
        <v>46086</v>
      </c>
      <c r="E11" s="19">
        <v>1582246</v>
      </c>
      <c r="F11" s="19" t="s">
        <v>28</v>
      </c>
      <c r="G11" s="40">
        <v>20363523</v>
      </c>
      <c r="H11" s="19" t="s">
        <v>87</v>
      </c>
      <c r="I11" s="40">
        <v>2</v>
      </c>
      <c r="J11" s="40">
        <v>2</v>
      </c>
      <c r="K11" s="41">
        <v>22</v>
      </c>
      <c r="L11" s="41">
        <v>44</v>
      </c>
    </row>
    <row r="12" spans="1:12">
      <c r="D12" s="39">
        <v>46087</v>
      </c>
      <c r="E12" s="19">
        <v>1582611</v>
      </c>
      <c r="F12" s="19" t="s">
        <v>28</v>
      </c>
      <c r="G12" s="40">
        <v>20007525</v>
      </c>
      <c r="H12" s="19" t="s">
        <v>86</v>
      </c>
      <c r="I12" s="40">
        <v>1</v>
      </c>
      <c r="J12" s="40">
        <v>1</v>
      </c>
      <c r="K12" s="41">
        <v>35</v>
      </c>
      <c r="L12" s="41">
        <v>35</v>
      </c>
    </row>
    <row r="13" spans="1:12">
      <c r="D13" s="39">
        <v>46088</v>
      </c>
      <c r="E13" s="19">
        <v>1582971</v>
      </c>
      <c r="F13" s="19" t="s">
        <v>28</v>
      </c>
      <c r="G13" s="40">
        <v>20410644</v>
      </c>
      <c r="H13" s="19" t="s">
        <v>88</v>
      </c>
      <c r="I13" s="40">
        <v>1</v>
      </c>
      <c r="J13" s="40">
        <v>3</v>
      </c>
      <c r="K13" s="41">
        <v>66</v>
      </c>
      <c r="L13" s="41">
        <v>66</v>
      </c>
    </row>
    <row r="14" spans="1:12">
      <c r="D14" s="39">
        <v>46088</v>
      </c>
      <c r="E14" s="19">
        <v>1582971</v>
      </c>
      <c r="F14" s="19" t="s">
        <v>28</v>
      </c>
      <c r="G14" s="40">
        <v>20009682</v>
      </c>
      <c r="H14" s="19" t="s">
        <v>89</v>
      </c>
      <c r="I14" s="40">
        <v>2</v>
      </c>
      <c r="J14" s="40">
        <v>6</v>
      </c>
      <c r="K14" s="41">
        <v>66</v>
      </c>
      <c r="L14" s="41">
        <v>132</v>
      </c>
    </row>
    <row r="15" spans="1:12">
      <c r="D15" s="39">
        <v>46088</v>
      </c>
      <c r="E15" s="19">
        <v>1582971</v>
      </c>
      <c r="F15" s="19" t="s">
        <v>28</v>
      </c>
      <c r="G15" s="40">
        <v>20011833</v>
      </c>
      <c r="H15" s="19" t="s">
        <v>90</v>
      </c>
      <c r="I15" s="40">
        <v>2</v>
      </c>
      <c r="J15" s="40">
        <v>2</v>
      </c>
      <c r="K15" s="41">
        <v>28</v>
      </c>
      <c r="L15" s="41">
        <v>56</v>
      </c>
    </row>
    <row r="16" spans="1:12">
      <c r="D16" s="39">
        <v>46088</v>
      </c>
      <c r="E16" s="19">
        <v>1582971</v>
      </c>
      <c r="F16" s="19" t="s">
        <v>30</v>
      </c>
      <c r="G16" s="40">
        <v>20324941</v>
      </c>
      <c r="H16" s="19" t="s">
        <v>91</v>
      </c>
      <c r="I16" s="40">
        <v>1</v>
      </c>
      <c r="J16" s="40">
        <v>1</v>
      </c>
      <c r="K16" s="41">
        <v>28</v>
      </c>
      <c r="L16" s="41">
        <v>28</v>
      </c>
    </row>
    <row r="17" spans="4:12">
      <c r="D17" s="39">
        <v>46088</v>
      </c>
      <c r="E17" s="19">
        <v>1582971</v>
      </c>
      <c r="F17" s="19" t="s">
        <v>30</v>
      </c>
      <c r="G17" s="40">
        <v>20007576</v>
      </c>
      <c r="H17" s="19" t="s">
        <v>92</v>
      </c>
      <c r="I17" s="40">
        <v>1</v>
      </c>
      <c r="J17" s="40">
        <v>2</v>
      </c>
      <c r="K17" s="41">
        <v>44</v>
      </c>
      <c r="L17" s="41">
        <v>44</v>
      </c>
    </row>
    <row r="18" spans="4:12">
      <c r="D18" s="39">
        <v>46092</v>
      </c>
      <c r="E18" s="19">
        <v>1584810</v>
      </c>
      <c r="F18" s="19" t="s">
        <v>14</v>
      </c>
      <c r="G18" s="40">
        <v>20007417</v>
      </c>
      <c r="H18" s="19" t="s">
        <v>23</v>
      </c>
      <c r="I18" s="40">
        <v>1</v>
      </c>
      <c r="J18" s="40">
        <v>1</v>
      </c>
      <c r="K18" s="41">
        <v>8</v>
      </c>
      <c r="L18" s="41">
        <v>8</v>
      </c>
    </row>
    <row r="19" spans="4:12">
      <c r="D19" s="39">
        <v>46092</v>
      </c>
      <c r="E19" s="19">
        <v>1584839</v>
      </c>
      <c r="F19" s="19" t="s">
        <v>28</v>
      </c>
      <c r="G19" s="40">
        <v>20009682</v>
      </c>
      <c r="H19" s="19" t="s">
        <v>89</v>
      </c>
      <c r="I19" s="40">
        <v>1</v>
      </c>
      <c r="J19" s="40">
        <v>3</v>
      </c>
      <c r="K19" s="41">
        <v>66</v>
      </c>
      <c r="L19" s="41">
        <v>66</v>
      </c>
    </row>
    <row r="20" spans="4:12">
      <c r="D20" s="39">
        <v>46092</v>
      </c>
      <c r="E20" s="19">
        <v>1584839</v>
      </c>
      <c r="F20" s="19" t="s">
        <v>28</v>
      </c>
      <c r="G20" s="40">
        <v>20007525</v>
      </c>
      <c r="H20" s="19" t="s">
        <v>86</v>
      </c>
      <c r="I20" s="40">
        <v>2</v>
      </c>
      <c r="J20" s="40">
        <v>2</v>
      </c>
      <c r="K20" s="41">
        <v>35</v>
      </c>
      <c r="L20" s="41">
        <v>70</v>
      </c>
    </row>
    <row r="21" spans="4:12">
      <c r="D21" s="39">
        <v>46092</v>
      </c>
      <c r="E21" s="19">
        <v>1584839</v>
      </c>
      <c r="F21" s="19" t="s">
        <v>28</v>
      </c>
      <c r="G21" s="40">
        <v>20011833</v>
      </c>
      <c r="H21" s="19" t="s">
        <v>90</v>
      </c>
      <c r="I21" s="40">
        <v>3</v>
      </c>
      <c r="J21" s="40">
        <v>3</v>
      </c>
      <c r="K21" s="41">
        <v>28</v>
      </c>
      <c r="L21" s="41">
        <v>84</v>
      </c>
    </row>
    <row r="22" spans="4:12">
      <c r="D22" s="39">
        <v>46092</v>
      </c>
      <c r="E22" s="19">
        <v>1584839</v>
      </c>
      <c r="F22" s="19" t="s">
        <v>30</v>
      </c>
      <c r="G22" s="40">
        <v>20324941</v>
      </c>
      <c r="H22" s="19" t="s">
        <v>91</v>
      </c>
      <c r="I22" s="40">
        <v>1</v>
      </c>
      <c r="J22" s="40">
        <v>1</v>
      </c>
      <c r="K22" s="41">
        <v>28</v>
      </c>
      <c r="L22" s="41">
        <v>28</v>
      </c>
    </row>
    <row r="23" spans="4:12">
      <c r="D23" s="39">
        <v>46093</v>
      </c>
      <c r="E23" s="19">
        <v>1585215</v>
      </c>
      <c r="F23" s="19" t="s">
        <v>28</v>
      </c>
      <c r="G23" s="40">
        <v>20008719</v>
      </c>
      <c r="H23" s="19" t="s">
        <v>93</v>
      </c>
      <c r="I23" s="40">
        <v>1</v>
      </c>
      <c r="J23" s="40">
        <v>4</v>
      </c>
      <c r="K23" s="41">
        <v>88</v>
      </c>
      <c r="L23" s="41">
        <v>88</v>
      </c>
    </row>
    <row r="24" spans="4:12">
      <c r="D24" s="39">
        <v>46093</v>
      </c>
      <c r="E24" s="19">
        <v>1585215</v>
      </c>
      <c r="F24" s="19" t="s">
        <v>28</v>
      </c>
      <c r="G24" s="40">
        <v>20008861</v>
      </c>
      <c r="H24" s="19" t="s">
        <v>85</v>
      </c>
      <c r="I24" s="40">
        <v>3</v>
      </c>
      <c r="J24" s="40">
        <v>3</v>
      </c>
      <c r="K24" s="41">
        <v>35</v>
      </c>
      <c r="L24" s="41">
        <v>105</v>
      </c>
    </row>
    <row r="25" spans="4:12">
      <c r="D25" s="39">
        <v>46093</v>
      </c>
      <c r="E25" s="19">
        <v>1585215</v>
      </c>
      <c r="F25" s="19" t="s">
        <v>28</v>
      </c>
      <c r="G25" s="40">
        <v>20007465</v>
      </c>
      <c r="H25" s="19" t="s">
        <v>29</v>
      </c>
      <c r="I25" s="40">
        <v>1</v>
      </c>
      <c r="J25" s="40">
        <v>1</v>
      </c>
      <c r="K25" s="41">
        <v>35</v>
      </c>
      <c r="L25" s="41">
        <v>35</v>
      </c>
    </row>
    <row r="26" spans="4:12">
      <c r="D26" s="39">
        <v>46093</v>
      </c>
      <c r="E26" s="19">
        <v>1585215</v>
      </c>
      <c r="F26" s="19" t="s">
        <v>28</v>
      </c>
      <c r="G26" s="40">
        <v>20363523</v>
      </c>
      <c r="H26" s="19" t="s">
        <v>87</v>
      </c>
      <c r="I26" s="40">
        <v>2</v>
      </c>
      <c r="J26" s="40">
        <v>2</v>
      </c>
      <c r="K26" s="41">
        <v>22</v>
      </c>
      <c r="L26" s="41">
        <v>44</v>
      </c>
    </row>
    <row r="27" spans="4:12">
      <c r="D27" s="39">
        <v>46093</v>
      </c>
      <c r="E27" s="19">
        <v>1585215</v>
      </c>
      <c r="F27" s="19" t="s">
        <v>28</v>
      </c>
      <c r="G27" s="40">
        <v>20011833</v>
      </c>
      <c r="H27" s="19" t="s">
        <v>90</v>
      </c>
      <c r="I27" s="40">
        <v>2</v>
      </c>
      <c r="J27" s="40">
        <v>2</v>
      </c>
      <c r="K27" s="41">
        <v>28</v>
      </c>
      <c r="L27" s="41">
        <v>56</v>
      </c>
    </row>
    <row r="28" spans="4:12">
      <c r="D28" s="39">
        <v>46099</v>
      </c>
      <c r="E28" s="19">
        <v>1586888</v>
      </c>
      <c r="F28" s="19" t="s">
        <v>14</v>
      </c>
      <c r="G28" s="40">
        <v>20417519</v>
      </c>
      <c r="H28" s="19" t="s">
        <v>94</v>
      </c>
      <c r="I28" s="40">
        <v>1</v>
      </c>
      <c r="J28" s="40">
        <v>3</v>
      </c>
      <c r="K28" s="41">
        <v>22</v>
      </c>
      <c r="L28" s="41">
        <v>22</v>
      </c>
    </row>
    <row r="29" spans="4:12">
      <c r="D29" s="39">
        <v>46099</v>
      </c>
      <c r="E29" s="19">
        <v>1586888</v>
      </c>
      <c r="F29" s="19" t="s">
        <v>14</v>
      </c>
      <c r="G29" s="40">
        <v>20008591</v>
      </c>
      <c r="H29" s="19" t="s">
        <v>65</v>
      </c>
      <c r="I29" s="40">
        <v>1</v>
      </c>
      <c r="J29" s="40">
        <v>1</v>
      </c>
      <c r="K29" s="41">
        <v>8</v>
      </c>
      <c r="L29" s="41">
        <v>8</v>
      </c>
    </row>
    <row r="30" spans="4:12">
      <c r="D30" s="39">
        <v>46099</v>
      </c>
      <c r="E30" s="19">
        <v>1586905</v>
      </c>
      <c r="F30" s="19" t="s">
        <v>28</v>
      </c>
      <c r="G30" s="40">
        <v>20009682</v>
      </c>
      <c r="H30" s="19" t="s">
        <v>89</v>
      </c>
      <c r="I30" s="40">
        <v>2</v>
      </c>
      <c r="J30" s="40">
        <v>6</v>
      </c>
      <c r="K30" s="41">
        <v>66</v>
      </c>
      <c r="L30" s="41">
        <v>132</v>
      </c>
    </row>
    <row r="31" spans="4:12">
      <c r="D31" s="39">
        <v>46099</v>
      </c>
      <c r="E31" s="19">
        <v>1586905</v>
      </c>
      <c r="F31" s="19" t="s">
        <v>28</v>
      </c>
      <c r="G31" s="40">
        <v>20008719</v>
      </c>
      <c r="H31" s="19" t="s">
        <v>93</v>
      </c>
      <c r="I31" s="40">
        <v>1</v>
      </c>
      <c r="J31" s="40">
        <v>4</v>
      </c>
      <c r="K31" s="41">
        <v>88</v>
      </c>
      <c r="L31" s="41">
        <v>88</v>
      </c>
    </row>
    <row r="32" spans="4:12">
      <c r="D32" s="39">
        <v>46099</v>
      </c>
      <c r="E32" s="19">
        <v>1586905</v>
      </c>
      <c r="F32" s="19" t="s">
        <v>28</v>
      </c>
      <c r="G32" s="40">
        <v>20008861</v>
      </c>
      <c r="H32" s="19" t="s">
        <v>85</v>
      </c>
      <c r="I32" s="40">
        <v>2</v>
      </c>
      <c r="J32" s="40">
        <v>2</v>
      </c>
      <c r="K32" s="41">
        <v>35</v>
      </c>
      <c r="L32" s="41">
        <v>70</v>
      </c>
    </row>
    <row r="33" spans="4:12">
      <c r="D33" s="39">
        <v>46099</v>
      </c>
      <c r="E33" s="19">
        <v>1586905</v>
      </c>
      <c r="F33" s="19" t="s">
        <v>28</v>
      </c>
      <c r="G33" s="40">
        <v>20363523</v>
      </c>
      <c r="H33" s="19" t="s">
        <v>87</v>
      </c>
      <c r="I33" s="40">
        <v>3</v>
      </c>
      <c r="J33" s="40">
        <v>3</v>
      </c>
      <c r="K33" s="41">
        <v>22</v>
      </c>
      <c r="L33" s="41">
        <v>66</v>
      </c>
    </row>
    <row r="34" spans="4:12">
      <c r="D34" s="39">
        <v>46099</v>
      </c>
      <c r="E34" s="19">
        <v>1586905</v>
      </c>
      <c r="F34" s="19" t="s">
        <v>28</v>
      </c>
      <c r="G34" s="40">
        <v>20011833</v>
      </c>
      <c r="H34" s="19" t="s">
        <v>90</v>
      </c>
      <c r="I34" s="40">
        <v>1</v>
      </c>
      <c r="J34" s="40">
        <v>1</v>
      </c>
      <c r="K34" s="41">
        <v>28</v>
      </c>
      <c r="L34" s="41">
        <v>28</v>
      </c>
    </row>
    <row r="35" spans="4:12">
      <c r="D35" s="39">
        <v>46099</v>
      </c>
      <c r="E35" s="19">
        <v>1586905</v>
      </c>
      <c r="F35" s="19" t="s">
        <v>30</v>
      </c>
      <c r="G35" s="40">
        <v>20324941</v>
      </c>
      <c r="H35" s="19" t="s">
        <v>91</v>
      </c>
      <c r="I35" s="40">
        <v>1</v>
      </c>
      <c r="J35" s="40">
        <v>1</v>
      </c>
      <c r="K35" s="41">
        <v>28</v>
      </c>
      <c r="L35" s="41">
        <v>28</v>
      </c>
    </row>
    <row r="36" spans="4:12">
      <c r="D36" s="39">
        <v>46099</v>
      </c>
      <c r="E36" s="19">
        <v>1586905</v>
      </c>
      <c r="F36" s="19" t="s">
        <v>30</v>
      </c>
      <c r="G36" s="40">
        <v>20007576</v>
      </c>
      <c r="H36" s="19" t="s">
        <v>92</v>
      </c>
      <c r="I36" s="40">
        <v>1</v>
      </c>
      <c r="J36" s="40">
        <v>2</v>
      </c>
      <c r="K36" s="41">
        <v>44</v>
      </c>
      <c r="L36" s="41">
        <v>44</v>
      </c>
    </row>
    <row r="37" spans="4:12">
      <c r="D37" s="39">
        <v>46099</v>
      </c>
      <c r="E37" s="19">
        <v>1586905</v>
      </c>
      <c r="F37" s="19" t="s">
        <v>30</v>
      </c>
      <c r="G37" s="40">
        <v>20388768</v>
      </c>
      <c r="H37" s="19" t="s">
        <v>95</v>
      </c>
      <c r="I37" s="40">
        <v>1</v>
      </c>
      <c r="J37" s="40">
        <v>1</v>
      </c>
      <c r="K37" s="41">
        <v>300</v>
      </c>
      <c r="L37" s="41">
        <v>300</v>
      </c>
    </row>
    <row r="38" spans="4:12">
      <c r="D38" s="39">
        <v>46100</v>
      </c>
      <c r="E38" s="19">
        <v>1587264</v>
      </c>
      <c r="F38" s="19" t="s">
        <v>28</v>
      </c>
      <c r="G38" s="40">
        <v>20009682</v>
      </c>
      <c r="H38" s="19" t="s">
        <v>89</v>
      </c>
      <c r="I38" s="40">
        <v>1</v>
      </c>
      <c r="J38" s="40">
        <v>3</v>
      </c>
      <c r="K38" s="41">
        <v>66</v>
      </c>
      <c r="L38" s="41">
        <v>66</v>
      </c>
    </row>
    <row r="39" spans="4:12">
      <c r="D39" s="39">
        <v>46100</v>
      </c>
      <c r="E39" s="19">
        <v>1587264</v>
      </c>
      <c r="F39" s="19" t="s">
        <v>30</v>
      </c>
      <c r="G39" s="40">
        <v>20324941</v>
      </c>
      <c r="H39" s="19" t="s">
        <v>91</v>
      </c>
      <c r="I39" s="40">
        <v>1</v>
      </c>
      <c r="J39" s="40">
        <v>1</v>
      </c>
      <c r="K39" s="41">
        <v>28</v>
      </c>
      <c r="L39" s="41">
        <v>28</v>
      </c>
    </row>
    <row r="40" spans="4:12">
      <c r="D40" s="39">
        <v>46100</v>
      </c>
      <c r="E40" s="19">
        <v>1587611</v>
      </c>
      <c r="F40" s="19" t="s">
        <v>14</v>
      </c>
      <c r="G40" s="40">
        <v>20007417</v>
      </c>
      <c r="H40" s="19" t="s">
        <v>23</v>
      </c>
      <c r="I40" s="40">
        <v>1</v>
      </c>
      <c r="J40" s="40">
        <v>1</v>
      </c>
      <c r="K40" s="41">
        <v>8</v>
      </c>
      <c r="L40" s="41">
        <v>8</v>
      </c>
    </row>
    <row r="41" spans="4:12">
      <c r="D41" s="39">
        <v>46101</v>
      </c>
      <c r="E41" s="19">
        <v>1587664</v>
      </c>
      <c r="F41" s="19" t="s">
        <v>28</v>
      </c>
      <c r="G41" s="40">
        <v>20008861</v>
      </c>
      <c r="H41" s="19" t="s">
        <v>85</v>
      </c>
      <c r="I41" s="40">
        <v>1</v>
      </c>
      <c r="J41" s="40">
        <v>1</v>
      </c>
      <c r="K41" s="41">
        <v>35</v>
      </c>
      <c r="L41" s="41">
        <v>35</v>
      </c>
    </row>
    <row r="42" spans="4:12">
      <c r="D42" s="39">
        <v>46101</v>
      </c>
      <c r="E42" s="19">
        <v>1587664</v>
      </c>
      <c r="F42" s="19" t="s">
        <v>28</v>
      </c>
      <c r="G42" s="40">
        <v>20011833</v>
      </c>
      <c r="H42" s="19" t="s">
        <v>90</v>
      </c>
      <c r="I42" s="40">
        <v>1</v>
      </c>
      <c r="J42" s="40">
        <v>1</v>
      </c>
      <c r="K42" s="41">
        <v>28</v>
      </c>
      <c r="L42" s="41">
        <v>28</v>
      </c>
    </row>
    <row r="43" spans="4:12">
      <c r="D43" s="39">
        <v>46105</v>
      </c>
      <c r="E43" s="19">
        <v>1588548</v>
      </c>
      <c r="F43" s="19" t="s">
        <v>28</v>
      </c>
      <c r="G43" s="40">
        <v>20008456</v>
      </c>
      <c r="H43" s="19" t="s">
        <v>96</v>
      </c>
      <c r="I43" s="40">
        <v>1</v>
      </c>
      <c r="J43" s="40">
        <v>1</v>
      </c>
      <c r="K43" s="41">
        <v>28</v>
      </c>
      <c r="L43" s="41">
        <v>28</v>
      </c>
    </row>
    <row r="44" spans="4:12">
      <c r="D44" s="39">
        <v>46105</v>
      </c>
      <c r="E44" s="19">
        <v>1588548</v>
      </c>
      <c r="F44" s="19" t="s">
        <v>28</v>
      </c>
      <c r="G44" s="40">
        <v>20011049</v>
      </c>
      <c r="H44" s="19" t="s">
        <v>97</v>
      </c>
      <c r="I44" s="40">
        <v>1</v>
      </c>
      <c r="J44" s="40">
        <v>1</v>
      </c>
      <c r="K44" s="41">
        <v>22</v>
      </c>
      <c r="L44" s="41">
        <v>22</v>
      </c>
    </row>
    <row r="45" spans="4:12">
      <c r="D45" s="39">
        <v>46105</v>
      </c>
      <c r="E45" s="19">
        <v>1588548</v>
      </c>
      <c r="F45" s="19" t="s">
        <v>28</v>
      </c>
      <c r="G45" s="40">
        <v>20009682</v>
      </c>
      <c r="H45" s="19" t="s">
        <v>89</v>
      </c>
      <c r="I45" s="40">
        <v>1</v>
      </c>
      <c r="J45" s="40">
        <v>3</v>
      </c>
      <c r="K45" s="41">
        <v>66</v>
      </c>
      <c r="L45" s="41">
        <v>66</v>
      </c>
    </row>
    <row r="46" spans="4:12">
      <c r="D46" s="39">
        <v>46105</v>
      </c>
      <c r="E46" s="19">
        <v>1588548</v>
      </c>
      <c r="F46" s="19" t="s">
        <v>28</v>
      </c>
      <c r="G46" s="40">
        <v>20008719</v>
      </c>
      <c r="H46" s="19" t="s">
        <v>93</v>
      </c>
      <c r="I46" s="40">
        <v>1</v>
      </c>
      <c r="J46" s="40">
        <v>4</v>
      </c>
      <c r="K46" s="41">
        <v>88</v>
      </c>
      <c r="L46" s="41">
        <v>88</v>
      </c>
    </row>
    <row r="47" spans="4:12">
      <c r="D47" s="39">
        <v>46105</v>
      </c>
      <c r="E47" s="19">
        <v>1588548</v>
      </c>
      <c r="F47" s="19" t="s">
        <v>28</v>
      </c>
      <c r="G47" s="40">
        <v>20008861</v>
      </c>
      <c r="H47" s="19" t="s">
        <v>85</v>
      </c>
      <c r="I47" s="40">
        <v>2</v>
      </c>
      <c r="J47" s="40">
        <v>2</v>
      </c>
      <c r="K47" s="41">
        <v>35</v>
      </c>
      <c r="L47" s="41">
        <v>70</v>
      </c>
    </row>
    <row r="48" spans="4:12">
      <c r="D48" s="39">
        <v>46105</v>
      </c>
      <c r="E48" s="19">
        <v>1588548</v>
      </c>
      <c r="F48" s="19" t="s">
        <v>28</v>
      </c>
      <c r="G48" s="40">
        <v>20007465</v>
      </c>
      <c r="H48" s="19" t="s">
        <v>29</v>
      </c>
      <c r="I48" s="40">
        <v>1</v>
      </c>
      <c r="J48" s="40">
        <v>1</v>
      </c>
      <c r="K48" s="41">
        <v>35</v>
      </c>
      <c r="L48" s="41">
        <v>35</v>
      </c>
    </row>
    <row r="49" spans="4:12">
      <c r="D49" s="39">
        <v>46105</v>
      </c>
      <c r="E49" s="19">
        <v>1588548</v>
      </c>
      <c r="F49" s="19" t="s">
        <v>28</v>
      </c>
      <c r="G49" s="40">
        <v>20363523</v>
      </c>
      <c r="H49" s="19" t="s">
        <v>87</v>
      </c>
      <c r="I49" s="40">
        <v>1</v>
      </c>
      <c r="J49" s="40">
        <v>1</v>
      </c>
      <c r="K49" s="41">
        <v>22</v>
      </c>
      <c r="L49" s="41">
        <v>22</v>
      </c>
    </row>
    <row r="50" spans="4:12">
      <c r="D50" s="39">
        <v>46105</v>
      </c>
      <c r="E50" s="19">
        <v>1588548</v>
      </c>
      <c r="F50" s="19" t="s">
        <v>28</v>
      </c>
      <c r="G50" s="40">
        <v>20011833</v>
      </c>
      <c r="H50" s="19" t="s">
        <v>90</v>
      </c>
      <c r="I50" s="40">
        <v>4</v>
      </c>
      <c r="J50" s="40">
        <v>4</v>
      </c>
      <c r="K50" s="41">
        <v>28</v>
      </c>
      <c r="L50" s="41">
        <v>112</v>
      </c>
    </row>
    <row r="51" spans="4:12">
      <c r="D51" s="39">
        <v>46105</v>
      </c>
      <c r="E51" s="19">
        <v>1588548</v>
      </c>
      <c r="F51" s="19" t="s">
        <v>30</v>
      </c>
      <c r="G51" s="40">
        <v>20324941</v>
      </c>
      <c r="H51" s="19" t="s">
        <v>91</v>
      </c>
      <c r="I51" s="40">
        <v>2</v>
      </c>
      <c r="J51" s="40">
        <v>2</v>
      </c>
      <c r="K51" s="41">
        <v>28</v>
      </c>
      <c r="L51" s="41">
        <v>56</v>
      </c>
    </row>
    <row r="52" spans="4:12">
      <c r="D52" s="39">
        <v>46108</v>
      </c>
      <c r="E52" s="19">
        <v>1589557</v>
      </c>
      <c r="F52" s="19" t="s">
        <v>14</v>
      </c>
      <c r="G52" s="40">
        <v>20008855</v>
      </c>
      <c r="H52" s="19" t="s">
        <v>98</v>
      </c>
      <c r="I52" s="40">
        <v>1</v>
      </c>
      <c r="J52" s="40">
        <v>4</v>
      </c>
      <c r="K52" s="41">
        <v>22</v>
      </c>
      <c r="L52" s="41">
        <v>22</v>
      </c>
    </row>
    <row r="53" spans="4:12">
      <c r="D53" s="39">
        <v>46108</v>
      </c>
      <c r="E53" s="19">
        <v>1589633</v>
      </c>
      <c r="F53" s="19" t="s">
        <v>28</v>
      </c>
      <c r="G53" s="40">
        <v>20009682</v>
      </c>
      <c r="H53" s="19" t="s">
        <v>89</v>
      </c>
      <c r="I53" s="40">
        <v>2</v>
      </c>
      <c r="J53" s="40">
        <v>6</v>
      </c>
      <c r="K53" s="41">
        <v>66</v>
      </c>
      <c r="L53" s="41">
        <v>132</v>
      </c>
    </row>
    <row r="54" spans="4:12">
      <c r="D54" s="39">
        <v>46108</v>
      </c>
      <c r="E54" s="19">
        <v>1589633</v>
      </c>
      <c r="F54" s="19" t="s">
        <v>28</v>
      </c>
      <c r="G54" s="40">
        <v>20011833</v>
      </c>
      <c r="H54" s="19" t="s">
        <v>90</v>
      </c>
      <c r="I54" s="40">
        <v>3</v>
      </c>
      <c r="J54" s="40">
        <v>3</v>
      </c>
      <c r="K54" s="41">
        <v>28</v>
      </c>
      <c r="L54" s="41">
        <v>84</v>
      </c>
    </row>
    <row r="55" spans="4:12">
      <c r="D55" s="39">
        <v>46108</v>
      </c>
      <c r="E55" s="19">
        <v>1589633</v>
      </c>
      <c r="F55" s="19" t="s">
        <v>30</v>
      </c>
      <c r="G55" s="40">
        <v>20324941</v>
      </c>
      <c r="H55" s="19" t="s">
        <v>91</v>
      </c>
      <c r="I55" s="40">
        <v>1</v>
      </c>
      <c r="J55" s="40">
        <v>1</v>
      </c>
      <c r="K55" s="41">
        <v>28</v>
      </c>
      <c r="L55" s="41">
        <v>28</v>
      </c>
    </row>
    <row r="56" spans="4:12">
      <c r="D56" s="39">
        <v>46108</v>
      </c>
      <c r="E56" s="19">
        <v>1589633</v>
      </c>
      <c r="F56" s="19" t="s">
        <v>30</v>
      </c>
      <c r="G56" s="40">
        <v>20007576</v>
      </c>
      <c r="H56" s="19" t="s">
        <v>92</v>
      </c>
      <c r="I56" s="40">
        <v>1</v>
      </c>
      <c r="J56" s="40">
        <v>2</v>
      </c>
      <c r="K56" s="41">
        <v>44</v>
      </c>
      <c r="L56" s="41">
        <v>44</v>
      </c>
    </row>
    <row r="57" spans="4:12">
      <c r="D57" s="39">
        <v>46109</v>
      </c>
      <c r="E57" s="19">
        <v>1590042</v>
      </c>
      <c r="F57" s="19" t="s">
        <v>30</v>
      </c>
      <c r="G57" s="40">
        <v>20324941</v>
      </c>
      <c r="H57" s="19" t="s">
        <v>91</v>
      </c>
      <c r="I57" s="40">
        <v>1</v>
      </c>
      <c r="J57" s="40">
        <v>1</v>
      </c>
      <c r="K57" s="41">
        <v>28</v>
      </c>
      <c r="L57" s="41">
        <v>28</v>
      </c>
    </row>
    <row r="58" spans="4:12">
      <c r="D58" s="39">
        <v>46111</v>
      </c>
      <c r="E58" s="19">
        <v>1590487</v>
      </c>
      <c r="F58" s="19" t="s">
        <v>14</v>
      </c>
      <c r="G58" s="40">
        <v>20007417</v>
      </c>
      <c r="H58" s="19" t="s">
        <v>23</v>
      </c>
      <c r="I58" s="40">
        <v>1</v>
      </c>
      <c r="J58" s="40">
        <v>1</v>
      </c>
      <c r="K58" s="41">
        <v>8</v>
      </c>
      <c r="L58" s="41">
        <v>8</v>
      </c>
    </row>
    <row r="59" spans="4:12">
      <c r="D59" s="39">
        <v>46112</v>
      </c>
      <c r="E59" s="19">
        <v>1590564</v>
      </c>
      <c r="F59" s="19" t="s">
        <v>28</v>
      </c>
      <c r="G59" s="40">
        <v>20009682</v>
      </c>
      <c r="H59" s="19" t="s">
        <v>89</v>
      </c>
      <c r="I59" s="40">
        <v>1</v>
      </c>
      <c r="J59" s="40">
        <v>3</v>
      </c>
      <c r="K59" s="41">
        <v>66</v>
      </c>
      <c r="L59" s="41">
        <v>66</v>
      </c>
    </row>
    <row r="60" spans="4:12">
      <c r="D60" s="39">
        <v>46112</v>
      </c>
      <c r="E60" s="19">
        <v>1590564</v>
      </c>
      <c r="F60" s="19" t="s">
        <v>30</v>
      </c>
      <c r="G60" s="40">
        <v>20324941</v>
      </c>
      <c r="H60" s="19" t="s">
        <v>91</v>
      </c>
      <c r="I60" s="40">
        <v>1</v>
      </c>
      <c r="J60" s="40">
        <v>1</v>
      </c>
      <c r="K60" s="41">
        <v>28</v>
      </c>
      <c r="L60" s="41">
        <v>28</v>
      </c>
    </row>
  </sheetData>
  <mergeCells count="5">
    <mergeCell ref="D8:H8"/>
    <mergeCell ref="C7:C60"/>
    <mergeCell ref="B4:H5"/>
    <mergeCell ref="A7:B60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11" sqref="O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99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78</v>
      </c>
      <c r="J8" s="37">
        <v>78</v>
      </c>
      <c r="K8" s="38"/>
      <c r="L8" s="38">
        <v>634</v>
      </c>
    </row>
    <row r="9" spans="1:12">
      <c r="D9" s="39">
        <v>46083</v>
      </c>
      <c r="E9" s="19">
        <v>1581598</v>
      </c>
      <c r="F9" s="19" t="s">
        <v>14</v>
      </c>
      <c r="G9" s="40">
        <v>20009729</v>
      </c>
      <c r="H9" s="19" t="s">
        <v>100</v>
      </c>
      <c r="I9" s="40">
        <v>4</v>
      </c>
      <c r="J9" s="40">
        <v>4</v>
      </c>
      <c r="K9" s="41">
        <v>8</v>
      </c>
      <c r="L9" s="41">
        <v>32</v>
      </c>
    </row>
    <row r="10" spans="1:12">
      <c r="D10" s="39">
        <v>46084</v>
      </c>
      <c r="E10" s="19">
        <v>1581887</v>
      </c>
      <c r="F10" s="19" t="s">
        <v>14</v>
      </c>
      <c r="G10" s="40">
        <v>20009729</v>
      </c>
      <c r="H10" s="19" t="s">
        <v>100</v>
      </c>
      <c r="I10" s="40">
        <v>5</v>
      </c>
      <c r="J10" s="40">
        <v>5</v>
      </c>
      <c r="K10" s="41">
        <v>8</v>
      </c>
      <c r="L10" s="41">
        <v>40</v>
      </c>
    </row>
    <row r="11" spans="1:12">
      <c r="D11" s="39">
        <v>46085</v>
      </c>
      <c r="E11" s="19">
        <v>1582158</v>
      </c>
      <c r="F11" s="19" t="s">
        <v>14</v>
      </c>
      <c r="G11" s="40">
        <v>20009729</v>
      </c>
      <c r="H11" s="19" t="s">
        <v>100</v>
      </c>
      <c r="I11" s="40">
        <v>5</v>
      </c>
      <c r="J11" s="40">
        <v>5</v>
      </c>
      <c r="K11" s="41">
        <v>8</v>
      </c>
      <c r="L11" s="41">
        <v>40</v>
      </c>
    </row>
    <row r="12" spans="1:12">
      <c r="D12" s="39">
        <v>46087</v>
      </c>
      <c r="E12" s="19">
        <v>1582580</v>
      </c>
      <c r="F12" s="19" t="s">
        <v>14</v>
      </c>
      <c r="G12" s="40">
        <v>20379167</v>
      </c>
      <c r="H12" s="19" t="s">
        <v>101</v>
      </c>
      <c r="I12" s="40">
        <v>1</v>
      </c>
      <c r="J12" s="40">
        <v>1</v>
      </c>
      <c r="K12" s="41">
        <v>13</v>
      </c>
      <c r="L12" s="41">
        <v>13</v>
      </c>
    </row>
    <row r="13" spans="1:12">
      <c r="D13" s="39">
        <v>46087</v>
      </c>
      <c r="E13" s="19">
        <v>1582580</v>
      </c>
      <c r="F13" s="19" t="s">
        <v>14</v>
      </c>
      <c r="G13" s="40">
        <v>20009730</v>
      </c>
      <c r="H13" s="19" t="s">
        <v>102</v>
      </c>
      <c r="I13" s="40">
        <v>2</v>
      </c>
      <c r="J13" s="40">
        <v>2</v>
      </c>
      <c r="K13" s="41">
        <v>8</v>
      </c>
      <c r="L13" s="41">
        <v>16</v>
      </c>
    </row>
    <row r="14" spans="1:12">
      <c r="D14" s="39">
        <v>46087</v>
      </c>
      <c r="E14" s="19">
        <v>1582580</v>
      </c>
      <c r="F14" s="19" t="s">
        <v>14</v>
      </c>
      <c r="G14" s="40">
        <v>20009729</v>
      </c>
      <c r="H14" s="19" t="s">
        <v>100</v>
      </c>
      <c r="I14" s="40">
        <v>4</v>
      </c>
      <c r="J14" s="40">
        <v>4</v>
      </c>
      <c r="K14" s="41">
        <v>8</v>
      </c>
      <c r="L14" s="41">
        <v>32</v>
      </c>
    </row>
    <row r="15" spans="1:12">
      <c r="D15" s="39">
        <v>46088</v>
      </c>
      <c r="E15" s="19">
        <v>1582930</v>
      </c>
      <c r="F15" s="19" t="s">
        <v>14</v>
      </c>
      <c r="G15" s="40">
        <v>20009729</v>
      </c>
      <c r="H15" s="19" t="s">
        <v>100</v>
      </c>
      <c r="I15" s="40">
        <v>3</v>
      </c>
      <c r="J15" s="40">
        <v>3</v>
      </c>
      <c r="K15" s="41">
        <v>8</v>
      </c>
      <c r="L15" s="41">
        <v>24</v>
      </c>
    </row>
    <row r="16" spans="1:12">
      <c r="D16" s="39">
        <v>46091</v>
      </c>
      <c r="E16" s="19">
        <v>1583433</v>
      </c>
      <c r="F16" s="19" t="s">
        <v>14</v>
      </c>
      <c r="G16" s="40">
        <v>20007359</v>
      </c>
      <c r="H16" s="19" t="s">
        <v>103</v>
      </c>
      <c r="I16" s="40">
        <v>1</v>
      </c>
      <c r="J16" s="40">
        <v>1</v>
      </c>
      <c r="K16" s="41">
        <v>8</v>
      </c>
      <c r="L16" s="41">
        <v>8</v>
      </c>
    </row>
    <row r="17" spans="4:12">
      <c r="D17" s="39">
        <v>46091</v>
      </c>
      <c r="E17" s="19">
        <v>1583433</v>
      </c>
      <c r="F17" s="19" t="s">
        <v>14</v>
      </c>
      <c r="G17" s="40">
        <v>20009730</v>
      </c>
      <c r="H17" s="19" t="s">
        <v>102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46091</v>
      </c>
      <c r="E18" s="19">
        <v>1583433</v>
      </c>
      <c r="F18" s="19" t="s">
        <v>14</v>
      </c>
      <c r="G18" s="40">
        <v>20009729</v>
      </c>
      <c r="H18" s="19" t="s">
        <v>100</v>
      </c>
      <c r="I18" s="40">
        <v>8</v>
      </c>
      <c r="J18" s="40">
        <v>8</v>
      </c>
      <c r="K18" s="41">
        <v>8</v>
      </c>
      <c r="L18" s="41">
        <v>64</v>
      </c>
    </row>
    <row r="19" spans="4:12">
      <c r="D19" s="39">
        <v>46092</v>
      </c>
      <c r="E19" s="19">
        <v>1585162</v>
      </c>
      <c r="F19" s="19" t="s">
        <v>14</v>
      </c>
      <c r="G19" s="40">
        <v>20315529</v>
      </c>
      <c r="H19" s="19" t="s">
        <v>104</v>
      </c>
      <c r="I19" s="40">
        <v>1</v>
      </c>
      <c r="J19" s="40">
        <v>1</v>
      </c>
      <c r="K19" s="41">
        <v>8</v>
      </c>
      <c r="L19" s="41">
        <v>8</v>
      </c>
    </row>
    <row r="20" spans="4:12">
      <c r="D20" s="39">
        <v>46092</v>
      </c>
      <c r="E20" s="19">
        <v>1585162</v>
      </c>
      <c r="F20" s="19" t="s">
        <v>14</v>
      </c>
      <c r="G20" s="40">
        <v>20014128</v>
      </c>
      <c r="H20" s="19" t="s">
        <v>105</v>
      </c>
      <c r="I20" s="40">
        <v>1</v>
      </c>
      <c r="J20" s="40">
        <v>1</v>
      </c>
      <c r="K20" s="41">
        <v>8</v>
      </c>
      <c r="L20" s="41">
        <v>8</v>
      </c>
    </row>
    <row r="21" spans="4:12">
      <c r="D21" s="39">
        <v>46092</v>
      </c>
      <c r="E21" s="19">
        <v>1585162</v>
      </c>
      <c r="F21" s="19" t="s">
        <v>14</v>
      </c>
      <c r="G21" s="40">
        <v>20009729</v>
      </c>
      <c r="H21" s="19" t="s">
        <v>100</v>
      </c>
      <c r="I21" s="40">
        <v>3</v>
      </c>
      <c r="J21" s="40">
        <v>3</v>
      </c>
      <c r="K21" s="41">
        <v>8</v>
      </c>
      <c r="L21" s="41">
        <v>24</v>
      </c>
    </row>
    <row r="22" spans="4:12">
      <c r="D22" s="39">
        <v>46095</v>
      </c>
      <c r="E22" s="19">
        <v>1585983</v>
      </c>
      <c r="F22" s="19" t="s">
        <v>14</v>
      </c>
      <c r="G22" s="40">
        <v>20014128</v>
      </c>
      <c r="H22" s="19" t="s">
        <v>105</v>
      </c>
      <c r="I22" s="40">
        <v>1</v>
      </c>
      <c r="J22" s="40">
        <v>1</v>
      </c>
      <c r="K22" s="41">
        <v>8</v>
      </c>
      <c r="L22" s="41">
        <v>8</v>
      </c>
    </row>
    <row r="23" spans="4:12">
      <c r="D23" s="39">
        <v>46095</v>
      </c>
      <c r="E23" s="19">
        <v>1585983</v>
      </c>
      <c r="F23" s="19" t="s">
        <v>14</v>
      </c>
      <c r="G23" s="40">
        <v>20009730</v>
      </c>
      <c r="H23" s="19" t="s">
        <v>102</v>
      </c>
      <c r="I23" s="40">
        <v>1</v>
      </c>
      <c r="J23" s="40">
        <v>1</v>
      </c>
      <c r="K23" s="41">
        <v>8</v>
      </c>
      <c r="L23" s="41">
        <v>8</v>
      </c>
    </row>
    <row r="24" spans="4:12">
      <c r="D24" s="39">
        <v>46095</v>
      </c>
      <c r="E24" s="19">
        <v>1585983</v>
      </c>
      <c r="F24" s="19" t="s">
        <v>14</v>
      </c>
      <c r="G24" s="40">
        <v>20009729</v>
      </c>
      <c r="H24" s="19" t="s">
        <v>100</v>
      </c>
      <c r="I24" s="40">
        <v>4</v>
      </c>
      <c r="J24" s="40">
        <v>4</v>
      </c>
      <c r="K24" s="41">
        <v>8</v>
      </c>
      <c r="L24" s="41">
        <v>32</v>
      </c>
    </row>
    <row r="25" spans="4:12">
      <c r="D25" s="39">
        <v>46098</v>
      </c>
      <c r="E25" s="19">
        <v>1586490</v>
      </c>
      <c r="F25" s="19" t="s">
        <v>14</v>
      </c>
      <c r="G25" s="40">
        <v>20315529</v>
      </c>
      <c r="H25" s="19" t="s">
        <v>104</v>
      </c>
      <c r="I25" s="40">
        <v>1</v>
      </c>
      <c r="J25" s="40">
        <v>1</v>
      </c>
      <c r="K25" s="41">
        <v>8</v>
      </c>
      <c r="L25" s="41">
        <v>8</v>
      </c>
    </row>
    <row r="26" spans="4:12">
      <c r="D26" s="39">
        <v>46098</v>
      </c>
      <c r="E26" s="19">
        <v>1586490</v>
      </c>
      <c r="F26" s="19" t="s">
        <v>14</v>
      </c>
      <c r="G26" s="40">
        <v>20007359</v>
      </c>
      <c r="H26" s="19" t="s">
        <v>103</v>
      </c>
      <c r="I26" s="40">
        <v>1</v>
      </c>
      <c r="J26" s="40">
        <v>1</v>
      </c>
      <c r="K26" s="41">
        <v>8</v>
      </c>
      <c r="L26" s="41">
        <v>8</v>
      </c>
    </row>
    <row r="27" spans="4:12">
      <c r="D27" s="39">
        <v>46098</v>
      </c>
      <c r="E27" s="19">
        <v>1586490</v>
      </c>
      <c r="F27" s="19" t="s">
        <v>14</v>
      </c>
      <c r="G27" s="40">
        <v>20009730</v>
      </c>
      <c r="H27" s="19" t="s">
        <v>102</v>
      </c>
      <c r="I27" s="40">
        <v>2</v>
      </c>
      <c r="J27" s="40">
        <v>2</v>
      </c>
      <c r="K27" s="41">
        <v>8</v>
      </c>
      <c r="L27" s="41">
        <v>16</v>
      </c>
    </row>
    <row r="28" spans="4:12">
      <c r="D28" s="39">
        <v>46098</v>
      </c>
      <c r="E28" s="19">
        <v>1586490</v>
      </c>
      <c r="F28" s="19" t="s">
        <v>14</v>
      </c>
      <c r="G28" s="40">
        <v>20009729</v>
      </c>
      <c r="H28" s="19" t="s">
        <v>100</v>
      </c>
      <c r="I28" s="40">
        <v>5</v>
      </c>
      <c r="J28" s="40">
        <v>5</v>
      </c>
      <c r="K28" s="41">
        <v>8</v>
      </c>
      <c r="L28" s="41">
        <v>40</v>
      </c>
    </row>
    <row r="29" spans="4:12">
      <c r="D29" s="39">
        <v>46100</v>
      </c>
      <c r="E29" s="19">
        <v>1587612</v>
      </c>
      <c r="F29" s="19" t="s">
        <v>14</v>
      </c>
      <c r="G29" s="40">
        <v>20009729</v>
      </c>
      <c r="H29" s="19" t="s">
        <v>100</v>
      </c>
      <c r="I29" s="40">
        <v>3</v>
      </c>
      <c r="J29" s="40">
        <v>3</v>
      </c>
      <c r="K29" s="41">
        <v>8</v>
      </c>
      <c r="L29" s="41">
        <v>24</v>
      </c>
    </row>
    <row r="30" spans="4:12">
      <c r="D30" s="39">
        <v>46105</v>
      </c>
      <c r="E30" s="19">
        <v>1588505</v>
      </c>
      <c r="F30" s="19" t="s">
        <v>14</v>
      </c>
      <c r="G30" s="40">
        <v>20009730</v>
      </c>
      <c r="H30" s="19" t="s">
        <v>102</v>
      </c>
      <c r="I30" s="40">
        <v>1</v>
      </c>
      <c r="J30" s="40">
        <v>1</v>
      </c>
      <c r="K30" s="41">
        <v>8</v>
      </c>
      <c r="L30" s="41">
        <v>8</v>
      </c>
    </row>
    <row r="31" spans="4:12">
      <c r="D31" s="39">
        <v>46105</v>
      </c>
      <c r="E31" s="19">
        <v>1588505</v>
      </c>
      <c r="F31" s="19" t="s">
        <v>14</v>
      </c>
      <c r="G31" s="40">
        <v>20009729</v>
      </c>
      <c r="H31" s="19" t="s">
        <v>100</v>
      </c>
      <c r="I31" s="40">
        <v>4</v>
      </c>
      <c r="J31" s="40">
        <v>4</v>
      </c>
      <c r="K31" s="41">
        <v>8</v>
      </c>
      <c r="L31" s="41">
        <v>32</v>
      </c>
    </row>
    <row r="32" spans="4:12">
      <c r="D32" s="39">
        <v>46107</v>
      </c>
      <c r="E32" s="19">
        <v>1589226</v>
      </c>
      <c r="F32" s="19" t="s">
        <v>14</v>
      </c>
      <c r="G32" s="40">
        <v>20315529</v>
      </c>
      <c r="H32" s="19" t="s">
        <v>104</v>
      </c>
      <c r="I32" s="40">
        <v>1</v>
      </c>
      <c r="J32" s="40">
        <v>1</v>
      </c>
      <c r="K32" s="41">
        <v>8</v>
      </c>
      <c r="L32" s="41">
        <v>8</v>
      </c>
    </row>
    <row r="33" spans="4:12">
      <c r="D33" s="39">
        <v>46107</v>
      </c>
      <c r="E33" s="19">
        <v>1589226</v>
      </c>
      <c r="F33" s="19" t="s">
        <v>14</v>
      </c>
      <c r="G33" s="40">
        <v>20014128</v>
      </c>
      <c r="H33" s="19" t="s">
        <v>105</v>
      </c>
      <c r="I33" s="40">
        <v>2</v>
      </c>
      <c r="J33" s="40">
        <v>2</v>
      </c>
      <c r="K33" s="41">
        <v>8</v>
      </c>
      <c r="L33" s="41">
        <v>16</v>
      </c>
    </row>
    <row r="34" spans="4:12">
      <c r="D34" s="39">
        <v>46107</v>
      </c>
      <c r="E34" s="19">
        <v>1589226</v>
      </c>
      <c r="F34" s="19" t="s">
        <v>14</v>
      </c>
      <c r="G34" s="40">
        <v>20379167</v>
      </c>
      <c r="H34" s="19" t="s">
        <v>101</v>
      </c>
      <c r="I34" s="40">
        <v>1</v>
      </c>
      <c r="J34" s="40">
        <v>1</v>
      </c>
      <c r="K34" s="41">
        <v>13</v>
      </c>
      <c r="L34" s="41">
        <v>13</v>
      </c>
    </row>
    <row r="35" spans="4:12">
      <c r="D35" s="39">
        <v>46107</v>
      </c>
      <c r="E35" s="19">
        <v>1589226</v>
      </c>
      <c r="F35" s="19" t="s">
        <v>14</v>
      </c>
      <c r="G35" s="40">
        <v>20009730</v>
      </c>
      <c r="H35" s="19" t="s">
        <v>102</v>
      </c>
      <c r="I35" s="40">
        <v>2</v>
      </c>
      <c r="J35" s="40">
        <v>2</v>
      </c>
      <c r="K35" s="41">
        <v>8</v>
      </c>
      <c r="L35" s="41">
        <v>16</v>
      </c>
    </row>
    <row r="36" spans="4:12">
      <c r="D36" s="39">
        <v>46107</v>
      </c>
      <c r="E36" s="19">
        <v>1589226</v>
      </c>
      <c r="F36" s="19" t="s">
        <v>14</v>
      </c>
      <c r="G36" s="40">
        <v>20009729</v>
      </c>
      <c r="H36" s="19" t="s">
        <v>100</v>
      </c>
      <c r="I36" s="40">
        <v>6</v>
      </c>
      <c r="J36" s="40">
        <v>6</v>
      </c>
      <c r="K36" s="41">
        <v>8</v>
      </c>
      <c r="L36" s="41">
        <v>48</v>
      </c>
    </row>
    <row r="37" spans="4:12">
      <c r="D37" s="39">
        <v>46109</v>
      </c>
      <c r="E37" s="19">
        <v>1589991</v>
      </c>
      <c r="F37" s="19" t="s">
        <v>14</v>
      </c>
      <c r="G37" s="40">
        <v>20315529</v>
      </c>
      <c r="H37" s="19" t="s">
        <v>104</v>
      </c>
      <c r="I37" s="40">
        <v>2</v>
      </c>
      <c r="J37" s="40">
        <v>2</v>
      </c>
      <c r="K37" s="41">
        <v>8</v>
      </c>
      <c r="L37" s="41">
        <v>16</v>
      </c>
    </row>
    <row r="38" spans="4:12">
      <c r="D38" s="39">
        <v>46109</v>
      </c>
      <c r="E38" s="19">
        <v>1589991</v>
      </c>
      <c r="F38" s="19" t="s">
        <v>14</v>
      </c>
      <c r="G38" s="40">
        <v>20009729</v>
      </c>
      <c r="H38" s="19" t="s">
        <v>100</v>
      </c>
      <c r="I38" s="40">
        <v>2</v>
      </c>
      <c r="J38" s="40">
        <v>2</v>
      </c>
      <c r="K38" s="41">
        <v>8</v>
      </c>
      <c r="L38" s="41">
        <v>16</v>
      </c>
    </row>
    <row r="39" ht="0.05" customHeight="1"/>
  </sheetData>
  <mergeCells count="5">
    <mergeCell ref="D8:H8"/>
    <mergeCell ref="C7:C38"/>
    <mergeCell ref="B4:H5"/>
    <mergeCell ref="A7:B38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M1" sqref="M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12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106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9</v>
      </c>
      <c r="J8" s="37">
        <v>29</v>
      </c>
      <c r="K8" s="38"/>
      <c r="L8" s="38">
        <v>172</v>
      </c>
    </row>
    <row r="9" spans="1:12">
      <c r="D9" s="39">
        <v>46105</v>
      </c>
      <c r="E9" s="19">
        <v>1588506</v>
      </c>
      <c r="F9" s="19" t="s">
        <v>14</v>
      </c>
      <c r="G9" s="40">
        <v>20009730</v>
      </c>
      <c r="H9" s="19" t="s">
        <v>102</v>
      </c>
      <c r="I9" s="40">
        <v>3</v>
      </c>
      <c r="J9" s="40">
        <v>3</v>
      </c>
      <c r="K9" s="41">
        <v>8</v>
      </c>
      <c r="L9" s="41">
        <v>24</v>
      </c>
    </row>
    <row r="10" spans="1:12">
      <c r="D10" s="39">
        <v>46105</v>
      </c>
      <c r="E10" s="19">
        <v>1588506</v>
      </c>
      <c r="F10" s="19" t="s">
        <v>33</v>
      </c>
      <c r="G10" s="40">
        <v>20012331</v>
      </c>
      <c r="H10" s="19" t="s">
        <v>107</v>
      </c>
      <c r="I10" s="40">
        <v>1</v>
      </c>
      <c r="J10" s="40">
        <v>7</v>
      </c>
      <c r="K10" s="41">
        <v>38.5</v>
      </c>
      <c r="L10" s="41">
        <v>38.5</v>
      </c>
    </row>
    <row r="11" spans="1:12">
      <c r="D11" s="39">
        <v>46106</v>
      </c>
      <c r="E11" s="19">
        <v>1588784</v>
      </c>
      <c r="F11" s="19" t="s">
        <v>33</v>
      </c>
      <c r="G11" s="40">
        <v>20418419</v>
      </c>
      <c r="H11" s="19" t="s">
        <v>108</v>
      </c>
      <c r="I11" s="40">
        <v>1</v>
      </c>
      <c r="J11" s="40">
        <v>5</v>
      </c>
      <c r="K11" s="41">
        <v>27.5</v>
      </c>
      <c r="L11" s="41">
        <v>27.5</v>
      </c>
    </row>
    <row r="12" spans="1:12">
      <c r="D12" s="39">
        <v>46107</v>
      </c>
      <c r="E12" s="19">
        <v>1589227</v>
      </c>
      <c r="F12" s="19" t="s">
        <v>14</v>
      </c>
      <c r="G12" s="40">
        <v>20009730</v>
      </c>
      <c r="H12" s="19" t="s">
        <v>102</v>
      </c>
      <c r="I12" s="40">
        <v>1</v>
      </c>
      <c r="J12" s="40">
        <v>1</v>
      </c>
      <c r="K12" s="41">
        <v>8</v>
      </c>
      <c r="L12" s="41">
        <v>8</v>
      </c>
    </row>
    <row r="13" spans="1:12">
      <c r="D13" s="39">
        <v>46107</v>
      </c>
      <c r="E13" s="19">
        <v>1589227</v>
      </c>
      <c r="F13" s="19" t="s">
        <v>33</v>
      </c>
      <c r="G13" s="40">
        <v>20012331</v>
      </c>
      <c r="H13" s="19" t="s">
        <v>107</v>
      </c>
      <c r="I13" s="40">
        <v>1</v>
      </c>
      <c r="J13" s="40">
        <v>7</v>
      </c>
      <c r="K13" s="41">
        <v>38.5</v>
      </c>
      <c r="L13" s="41">
        <v>38.5</v>
      </c>
    </row>
    <row r="14" spans="1:12">
      <c r="D14" s="39">
        <v>46109</v>
      </c>
      <c r="E14" s="19">
        <v>1589992</v>
      </c>
      <c r="F14" s="19" t="s">
        <v>14</v>
      </c>
      <c r="G14" s="40">
        <v>20352876</v>
      </c>
      <c r="H14" s="19" t="s">
        <v>109</v>
      </c>
      <c r="I14" s="40">
        <v>1</v>
      </c>
      <c r="J14" s="40">
        <v>1</v>
      </c>
      <c r="K14" s="41">
        <v>8</v>
      </c>
      <c r="L14" s="41">
        <v>8</v>
      </c>
    </row>
    <row r="15" spans="1:12">
      <c r="D15" s="39">
        <v>46109</v>
      </c>
      <c r="E15" s="19">
        <v>1589992</v>
      </c>
      <c r="F15" s="19" t="s">
        <v>33</v>
      </c>
      <c r="G15" s="40">
        <v>20418419</v>
      </c>
      <c r="H15" s="19" t="s">
        <v>108</v>
      </c>
      <c r="I15" s="40">
        <v>1</v>
      </c>
      <c r="J15" s="40">
        <v>5</v>
      </c>
      <c r="K15" s="41">
        <v>27.5</v>
      </c>
      <c r="L15" s="41">
        <v>27.5</v>
      </c>
    </row>
    <row r="16" ht="0.05" customHeight="1"/>
  </sheetData>
  <mergeCells count="5">
    <mergeCell ref="D8:H8"/>
    <mergeCell ref="C7:C15"/>
    <mergeCell ref="B4:H5"/>
    <mergeCell ref="A7:B15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9"/>
  <sheetViews>
    <sheetView showGridLines="0" view="pageBreakPreview" zoomScaleNormal="100" workbookViewId="0">
      <pane ySplit="6" topLeftCell="A7" activePane="bottomLeft" state="frozen"/>
      <selection/>
      <selection pane="bottomLeft" activeCell="F3" sqref="F$1:H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110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f>343-2</f>
        <v>341</v>
      </c>
      <c r="J8" s="37">
        <v>2002</v>
      </c>
      <c r="K8" s="38"/>
      <c r="L8" s="38">
        <f>SUM(L9:L188)+费用调整!J7</f>
        <v>13222.5</v>
      </c>
    </row>
    <row r="9" spans="1:12">
      <c r="D9" s="39">
        <v>46083</v>
      </c>
      <c r="E9" s="19">
        <v>1581599</v>
      </c>
      <c r="F9" s="19" t="s">
        <v>53</v>
      </c>
      <c r="G9" s="40">
        <v>20009011</v>
      </c>
      <c r="H9" s="19" t="s">
        <v>111</v>
      </c>
      <c r="I9" s="40">
        <v>1</v>
      </c>
      <c r="J9" s="40">
        <v>7</v>
      </c>
      <c r="K9" s="41">
        <v>38.5</v>
      </c>
      <c r="L9" s="41">
        <v>38.5</v>
      </c>
    </row>
    <row r="10" spans="1:12">
      <c r="D10" s="39">
        <v>46083</v>
      </c>
      <c r="E10" s="19">
        <v>1581599</v>
      </c>
      <c r="F10" s="19" t="s">
        <v>53</v>
      </c>
      <c r="G10" s="40">
        <v>20310486</v>
      </c>
      <c r="H10" s="19" t="s">
        <v>112</v>
      </c>
      <c r="I10" s="40">
        <v>1</v>
      </c>
      <c r="J10" s="40">
        <v>13</v>
      </c>
      <c r="K10" s="41">
        <v>71.5</v>
      </c>
      <c r="L10" s="41">
        <v>71.5</v>
      </c>
    </row>
    <row r="11" spans="1:12">
      <c r="D11" s="39">
        <v>46083</v>
      </c>
      <c r="E11" s="19">
        <v>1581599</v>
      </c>
      <c r="F11" s="19" t="s">
        <v>53</v>
      </c>
      <c r="G11" s="40">
        <v>20007348</v>
      </c>
      <c r="H11" s="19" t="s">
        <v>113</v>
      </c>
      <c r="I11" s="40">
        <v>1</v>
      </c>
      <c r="J11" s="40">
        <v>27</v>
      </c>
      <c r="K11" s="41">
        <v>148.5</v>
      </c>
      <c r="L11" s="41">
        <v>148.5</v>
      </c>
    </row>
    <row r="12" spans="1:12">
      <c r="D12" s="39">
        <v>46083</v>
      </c>
      <c r="E12" s="19">
        <v>1581599</v>
      </c>
      <c r="F12" s="19" t="s">
        <v>55</v>
      </c>
      <c r="G12" s="40">
        <v>20008605</v>
      </c>
      <c r="H12" s="19" t="s">
        <v>56</v>
      </c>
      <c r="I12" s="40">
        <v>4</v>
      </c>
      <c r="J12" s="40">
        <v>8</v>
      </c>
      <c r="K12" s="41">
        <v>16.5</v>
      </c>
      <c r="L12" s="41">
        <v>66</v>
      </c>
    </row>
    <row r="13" spans="1:12">
      <c r="D13" s="39">
        <v>46083</v>
      </c>
      <c r="E13" s="19">
        <v>1581599</v>
      </c>
      <c r="F13" s="19" t="s">
        <v>14</v>
      </c>
      <c r="G13" s="40">
        <v>20312603</v>
      </c>
      <c r="H13" s="19" t="s">
        <v>114</v>
      </c>
      <c r="I13" s="40">
        <v>2</v>
      </c>
      <c r="J13" s="40">
        <v>6</v>
      </c>
      <c r="K13" s="41">
        <v>16.5</v>
      </c>
      <c r="L13" s="41">
        <v>33</v>
      </c>
    </row>
    <row r="14" spans="1:12">
      <c r="D14" s="39">
        <v>46083</v>
      </c>
      <c r="E14" s="19">
        <v>1581599</v>
      </c>
      <c r="F14" s="19" t="s">
        <v>33</v>
      </c>
      <c r="G14" s="40">
        <v>20325185</v>
      </c>
      <c r="H14" s="19" t="s">
        <v>115</v>
      </c>
      <c r="I14" s="40">
        <v>1</v>
      </c>
      <c r="J14" s="40">
        <v>6</v>
      </c>
      <c r="K14" s="41">
        <v>33</v>
      </c>
      <c r="L14" s="41">
        <v>33</v>
      </c>
    </row>
    <row r="15" spans="1:12">
      <c r="D15" s="39">
        <v>46083</v>
      </c>
      <c r="E15" s="19">
        <v>1581599</v>
      </c>
      <c r="F15" s="19" t="s">
        <v>35</v>
      </c>
      <c r="G15" s="40">
        <v>20312602</v>
      </c>
      <c r="H15" s="19" t="s">
        <v>116</v>
      </c>
      <c r="I15" s="40">
        <v>2</v>
      </c>
      <c r="J15" s="40">
        <v>8</v>
      </c>
      <c r="K15" s="41">
        <v>22</v>
      </c>
      <c r="L15" s="41">
        <v>44</v>
      </c>
    </row>
    <row r="16" spans="1:12">
      <c r="D16" s="39">
        <v>46083</v>
      </c>
      <c r="E16" s="19">
        <v>1581599</v>
      </c>
      <c r="F16" s="19" t="s">
        <v>24</v>
      </c>
      <c r="G16" s="40">
        <v>20378341</v>
      </c>
      <c r="H16" s="19" t="s">
        <v>117</v>
      </c>
      <c r="I16" s="40">
        <v>8</v>
      </c>
      <c r="J16" s="40">
        <v>0</v>
      </c>
      <c r="K16" s="41">
        <v>4</v>
      </c>
      <c r="L16" s="41">
        <v>32</v>
      </c>
    </row>
    <row r="17" spans="4:12">
      <c r="D17" s="39">
        <v>46084</v>
      </c>
      <c r="E17" s="19">
        <v>1581627</v>
      </c>
      <c r="F17" s="19" t="s">
        <v>28</v>
      </c>
      <c r="G17" s="40">
        <v>20014717</v>
      </c>
      <c r="H17" s="19" t="s">
        <v>118</v>
      </c>
      <c r="I17" s="40">
        <v>1</v>
      </c>
      <c r="J17" s="40">
        <v>1</v>
      </c>
      <c r="K17" s="41">
        <v>35</v>
      </c>
      <c r="L17" s="41">
        <v>35</v>
      </c>
    </row>
    <row r="18" spans="4:12">
      <c r="D18" s="39">
        <v>46084</v>
      </c>
      <c r="E18" s="19">
        <v>1581627</v>
      </c>
      <c r="F18" s="19" t="s">
        <v>28</v>
      </c>
      <c r="G18" s="40">
        <v>20008861</v>
      </c>
      <c r="H18" s="19" t="s">
        <v>85</v>
      </c>
      <c r="I18" s="40">
        <v>2</v>
      </c>
      <c r="J18" s="40">
        <v>2</v>
      </c>
      <c r="K18" s="41">
        <v>35</v>
      </c>
      <c r="L18" s="41">
        <v>70</v>
      </c>
    </row>
    <row r="19" spans="4:12">
      <c r="D19" s="39">
        <v>46084</v>
      </c>
      <c r="E19" s="19">
        <v>1581627</v>
      </c>
      <c r="F19" s="19" t="s">
        <v>28</v>
      </c>
      <c r="G19" s="40">
        <v>20010183</v>
      </c>
      <c r="H19" s="19" t="s">
        <v>119</v>
      </c>
      <c r="I19" s="40">
        <v>1</v>
      </c>
      <c r="J19" s="40">
        <v>1</v>
      </c>
      <c r="K19" s="41">
        <v>28</v>
      </c>
      <c r="L19" s="41">
        <v>28</v>
      </c>
    </row>
    <row r="20" spans="4:12">
      <c r="D20" s="39">
        <v>46084</v>
      </c>
      <c r="E20" s="19">
        <v>1581627</v>
      </c>
      <c r="F20" s="19" t="s">
        <v>28</v>
      </c>
      <c r="G20" s="40">
        <v>20010888</v>
      </c>
      <c r="H20" s="19" t="s">
        <v>120</v>
      </c>
      <c r="I20" s="40">
        <v>1</v>
      </c>
      <c r="J20" s="40">
        <v>1</v>
      </c>
      <c r="K20" s="41">
        <v>35</v>
      </c>
      <c r="L20" s="41">
        <v>35</v>
      </c>
    </row>
    <row r="21" spans="4:12">
      <c r="D21" s="39">
        <v>46084</v>
      </c>
      <c r="E21" s="19">
        <v>1581627</v>
      </c>
      <c r="F21" s="19" t="s">
        <v>28</v>
      </c>
      <c r="G21" s="40">
        <v>20009390</v>
      </c>
      <c r="H21" s="19" t="s">
        <v>121</v>
      </c>
      <c r="I21" s="40">
        <v>1</v>
      </c>
      <c r="J21" s="40">
        <v>1</v>
      </c>
      <c r="K21" s="41">
        <v>28</v>
      </c>
      <c r="L21" s="41">
        <v>28</v>
      </c>
    </row>
    <row r="22" spans="4:12">
      <c r="D22" s="39">
        <v>46084</v>
      </c>
      <c r="E22" s="19">
        <v>1581627</v>
      </c>
      <c r="F22" s="19" t="s">
        <v>28</v>
      </c>
      <c r="G22" s="40">
        <v>20007465</v>
      </c>
      <c r="H22" s="19" t="s">
        <v>29</v>
      </c>
      <c r="I22" s="40">
        <v>3</v>
      </c>
      <c r="J22" s="40">
        <v>3</v>
      </c>
      <c r="K22" s="41">
        <v>35</v>
      </c>
      <c r="L22" s="41">
        <v>105</v>
      </c>
    </row>
    <row r="23" spans="4:12">
      <c r="D23" s="39">
        <v>46084</v>
      </c>
      <c r="E23" s="19">
        <v>1581627</v>
      </c>
      <c r="F23" s="19" t="s">
        <v>28</v>
      </c>
      <c r="G23" s="40">
        <v>20007427</v>
      </c>
      <c r="H23" s="19" t="s">
        <v>122</v>
      </c>
      <c r="I23" s="40">
        <v>1</v>
      </c>
      <c r="J23" s="40">
        <v>1</v>
      </c>
      <c r="K23" s="41">
        <v>28</v>
      </c>
      <c r="L23" s="41">
        <v>28</v>
      </c>
    </row>
    <row r="24" spans="4:12">
      <c r="D24" s="39">
        <v>46084</v>
      </c>
      <c r="E24" s="19">
        <v>1581627</v>
      </c>
      <c r="F24" s="19" t="s">
        <v>28</v>
      </c>
      <c r="G24" s="40">
        <v>20007494</v>
      </c>
      <c r="H24" s="19" t="s">
        <v>123</v>
      </c>
      <c r="I24" s="40">
        <v>1</v>
      </c>
      <c r="J24" s="40">
        <v>1</v>
      </c>
      <c r="K24" s="41">
        <v>25</v>
      </c>
      <c r="L24" s="41">
        <v>25</v>
      </c>
    </row>
    <row r="25" spans="4:12">
      <c r="D25" s="39">
        <v>46084</v>
      </c>
      <c r="E25" s="19">
        <v>1581627</v>
      </c>
      <c r="F25" s="19" t="s">
        <v>28</v>
      </c>
      <c r="G25" s="40">
        <v>20007429</v>
      </c>
      <c r="H25" s="19" t="s">
        <v>124</v>
      </c>
      <c r="I25" s="40">
        <v>1</v>
      </c>
      <c r="J25" s="40">
        <v>1</v>
      </c>
      <c r="K25" s="41">
        <v>28</v>
      </c>
      <c r="L25" s="41">
        <v>28</v>
      </c>
    </row>
    <row r="26" spans="4:12">
      <c r="D26" s="39">
        <v>46084</v>
      </c>
      <c r="E26" s="19">
        <v>1581888</v>
      </c>
      <c r="F26" s="19" t="s">
        <v>53</v>
      </c>
      <c r="G26" s="40">
        <v>20007296</v>
      </c>
      <c r="H26" s="19" t="s">
        <v>125</v>
      </c>
      <c r="I26" s="40">
        <v>1</v>
      </c>
      <c r="J26" s="40">
        <v>37</v>
      </c>
      <c r="K26" s="41">
        <v>203.5</v>
      </c>
      <c r="L26" s="41">
        <v>203.5</v>
      </c>
    </row>
    <row r="27" spans="4:12">
      <c r="D27" s="39">
        <v>46084</v>
      </c>
      <c r="E27" s="19">
        <v>1581888</v>
      </c>
      <c r="F27" s="19" t="s">
        <v>53</v>
      </c>
      <c r="G27" s="40">
        <v>20013323</v>
      </c>
      <c r="H27" s="19" t="s">
        <v>126</v>
      </c>
      <c r="I27" s="40">
        <v>1</v>
      </c>
      <c r="J27" s="40">
        <v>21</v>
      </c>
      <c r="K27" s="41">
        <v>115.5</v>
      </c>
      <c r="L27" s="41">
        <v>115.5</v>
      </c>
    </row>
    <row r="28" spans="4:12">
      <c r="D28" s="39">
        <v>46084</v>
      </c>
      <c r="E28" s="19">
        <v>1581888</v>
      </c>
      <c r="F28" s="19" t="s">
        <v>53</v>
      </c>
      <c r="G28" s="40">
        <v>20009113</v>
      </c>
      <c r="H28" s="19" t="s">
        <v>127</v>
      </c>
      <c r="I28" s="40">
        <v>1</v>
      </c>
      <c r="J28" s="40">
        <v>24</v>
      </c>
      <c r="K28" s="41">
        <v>132</v>
      </c>
      <c r="L28" s="41">
        <v>132</v>
      </c>
    </row>
    <row r="29" spans="4:12">
      <c r="D29" s="39">
        <v>46084</v>
      </c>
      <c r="E29" s="19">
        <v>1581888</v>
      </c>
      <c r="F29" s="19" t="s">
        <v>55</v>
      </c>
      <c r="G29" s="40">
        <v>20008605</v>
      </c>
      <c r="H29" s="19" t="s">
        <v>56</v>
      </c>
      <c r="I29" s="40">
        <v>3</v>
      </c>
      <c r="J29" s="40">
        <v>6</v>
      </c>
      <c r="K29" s="41">
        <v>16.5</v>
      </c>
      <c r="L29" s="41">
        <v>49.5</v>
      </c>
    </row>
    <row r="30" spans="4:12">
      <c r="D30" s="39">
        <v>46084</v>
      </c>
      <c r="E30" s="19">
        <v>1581888</v>
      </c>
      <c r="F30" s="19" t="s">
        <v>14</v>
      </c>
      <c r="G30" s="40">
        <v>20368075</v>
      </c>
      <c r="H30" s="19" t="s">
        <v>128</v>
      </c>
      <c r="I30" s="40">
        <v>1</v>
      </c>
      <c r="J30" s="40">
        <v>3</v>
      </c>
      <c r="K30" s="41">
        <v>16.5</v>
      </c>
      <c r="L30" s="41">
        <v>16.5</v>
      </c>
    </row>
    <row r="31" spans="4:12">
      <c r="D31" s="39">
        <v>46084</v>
      </c>
      <c r="E31" s="19">
        <v>1581888</v>
      </c>
      <c r="F31" s="19" t="s">
        <v>14</v>
      </c>
      <c r="G31" s="40">
        <v>20312603</v>
      </c>
      <c r="H31" s="19" t="s">
        <v>114</v>
      </c>
      <c r="I31" s="40">
        <v>2</v>
      </c>
      <c r="J31" s="40">
        <v>6</v>
      </c>
      <c r="K31" s="41">
        <v>16.5</v>
      </c>
      <c r="L31" s="41">
        <v>33</v>
      </c>
    </row>
    <row r="32" spans="4:12">
      <c r="D32" s="39">
        <v>46084</v>
      </c>
      <c r="E32" s="19">
        <v>1581888</v>
      </c>
      <c r="F32" s="19" t="s">
        <v>35</v>
      </c>
      <c r="G32" s="40">
        <v>20323870</v>
      </c>
      <c r="H32" s="19" t="s">
        <v>129</v>
      </c>
      <c r="I32" s="40">
        <v>1</v>
      </c>
      <c r="J32" s="40">
        <v>6</v>
      </c>
      <c r="K32" s="41">
        <v>33</v>
      </c>
      <c r="L32" s="41">
        <v>33</v>
      </c>
    </row>
    <row r="33" spans="4:12">
      <c r="D33" s="39">
        <v>46084</v>
      </c>
      <c r="E33" s="19">
        <v>1581888</v>
      </c>
      <c r="F33" s="19" t="s">
        <v>35</v>
      </c>
      <c r="G33" s="40">
        <v>20312602</v>
      </c>
      <c r="H33" s="19" t="s">
        <v>116</v>
      </c>
      <c r="I33" s="40">
        <v>1</v>
      </c>
      <c r="J33" s="40">
        <v>4</v>
      </c>
      <c r="K33" s="41">
        <v>22</v>
      </c>
      <c r="L33" s="41">
        <v>22</v>
      </c>
    </row>
    <row r="34" spans="4:12">
      <c r="D34" s="39">
        <v>46085</v>
      </c>
      <c r="E34" s="19">
        <v>1582157</v>
      </c>
      <c r="F34" s="19" t="s">
        <v>24</v>
      </c>
      <c r="G34" s="40">
        <v>20008867</v>
      </c>
      <c r="H34" s="19" t="s">
        <v>130</v>
      </c>
      <c r="I34" s="40">
        <v>3</v>
      </c>
      <c r="J34" s="40">
        <v>0</v>
      </c>
      <c r="K34" s="41">
        <v>4</v>
      </c>
      <c r="L34" s="41">
        <v>12</v>
      </c>
    </row>
    <row r="35" spans="4:12">
      <c r="D35" s="39">
        <v>46087</v>
      </c>
      <c r="E35" s="19">
        <v>1582581</v>
      </c>
      <c r="F35" s="19" t="s">
        <v>53</v>
      </c>
      <c r="G35" s="40">
        <v>20009011</v>
      </c>
      <c r="H35" s="19" t="s">
        <v>111</v>
      </c>
      <c r="I35" s="40">
        <v>1</v>
      </c>
      <c r="J35" s="40">
        <v>7</v>
      </c>
      <c r="K35" s="41">
        <v>38.5</v>
      </c>
      <c r="L35" s="41">
        <v>38.5</v>
      </c>
    </row>
    <row r="36" spans="4:12">
      <c r="D36" s="39">
        <v>46087</v>
      </c>
      <c r="E36" s="19">
        <v>1582581</v>
      </c>
      <c r="F36" s="19" t="s">
        <v>53</v>
      </c>
      <c r="G36" s="40">
        <v>20007296</v>
      </c>
      <c r="H36" s="19" t="s">
        <v>125</v>
      </c>
      <c r="I36" s="40">
        <v>2</v>
      </c>
      <c r="J36" s="40">
        <v>74</v>
      </c>
      <c r="K36" s="41">
        <v>203.5</v>
      </c>
      <c r="L36" s="41">
        <v>407</v>
      </c>
    </row>
    <row r="37" spans="4:12">
      <c r="D37" s="39">
        <v>46087</v>
      </c>
      <c r="E37" s="19">
        <v>1582581</v>
      </c>
      <c r="F37" s="19" t="s">
        <v>55</v>
      </c>
      <c r="G37" s="40">
        <v>20008605</v>
      </c>
      <c r="H37" s="19" t="s">
        <v>56</v>
      </c>
      <c r="I37" s="40">
        <v>3</v>
      </c>
      <c r="J37" s="40">
        <v>6</v>
      </c>
      <c r="K37" s="41">
        <v>16.5</v>
      </c>
      <c r="L37" s="41">
        <v>49.5</v>
      </c>
    </row>
    <row r="38" spans="4:12">
      <c r="D38" s="39">
        <v>46087</v>
      </c>
      <c r="E38" s="19">
        <v>1582581</v>
      </c>
      <c r="F38" s="19" t="s">
        <v>14</v>
      </c>
      <c r="G38" s="40">
        <v>20007323</v>
      </c>
      <c r="H38" s="19" t="s">
        <v>131</v>
      </c>
      <c r="I38" s="40">
        <v>1</v>
      </c>
      <c r="J38" s="40">
        <v>2</v>
      </c>
      <c r="K38" s="41">
        <v>13.5</v>
      </c>
      <c r="L38" s="41">
        <v>13.5</v>
      </c>
    </row>
    <row r="39" spans="4:12">
      <c r="D39" s="39">
        <v>46087</v>
      </c>
      <c r="E39" s="19">
        <v>1582581</v>
      </c>
      <c r="F39" s="19" t="s">
        <v>14</v>
      </c>
      <c r="G39" s="40">
        <v>20312603</v>
      </c>
      <c r="H39" s="19" t="s">
        <v>114</v>
      </c>
      <c r="I39" s="40">
        <v>3</v>
      </c>
      <c r="J39" s="40">
        <v>9</v>
      </c>
      <c r="K39" s="41">
        <v>16.5</v>
      </c>
      <c r="L39" s="41">
        <v>49.5</v>
      </c>
    </row>
    <row r="40" spans="4:12">
      <c r="D40" s="39">
        <v>46087</v>
      </c>
      <c r="E40" s="19">
        <v>1582581</v>
      </c>
      <c r="F40" s="19" t="s">
        <v>35</v>
      </c>
      <c r="G40" s="40">
        <v>20320389</v>
      </c>
      <c r="H40" s="19" t="s">
        <v>132</v>
      </c>
      <c r="I40" s="40">
        <v>1</v>
      </c>
      <c r="J40" s="40">
        <v>3</v>
      </c>
      <c r="K40" s="41">
        <v>16.5</v>
      </c>
      <c r="L40" s="41">
        <v>16.5</v>
      </c>
    </row>
    <row r="41" spans="4:12">
      <c r="D41" s="39">
        <v>46087</v>
      </c>
      <c r="E41" s="19">
        <v>1582581</v>
      </c>
      <c r="F41" s="19" t="s">
        <v>35</v>
      </c>
      <c r="G41" s="40">
        <v>20312602</v>
      </c>
      <c r="H41" s="19" t="s">
        <v>116</v>
      </c>
      <c r="I41" s="40">
        <v>1</v>
      </c>
      <c r="J41" s="40">
        <v>4</v>
      </c>
      <c r="K41" s="41">
        <v>22</v>
      </c>
      <c r="L41" s="41">
        <v>22</v>
      </c>
    </row>
    <row r="42" spans="4:12">
      <c r="D42" s="39">
        <v>46087</v>
      </c>
      <c r="E42" s="19">
        <v>1582612</v>
      </c>
      <c r="F42" s="19" t="s">
        <v>28</v>
      </c>
      <c r="G42" s="40">
        <v>20007432</v>
      </c>
      <c r="H42" s="19" t="s">
        <v>133</v>
      </c>
      <c r="I42" s="40">
        <v>2</v>
      </c>
      <c r="J42" s="40">
        <v>2</v>
      </c>
      <c r="K42" s="41">
        <v>28</v>
      </c>
      <c r="L42" s="41">
        <v>56</v>
      </c>
    </row>
    <row r="43" spans="4:12">
      <c r="D43" s="39">
        <v>46087</v>
      </c>
      <c r="E43" s="19">
        <v>1582612</v>
      </c>
      <c r="F43" s="19" t="s">
        <v>28</v>
      </c>
      <c r="G43" s="40">
        <v>20320386</v>
      </c>
      <c r="H43" s="19" t="s">
        <v>134</v>
      </c>
      <c r="I43" s="40">
        <v>2</v>
      </c>
      <c r="J43" s="40">
        <v>2</v>
      </c>
      <c r="K43" s="41">
        <v>25</v>
      </c>
      <c r="L43" s="41">
        <v>50</v>
      </c>
    </row>
    <row r="44" spans="4:12">
      <c r="D44" s="39">
        <v>46087</v>
      </c>
      <c r="E44" s="19">
        <v>1582612</v>
      </c>
      <c r="F44" s="19" t="s">
        <v>28</v>
      </c>
      <c r="G44" s="40">
        <v>20009390</v>
      </c>
      <c r="H44" s="19" t="s">
        <v>121</v>
      </c>
      <c r="I44" s="40">
        <v>1</v>
      </c>
      <c r="J44" s="40">
        <v>1</v>
      </c>
      <c r="K44" s="41">
        <v>28</v>
      </c>
      <c r="L44" s="41">
        <v>28</v>
      </c>
    </row>
    <row r="45" spans="4:12">
      <c r="D45" s="39">
        <v>46087</v>
      </c>
      <c r="E45" s="19">
        <v>1582612</v>
      </c>
      <c r="F45" s="19" t="s">
        <v>28</v>
      </c>
      <c r="G45" s="40">
        <v>20007465</v>
      </c>
      <c r="H45" s="19" t="s">
        <v>29</v>
      </c>
      <c r="I45" s="40">
        <v>1</v>
      </c>
      <c r="J45" s="40">
        <v>1</v>
      </c>
      <c r="K45" s="41">
        <v>35</v>
      </c>
      <c r="L45" s="41">
        <v>35</v>
      </c>
    </row>
    <row r="46" spans="4:12">
      <c r="D46" s="39">
        <v>46087</v>
      </c>
      <c r="E46" s="19">
        <v>1582838</v>
      </c>
      <c r="F46" s="19" t="s">
        <v>53</v>
      </c>
      <c r="G46" s="40">
        <v>20009011</v>
      </c>
      <c r="H46" s="19" t="s">
        <v>111</v>
      </c>
      <c r="I46" s="40">
        <v>1</v>
      </c>
      <c r="J46" s="40">
        <v>7</v>
      </c>
      <c r="K46" s="41">
        <v>38.5</v>
      </c>
      <c r="L46" s="41">
        <v>38.5</v>
      </c>
    </row>
    <row r="47" spans="4:12">
      <c r="D47" s="39">
        <v>46087</v>
      </c>
      <c r="E47" s="19">
        <v>1582838</v>
      </c>
      <c r="F47" s="19" t="s">
        <v>53</v>
      </c>
      <c r="G47" s="40">
        <v>20310486</v>
      </c>
      <c r="H47" s="19" t="s">
        <v>112</v>
      </c>
      <c r="I47" s="40">
        <v>1</v>
      </c>
      <c r="J47" s="40">
        <v>13</v>
      </c>
      <c r="K47" s="41">
        <v>71.5</v>
      </c>
      <c r="L47" s="41">
        <v>71.5</v>
      </c>
    </row>
    <row r="48" spans="4:12">
      <c r="D48" s="39">
        <v>46087</v>
      </c>
      <c r="E48" s="19">
        <v>1582838</v>
      </c>
      <c r="F48" s="19" t="s">
        <v>53</v>
      </c>
      <c r="G48" s="40">
        <v>20007296</v>
      </c>
      <c r="H48" s="19" t="s">
        <v>125</v>
      </c>
      <c r="I48" s="40">
        <v>1</v>
      </c>
      <c r="J48" s="40">
        <v>37</v>
      </c>
      <c r="K48" s="41">
        <v>203.5</v>
      </c>
      <c r="L48" s="41">
        <v>203.5</v>
      </c>
    </row>
    <row r="49" spans="4:12">
      <c r="D49" s="39">
        <v>46087</v>
      </c>
      <c r="E49" s="19">
        <v>1582838</v>
      </c>
      <c r="F49" s="19" t="s">
        <v>53</v>
      </c>
      <c r="G49" s="40">
        <v>20300285</v>
      </c>
      <c r="H49" s="19" t="s">
        <v>135</v>
      </c>
      <c r="I49" s="40">
        <v>2</v>
      </c>
      <c r="J49" s="40">
        <v>28</v>
      </c>
      <c r="K49" s="41">
        <v>77</v>
      </c>
      <c r="L49" s="41">
        <v>154</v>
      </c>
    </row>
    <row r="50" spans="4:12">
      <c r="D50" s="39">
        <v>46087</v>
      </c>
      <c r="E50" s="19">
        <v>1582838</v>
      </c>
      <c r="F50" s="19" t="s">
        <v>55</v>
      </c>
      <c r="G50" s="40">
        <v>20008605</v>
      </c>
      <c r="H50" s="19" t="s">
        <v>56</v>
      </c>
      <c r="I50" s="40">
        <v>5</v>
      </c>
      <c r="J50" s="40">
        <v>10</v>
      </c>
      <c r="K50" s="41">
        <v>16.5</v>
      </c>
      <c r="L50" s="41">
        <v>82.5</v>
      </c>
    </row>
    <row r="51" spans="4:12">
      <c r="D51" s="39">
        <v>46087</v>
      </c>
      <c r="E51" s="19">
        <v>1582838</v>
      </c>
      <c r="F51" s="19" t="s">
        <v>14</v>
      </c>
      <c r="G51" s="40">
        <v>20313189</v>
      </c>
      <c r="H51" s="19" t="s">
        <v>136</v>
      </c>
      <c r="I51" s="40">
        <v>4</v>
      </c>
      <c r="J51" s="40">
        <v>12</v>
      </c>
      <c r="K51" s="41">
        <v>16.5</v>
      </c>
      <c r="L51" s="41">
        <v>66</v>
      </c>
    </row>
    <row r="52" spans="4:12">
      <c r="D52" s="39">
        <v>46088</v>
      </c>
      <c r="E52" s="19">
        <v>1582972</v>
      </c>
      <c r="F52" s="19" t="s">
        <v>28</v>
      </c>
      <c r="G52" s="40">
        <v>20008442</v>
      </c>
      <c r="H52" s="19" t="s">
        <v>137</v>
      </c>
      <c r="I52" s="40">
        <v>1</v>
      </c>
      <c r="J52" s="40">
        <v>4</v>
      </c>
      <c r="K52" s="41">
        <v>88</v>
      </c>
      <c r="L52" s="41">
        <v>88</v>
      </c>
    </row>
    <row r="53" spans="4:12">
      <c r="D53" s="39">
        <v>46088</v>
      </c>
      <c r="E53" s="19">
        <v>1582972</v>
      </c>
      <c r="F53" s="19" t="s">
        <v>30</v>
      </c>
      <c r="G53" s="40">
        <v>20008863</v>
      </c>
      <c r="H53" s="19" t="s">
        <v>138</v>
      </c>
      <c r="I53" s="40">
        <v>1</v>
      </c>
      <c r="J53" s="40">
        <v>2</v>
      </c>
      <c r="K53" s="41">
        <v>36</v>
      </c>
      <c r="L53" s="41">
        <v>36</v>
      </c>
    </row>
    <row r="54" spans="4:12">
      <c r="D54" s="39">
        <v>46091</v>
      </c>
      <c r="E54" s="19">
        <v>1583434</v>
      </c>
      <c r="F54" s="19" t="s">
        <v>53</v>
      </c>
      <c r="G54" s="40">
        <v>20009011</v>
      </c>
      <c r="H54" s="19" t="s">
        <v>111</v>
      </c>
      <c r="I54" s="40">
        <v>1</v>
      </c>
      <c r="J54" s="40">
        <v>7</v>
      </c>
      <c r="K54" s="41">
        <v>38.5</v>
      </c>
      <c r="L54" s="41">
        <v>38.5</v>
      </c>
    </row>
    <row r="55" spans="4:12">
      <c r="D55" s="39">
        <v>46091</v>
      </c>
      <c r="E55" s="19">
        <v>1583434</v>
      </c>
      <c r="F55" s="19" t="s">
        <v>53</v>
      </c>
      <c r="G55" s="40">
        <v>20310486</v>
      </c>
      <c r="H55" s="19" t="s">
        <v>112</v>
      </c>
      <c r="I55" s="40">
        <v>1</v>
      </c>
      <c r="J55" s="40">
        <v>13</v>
      </c>
      <c r="K55" s="41">
        <v>71.5</v>
      </c>
      <c r="L55" s="41">
        <v>71.5</v>
      </c>
    </row>
    <row r="56" spans="4:12">
      <c r="D56" s="39">
        <v>46091</v>
      </c>
      <c r="E56" s="19">
        <v>1583434</v>
      </c>
      <c r="F56" s="19" t="s">
        <v>53</v>
      </c>
      <c r="G56" s="40">
        <v>20007296</v>
      </c>
      <c r="H56" s="19" t="s">
        <v>125</v>
      </c>
      <c r="I56" s="40">
        <v>2</v>
      </c>
      <c r="J56" s="40">
        <v>74</v>
      </c>
      <c r="K56" s="41">
        <v>203.5</v>
      </c>
      <c r="L56" s="41">
        <v>407</v>
      </c>
    </row>
    <row r="57" spans="4:12">
      <c r="D57" s="39">
        <v>46091</v>
      </c>
      <c r="E57" s="19">
        <v>1583434</v>
      </c>
      <c r="F57" s="19" t="s">
        <v>53</v>
      </c>
      <c r="G57" s="40">
        <v>20013323</v>
      </c>
      <c r="H57" s="19" t="s">
        <v>126</v>
      </c>
      <c r="I57" s="40">
        <v>1</v>
      </c>
      <c r="J57" s="40">
        <v>21</v>
      </c>
      <c r="K57" s="41">
        <v>115.5</v>
      </c>
      <c r="L57" s="41">
        <v>115.5</v>
      </c>
    </row>
    <row r="58" spans="4:12">
      <c r="D58" s="39">
        <v>46091</v>
      </c>
      <c r="E58" s="19">
        <v>1583434</v>
      </c>
      <c r="F58" s="19" t="s">
        <v>55</v>
      </c>
      <c r="G58" s="40">
        <v>20008605</v>
      </c>
      <c r="H58" s="19" t="s">
        <v>56</v>
      </c>
      <c r="I58" s="40">
        <v>4</v>
      </c>
      <c r="J58" s="40">
        <v>8</v>
      </c>
      <c r="K58" s="41">
        <v>16.5</v>
      </c>
      <c r="L58" s="41">
        <v>66</v>
      </c>
    </row>
    <row r="59" spans="4:12">
      <c r="D59" s="39">
        <v>46091</v>
      </c>
      <c r="E59" s="19">
        <v>1583434</v>
      </c>
      <c r="F59" s="19" t="s">
        <v>14</v>
      </c>
      <c r="G59" s="40">
        <v>20313189</v>
      </c>
      <c r="H59" s="19" t="s">
        <v>136</v>
      </c>
      <c r="I59" s="40">
        <v>3</v>
      </c>
      <c r="J59" s="40">
        <v>9</v>
      </c>
      <c r="K59" s="41">
        <v>16.5</v>
      </c>
      <c r="L59" s="41">
        <v>49.5</v>
      </c>
    </row>
    <row r="60" spans="4:12">
      <c r="D60" s="39">
        <v>46091</v>
      </c>
      <c r="E60" s="19">
        <v>1583434</v>
      </c>
      <c r="F60" s="19" t="s">
        <v>35</v>
      </c>
      <c r="G60" s="40">
        <v>20312602</v>
      </c>
      <c r="H60" s="19" t="s">
        <v>116</v>
      </c>
      <c r="I60" s="40">
        <v>1</v>
      </c>
      <c r="J60" s="40">
        <v>4</v>
      </c>
      <c r="K60" s="41">
        <v>22</v>
      </c>
      <c r="L60" s="41">
        <v>22</v>
      </c>
    </row>
    <row r="61" spans="4:12">
      <c r="D61" s="39">
        <v>46091</v>
      </c>
      <c r="E61" s="19">
        <v>1583434</v>
      </c>
      <c r="F61" s="19" t="s">
        <v>24</v>
      </c>
      <c r="G61" s="40">
        <v>20378341</v>
      </c>
      <c r="H61" s="19" t="s">
        <v>117</v>
      </c>
      <c r="I61" s="40">
        <v>6</v>
      </c>
      <c r="J61" s="40">
        <v>0</v>
      </c>
      <c r="K61" s="41">
        <v>4</v>
      </c>
      <c r="L61" s="41">
        <v>24</v>
      </c>
    </row>
    <row r="62" spans="4:12">
      <c r="D62" s="39">
        <v>46091</v>
      </c>
      <c r="E62" s="19">
        <v>1583456</v>
      </c>
      <c r="F62" s="19" t="s">
        <v>28</v>
      </c>
      <c r="G62" s="40">
        <v>20008861</v>
      </c>
      <c r="H62" s="19" t="s">
        <v>85</v>
      </c>
      <c r="I62" s="40">
        <v>1</v>
      </c>
      <c r="J62" s="40">
        <v>1</v>
      </c>
      <c r="K62" s="41">
        <v>35</v>
      </c>
      <c r="L62" s="41">
        <v>35</v>
      </c>
    </row>
    <row r="63" spans="4:12">
      <c r="D63" s="39">
        <v>46092</v>
      </c>
      <c r="E63" s="19">
        <v>1584811</v>
      </c>
      <c r="F63" s="19" t="s">
        <v>53</v>
      </c>
      <c r="G63" s="40">
        <v>20310486</v>
      </c>
      <c r="H63" s="19" t="s">
        <v>112</v>
      </c>
      <c r="I63" s="40">
        <v>1</v>
      </c>
      <c r="J63" s="40">
        <v>13</v>
      </c>
      <c r="K63" s="41">
        <v>71.5</v>
      </c>
      <c r="L63" s="41">
        <v>71.5</v>
      </c>
    </row>
    <row r="64" spans="4:12">
      <c r="D64" s="39">
        <v>46092</v>
      </c>
      <c r="E64" s="19">
        <v>1584811</v>
      </c>
      <c r="F64" s="19" t="s">
        <v>53</v>
      </c>
      <c r="G64" s="40">
        <v>20007348</v>
      </c>
      <c r="H64" s="19" t="s">
        <v>113</v>
      </c>
      <c r="I64" s="40">
        <v>1</v>
      </c>
      <c r="J64" s="40">
        <v>27</v>
      </c>
      <c r="K64" s="41">
        <v>148.5</v>
      </c>
      <c r="L64" s="41">
        <v>148.5</v>
      </c>
    </row>
    <row r="65" spans="4:12">
      <c r="D65" s="39">
        <v>46092</v>
      </c>
      <c r="E65" s="19">
        <v>1584811</v>
      </c>
      <c r="F65" s="19" t="s">
        <v>53</v>
      </c>
      <c r="G65" s="40">
        <v>20007296</v>
      </c>
      <c r="H65" s="19" t="s">
        <v>125</v>
      </c>
      <c r="I65" s="40">
        <v>2</v>
      </c>
      <c r="J65" s="40">
        <v>74</v>
      </c>
      <c r="K65" s="41">
        <v>203.5</v>
      </c>
      <c r="L65" s="41">
        <v>407</v>
      </c>
    </row>
    <row r="66" spans="4:12">
      <c r="D66" s="39">
        <v>46092</v>
      </c>
      <c r="E66" s="19">
        <v>1584811</v>
      </c>
      <c r="F66" s="19" t="s">
        <v>55</v>
      </c>
      <c r="G66" s="40">
        <v>20008605</v>
      </c>
      <c r="H66" s="19" t="s">
        <v>56</v>
      </c>
      <c r="I66" s="40">
        <v>2</v>
      </c>
      <c r="J66" s="40">
        <v>4</v>
      </c>
      <c r="K66" s="41">
        <v>16.5</v>
      </c>
      <c r="L66" s="41">
        <v>33</v>
      </c>
    </row>
    <row r="67" spans="4:12">
      <c r="D67" s="39">
        <v>46092</v>
      </c>
      <c r="E67" s="19">
        <v>1584811</v>
      </c>
      <c r="F67" s="19" t="s">
        <v>14</v>
      </c>
      <c r="G67" s="40">
        <v>20354179</v>
      </c>
      <c r="H67" s="19" t="s">
        <v>139</v>
      </c>
      <c r="I67" s="40">
        <v>1</v>
      </c>
      <c r="J67" s="40">
        <v>2</v>
      </c>
      <c r="K67" s="41">
        <v>16.5</v>
      </c>
      <c r="L67" s="41">
        <v>16.5</v>
      </c>
    </row>
    <row r="68" spans="4:12">
      <c r="D68" s="39">
        <v>46092</v>
      </c>
      <c r="E68" s="19">
        <v>1584811</v>
      </c>
      <c r="F68" s="19" t="s">
        <v>14</v>
      </c>
      <c r="G68" s="40">
        <v>20394260</v>
      </c>
      <c r="H68" s="19" t="s">
        <v>140</v>
      </c>
      <c r="I68" s="40">
        <v>1</v>
      </c>
      <c r="J68" s="40">
        <v>2</v>
      </c>
      <c r="K68" s="41">
        <v>16.5</v>
      </c>
      <c r="L68" s="41">
        <v>16.5</v>
      </c>
    </row>
    <row r="69" spans="4:12">
      <c r="D69" s="39">
        <v>46092</v>
      </c>
      <c r="E69" s="19">
        <v>1584811</v>
      </c>
      <c r="F69" s="19" t="s">
        <v>14</v>
      </c>
      <c r="G69" s="40">
        <v>20312603</v>
      </c>
      <c r="H69" s="19" t="s">
        <v>114</v>
      </c>
      <c r="I69" s="40">
        <v>3</v>
      </c>
      <c r="J69" s="40">
        <v>9</v>
      </c>
      <c r="K69" s="41">
        <v>16.5</v>
      </c>
      <c r="L69" s="41">
        <v>49.5</v>
      </c>
    </row>
    <row r="70" spans="4:12">
      <c r="D70" s="39">
        <v>46092</v>
      </c>
      <c r="E70" s="19">
        <v>1584811</v>
      </c>
      <c r="F70" s="19" t="s">
        <v>35</v>
      </c>
      <c r="G70" s="40">
        <v>20366593</v>
      </c>
      <c r="H70" s="19" t="s">
        <v>141</v>
      </c>
      <c r="I70" s="40">
        <v>1</v>
      </c>
      <c r="J70" s="40">
        <v>3</v>
      </c>
      <c r="K70" s="41">
        <v>16.5</v>
      </c>
      <c r="L70" s="41">
        <v>16.5</v>
      </c>
    </row>
    <row r="71" spans="4:12">
      <c r="D71" s="39">
        <v>46092</v>
      </c>
      <c r="E71" s="19">
        <v>1584811</v>
      </c>
      <c r="F71" s="19" t="s">
        <v>35</v>
      </c>
      <c r="G71" s="40">
        <v>20312602</v>
      </c>
      <c r="H71" s="19" t="s">
        <v>116</v>
      </c>
      <c r="I71" s="40">
        <v>1</v>
      </c>
      <c r="J71" s="40">
        <v>4</v>
      </c>
      <c r="K71" s="41">
        <v>22</v>
      </c>
      <c r="L71" s="41">
        <v>22</v>
      </c>
    </row>
    <row r="72" spans="4:12">
      <c r="D72" s="39">
        <v>46092</v>
      </c>
      <c r="E72" s="19">
        <v>1584811</v>
      </c>
      <c r="F72" s="19" t="s">
        <v>24</v>
      </c>
      <c r="G72" s="40">
        <v>20345992</v>
      </c>
      <c r="H72" s="19" t="s">
        <v>142</v>
      </c>
      <c r="I72" s="40">
        <v>1</v>
      </c>
      <c r="J72" s="40">
        <v>0</v>
      </c>
      <c r="K72" s="41">
        <v>4</v>
      </c>
      <c r="L72" s="41">
        <v>4</v>
      </c>
    </row>
    <row r="73" spans="4:12">
      <c r="D73" s="39">
        <v>46092</v>
      </c>
      <c r="E73" s="19">
        <v>1584840</v>
      </c>
      <c r="F73" s="19" t="s">
        <v>28</v>
      </c>
      <c r="G73" s="40">
        <v>20014717</v>
      </c>
      <c r="H73" s="19" t="s">
        <v>118</v>
      </c>
      <c r="I73" s="40">
        <v>1</v>
      </c>
      <c r="J73" s="40">
        <v>1</v>
      </c>
      <c r="K73" s="41">
        <v>35</v>
      </c>
      <c r="L73" s="41">
        <v>35</v>
      </c>
    </row>
    <row r="74" spans="4:12">
      <c r="D74" s="39">
        <v>46092</v>
      </c>
      <c r="E74" s="19">
        <v>1584840</v>
      </c>
      <c r="F74" s="19" t="s">
        <v>28</v>
      </c>
      <c r="G74" s="40">
        <v>20007701</v>
      </c>
      <c r="H74" s="19" t="s">
        <v>143</v>
      </c>
      <c r="I74" s="40">
        <v>1</v>
      </c>
      <c r="J74" s="40">
        <v>1</v>
      </c>
      <c r="K74" s="41">
        <v>28</v>
      </c>
      <c r="L74" s="41">
        <v>28</v>
      </c>
    </row>
    <row r="75" spans="4:12">
      <c r="D75" s="39">
        <v>46092</v>
      </c>
      <c r="E75" s="19">
        <v>1584840</v>
      </c>
      <c r="F75" s="19" t="s">
        <v>28</v>
      </c>
      <c r="G75" s="40">
        <v>20010183</v>
      </c>
      <c r="H75" s="19" t="s">
        <v>119</v>
      </c>
      <c r="I75" s="40">
        <v>1</v>
      </c>
      <c r="J75" s="40">
        <v>1</v>
      </c>
      <c r="K75" s="41">
        <v>28</v>
      </c>
      <c r="L75" s="41">
        <v>28</v>
      </c>
    </row>
    <row r="76" spans="4:12">
      <c r="D76" s="39">
        <v>46092</v>
      </c>
      <c r="E76" s="19">
        <v>1584840</v>
      </c>
      <c r="F76" s="19" t="s">
        <v>28</v>
      </c>
      <c r="G76" s="40">
        <v>20010888</v>
      </c>
      <c r="H76" s="19" t="s">
        <v>120</v>
      </c>
      <c r="I76" s="40">
        <v>1</v>
      </c>
      <c r="J76" s="40">
        <v>1</v>
      </c>
      <c r="K76" s="41">
        <v>35</v>
      </c>
      <c r="L76" s="41">
        <v>35</v>
      </c>
    </row>
    <row r="77" spans="4:12">
      <c r="D77" s="39">
        <v>46092</v>
      </c>
      <c r="E77" s="19">
        <v>1584840</v>
      </c>
      <c r="F77" s="19" t="s">
        <v>28</v>
      </c>
      <c r="G77" s="40">
        <v>20007465</v>
      </c>
      <c r="H77" s="19" t="s">
        <v>29</v>
      </c>
      <c r="I77" s="40">
        <v>2</v>
      </c>
      <c r="J77" s="40">
        <v>2</v>
      </c>
      <c r="K77" s="41">
        <v>35</v>
      </c>
      <c r="L77" s="41">
        <v>70</v>
      </c>
    </row>
    <row r="78" spans="4:12">
      <c r="D78" s="39">
        <v>46092</v>
      </c>
      <c r="E78" s="19">
        <v>1584840</v>
      </c>
      <c r="F78" s="19" t="s">
        <v>28</v>
      </c>
      <c r="G78" s="40">
        <v>20007427</v>
      </c>
      <c r="H78" s="19" t="s">
        <v>122</v>
      </c>
      <c r="I78" s="40">
        <v>1</v>
      </c>
      <c r="J78" s="40">
        <v>1</v>
      </c>
      <c r="K78" s="41">
        <v>28</v>
      </c>
      <c r="L78" s="41">
        <v>28</v>
      </c>
    </row>
    <row r="79" spans="4:12">
      <c r="D79" s="39">
        <v>46092</v>
      </c>
      <c r="E79" s="19">
        <v>1584840</v>
      </c>
      <c r="F79" s="19" t="s">
        <v>28</v>
      </c>
      <c r="G79" s="40">
        <v>20007494</v>
      </c>
      <c r="H79" s="19" t="s">
        <v>123</v>
      </c>
      <c r="I79" s="40">
        <v>1</v>
      </c>
      <c r="J79" s="40">
        <v>1</v>
      </c>
      <c r="K79" s="41">
        <v>25</v>
      </c>
      <c r="L79" s="41">
        <v>25</v>
      </c>
    </row>
    <row r="80" spans="4:12">
      <c r="D80" s="39">
        <v>46092</v>
      </c>
      <c r="E80" s="19">
        <v>1584840</v>
      </c>
      <c r="F80" s="19" t="s">
        <v>28</v>
      </c>
      <c r="G80" s="40">
        <v>20007429</v>
      </c>
      <c r="H80" s="19" t="s">
        <v>124</v>
      </c>
      <c r="I80" s="40">
        <v>1</v>
      </c>
      <c r="J80" s="40">
        <v>1</v>
      </c>
      <c r="K80" s="41">
        <v>28</v>
      </c>
      <c r="L80" s="41">
        <v>28</v>
      </c>
    </row>
    <row r="81" spans="4:12">
      <c r="D81" s="39">
        <v>46092</v>
      </c>
      <c r="E81" s="19">
        <v>1584840</v>
      </c>
      <c r="F81" s="19" t="s">
        <v>28</v>
      </c>
      <c r="G81" s="40">
        <v>20007703</v>
      </c>
      <c r="H81" s="19" t="s">
        <v>144</v>
      </c>
      <c r="I81" s="40">
        <v>1</v>
      </c>
      <c r="J81" s="40">
        <v>1</v>
      </c>
      <c r="K81" s="41">
        <v>28</v>
      </c>
      <c r="L81" s="41">
        <v>28</v>
      </c>
    </row>
    <row r="82" spans="4:12">
      <c r="D82" s="39">
        <v>46092</v>
      </c>
      <c r="E82" s="19">
        <v>1585163</v>
      </c>
      <c r="F82" s="19" t="s">
        <v>53</v>
      </c>
      <c r="G82" s="40">
        <v>20008786</v>
      </c>
      <c r="H82" s="19" t="s">
        <v>145</v>
      </c>
      <c r="I82" s="40">
        <v>1</v>
      </c>
      <c r="J82" s="40">
        <v>33</v>
      </c>
      <c r="K82" s="41">
        <v>181.5</v>
      </c>
      <c r="L82" s="41">
        <v>181.5</v>
      </c>
    </row>
    <row r="83" spans="4:12">
      <c r="D83" s="39">
        <v>46092</v>
      </c>
      <c r="E83" s="19">
        <v>1585163</v>
      </c>
      <c r="F83" s="19" t="s">
        <v>53</v>
      </c>
      <c r="G83" s="40">
        <v>20013323</v>
      </c>
      <c r="H83" s="19" t="s">
        <v>126</v>
      </c>
      <c r="I83" s="40">
        <v>1</v>
      </c>
      <c r="J83" s="40">
        <v>21</v>
      </c>
      <c r="K83" s="41">
        <v>115.5</v>
      </c>
      <c r="L83" s="41">
        <v>115.5</v>
      </c>
    </row>
    <row r="84" spans="4:12">
      <c r="D84" s="39">
        <v>46092</v>
      </c>
      <c r="E84" s="19">
        <v>1585163</v>
      </c>
      <c r="F84" s="19" t="s">
        <v>53</v>
      </c>
      <c r="G84" s="40">
        <v>20300285</v>
      </c>
      <c r="H84" s="19" t="s">
        <v>135</v>
      </c>
      <c r="I84" s="40">
        <v>1</v>
      </c>
      <c r="J84" s="40">
        <v>14</v>
      </c>
      <c r="K84" s="41">
        <v>77</v>
      </c>
      <c r="L84" s="41">
        <v>77</v>
      </c>
    </row>
    <row r="85" spans="4:12">
      <c r="D85" s="39">
        <v>46092</v>
      </c>
      <c r="E85" s="19">
        <v>1585163</v>
      </c>
      <c r="F85" s="19" t="s">
        <v>55</v>
      </c>
      <c r="G85" s="40">
        <v>20008605</v>
      </c>
      <c r="H85" s="19" t="s">
        <v>56</v>
      </c>
      <c r="I85" s="40">
        <v>3</v>
      </c>
      <c r="J85" s="40">
        <v>6</v>
      </c>
      <c r="K85" s="41">
        <v>16.5</v>
      </c>
      <c r="L85" s="41">
        <v>49.5</v>
      </c>
    </row>
    <row r="86" spans="4:12">
      <c r="D86" s="39">
        <v>46092</v>
      </c>
      <c r="E86" s="19">
        <v>1585163</v>
      </c>
      <c r="F86" s="19" t="s">
        <v>14</v>
      </c>
      <c r="G86" s="40">
        <v>20407259</v>
      </c>
      <c r="H86" s="19" t="s">
        <v>146</v>
      </c>
      <c r="I86" s="40">
        <v>1</v>
      </c>
      <c r="J86" s="40">
        <v>1</v>
      </c>
      <c r="K86" s="41">
        <v>8</v>
      </c>
      <c r="L86" s="41">
        <v>8</v>
      </c>
    </row>
    <row r="87" spans="4:12">
      <c r="D87" s="39">
        <v>46092</v>
      </c>
      <c r="E87" s="19">
        <v>1585163</v>
      </c>
      <c r="F87" s="19" t="s">
        <v>14</v>
      </c>
      <c r="G87" s="40">
        <v>20312603</v>
      </c>
      <c r="H87" s="19" t="s">
        <v>114</v>
      </c>
      <c r="I87" s="40">
        <v>2</v>
      </c>
      <c r="J87" s="40">
        <v>6</v>
      </c>
      <c r="K87" s="41">
        <v>16.5</v>
      </c>
      <c r="L87" s="41">
        <v>33</v>
      </c>
    </row>
    <row r="88" spans="4:12">
      <c r="D88" s="39">
        <v>46092</v>
      </c>
      <c r="E88" s="19">
        <v>1585163</v>
      </c>
      <c r="F88" s="19" t="s">
        <v>35</v>
      </c>
      <c r="G88" s="40">
        <v>20359886</v>
      </c>
      <c r="H88" s="19" t="s">
        <v>147</v>
      </c>
      <c r="I88" s="40">
        <v>1</v>
      </c>
      <c r="J88" s="40">
        <v>2</v>
      </c>
      <c r="K88" s="41">
        <v>16.5</v>
      </c>
      <c r="L88" s="41">
        <v>16.5</v>
      </c>
    </row>
    <row r="89" spans="4:12">
      <c r="D89" s="39">
        <v>46092</v>
      </c>
      <c r="E89" s="19">
        <v>1585163</v>
      </c>
      <c r="F89" s="19" t="s">
        <v>35</v>
      </c>
      <c r="G89" s="40">
        <v>20359878</v>
      </c>
      <c r="H89" s="19" t="s">
        <v>148</v>
      </c>
      <c r="I89" s="40">
        <v>1</v>
      </c>
      <c r="J89" s="40">
        <v>4</v>
      </c>
      <c r="K89" s="41">
        <v>22</v>
      </c>
      <c r="L89" s="41">
        <v>22</v>
      </c>
    </row>
    <row r="90" spans="4:12">
      <c r="D90" s="39">
        <v>46092</v>
      </c>
      <c r="E90" s="19">
        <v>1585163</v>
      </c>
      <c r="F90" s="19" t="s">
        <v>24</v>
      </c>
      <c r="G90" s="40">
        <v>20008867</v>
      </c>
      <c r="H90" s="19" t="s">
        <v>130</v>
      </c>
      <c r="I90" s="40">
        <v>2</v>
      </c>
      <c r="J90" s="40">
        <v>0</v>
      </c>
      <c r="K90" s="41">
        <v>4</v>
      </c>
      <c r="L90" s="41">
        <v>8</v>
      </c>
    </row>
    <row r="91" spans="4:12">
      <c r="D91" s="39">
        <v>46093</v>
      </c>
      <c r="E91" s="19">
        <v>1585199</v>
      </c>
      <c r="F91" s="19" t="s">
        <v>35</v>
      </c>
      <c r="G91" s="40">
        <v>20009335</v>
      </c>
      <c r="H91" s="19" t="s">
        <v>149</v>
      </c>
      <c r="I91" s="40">
        <v>1</v>
      </c>
      <c r="J91" s="40">
        <v>24</v>
      </c>
      <c r="K91" s="41">
        <v>132</v>
      </c>
      <c r="L91" s="41">
        <v>132</v>
      </c>
    </row>
    <row r="92" spans="4:12">
      <c r="D92" s="39">
        <v>46093</v>
      </c>
      <c r="E92" s="19">
        <v>1585216</v>
      </c>
      <c r="F92" s="19" t="s">
        <v>28</v>
      </c>
      <c r="G92" s="40">
        <v>20007701</v>
      </c>
      <c r="H92" s="19" t="s">
        <v>143</v>
      </c>
      <c r="I92" s="40">
        <v>1</v>
      </c>
      <c r="J92" s="40">
        <v>1</v>
      </c>
      <c r="K92" s="41">
        <v>28</v>
      </c>
      <c r="L92" s="41">
        <v>28</v>
      </c>
    </row>
    <row r="93" spans="4:12">
      <c r="D93" s="39">
        <v>46093</v>
      </c>
      <c r="E93" s="19">
        <v>1585216</v>
      </c>
      <c r="F93" s="19" t="s">
        <v>28</v>
      </c>
      <c r="G93" s="40">
        <v>20007437</v>
      </c>
      <c r="H93" s="19" t="s">
        <v>150</v>
      </c>
      <c r="I93" s="40">
        <v>1</v>
      </c>
      <c r="J93" s="40">
        <v>1</v>
      </c>
      <c r="K93" s="41">
        <v>28</v>
      </c>
      <c r="L93" s="41">
        <v>28</v>
      </c>
    </row>
    <row r="94" spans="4:12">
      <c r="D94" s="39">
        <v>46093</v>
      </c>
      <c r="E94" s="19">
        <v>1585216</v>
      </c>
      <c r="F94" s="19" t="s">
        <v>28</v>
      </c>
      <c r="G94" s="40">
        <v>20010201</v>
      </c>
      <c r="H94" s="19" t="s">
        <v>151</v>
      </c>
      <c r="I94" s="40">
        <v>1</v>
      </c>
      <c r="J94" s="40">
        <v>1</v>
      </c>
      <c r="K94" s="41">
        <v>28</v>
      </c>
      <c r="L94" s="41">
        <v>28</v>
      </c>
    </row>
    <row r="95" spans="4:12">
      <c r="D95" s="39">
        <v>46093</v>
      </c>
      <c r="E95" s="19">
        <v>1585216</v>
      </c>
      <c r="F95" s="19" t="s">
        <v>28</v>
      </c>
      <c r="G95" s="40">
        <v>20007465</v>
      </c>
      <c r="H95" s="19" t="s">
        <v>29</v>
      </c>
      <c r="I95" s="40">
        <v>1</v>
      </c>
      <c r="J95" s="40">
        <v>1</v>
      </c>
      <c r="K95" s="41">
        <v>35</v>
      </c>
      <c r="L95" s="41">
        <v>35</v>
      </c>
    </row>
    <row r="96" spans="4:12">
      <c r="D96" s="39">
        <v>46093</v>
      </c>
      <c r="E96" s="19">
        <v>1585216</v>
      </c>
      <c r="F96" s="19" t="s">
        <v>28</v>
      </c>
      <c r="G96" s="40">
        <v>20007494</v>
      </c>
      <c r="H96" s="19" t="s">
        <v>123</v>
      </c>
      <c r="I96" s="40">
        <v>1</v>
      </c>
      <c r="J96" s="40">
        <v>1</v>
      </c>
      <c r="K96" s="41">
        <v>25</v>
      </c>
      <c r="L96" s="41">
        <v>25</v>
      </c>
    </row>
    <row r="97" spans="4:12">
      <c r="D97" s="39">
        <v>46093</v>
      </c>
      <c r="E97" s="19">
        <v>1585216</v>
      </c>
      <c r="F97" s="19" t="s">
        <v>30</v>
      </c>
      <c r="G97" s="40">
        <v>20329964</v>
      </c>
      <c r="H97" s="19" t="s">
        <v>152</v>
      </c>
      <c r="I97" s="40">
        <v>1</v>
      </c>
      <c r="J97" s="40">
        <v>1</v>
      </c>
      <c r="K97" s="41">
        <v>28</v>
      </c>
      <c r="L97" s="41">
        <v>28</v>
      </c>
    </row>
    <row r="98" spans="4:12">
      <c r="D98" s="39">
        <v>46094</v>
      </c>
      <c r="E98" s="19">
        <v>1585604</v>
      </c>
      <c r="F98" s="19" t="s">
        <v>53</v>
      </c>
      <c r="G98" s="40">
        <v>20310486</v>
      </c>
      <c r="H98" s="19" t="s">
        <v>112</v>
      </c>
      <c r="I98" s="40">
        <v>1</v>
      </c>
      <c r="J98" s="40">
        <v>13</v>
      </c>
      <c r="K98" s="41">
        <v>71.5</v>
      </c>
      <c r="L98" s="41">
        <v>71.5</v>
      </c>
    </row>
    <row r="99" spans="4:12">
      <c r="D99" s="39">
        <v>46094</v>
      </c>
      <c r="E99" s="19">
        <v>1585604</v>
      </c>
      <c r="F99" s="19" t="s">
        <v>53</v>
      </c>
      <c r="G99" s="40">
        <v>20013323</v>
      </c>
      <c r="H99" s="19" t="s">
        <v>126</v>
      </c>
      <c r="I99" s="40">
        <v>2</v>
      </c>
      <c r="J99" s="40">
        <v>42</v>
      </c>
      <c r="K99" s="41">
        <v>115.5</v>
      </c>
      <c r="L99" s="41">
        <v>231</v>
      </c>
    </row>
    <row r="100" spans="4:12">
      <c r="D100" s="39">
        <v>46094</v>
      </c>
      <c r="E100" s="19">
        <v>1585604</v>
      </c>
      <c r="F100" s="19" t="s">
        <v>53</v>
      </c>
      <c r="G100" s="40">
        <v>20009113</v>
      </c>
      <c r="H100" s="19" t="s">
        <v>127</v>
      </c>
      <c r="I100" s="40">
        <v>1</v>
      </c>
      <c r="J100" s="40">
        <v>24</v>
      </c>
      <c r="K100" s="41">
        <v>132</v>
      </c>
      <c r="L100" s="41">
        <v>132</v>
      </c>
    </row>
    <row r="101" spans="4:12">
      <c r="D101" s="39">
        <v>46094</v>
      </c>
      <c r="E101" s="19">
        <v>1585604</v>
      </c>
      <c r="F101" s="19" t="s">
        <v>53</v>
      </c>
      <c r="G101" s="40">
        <v>20300285</v>
      </c>
      <c r="H101" s="19" t="s">
        <v>135</v>
      </c>
      <c r="I101" s="40">
        <v>1</v>
      </c>
      <c r="J101" s="40">
        <v>14</v>
      </c>
      <c r="K101" s="41">
        <v>77</v>
      </c>
      <c r="L101" s="41">
        <v>77</v>
      </c>
    </row>
    <row r="102" spans="4:12">
      <c r="D102" s="39">
        <v>46094</v>
      </c>
      <c r="E102" s="19">
        <v>1585604</v>
      </c>
      <c r="F102" s="19" t="s">
        <v>55</v>
      </c>
      <c r="G102" s="40">
        <v>20008605</v>
      </c>
      <c r="H102" s="19" t="s">
        <v>56</v>
      </c>
      <c r="I102" s="40">
        <v>4</v>
      </c>
      <c r="J102" s="40">
        <v>8</v>
      </c>
      <c r="K102" s="41">
        <v>16.5</v>
      </c>
      <c r="L102" s="41">
        <v>66</v>
      </c>
    </row>
    <row r="103" spans="4:12">
      <c r="D103" s="39">
        <v>46094</v>
      </c>
      <c r="E103" s="19">
        <v>1585604</v>
      </c>
      <c r="F103" s="19" t="s">
        <v>14</v>
      </c>
      <c r="G103" s="40">
        <v>20312603</v>
      </c>
      <c r="H103" s="19" t="s">
        <v>114</v>
      </c>
      <c r="I103" s="40">
        <v>1</v>
      </c>
      <c r="J103" s="40">
        <v>3</v>
      </c>
      <c r="K103" s="41">
        <v>16.5</v>
      </c>
      <c r="L103" s="41">
        <v>16.5</v>
      </c>
    </row>
    <row r="104" spans="4:12">
      <c r="D104" s="39">
        <v>46094</v>
      </c>
      <c r="E104" s="19">
        <v>1585604</v>
      </c>
      <c r="F104" s="19" t="s">
        <v>14</v>
      </c>
      <c r="G104" s="40">
        <v>20313189</v>
      </c>
      <c r="H104" s="19" t="s">
        <v>136</v>
      </c>
      <c r="I104" s="40">
        <v>3</v>
      </c>
      <c r="J104" s="40">
        <v>9</v>
      </c>
      <c r="K104" s="41">
        <v>16.5</v>
      </c>
      <c r="L104" s="41">
        <v>49.5</v>
      </c>
    </row>
    <row r="105" spans="4:12">
      <c r="D105" s="39">
        <v>46094</v>
      </c>
      <c r="E105" s="19">
        <v>1585604</v>
      </c>
      <c r="F105" s="19" t="s">
        <v>35</v>
      </c>
      <c r="G105" s="40">
        <v>20323870</v>
      </c>
      <c r="H105" s="19" t="s">
        <v>129</v>
      </c>
      <c r="I105" s="40">
        <v>1</v>
      </c>
      <c r="J105" s="40">
        <v>6</v>
      </c>
      <c r="K105" s="41">
        <v>33</v>
      </c>
      <c r="L105" s="41">
        <v>33</v>
      </c>
    </row>
    <row r="106" spans="4:12">
      <c r="D106" s="39">
        <v>46094</v>
      </c>
      <c r="E106" s="19">
        <v>1585604</v>
      </c>
      <c r="F106" s="19" t="s">
        <v>35</v>
      </c>
      <c r="G106" s="40">
        <v>20320389</v>
      </c>
      <c r="H106" s="19" t="s">
        <v>132</v>
      </c>
      <c r="I106" s="40">
        <v>1</v>
      </c>
      <c r="J106" s="40">
        <v>3</v>
      </c>
      <c r="K106" s="41">
        <v>16.5</v>
      </c>
      <c r="L106" s="41">
        <v>16.5</v>
      </c>
    </row>
    <row r="107" spans="4:12">
      <c r="D107" s="39">
        <v>46094</v>
      </c>
      <c r="E107" s="19">
        <v>1585604</v>
      </c>
      <c r="F107" s="19" t="s">
        <v>35</v>
      </c>
      <c r="G107" s="40">
        <v>20007695</v>
      </c>
      <c r="H107" s="19" t="s">
        <v>153</v>
      </c>
      <c r="I107" s="40">
        <v>1</v>
      </c>
      <c r="J107" s="40">
        <v>5</v>
      </c>
      <c r="K107" s="41">
        <v>27.5</v>
      </c>
      <c r="L107" s="41">
        <v>27.5</v>
      </c>
    </row>
    <row r="108" spans="4:12">
      <c r="D108" s="39">
        <v>46094</v>
      </c>
      <c r="E108" s="19">
        <v>1585604</v>
      </c>
      <c r="F108" s="19" t="s">
        <v>24</v>
      </c>
      <c r="G108" s="40">
        <v>20378341</v>
      </c>
      <c r="H108" s="19" t="s">
        <v>117</v>
      </c>
      <c r="I108" s="40">
        <v>8</v>
      </c>
      <c r="J108" s="40">
        <v>0</v>
      </c>
      <c r="K108" s="41">
        <v>4</v>
      </c>
      <c r="L108" s="41">
        <v>32</v>
      </c>
    </row>
    <row r="109" spans="4:12">
      <c r="D109" s="39">
        <v>46094</v>
      </c>
      <c r="E109" s="19">
        <v>1585635</v>
      </c>
      <c r="F109" s="19" t="s">
        <v>28</v>
      </c>
      <c r="G109" s="40">
        <v>20007471</v>
      </c>
      <c r="H109" s="19" t="s">
        <v>154</v>
      </c>
      <c r="I109" s="40">
        <v>1</v>
      </c>
      <c r="J109" s="40">
        <v>5</v>
      </c>
      <c r="K109" s="41">
        <v>88</v>
      </c>
      <c r="L109" s="41">
        <v>88</v>
      </c>
    </row>
    <row r="110" spans="4:12">
      <c r="D110" s="39">
        <v>46095</v>
      </c>
      <c r="E110" s="19">
        <v>1585984</v>
      </c>
      <c r="F110" s="19" t="s">
        <v>53</v>
      </c>
      <c r="G110" s="40">
        <v>20007343</v>
      </c>
      <c r="H110" s="19" t="s">
        <v>155</v>
      </c>
      <c r="I110" s="40">
        <v>1</v>
      </c>
      <c r="J110" s="40">
        <v>57</v>
      </c>
      <c r="K110" s="41">
        <v>313.5</v>
      </c>
      <c r="L110" s="41">
        <v>313.5</v>
      </c>
    </row>
    <row r="111" spans="4:12">
      <c r="D111" s="39">
        <v>46095</v>
      </c>
      <c r="E111" s="19">
        <v>1585984</v>
      </c>
      <c r="F111" s="19" t="s">
        <v>53</v>
      </c>
      <c r="G111" s="40">
        <v>20300285</v>
      </c>
      <c r="H111" s="19" t="s">
        <v>135</v>
      </c>
      <c r="I111" s="40">
        <v>1</v>
      </c>
      <c r="J111" s="40">
        <v>14</v>
      </c>
      <c r="K111" s="41">
        <v>77</v>
      </c>
      <c r="L111" s="41">
        <v>77</v>
      </c>
    </row>
    <row r="112" spans="4:12">
      <c r="D112" s="39">
        <v>46095</v>
      </c>
      <c r="E112" s="19">
        <v>1585984</v>
      </c>
      <c r="F112" s="19" t="s">
        <v>55</v>
      </c>
      <c r="G112" s="40">
        <v>20008605</v>
      </c>
      <c r="H112" s="19" t="s">
        <v>56</v>
      </c>
      <c r="I112" s="40">
        <v>1</v>
      </c>
      <c r="J112" s="40">
        <v>2</v>
      </c>
      <c r="K112" s="41">
        <v>16.5</v>
      </c>
      <c r="L112" s="41">
        <v>16.5</v>
      </c>
    </row>
    <row r="113" spans="4:12">
      <c r="D113" s="39">
        <v>46095</v>
      </c>
      <c r="E113" s="19">
        <v>1585984</v>
      </c>
      <c r="F113" s="19" t="s">
        <v>35</v>
      </c>
      <c r="G113" s="40">
        <v>20320389</v>
      </c>
      <c r="H113" s="19" t="s">
        <v>132</v>
      </c>
      <c r="I113" s="40">
        <v>1</v>
      </c>
      <c r="J113" s="40">
        <v>3</v>
      </c>
      <c r="K113" s="41">
        <v>16.5</v>
      </c>
      <c r="L113" s="41">
        <v>16.5</v>
      </c>
    </row>
    <row r="114" spans="4:12">
      <c r="D114" s="39">
        <v>46095</v>
      </c>
      <c r="E114" s="19">
        <v>1585984</v>
      </c>
      <c r="F114" s="19" t="s">
        <v>35</v>
      </c>
      <c r="G114" s="40">
        <v>20312602</v>
      </c>
      <c r="H114" s="19" t="s">
        <v>116</v>
      </c>
      <c r="I114" s="40">
        <v>2</v>
      </c>
      <c r="J114" s="40">
        <v>8</v>
      </c>
      <c r="K114" s="41">
        <v>22</v>
      </c>
      <c r="L114" s="41">
        <v>44</v>
      </c>
    </row>
    <row r="115" spans="4:12">
      <c r="D115" s="39">
        <v>46098</v>
      </c>
      <c r="E115" s="19">
        <v>1586491</v>
      </c>
      <c r="F115" s="19" t="s">
        <v>53</v>
      </c>
      <c r="G115" s="40">
        <v>20009011</v>
      </c>
      <c r="H115" s="19" t="s">
        <v>111</v>
      </c>
      <c r="I115" s="40">
        <v>2</v>
      </c>
      <c r="J115" s="40">
        <v>14</v>
      </c>
      <c r="K115" s="41">
        <v>38.5</v>
      </c>
      <c r="L115" s="41">
        <v>77</v>
      </c>
    </row>
    <row r="116" spans="4:12">
      <c r="D116" s="39">
        <v>46098</v>
      </c>
      <c r="E116" s="19">
        <v>1586491</v>
      </c>
      <c r="F116" s="19" t="s">
        <v>53</v>
      </c>
      <c r="G116" s="40">
        <v>20310486</v>
      </c>
      <c r="H116" s="19" t="s">
        <v>112</v>
      </c>
      <c r="I116" s="40">
        <v>1</v>
      </c>
      <c r="J116" s="40">
        <v>13</v>
      </c>
      <c r="K116" s="41">
        <v>71.5</v>
      </c>
      <c r="L116" s="41">
        <v>71.5</v>
      </c>
    </row>
    <row r="117" spans="4:12">
      <c r="D117" s="39">
        <v>46098</v>
      </c>
      <c r="E117" s="19">
        <v>1586491</v>
      </c>
      <c r="F117" s="19" t="s">
        <v>53</v>
      </c>
      <c r="G117" s="40">
        <v>20007343</v>
      </c>
      <c r="H117" s="19" t="s">
        <v>155</v>
      </c>
      <c r="I117" s="40">
        <v>1</v>
      </c>
      <c r="J117" s="40">
        <v>57</v>
      </c>
      <c r="K117" s="41">
        <v>313.5</v>
      </c>
      <c r="L117" s="41">
        <v>313.5</v>
      </c>
    </row>
    <row r="118" spans="4:12">
      <c r="D118" s="39">
        <v>46098</v>
      </c>
      <c r="E118" s="19">
        <v>1586491</v>
      </c>
      <c r="F118" s="19" t="s">
        <v>53</v>
      </c>
      <c r="G118" s="40">
        <v>20300285</v>
      </c>
      <c r="H118" s="19" t="s">
        <v>135</v>
      </c>
      <c r="I118" s="40">
        <v>2</v>
      </c>
      <c r="J118" s="40">
        <v>28</v>
      </c>
      <c r="K118" s="41">
        <v>77</v>
      </c>
      <c r="L118" s="41">
        <v>154</v>
      </c>
    </row>
    <row r="119" spans="4:12">
      <c r="D119" s="39">
        <v>46098</v>
      </c>
      <c r="E119" s="19">
        <v>1586491</v>
      </c>
      <c r="F119" s="19" t="s">
        <v>55</v>
      </c>
      <c r="G119" s="40">
        <v>20008605</v>
      </c>
      <c r="H119" s="19" t="s">
        <v>56</v>
      </c>
      <c r="I119" s="40">
        <v>7</v>
      </c>
      <c r="J119" s="40">
        <v>14</v>
      </c>
      <c r="K119" s="41">
        <v>16.5</v>
      </c>
      <c r="L119" s="41">
        <v>115.5</v>
      </c>
    </row>
    <row r="120" spans="4:12">
      <c r="D120" s="39">
        <v>46098</v>
      </c>
      <c r="E120" s="19">
        <v>1586491</v>
      </c>
      <c r="F120" s="19" t="s">
        <v>14</v>
      </c>
      <c r="G120" s="40">
        <v>20014120</v>
      </c>
      <c r="H120" s="19" t="s">
        <v>156</v>
      </c>
      <c r="I120" s="40">
        <v>1</v>
      </c>
      <c r="J120" s="40">
        <v>1</v>
      </c>
      <c r="K120" s="41">
        <v>8</v>
      </c>
      <c r="L120" s="41">
        <v>8</v>
      </c>
    </row>
    <row r="121" spans="4:12">
      <c r="D121" s="39">
        <v>46098</v>
      </c>
      <c r="E121" s="19">
        <v>1586491</v>
      </c>
      <c r="F121" s="19" t="s">
        <v>14</v>
      </c>
      <c r="G121" s="40">
        <v>20341745</v>
      </c>
      <c r="H121" s="19" t="s">
        <v>157</v>
      </c>
      <c r="I121" s="40">
        <v>1</v>
      </c>
      <c r="J121" s="40">
        <v>2</v>
      </c>
      <c r="K121" s="41">
        <v>16.5</v>
      </c>
      <c r="L121" s="41">
        <v>16.5</v>
      </c>
    </row>
    <row r="122" spans="4:12">
      <c r="D122" s="39">
        <v>46098</v>
      </c>
      <c r="E122" s="19">
        <v>1586491</v>
      </c>
      <c r="F122" s="19" t="s">
        <v>14</v>
      </c>
      <c r="G122" s="40">
        <v>20312603</v>
      </c>
      <c r="H122" s="19" t="s">
        <v>114</v>
      </c>
      <c r="I122" s="40">
        <v>6</v>
      </c>
      <c r="J122" s="40">
        <v>18</v>
      </c>
      <c r="K122" s="41">
        <v>16.5</v>
      </c>
      <c r="L122" s="41">
        <v>99</v>
      </c>
    </row>
    <row r="123" spans="4:12">
      <c r="D123" s="39">
        <v>46098</v>
      </c>
      <c r="E123" s="19">
        <v>1586491</v>
      </c>
      <c r="F123" s="19" t="s">
        <v>14</v>
      </c>
      <c r="G123" s="40">
        <v>20367551</v>
      </c>
      <c r="H123" s="19" t="s">
        <v>158</v>
      </c>
      <c r="I123" s="40">
        <v>1</v>
      </c>
      <c r="J123" s="40">
        <v>12</v>
      </c>
      <c r="K123" s="41">
        <v>16.5</v>
      </c>
      <c r="L123" s="41">
        <v>16.5</v>
      </c>
    </row>
    <row r="124" spans="4:12">
      <c r="D124" s="39">
        <v>46098</v>
      </c>
      <c r="E124" s="19">
        <v>1586491</v>
      </c>
      <c r="F124" s="19" t="s">
        <v>14</v>
      </c>
      <c r="G124" s="40">
        <v>20321339</v>
      </c>
      <c r="H124" s="19" t="s">
        <v>159</v>
      </c>
      <c r="I124" s="40">
        <v>2</v>
      </c>
      <c r="J124" s="40">
        <v>4</v>
      </c>
      <c r="K124" s="41">
        <v>8</v>
      </c>
      <c r="L124" s="41">
        <v>16</v>
      </c>
    </row>
    <row r="125" spans="4:12">
      <c r="D125" s="39">
        <v>46098</v>
      </c>
      <c r="E125" s="19">
        <v>1586491</v>
      </c>
      <c r="F125" s="19" t="s">
        <v>35</v>
      </c>
      <c r="G125" s="40">
        <v>20312602</v>
      </c>
      <c r="H125" s="19" t="s">
        <v>116</v>
      </c>
      <c r="I125" s="40">
        <v>1</v>
      </c>
      <c r="J125" s="40">
        <v>4</v>
      </c>
      <c r="K125" s="41">
        <v>22</v>
      </c>
      <c r="L125" s="41">
        <v>22</v>
      </c>
    </row>
    <row r="126" spans="4:12">
      <c r="D126" s="39">
        <v>46098</v>
      </c>
      <c r="E126" s="19">
        <v>1586491</v>
      </c>
      <c r="F126" s="19" t="s">
        <v>35</v>
      </c>
      <c r="G126" s="40">
        <v>20012108</v>
      </c>
      <c r="H126" s="19" t="s">
        <v>160</v>
      </c>
      <c r="I126" s="40">
        <v>1</v>
      </c>
      <c r="J126" s="40">
        <v>7</v>
      </c>
      <c r="K126" s="41">
        <v>38.5</v>
      </c>
      <c r="L126" s="41">
        <v>38.5</v>
      </c>
    </row>
    <row r="127" spans="4:12">
      <c r="D127" s="39">
        <v>46098</v>
      </c>
      <c r="E127" s="19">
        <v>1586491</v>
      </c>
      <c r="F127" s="19" t="s">
        <v>24</v>
      </c>
      <c r="G127" s="40">
        <v>20378341</v>
      </c>
      <c r="H127" s="19" t="s">
        <v>117</v>
      </c>
      <c r="I127" s="40">
        <v>10</v>
      </c>
      <c r="J127" s="40">
        <v>0</v>
      </c>
      <c r="K127" s="41">
        <v>4</v>
      </c>
      <c r="L127" s="41">
        <v>40</v>
      </c>
    </row>
    <row r="128" spans="4:12">
      <c r="D128" s="39">
        <v>46098</v>
      </c>
      <c r="E128" s="19">
        <v>1586539</v>
      </c>
      <c r="F128" s="19" t="s">
        <v>28</v>
      </c>
      <c r="G128" s="40">
        <v>20008861</v>
      </c>
      <c r="H128" s="19" t="s">
        <v>85</v>
      </c>
      <c r="I128" s="40">
        <v>2</v>
      </c>
      <c r="J128" s="40">
        <v>2</v>
      </c>
      <c r="K128" s="41">
        <v>35</v>
      </c>
      <c r="L128" s="41">
        <v>70</v>
      </c>
    </row>
    <row r="129" spans="4:12">
      <c r="D129" s="39">
        <v>46098</v>
      </c>
      <c r="E129" s="19">
        <v>1586539</v>
      </c>
      <c r="F129" s="19" t="s">
        <v>28</v>
      </c>
      <c r="G129" s="40">
        <v>20353770</v>
      </c>
      <c r="H129" s="19" t="s">
        <v>161</v>
      </c>
      <c r="I129" s="40">
        <v>1</v>
      </c>
      <c r="J129" s="40">
        <v>1</v>
      </c>
      <c r="K129" s="41">
        <v>28</v>
      </c>
      <c r="L129" s="41">
        <v>28</v>
      </c>
    </row>
    <row r="130" spans="4:12">
      <c r="D130" s="39">
        <v>46099</v>
      </c>
      <c r="E130" s="19">
        <v>1586889</v>
      </c>
      <c r="F130" s="19" t="s">
        <v>53</v>
      </c>
      <c r="G130" s="40">
        <v>20007296</v>
      </c>
      <c r="H130" s="19" t="s">
        <v>125</v>
      </c>
      <c r="I130" s="40">
        <v>1</v>
      </c>
      <c r="J130" s="40">
        <v>37</v>
      </c>
      <c r="K130" s="41">
        <v>203.5</v>
      </c>
      <c r="L130" s="41">
        <v>203.5</v>
      </c>
    </row>
    <row r="131" spans="4:12">
      <c r="D131" s="39">
        <v>46099</v>
      </c>
      <c r="E131" s="19">
        <v>1586889</v>
      </c>
      <c r="F131" s="19" t="s">
        <v>53</v>
      </c>
      <c r="G131" s="40">
        <v>20013323</v>
      </c>
      <c r="H131" s="19" t="s">
        <v>126</v>
      </c>
      <c r="I131" s="40">
        <v>1</v>
      </c>
      <c r="J131" s="40">
        <v>21</v>
      </c>
      <c r="K131" s="41">
        <v>115.5</v>
      </c>
      <c r="L131" s="41">
        <v>115.5</v>
      </c>
    </row>
    <row r="132" spans="4:12">
      <c r="D132" s="39">
        <v>46099</v>
      </c>
      <c r="E132" s="19">
        <v>1586889</v>
      </c>
      <c r="F132" s="19" t="s">
        <v>53</v>
      </c>
      <c r="G132" s="40">
        <v>20300285</v>
      </c>
      <c r="H132" s="19" t="s">
        <v>135</v>
      </c>
      <c r="I132" s="40">
        <v>1</v>
      </c>
      <c r="J132" s="40">
        <v>14</v>
      </c>
      <c r="K132" s="41">
        <v>77</v>
      </c>
      <c r="L132" s="41">
        <v>77</v>
      </c>
    </row>
    <row r="133" spans="4:12">
      <c r="D133" s="39">
        <v>46099</v>
      </c>
      <c r="E133" s="19">
        <v>1586889</v>
      </c>
      <c r="F133" s="19" t="s">
        <v>55</v>
      </c>
      <c r="G133" s="40">
        <v>20008605</v>
      </c>
      <c r="H133" s="19" t="s">
        <v>56</v>
      </c>
      <c r="I133" s="40">
        <v>3</v>
      </c>
      <c r="J133" s="40">
        <v>6</v>
      </c>
      <c r="K133" s="41">
        <v>16.5</v>
      </c>
      <c r="L133" s="41">
        <v>49.5</v>
      </c>
    </row>
    <row r="134" spans="4:12">
      <c r="D134" s="39">
        <v>46099</v>
      </c>
      <c r="E134" s="19">
        <v>1586889</v>
      </c>
      <c r="F134" s="19" t="s">
        <v>14</v>
      </c>
      <c r="G134" s="40">
        <v>20312603</v>
      </c>
      <c r="H134" s="19" t="s">
        <v>114</v>
      </c>
      <c r="I134" s="40">
        <v>3</v>
      </c>
      <c r="J134" s="40">
        <v>9</v>
      </c>
      <c r="K134" s="41">
        <v>16.5</v>
      </c>
      <c r="L134" s="41">
        <v>49.5</v>
      </c>
    </row>
    <row r="135" spans="4:12">
      <c r="D135" s="39">
        <v>46099</v>
      </c>
      <c r="E135" s="19">
        <v>1586889</v>
      </c>
      <c r="F135" s="19" t="s">
        <v>35</v>
      </c>
      <c r="G135" s="40">
        <v>20315666</v>
      </c>
      <c r="H135" s="19" t="s">
        <v>162</v>
      </c>
      <c r="I135" s="40">
        <v>1</v>
      </c>
      <c r="J135" s="40">
        <v>2</v>
      </c>
      <c r="K135" s="41">
        <v>16.5</v>
      </c>
      <c r="L135" s="41">
        <v>16.5</v>
      </c>
    </row>
    <row r="136" spans="4:12">
      <c r="D136" s="39">
        <v>46099</v>
      </c>
      <c r="E136" s="19">
        <v>1586889</v>
      </c>
      <c r="F136" s="19" t="s">
        <v>35</v>
      </c>
      <c r="G136" s="40">
        <v>20007330</v>
      </c>
      <c r="H136" s="19" t="s">
        <v>163</v>
      </c>
      <c r="I136" s="40">
        <v>1</v>
      </c>
      <c r="J136" s="40">
        <v>2</v>
      </c>
      <c r="K136" s="41">
        <v>16.5</v>
      </c>
      <c r="L136" s="41">
        <v>16.5</v>
      </c>
    </row>
    <row r="137" spans="4:12">
      <c r="D137" s="39">
        <v>46099</v>
      </c>
      <c r="E137" s="19">
        <v>1586906</v>
      </c>
      <c r="F137" s="19" t="s">
        <v>28</v>
      </c>
      <c r="G137" s="40">
        <v>20008861</v>
      </c>
      <c r="H137" s="19" t="s">
        <v>85</v>
      </c>
      <c r="I137" s="40">
        <v>1</v>
      </c>
      <c r="J137" s="40">
        <v>1</v>
      </c>
      <c r="K137" s="41">
        <v>35</v>
      </c>
      <c r="L137" s="41">
        <v>35</v>
      </c>
    </row>
    <row r="138" spans="4:12">
      <c r="D138" s="39">
        <v>46099</v>
      </c>
      <c r="E138" s="19">
        <v>1587148</v>
      </c>
      <c r="F138" s="19" t="s">
        <v>53</v>
      </c>
      <c r="G138" s="40">
        <v>20009011</v>
      </c>
      <c r="H138" s="19" t="s">
        <v>111</v>
      </c>
      <c r="I138" s="40">
        <v>1</v>
      </c>
      <c r="J138" s="40">
        <v>7</v>
      </c>
      <c r="K138" s="41">
        <v>38.5</v>
      </c>
      <c r="L138" s="41">
        <v>38.5</v>
      </c>
    </row>
    <row r="139" spans="4:12">
      <c r="D139" s="39">
        <v>46099</v>
      </c>
      <c r="E139" s="19">
        <v>1587148</v>
      </c>
      <c r="F139" s="19" t="s">
        <v>55</v>
      </c>
      <c r="G139" s="40">
        <v>20008605</v>
      </c>
      <c r="H139" s="19" t="s">
        <v>56</v>
      </c>
      <c r="I139" s="40">
        <v>1</v>
      </c>
      <c r="J139" s="40">
        <v>2</v>
      </c>
      <c r="K139" s="41">
        <v>16.5</v>
      </c>
      <c r="L139" s="41">
        <v>16.5</v>
      </c>
    </row>
    <row r="140" spans="4:12">
      <c r="D140" s="39">
        <v>46099</v>
      </c>
      <c r="E140" s="19">
        <v>1587148</v>
      </c>
      <c r="F140" s="19" t="s">
        <v>14</v>
      </c>
      <c r="G140" s="40">
        <v>20417519</v>
      </c>
      <c r="H140" s="19" t="s">
        <v>94</v>
      </c>
      <c r="I140" s="40">
        <v>1</v>
      </c>
      <c r="J140" s="40">
        <v>3</v>
      </c>
      <c r="K140" s="41">
        <v>22</v>
      </c>
      <c r="L140" s="41">
        <v>22</v>
      </c>
    </row>
    <row r="141" spans="4:12">
      <c r="D141" s="39">
        <v>46099</v>
      </c>
      <c r="E141" s="19">
        <v>1587148</v>
      </c>
      <c r="F141" s="19" t="s">
        <v>35</v>
      </c>
      <c r="G141" s="40">
        <v>20312602</v>
      </c>
      <c r="H141" s="19" t="s">
        <v>116</v>
      </c>
      <c r="I141" s="40">
        <v>1</v>
      </c>
      <c r="J141" s="40">
        <v>4</v>
      </c>
      <c r="K141" s="41">
        <v>22</v>
      </c>
      <c r="L141" s="41">
        <v>22</v>
      </c>
    </row>
    <row r="142" spans="4:12">
      <c r="D142" s="39">
        <v>46100</v>
      </c>
      <c r="E142" s="19">
        <v>1587265</v>
      </c>
      <c r="F142" s="19" t="s">
        <v>28</v>
      </c>
      <c r="G142" s="40">
        <v>20008861</v>
      </c>
      <c r="H142" s="19" t="s">
        <v>85</v>
      </c>
      <c r="I142" s="40">
        <v>2</v>
      </c>
      <c r="J142" s="40">
        <v>2</v>
      </c>
      <c r="K142" s="41">
        <v>35</v>
      </c>
      <c r="L142" s="41">
        <v>70</v>
      </c>
    </row>
    <row r="143" spans="4:12">
      <c r="D143" s="39">
        <v>46100</v>
      </c>
      <c r="E143" s="19">
        <v>1587265</v>
      </c>
      <c r="F143" s="19" t="s">
        <v>28</v>
      </c>
      <c r="G143" s="40">
        <v>20367991</v>
      </c>
      <c r="H143" s="19" t="s">
        <v>164</v>
      </c>
      <c r="I143" s="40">
        <v>1</v>
      </c>
      <c r="J143" s="40">
        <v>2</v>
      </c>
      <c r="K143" s="41">
        <v>44</v>
      </c>
      <c r="L143" s="41">
        <v>44</v>
      </c>
    </row>
    <row r="144" spans="4:12">
      <c r="D144" s="39">
        <v>46100</v>
      </c>
      <c r="E144" s="19">
        <v>1587265</v>
      </c>
      <c r="F144" s="19" t="s">
        <v>28</v>
      </c>
      <c r="G144" s="40">
        <v>20417739</v>
      </c>
      <c r="H144" s="19" t="s">
        <v>165</v>
      </c>
      <c r="I144" s="40">
        <v>2</v>
      </c>
      <c r="J144" s="40">
        <v>2</v>
      </c>
      <c r="K144" s="41">
        <f>35</f>
        <v>35</v>
      </c>
      <c r="L144" s="41">
        <f>K144*I144</f>
        <v>70</v>
      </c>
    </row>
    <row r="145" spans="4:12">
      <c r="D145" s="39">
        <v>46100</v>
      </c>
      <c r="E145" s="19">
        <v>1587265</v>
      </c>
      <c r="F145" s="19" t="s">
        <v>28</v>
      </c>
      <c r="G145" s="40">
        <v>20007465</v>
      </c>
      <c r="H145" s="19" t="s">
        <v>29</v>
      </c>
      <c r="I145" s="40">
        <v>2</v>
      </c>
      <c r="J145" s="40">
        <v>2</v>
      </c>
      <c r="K145" s="41">
        <v>35</v>
      </c>
      <c r="L145" s="41">
        <v>70</v>
      </c>
    </row>
    <row r="146" spans="4:12">
      <c r="D146" s="39">
        <v>46100</v>
      </c>
      <c r="E146" s="19">
        <v>1587265</v>
      </c>
      <c r="F146" s="19" t="s">
        <v>28</v>
      </c>
      <c r="G146" s="40">
        <v>20363523</v>
      </c>
      <c r="H146" s="19" t="s">
        <v>87</v>
      </c>
      <c r="I146" s="40">
        <v>2</v>
      </c>
      <c r="J146" s="40">
        <v>2</v>
      </c>
      <c r="K146" s="41">
        <v>22</v>
      </c>
      <c r="L146" s="41">
        <v>44</v>
      </c>
    </row>
    <row r="147" spans="4:12">
      <c r="D147" s="39">
        <v>46100</v>
      </c>
      <c r="E147" s="19">
        <v>1587613</v>
      </c>
      <c r="F147" s="19" t="s">
        <v>53</v>
      </c>
      <c r="G147" s="40">
        <v>20310486</v>
      </c>
      <c r="H147" s="19" t="s">
        <v>112</v>
      </c>
      <c r="I147" s="40">
        <v>1</v>
      </c>
      <c r="J147" s="40">
        <v>13</v>
      </c>
      <c r="K147" s="41">
        <v>71.5</v>
      </c>
      <c r="L147" s="41">
        <v>71.5</v>
      </c>
    </row>
    <row r="148" spans="4:12">
      <c r="D148" s="39">
        <v>46100</v>
      </c>
      <c r="E148" s="19">
        <v>1587613</v>
      </c>
      <c r="F148" s="19" t="s">
        <v>53</v>
      </c>
      <c r="G148" s="40">
        <v>20007296</v>
      </c>
      <c r="H148" s="19" t="s">
        <v>125</v>
      </c>
      <c r="I148" s="40">
        <v>1</v>
      </c>
      <c r="J148" s="40">
        <v>37</v>
      </c>
      <c r="K148" s="41">
        <v>203.5</v>
      </c>
      <c r="L148" s="41">
        <v>203.5</v>
      </c>
    </row>
    <row r="149" spans="4:12">
      <c r="D149" s="39">
        <v>46100</v>
      </c>
      <c r="E149" s="19">
        <v>1587613</v>
      </c>
      <c r="F149" s="19" t="s">
        <v>53</v>
      </c>
      <c r="G149" s="40">
        <v>20013323</v>
      </c>
      <c r="H149" s="19" t="s">
        <v>126</v>
      </c>
      <c r="I149" s="40">
        <v>2</v>
      </c>
      <c r="J149" s="40">
        <v>42</v>
      </c>
      <c r="K149" s="41">
        <v>115.5</v>
      </c>
      <c r="L149" s="41">
        <v>231</v>
      </c>
    </row>
    <row r="150" spans="4:12">
      <c r="D150" s="39">
        <v>46100</v>
      </c>
      <c r="E150" s="19">
        <v>1587613</v>
      </c>
      <c r="F150" s="19" t="s">
        <v>53</v>
      </c>
      <c r="G150" s="40">
        <v>20009113</v>
      </c>
      <c r="H150" s="19" t="s">
        <v>127</v>
      </c>
      <c r="I150" s="40">
        <v>1</v>
      </c>
      <c r="J150" s="40">
        <v>24</v>
      </c>
      <c r="K150" s="41">
        <v>132</v>
      </c>
      <c r="L150" s="41">
        <v>132</v>
      </c>
    </row>
    <row r="151" spans="4:12">
      <c r="D151" s="39">
        <v>46100</v>
      </c>
      <c r="E151" s="19">
        <v>1587613</v>
      </c>
      <c r="F151" s="19" t="s">
        <v>55</v>
      </c>
      <c r="G151" s="40">
        <v>20008605</v>
      </c>
      <c r="H151" s="19" t="s">
        <v>56</v>
      </c>
      <c r="I151" s="40">
        <v>5</v>
      </c>
      <c r="J151" s="40">
        <v>10</v>
      </c>
      <c r="K151" s="41">
        <v>16.5</v>
      </c>
      <c r="L151" s="41">
        <v>82.5</v>
      </c>
    </row>
    <row r="152" spans="4:12">
      <c r="D152" s="39">
        <v>46100</v>
      </c>
      <c r="E152" s="19">
        <v>1587613</v>
      </c>
      <c r="F152" s="19" t="s">
        <v>14</v>
      </c>
      <c r="G152" s="40">
        <v>20312603</v>
      </c>
      <c r="H152" s="19" t="s">
        <v>114</v>
      </c>
      <c r="I152" s="40">
        <v>5</v>
      </c>
      <c r="J152" s="40">
        <v>15</v>
      </c>
      <c r="K152" s="41">
        <v>16.5</v>
      </c>
      <c r="L152" s="41">
        <v>82.5</v>
      </c>
    </row>
    <row r="153" spans="4:12">
      <c r="D153" s="39">
        <v>46100</v>
      </c>
      <c r="E153" s="19">
        <v>1587613</v>
      </c>
      <c r="F153" s="19" t="s">
        <v>35</v>
      </c>
      <c r="G153" s="40">
        <v>20323870</v>
      </c>
      <c r="H153" s="19" t="s">
        <v>129</v>
      </c>
      <c r="I153" s="40">
        <v>1</v>
      </c>
      <c r="J153" s="40">
        <v>6</v>
      </c>
      <c r="K153" s="41">
        <v>33</v>
      </c>
      <c r="L153" s="41">
        <v>33</v>
      </c>
    </row>
    <row r="154" spans="4:12">
      <c r="D154" s="39">
        <v>46101</v>
      </c>
      <c r="E154" s="19">
        <v>1587903</v>
      </c>
      <c r="F154" s="19" t="s">
        <v>53</v>
      </c>
      <c r="G154" s="40">
        <v>20310486</v>
      </c>
      <c r="H154" s="19" t="s">
        <v>112</v>
      </c>
      <c r="I154" s="40">
        <v>1</v>
      </c>
      <c r="J154" s="40">
        <v>13</v>
      </c>
      <c r="K154" s="41">
        <v>71.5</v>
      </c>
      <c r="L154" s="41">
        <v>71.5</v>
      </c>
    </row>
    <row r="155" spans="4:12">
      <c r="D155" s="39">
        <v>46101</v>
      </c>
      <c r="E155" s="19">
        <v>1587903</v>
      </c>
      <c r="F155" s="19" t="s">
        <v>53</v>
      </c>
      <c r="G155" s="40">
        <v>20352871</v>
      </c>
      <c r="H155" s="19" t="s">
        <v>166</v>
      </c>
      <c r="I155" s="40">
        <v>1</v>
      </c>
      <c r="J155" s="40">
        <v>14</v>
      </c>
      <c r="K155" s="41">
        <v>77</v>
      </c>
      <c r="L155" s="41">
        <v>77</v>
      </c>
    </row>
    <row r="156" spans="4:12">
      <c r="D156" s="39">
        <v>46101</v>
      </c>
      <c r="E156" s="19">
        <v>1587903</v>
      </c>
      <c r="F156" s="19" t="s">
        <v>53</v>
      </c>
      <c r="G156" s="40">
        <v>20013323</v>
      </c>
      <c r="H156" s="19" t="s">
        <v>126</v>
      </c>
      <c r="I156" s="40">
        <v>2</v>
      </c>
      <c r="J156" s="40">
        <v>42</v>
      </c>
      <c r="K156" s="41">
        <v>115.5</v>
      </c>
      <c r="L156" s="41">
        <v>231</v>
      </c>
    </row>
    <row r="157" spans="4:12">
      <c r="D157" s="39">
        <v>46101</v>
      </c>
      <c r="E157" s="19">
        <v>1587903</v>
      </c>
      <c r="F157" s="19" t="s">
        <v>53</v>
      </c>
      <c r="G157" s="40">
        <v>20009113</v>
      </c>
      <c r="H157" s="19" t="s">
        <v>127</v>
      </c>
      <c r="I157" s="40">
        <v>1</v>
      </c>
      <c r="J157" s="40">
        <v>24</v>
      </c>
      <c r="K157" s="41">
        <v>132</v>
      </c>
      <c r="L157" s="41">
        <v>132</v>
      </c>
    </row>
    <row r="158" spans="4:12">
      <c r="D158" s="39">
        <v>46101</v>
      </c>
      <c r="E158" s="19">
        <v>1587903</v>
      </c>
      <c r="F158" s="19" t="s">
        <v>53</v>
      </c>
      <c r="G158" s="40">
        <v>20300285</v>
      </c>
      <c r="H158" s="19" t="s">
        <v>135</v>
      </c>
      <c r="I158" s="40">
        <v>1</v>
      </c>
      <c r="J158" s="40">
        <v>14</v>
      </c>
      <c r="K158" s="41">
        <v>77</v>
      </c>
      <c r="L158" s="41">
        <v>77</v>
      </c>
    </row>
    <row r="159" spans="4:12">
      <c r="D159" s="39">
        <v>46101</v>
      </c>
      <c r="E159" s="19">
        <v>1587903</v>
      </c>
      <c r="F159" s="19" t="s">
        <v>55</v>
      </c>
      <c r="G159" s="40">
        <v>20008605</v>
      </c>
      <c r="H159" s="19" t="s">
        <v>56</v>
      </c>
      <c r="I159" s="40">
        <v>4</v>
      </c>
      <c r="J159" s="40">
        <v>8</v>
      </c>
      <c r="K159" s="41">
        <v>16.5</v>
      </c>
      <c r="L159" s="41">
        <v>66</v>
      </c>
    </row>
    <row r="160" spans="4:12">
      <c r="D160" s="39">
        <v>46101</v>
      </c>
      <c r="E160" s="19">
        <v>1587903</v>
      </c>
      <c r="F160" s="19" t="s">
        <v>14</v>
      </c>
      <c r="G160" s="40">
        <v>20368075</v>
      </c>
      <c r="H160" s="19" t="s">
        <v>128</v>
      </c>
      <c r="I160" s="40">
        <v>1</v>
      </c>
      <c r="J160" s="40">
        <v>3</v>
      </c>
      <c r="K160" s="41">
        <v>16.5</v>
      </c>
      <c r="L160" s="41">
        <v>16.5</v>
      </c>
    </row>
    <row r="161" spans="4:12">
      <c r="D161" s="39">
        <v>46101</v>
      </c>
      <c r="E161" s="19">
        <v>1587903</v>
      </c>
      <c r="F161" s="19" t="s">
        <v>14</v>
      </c>
      <c r="G161" s="40">
        <v>20007323</v>
      </c>
      <c r="H161" s="19" t="s">
        <v>131</v>
      </c>
      <c r="I161" s="40">
        <v>1</v>
      </c>
      <c r="J161" s="40">
        <v>2</v>
      </c>
      <c r="K161" s="41">
        <v>13.5</v>
      </c>
      <c r="L161" s="41">
        <v>13.5</v>
      </c>
    </row>
    <row r="162" spans="4:12">
      <c r="D162" s="39">
        <v>46101</v>
      </c>
      <c r="E162" s="19">
        <v>1587903</v>
      </c>
      <c r="F162" s="19" t="s">
        <v>14</v>
      </c>
      <c r="G162" s="40">
        <v>20312603</v>
      </c>
      <c r="H162" s="19" t="s">
        <v>114</v>
      </c>
      <c r="I162" s="40">
        <v>4</v>
      </c>
      <c r="J162" s="40">
        <v>12</v>
      </c>
      <c r="K162" s="41">
        <v>16.5</v>
      </c>
      <c r="L162" s="41">
        <v>66</v>
      </c>
    </row>
    <row r="163" spans="4:12">
      <c r="D163" s="39">
        <v>46101</v>
      </c>
      <c r="E163" s="19">
        <v>1587903</v>
      </c>
      <c r="F163" s="19" t="s">
        <v>35</v>
      </c>
      <c r="G163" s="40">
        <v>20357848</v>
      </c>
      <c r="H163" s="19" t="s">
        <v>167</v>
      </c>
      <c r="I163" s="40">
        <v>1</v>
      </c>
      <c r="J163" s="40">
        <v>3</v>
      </c>
      <c r="K163" s="41">
        <v>16.5</v>
      </c>
      <c r="L163" s="41">
        <v>16.5</v>
      </c>
    </row>
    <row r="164" spans="4:12">
      <c r="D164" s="39">
        <v>46101</v>
      </c>
      <c r="E164" s="19">
        <v>1587903</v>
      </c>
      <c r="F164" s="19" t="s">
        <v>35</v>
      </c>
      <c r="G164" s="40">
        <v>20323870</v>
      </c>
      <c r="H164" s="19" t="s">
        <v>129</v>
      </c>
      <c r="I164" s="40">
        <v>1</v>
      </c>
      <c r="J164" s="40">
        <v>6</v>
      </c>
      <c r="K164" s="41">
        <v>33</v>
      </c>
      <c r="L164" s="41">
        <v>33</v>
      </c>
    </row>
    <row r="165" spans="4:12">
      <c r="D165" s="39">
        <v>46101</v>
      </c>
      <c r="E165" s="19">
        <v>1587903</v>
      </c>
      <c r="F165" s="19" t="s">
        <v>24</v>
      </c>
      <c r="G165" s="40">
        <v>20378341</v>
      </c>
      <c r="H165" s="19" t="s">
        <v>117</v>
      </c>
      <c r="I165" s="40">
        <v>12</v>
      </c>
      <c r="J165" s="40">
        <v>0</v>
      </c>
      <c r="K165" s="41">
        <v>4</v>
      </c>
      <c r="L165" s="41">
        <v>48</v>
      </c>
    </row>
    <row r="166" spans="4:12">
      <c r="D166" s="39">
        <v>46108</v>
      </c>
      <c r="E166" s="19">
        <v>1589558</v>
      </c>
      <c r="F166" s="19" t="s">
        <v>53</v>
      </c>
      <c r="G166" s="40">
        <v>20013323</v>
      </c>
      <c r="H166" s="19" t="s">
        <v>126</v>
      </c>
      <c r="I166" s="40">
        <v>2</v>
      </c>
      <c r="J166" s="40">
        <v>42</v>
      </c>
      <c r="K166" s="41">
        <v>115.5</v>
      </c>
      <c r="L166" s="41">
        <v>231</v>
      </c>
    </row>
    <row r="167" spans="4:12">
      <c r="D167" s="39">
        <v>46108</v>
      </c>
      <c r="E167" s="19">
        <v>1589558</v>
      </c>
      <c r="F167" s="19" t="s">
        <v>55</v>
      </c>
      <c r="G167" s="40">
        <v>20008605</v>
      </c>
      <c r="H167" s="19" t="s">
        <v>56</v>
      </c>
      <c r="I167" s="40">
        <v>1</v>
      </c>
      <c r="J167" s="40">
        <v>2</v>
      </c>
      <c r="K167" s="41">
        <v>16.5</v>
      </c>
      <c r="L167" s="41">
        <v>16.5</v>
      </c>
    </row>
    <row r="168" spans="4:12">
      <c r="D168" s="39">
        <v>46108</v>
      </c>
      <c r="E168" s="19">
        <v>1589558</v>
      </c>
      <c r="F168" s="19" t="s">
        <v>14</v>
      </c>
      <c r="G168" s="40">
        <v>20312603</v>
      </c>
      <c r="H168" s="19" t="s">
        <v>114</v>
      </c>
      <c r="I168" s="40">
        <v>2</v>
      </c>
      <c r="J168" s="40">
        <v>6</v>
      </c>
      <c r="K168" s="41">
        <v>16.5</v>
      </c>
      <c r="L168" s="41">
        <v>33</v>
      </c>
    </row>
    <row r="169" spans="4:12">
      <c r="D169" s="39">
        <v>46108</v>
      </c>
      <c r="E169" s="19">
        <v>1589634</v>
      </c>
      <c r="F169" s="19" t="s">
        <v>28</v>
      </c>
      <c r="G169" s="40">
        <v>20320386</v>
      </c>
      <c r="H169" s="19" t="s">
        <v>134</v>
      </c>
      <c r="I169" s="40">
        <v>9</v>
      </c>
      <c r="J169" s="40">
        <v>9</v>
      </c>
      <c r="K169" s="41">
        <v>25</v>
      </c>
      <c r="L169" s="41">
        <v>225</v>
      </c>
    </row>
    <row r="170" spans="4:12">
      <c r="D170" s="39">
        <v>46108</v>
      </c>
      <c r="E170" s="19">
        <v>1589924</v>
      </c>
      <c r="F170" s="19" t="s">
        <v>53</v>
      </c>
      <c r="G170" s="40">
        <v>20009011</v>
      </c>
      <c r="H170" s="19" t="s">
        <v>111</v>
      </c>
      <c r="I170" s="40">
        <v>2</v>
      </c>
      <c r="J170" s="40">
        <v>14</v>
      </c>
      <c r="K170" s="41">
        <v>38.5</v>
      </c>
      <c r="L170" s="41">
        <v>77</v>
      </c>
    </row>
    <row r="171" spans="4:12">
      <c r="D171" s="39">
        <v>46108</v>
      </c>
      <c r="E171" s="19">
        <v>1589924</v>
      </c>
      <c r="F171" s="19" t="s">
        <v>53</v>
      </c>
      <c r="G171" s="40">
        <v>20013323</v>
      </c>
      <c r="H171" s="19" t="s">
        <v>126</v>
      </c>
      <c r="I171" s="40">
        <v>2</v>
      </c>
      <c r="J171" s="40">
        <v>42</v>
      </c>
      <c r="K171" s="41">
        <v>115.5</v>
      </c>
      <c r="L171" s="41">
        <v>231</v>
      </c>
    </row>
    <row r="172" spans="4:12">
      <c r="D172" s="39">
        <v>46108</v>
      </c>
      <c r="E172" s="19">
        <v>1589924</v>
      </c>
      <c r="F172" s="19" t="s">
        <v>53</v>
      </c>
      <c r="G172" s="40">
        <v>20009113</v>
      </c>
      <c r="H172" s="19" t="s">
        <v>127</v>
      </c>
      <c r="I172" s="40">
        <v>1</v>
      </c>
      <c r="J172" s="40">
        <v>24</v>
      </c>
      <c r="K172" s="41">
        <v>132</v>
      </c>
      <c r="L172" s="41">
        <v>132</v>
      </c>
    </row>
    <row r="173" spans="4:12">
      <c r="D173" s="39">
        <v>46108</v>
      </c>
      <c r="E173" s="19">
        <v>1589924</v>
      </c>
      <c r="F173" s="19" t="s">
        <v>55</v>
      </c>
      <c r="G173" s="40">
        <v>20008605</v>
      </c>
      <c r="H173" s="19" t="s">
        <v>56</v>
      </c>
      <c r="I173" s="40">
        <v>4</v>
      </c>
      <c r="J173" s="40">
        <v>8</v>
      </c>
      <c r="K173" s="41">
        <v>16.5</v>
      </c>
      <c r="L173" s="41">
        <v>66</v>
      </c>
    </row>
    <row r="174" spans="4:12">
      <c r="D174" s="39">
        <v>46108</v>
      </c>
      <c r="E174" s="19">
        <v>1589924</v>
      </c>
      <c r="F174" s="19" t="s">
        <v>14</v>
      </c>
      <c r="G174" s="40">
        <v>20312603</v>
      </c>
      <c r="H174" s="19" t="s">
        <v>114</v>
      </c>
      <c r="I174" s="40">
        <v>5</v>
      </c>
      <c r="J174" s="40">
        <v>15</v>
      </c>
      <c r="K174" s="41">
        <v>16.5</v>
      </c>
      <c r="L174" s="41">
        <v>82.5</v>
      </c>
    </row>
    <row r="175" spans="4:12">
      <c r="D175" s="39">
        <v>46109</v>
      </c>
      <c r="E175" s="19">
        <v>1590043</v>
      </c>
      <c r="F175" s="19" t="s">
        <v>28</v>
      </c>
      <c r="G175" s="40">
        <v>20008442</v>
      </c>
      <c r="H175" s="19" t="s">
        <v>137</v>
      </c>
      <c r="I175" s="40">
        <v>1</v>
      </c>
      <c r="J175" s="40">
        <v>4</v>
      </c>
      <c r="K175" s="41">
        <v>88</v>
      </c>
      <c r="L175" s="41">
        <v>88</v>
      </c>
    </row>
    <row r="176" spans="4:12">
      <c r="D176" s="39">
        <v>46109</v>
      </c>
      <c r="E176" s="19">
        <v>1590043</v>
      </c>
      <c r="F176" s="19" t="s">
        <v>28</v>
      </c>
      <c r="G176" s="40">
        <v>20011049</v>
      </c>
      <c r="H176" s="19" t="s">
        <v>97</v>
      </c>
      <c r="I176" s="40">
        <v>1</v>
      </c>
      <c r="J176" s="40">
        <v>1</v>
      </c>
      <c r="K176" s="41">
        <v>22</v>
      </c>
      <c r="L176" s="41">
        <v>22</v>
      </c>
    </row>
    <row r="177" spans="4:12">
      <c r="D177" s="39">
        <v>46109</v>
      </c>
      <c r="E177" s="19">
        <v>1590043</v>
      </c>
      <c r="F177" s="19" t="s">
        <v>28</v>
      </c>
      <c r="G177" s="40">
        <v>20367991</v>
      </c>
      <c r="H177" s="19" t="s">
        <v>164</v>
      </c>
      <c r="I177" s="40">
        <v>1</v>
      </c>
      <c r="J177" s="40">
        <v>2</v>
      </c>
      <c r="K177" s="41">
        <v>44</v>
      </c>
      <c r="L177" s="41">
        <v>44</v>
      </c>
    </row>
    <row r="178" spans="4:12">
      <c r="D178" s="39">
        <v>46111</v>
      </c>
      <c r="E178" s="19">
        <v>1590488</v>
      </c>
      <c r="F178" s="19" t="s">
        <v>53</v>
      </c>
      <c r="G178" s="40">
        <v>20007296</v>
      </c>
      <c r="H178" s="19" t="s">
        <v>125</v>
      </c>
      <c r="I178" s="40">
        <v>3</v>
      </c>
      <c r="J178" s="40">
        <v>111</v>
      </c>
      <c r="K178" s="41">
        <v>203.5</v>
      </c>
      <c r="L178" s="41">
        <v>610.5</v>
      </c>
    </row>
    <row r="179" spans="4:12">
      <c r="D179" s="39">
        <v>46111</v>
      </c>
      <c r="E179" s="19">
        <v>1590488</v>
      </c>
      <c r="F179" s="19" t="s">
        <v>53</v>
      </c>
      <c r="G179" s="40">
        <v>20013323</v>
      </c>
      <c r="H179" s="19" t="s">
        <v>126</v>
      </c>
      <c r="I179" s="40">
        <v>2</v>
      </c>
      <c r="J179" s="40">
        <v>42</v>
      </c>
      <c r="K179" s="41">
        <v>115.5</v>
      </c>
      <c r="L179" s="41">
        <v>231</v>
      </c>
    </row>
    <row r="180" spans="4:12">
      <c r="D180" s="39">
        <v>46111</v>
      </c>
      <c r="E180" s="19">
        <v>1590488</v>
      </c>
      <c r="F180" s="19" t="s">
        <v>53</v>
      </c>
      <c r="G180" s="40">
        <v>20009113</v>
      </c>
      <c r="H180" s="19" t="s">
        <v>127</v>
      </c>
      <c r="I180" s="40">
        <v>1</v>
      </c>
      <c r="J180" s="40">
        <v>24</v>
      </c>
      <c r="K180" s="41">
        <v>132</v>
      </c>
      <c r="L180" s="41">
        <v>132</v>
      </c>
    </row>
    <row r="181" spans="4:12">
      <c r="D181" s="39">
        <v>46111</v>
      </c>
      <c r="E181" s="19">
        <v>1590488</v>
      </c>
      <c r="F181" s="19" t="s">
        <v>55</v>
      </c>
      <c r="G181" s="40">
        <v>20008605</v>
      </c>
      <c r="H181" s="19" t="s">
        <v>56</v>
      </c>
      <c r="I181" s="40">
        <v>4</v>
      </c>
      <c r="J181" s="40">
        <v>8</v>
      </c>
      <c r="K181" s="41">
        <v>16.5</v>
      </c>
      <c r="L181" s="41">
        <v>66</v>
      </c>
    </row>
    <row r="182" spans="4:12">
      <c r="D182" s="39">
        <v>46111</v>
      </c>
      <c r="E182" s="19">
        <v>1590488</v>
      </c>
      <c r="F182" s="19" t="s">
        <v>14</v>
      </c>
      <c r="G182" s="40">
        <v>20368074</v>
      </c>
      <c r="H182" s="19" t="s">
        <v>59</v>
      </c>
      <c r="I182" s="40">
        <v>1</v>
      </c>
      <c r="J182" s="40">
        <v>1</v>
      </c>
      <c r="K182" s="41">
        <v>8</v>
      </c>
      <c r="L182" s="41">
        <v>8</v>
      </c>
    </row>
    <row r="183" spans="4:12">
      <c r="D183" s="39">
        <v>46111</v>
      </c>
      <c r="E183" s="19">
        <v>1590488</v>
      </c>
      <c r="F183" s="19" t="s">
        <v>14</v>
      </c>
      <c r="G183" s="40">
        <v>20312603</v>
      </c>
      <c r="H183" s="19" t="s">
        <v>114</v>
      </c>
      <c r="I183" s="40">
        <v>4</v>
      </c>
      <c r="J183" s="40">
        <v>12</v>
      </c>
      <c r="K183" s="41">
        <v>16.5</v>
      </c>
      <c r="L183" s="41">
        <v>66</v>
      </c>
    </row>
    <row r="184" spans="4:12">
      <c r="D184" s="39">
        <v>46111</v>
      </c>
      <c r="E184" s="19">
        <v>1590488</v>
      </c>
      <c r="F184" s="19" t="s">
        <v>35</v>
      </c>
      <c r="G184" s="40">
        <v>20323870</v>
      </c>
      <c r="H184" s="19" t="s">
        <v>129</v>
      </c>
      <c r="I184" s="40">
        <v>1</v>
      </c>
      <c r="J184" s="40">
        <v>6</v>
      </c>
      <c r="K184" s="41">
        <v>33</v>
      </c>
      <c r="L184" s="41">
        <v>33</v>
      </c>
    </row>
    <row r="185" spans="4:12">
      <c r="D185" s="39">
        <v>46111</v>
      </c>
      <c r="E185" s="19">
        <v>1590488</v>
      </c>
      <c r="F185" s="19" t="s">
        <v>35</v>
      </c>
      <c r="G185" s="40">
        <v>20312602</v>
      </c>
      <c r="H185" s="19" t="s">
        <v>116</v>
      </c>
      <c r="I185" s="40">
        <v>2</v>
      </c>
      <c r="J185" s="40">
        <v>8</v>
      </c>
      <c r="K185" s="41">
        <v>22</v>
      </c>
      <c r="L185" s="41">
        <v>44</v>
      </c>
    </row>
    <row r="186" spans="4:12">
      <c r="D186" s="39">
        <v>46111</v>
      </c>
      <c r="E186" s="19">
        <v>1590488</v>
      </c>
      <c r="F186" s="19" t="s">
        <v>24</v>
      </c>
      <c r="G186" s="40">
        <v>20378341</v>
      </c>
      <c r="H186" s="19" t="s">
        <v>117</v>
      </c>
      <c r="I186" s="40">
        <v>7</v>
      </c>
      <c r="J186" s="40">
        <v>0</v>
      </c>
      <c r="K186" s="41">
        <v>4</v>
      </c>
      <c r="L186" s="41">
        <v>28</v>
      </c>
    </row>
    <row r="187" spans="4:12">
      <c r="D187" s="39">
        <v>46112</v>
      </c>
      <c r="E187" s="19">
        <v>1590565</v>
      </c>
      <c r="F187" s="19" t="s">
        <v>28</v>
      </c>
      <c r="G187" s="40">
        <v>20015186</v>
      </c>
      <c r="H187" s="19" t="s">
        <v>168</v>
      </c>
      <c r="I187" s="40">
        <v>1</v>
      </c>
      <c r="J187" s="40">
        <v>1</v>
      </c>
      <c r="K187" s="41">
        <v>35</v>
      </c>
      <c r="L187" s="41">
        <v>35</v>
      </c>
    </row>
    <row r="188" spans="4:12">
      <c r="D188" s="39">
        <v>46112</v>
      </c>
      <c r="E188" s="19">
        <v>1590565</v>
      </c>
      <c r="F188" s="19" t="s">
        <v>28</v>
      </c>
      <c r="G188" s="40">
        <v>20007465</v>
      </c>
      <c r="H188" s="19" t="s">
        <v>29</v>
      </c>
      <c r="I188" s="40">
        <v>1</v>
      </c>
      <c r="J188" s="40">
        <v>1</v>
      </c>
      <c r="K188" s="41">
        <v>35</v>
      </c>
      <c r="L188" s="41">
        <v>35</v>
      </c>
    </row>
    <row r="189" ht="0.05" customHeight="1"/>
  </sheetData>
  <autoFilter xmlns:etc="http://www.wps.cn/officeDocument/2017/etCustomData" ref="A7:L188" etc:filterBottomFollowUsedRange="0">
    <extLst/>
  </autoFilter>
  <mergeCells count="5">
    <mergeCell ref="D8:H8"/>
    <mergeCell ref="C7:C188"/>
    <mergeCell ref="B4:H5"/>
    <mergeCell ref="A7:B188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view="pageBreakPreview" zoomScaleNormal="100" topLeftCell="F1" workbookViewId="0">
      <pane ySplit="6" topLeftCell="A7" activePane="bottomLeft" state="frozen"/>
      <selection/>
      <selection pane="bottomLeft" activeCell="O12" sqref="O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169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6</v>
      </c>
      <c r="J8" s="37">
        <v>6</v>
      </c>
      <c r="K8" s="38"/>
      <c r="L8" s="38">
        <v>48</v>
      </c>
    </row>
    <row r="9" spans="1:12">
      <c r="D9" s="39">
        <v>46092</v>
      </c>
      <c r="E9" s="19">
        <v>1585164</v>
      </c>
      <c r="F9" s="19" t="s">
        <v>14</v>
      </c>
      <c r="G9" s="40">
        <v>20352876</v>
      </c>
      <c r="H9" s="19" t="s">
        <v>109</v>
      </c>
      <c r="I9" s="40">
        <v>2</v>
      </c>
      <c r="J9" s="40">
        <v>2</v>
      </c>
      <c r="K9" s="41">
        <v>8</v>
      </c>
      <c r="L9" s="41">
        <v>16</v>
      </c>
    </row>
    <row r="10" spans="1:12">
      <c r="D10" s="39">
        <v>46106</v>
      </c>
      <c r="E10" s="19">
        <v>1588785</v>
      </c>
      <c r="F10" s="19" t="s">
        <v>14</v>
      </c>
      <c r="G10" s="40">
        <v>20352876</v>
      </c>
      <c r="H10" s="19" t="s">
        <v>109</v>
      </c>
      <c r="I10" s="40">
        <v>4</v>
      </c>
      <c r="J10" s="40">
        <v>4</v>
      </c>
      <c r="K10" s="41">
        <v>8</v>
      </c>
      <c r="L10" s="41">
        <v>32</v>
      </c>
    </row>
  </sheetData>
  <mergeCells count="5">
    <mergeCell ref="D8:H8"/>
    <mergeCell ref="C7:C10"/>
    <mergeCell ref="B4:H5"/>
    <mergeCell ref="A7:B10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1"/>
  <sheetViews>
    <sheetView showGridLines="0" view="pageBreakPreview" zoomScaleNormal="100" workbookViewId="0">
      <pane ySplit="6" topLeftCell="A7" activePane="bottomLeft" state="frozen"/>
      <selection/>
      <selection pane="bottomLeft" activeCell="M8" sqref="M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9.45" customWidth="1"/>
    <col min="11" max="11" width="12.2083333333333" customWidth="1"/>
    <col min="12" max="12" width="12.5" customWidth="1"/>
  </cols>
  <sheetData>
    <row r="1" spans="1:12">
      <c r="C1" s="1" t="s">
        <v>0</v>
      </c>
    </row>
    <row r="2" ht="23.05" customHeight="1"/>
    <row r="3" ht="2" customHeight="1"/>
    <row r="4" ht="15.2" customHeight="1" spans="1:12">
      <c r="B4" s="2" t="s">
        <v>1</v>
      </c>
    </row>
    <row r="6" ht="2.95" customHeight="1"/>
    <row r="7" spans="1:12">
      <c r="A7" s="8" t="s">
        <v>2</v>
      </c>
      <c r="B7" s="3" t="s">
        <v>2</v>
      </c>
      <c r="C7" s="33" t="s">
        <v>2</v>
      </c>
      <c r="D7" s="34" t="s">
        <v>4</v>
      </c>
      <c r="E7" s="34" t="s">
        <v>5</v>
      </c>
      <c r="F7" s="34" t="s">
        <v>6</v>
      </c>
      <c r="G7" s="34" t="s">
        <v>7</v>
      </c>
      <c r="H7" s="34" t="s">
        <v>8</v>
      </c>
      <c r="I7" s="34" t="s">
        <v>9</v>
      </c>
      <c r="J7" s="34" t="s">
        <v>10</v>
      </c>
      <c r="K7" s="34" t="s">
        <v>11</v>
      </c>
      <c r="L7" s="34" t="s">
        <v>12</v>
      </c>
    </row>
    <row r="8" ht="14.25" spans="1:12">
      <c r="D8" s="35" t="s">
        <v>170</v>
      </c>
      <c r="E8" s="36" t="s">
        <v>2</v>
      </c>
      <c r="F8" s="36" t="s">
        <v>2</v>
      </c>
      <c r="G8" s="36" t="s">
        <v>2</v>
      </c>
      <c r="H8" s="36" t="s">
        <v>2</v>
      </c>
      <c r="I8" s="37">
        <v>48</v>
      </c>
      <c r="J8" s="37">
        <v>48</v>
      </c>
      <c r="K8" s="38"/>
      <c r="L8" s="38">
        <v>414</v>
      </c>
    </row>
    <row r="9" spans="1:12">
      <c r="D9" s="39">
        <v>46088</v>
      </c>
      <c r="E9" s="19">
        <v>1582931</v>
      </c>
      <c r="F9" s="19" t="s">
        <v>55</v>
      </c>
      <c r="G9" s="40">
        <v>20007409</v>
      </c>
      <c r="H9" s="19" t="s">
        <v>171</v>
      </c>
      <c r="I9" s="40">
        <v>2</v>
      </c>
      <c r="J9" s="40">
        <v>2</v>
      </c>
      <c r="K9" s="41">
        <v>13</v>
      </c>
      <c r="L9" s="41">
        <v>26</v>
      </c>
    </row>
    <row r="10" spans="1:12">
      <c r="D10" s="39">
        <v>46088</v>
      </c>
      <c r="E10" s="19">
        <v>1582931</v>
      </c>
      <c r="F10" s="19" t="s">
        <v>14</v>
      </c>
      <c r="G10" s="40">
        <v>20010965</v>
      </c>
      <c r="H10" s="19" t="s">
        <v>81</v>
      </c>
      <c r="I10" s="40">
        <v>1</v>
      </c>
      <c r="J10" s="40">
        <v>1</v>
      </c>
      <c r="K10" s="41">
        <v>8</v>
      </c>
      <c r="L10" s="41">
        <v>8</v>
      </c>
    </row>
    <row r="11" spans="1:12">
      <c r="D11" s="39">
        <v>46088</v>
      </c>
      <c r="E11" s="19">
        <v>1582931</v>
      </c>
      <c r="F11" s="19" t="s">
        <v>14</v>
      </c>
      <c r="G11" s="40">
        <v>20352877</v>
      </c>
      <c r="H11" s="19" t="s">
        <v>58</v>
      </c>
      <c r="I11" s="40">
        <v>1</v>
      </c>
      <c r="J11" s="40">
        <v>1</v>
      </c>
      <c r="K11" s="41">
        <v>8</v>
      </c>
      <c r="L11" s="41">
        <v>8</v>
      </c>
    </row>
    <row r="12" spans="1:12">
      <c r="D12" s="39">
        <v>46088</v>
      </c>
      <c r="E12" s="19">
        <v>1582931</v>
      </c>
      <c r="F12" s="19" t="s">
        <v>14</v>
      </c>
      <c r="G12" s="40">
        <v>20352832</v>
      </c>
      <c r="H12" s="19" t="s">
        <v>16</v>
      </c>
      <c r="I12" s="40">
        <v>1</v>
      </c>
      <c r="J12" s="40">
        <v>1</v>
      </c>
      <c r="K12" s="41">
        <v>8</v>
      </c>
      <c r="L12" s="41">
        <v>8</v>
      </c>
    </row>
    <row r="13" spans="1:12">
      <c r="D13" s="39">
        <v>46088</v>
      </c>
      <c r="E13" s="19">
        <v>1582931</v>
      </c>
      <c r="F13" s="19" t="s">
        <v>14</v>
      </c>
      <c r="G13" s="40">
        <v>20008591</v>
      </c>
      <c r="H13" s="19" t="s">
        <v>65</v>
      </c>
      <c r="I13" s="40">
        <v>2</v>
      </c>
      <c r="J13" s="40">
        <v>2</v>
      </c>
      <c r="K13" s="41">
        <v>8</v>
      </c>
      <c r="L13" s="41">
        <v>16</v>
      </c>
    </row>
    <row r="14" spans="1:12">
      <c r="D14" s="39">
        <v>46088</v>
      </c>
      <c r="E14" s="19">
        <v>1582931</v>
      </c>
      <c r="F14" s="19" t="s">
        <v>14</v>
      </c>
      <c r="G14" s="40">
        <v>20007358</v>
      </c>
      <c r="H14" s="19" t="s">
        <v>172</v>
      </c>
      <c r="I14" s="40">
        <v>1</v>
      </c>
      <c r="J14" s="40">
        <v>1</v>
      </c>
      <c r="K14" s="41">
        <v>8</v>
      </c>
      <c r="L14" s="41">
        <v>8</v>
      </c>
    </row>
    <row r="15" spans="1:12">
      <c r="D15" s="39">
        <v>46088</v>
      </c>
      <c r="E15" s="19">
        <v>1582931</v>
      </c>
      <c r="F15" s="19" t="s">
        <v>14</v>
      </c>
      <c r="G15" s="40">
        <v>20007364</v>
      </c>
      <c r="H15" s="19" t="s">
        <v>173</v>
      </c>
      <c r="I15" s="40">
        <v>2</v>
      </c>
      <c r="J15" s="40">
        <v>2</v>
      </c>
      <c r="K15" s="41">
        <v>8</v>
      </c>
      <c r="L15" s="41">
        <v>16</v>
      </c>
    </row>
    <row r="16" spans="1:12">
      <c r="D16" s="39">
        <v>46088</v>
      </c>
      <c r="E16" s="19">
        <v>1582931</v>
      </c>
      <c r="F16" s="19" t="s">
        <v>14</v>
      </c>
      <c r="G16" s="40">
        <v>20007354</v>
      </c>
      <c r="H16" s="19" t="s">
        <v>174</v>
      </c>
      <c r="I16" s="40">
        <v>1</v>
      </c>
      <c r="J16" s="40">
        <v>1</v>
      </c>
      <c r="K16" s="41">
        <v>8</v>
      </c>
      <c r="L16" s="41">
        <v>8</v>
      </c>
    </row>
    <row r="17" spans="4:12">
      <c r="D17" s="39">
        <v>46088</v>
      </c>
      <c r="E17" s="19">
        <v>1582931</v>
      </c>
      <c r="F17" s="19" t="s">
        <v>14</v>
      </c>
      <c r="G17" s="40">
        <v>20007355</v>
      </c>
      <c r="H17" s="19" t="s">
        <v>175</v>
      </c>
      <c r="I17" s="40">
        <v>1</v>
      </c>
      <c r="J17" s="40">
        <v>1</v>
      </c>
      <c r="K17" s="41">
        <v>8</v>
      </c>
      <c r="L17" s="41">
        <v>8</v>
      </c>
    </row>
    <row r="18" spans="4:12">
      <c r="D18" s="39">
        <v>46088</v>
      </c>
      <c r="E18" s="19">
        <v>1582931</v>
      </c>
      <c r="F18" s="19" t="s">
        <v>14</v>
      </c>
      <c r="G18" s="40">
        <v>20007356</v>
      </c>
      <c r="H18" s="19" t="s">
        <v>176</v>
      </c>
      <c r="I18" s="40">
        <v>1</v>
      </c>
      <c r="J18" s="40">
        <v>1</v>
      </c>
      <c r="K18" s="41">
        <v>8</v>
      </c>
      <c r="L18" s="41">
        <v>8</v>
      </c>
    </row>
    <row r="19" spans="4:12">
      <c r="D19" s="39">
        <v>46088</v>
      </c>
      <c r="E19" s="19">
        <v>1582931</v>
      </c>
      <c r="F19" s="19" t="s">
        <v>14</v>
      </c>
      <c r="G19" s="40">
        <v>20007357</v>
      </c>
      <c r="H19" s="19" t="s">
        <v>177</v>
      </c>
      <c r="I19" s="40">
        <v>1</v>
      </c>
      <c r="J19" s="40">
        <v>1</v>
      </c>
      <c r="K19" s="41">
        <v>8</v>
      </c>
      <c r="L19" s="41">
        <v>8</v>
      </c>
    </row>
    <row r="20" spans="4:12">
      <c r="D20" s="39">
        <v>46088</v>
      </c>
      <c r="E20" s="19">
        <v>1582931</v>
      </c>
      <c r="F20" s="19" t="s">
        <v>14</v>
      </c>
      <c r="G20" s="40">
        <v>20007417</v>
      </c>
      <c r="H20" s="19" t="s">
        <v>23</v>
      </c>
      <c r="I20" s="40">
        <v>1</v>
      </c>
      <c r="J20" s="40">
        <v>1</v>
      </c>
      <c r="K20" s="41">
        <v>8</v>
      </c>
      <c r="L20" s="41">
        <v>8</v>
      </c>
    </row>
    <row r="21" spans="4:12">
      <c r="D21" s="39">
        <v>46098</v>
      </c>
      <c r="E21" s="19">
        <v>1586492</v>
      </c>
      <c r="F21" s="19" t="s">
        <v>55</v>
      </c>
      <c r="G21" s="40">
        <v>20007409</v>
      </c>
      <c r="H21" s="19" t="s">
        <v>171</v>
      </c>
      <c r="I21" s="40">
        <v>3</v>
      </c>
      <c r="J21" s="40">
        <v>3</v>
      </c>
      <c r="K21" s="41">
        <v>13</v>
      </c>
      <c r="L21" s="41">
        <v>39</v>
      </c>
    </row>
    <row r="22" spans="4:12">
      <c r="D22" s="39">
        <v>46098</v>
      </c>
      <c r="E22" s="19">
        <v>1586492</v>
      </c>
      <c r="F22" s="19" t="s">
        <v>14</v>
      </c>
      <c r="G22" s="40">
        <v>20352877</v>
      </c>
      <c r="H22" s="19" t="s">
        <v>58</v>
      </c>
      <c r="I22" s="40">
        <v>2</v>
      </c>
      <c r="J22" s="40">
        <v>2</v>
      </c>
      <c r="K22" s="41">
        <v>8</v>
      </c>
      <c r="L22" s="41">
        <v>16</v>
      </c>
    </row>
    <row r="23" spans="4:12">
      <c r="D23" s="39">
        <v>46098</v>
      </c>
      <c r="E23" s="19">
        <v>1586492</v>
      </c>
      <c r="F23" s="19" t="s">
        <v>14</v>
      </c>
      <c r="G23" s="40">
        <v>20352832</v>
      </c>
      <c r="H23" s="19" t="s">
        <v>16</v>
      </c>
      <c r="I23" s="40">
        <v>2</v>
      </c>
      <c r="J23" s="40">
        <v>2</v>
      </c>
      <c r="K23" s="41">
        <v>8</v>
      </c>
      <c r="L23" s="41">
        <v>16</v>
      </c>
    </row>
    <row r="24" spans="4:12">
      <c r="D24" s="39">
        <v>46098</v>
      </c>
      <c r="E24" s="19">
        <v>1586492</v>
      </c>
      <c r="F24" s="19" t="s">
        <v>14</v>
      </c>
      <c r="G24" s="40">
        <v>20008591</v>
      </c>
      <c r="H24" s="19" t="s">
        <v>65</v>
      </c>
      <c r="I24" s="40">
        <v>3</v>
      </c>
      <c r="J24" s="40">
        <v>3</v>
      </c>
      <c r="K24" s="41">
        <v>8</v>
      </c>
      <c r="L24" s="41">
        <v>24</v>
      </c>
    </row>
    <row r="25" spans="4:12">
      <c r="D25" s="39">
        <v>46098</v>
      </c>
      <c r="E25" s="19">
        <v>1586492</v>
      </c>
      <c r="F25" s="19" t="s">
        <v>14</v>
      </c>
      <c r="G25" s="40">
        <v>20007358</v>
      </c>
      <c r="H25" s="19" t="s">
        <v>172</v>
      </c>
      <c r="I25" s="40">
        <v>2</v>
      </c>
      <c r="J25" s="40">
        <v>2</v>
      </c>
      <c r="K25" s="41">
        <v>8</v>
      </c>
      <c r="L25" s="41">
        <v>16</v>
      </c>
    </row>
    <row r="26" spans="4:12">
      <c r="D26" s="39">
        <v>46098</v>
      </c>
      <c r="E26" s="19">
        <v>1586492</v>
      </c>
      <c r="F26" s="19" t="s">
        <v>14</v>
      </c>
      <c r="G26" s="40">
        <v>20007364</v>
      </c>
      <c r="H26" s="19" t="s">
        <v>173</v>
      </c>
      <c r="I26" s="40">
        <v>2</v>
      </c>
      <c r="J26" s="40">
        <v>2</v>
      </c>
      <c r="K26" s="41">
        <v>8</v>
      </c>
      <c r="L26" s="41">
        <v>16</v>
      </c>
    </row>
    <row r="27" spans="4:12">
      <c r="D27" s="39">
        <v>46098</v>
      </c>
      <c r="E27" s="19">
        <v>1586492</v>
      </c>
      <c r="F27" s="19" t="s">
        <v>14</v>
      </c>
      <c r="G27" s="40">
        <v>20007354</v>
      </c>
      <c r="H27" s="19" t="s">
        <v>174</v>
      </c>
      <c r="I27" s="40">
        <v>1</v>
      </c>
      <c r="J27" s="40">
        <v>1</v>
      </c>
      <c r="K27" s="41">
        <v>8</v>
      </c>
      <c r="L27" s="41">
        <v>8</v>
      </c>
    </row>
    <row r="28" spans="4:12">
      <c r="D28" s="39">
        <v>46098</v>
      </c>
      <c r="E28" s="19">
        <v>1586492</v>
      </c>
      <c r="F28" s="19" t="s">
        <v>14</v>
      </c>
      <c r="G28" s="40">
        <v>20007355</v>
      </c>
      <c r="H28" s="19" t="s">
        <v>175</v>
      </c>
      <c r="I28" s="40">
        <v>2</v>
      </c>
      <c r="J28" s="40">
        <v>2</v>
      </c>
      <c r="K28" s="41">
        <v>8</v>
      </c>
      <c r="L28" s="41">
        <v>16</v>
      </c>
    </row>
    <row r="29" spans="4:12">
      <c r="D29" s="39">
        <v>46098</v>
      </c>
      <c r="E29" s="19">
        <v>1586492</v>
      </c>
      <c r="F29" s="19" t="s">
        <v>14</v>
      </c>
      <c r="G29" s="40">
        <v>20007356</v>
      </c>
      <c r="H29" s="19" t="s">
        <v>176</v>
      </c>
      <c r="I29" s="40">
        <v>2</v>
      </c>
      <c r="J29" s="40">
        <v>2</v>
      </c>
      <c r="K29" s="41">
        <v>8</v>
      </c>
      <c r="L29" s="41">
        <v>16</v>
      </c>
    </row>
    <row r="30" spans="4:12">
      <c r="D30" s="39">
        <v>46098</v>
      </c>
      <c r="E30" s="19">
        <v>1586492</v>
      </c>
      <c r="F30" s="19" t="s">
        <v>14</v>
      </c>
      <c r="G30" s="40">
        <v>20007357</v>
      </c>
      <c r="H30" s="19" t="s">
        <v>177</v>
      </c>
      <c r="I30" s="40">
        <v>1</v>
      </c>
      <c r="J30" s="40">
        <v>1</v>
      </c>
      <c r="K30" s="41">
        <v>8</v>
      </c>
      <c r="L30" s="41">
        <v>8</v>
      </c>
    </row>
    <row r="31" spans="4:12">
      <c r="D31" s="39">
        <v>46106</v>
      </c>
      <c r="E31" s="19">
        <v>1588786</v>
      </c>
      <c r="F31" s="19" t="s">
        <v>55</v>
      </c>
      <c r="G31" s="40">
        <v>20007409</v>
      </c>
      <c r="H31" s="19" t="s">
        <v>171</v>
      </c>
      <c r="I31" s="40">
        <v>1</v>
      </c>
      <c r="J31" s="40">
        <v>1</v>
      </c>
      <c r="K31" s="41">
        <v>13</v>
      </c>
      <c r="L31" s="41">
        <v>13</v>
      </c>
    </row>
    <row r="32" spans="4:12">
      <c r="D32" s="39">
        <v>46106</v>
      </c>
      <c r="E32" s="19">
        <v>1588786</v>
      </c>
      <c r="F32" s="19" t="s">
        <v>14</v>
      </c>
      <c r="G32" s="40">
        <v>20352877</v>
      </c>
      <c r="H32" s="19" t="s">
        <v>58</v>
      </c>
      <c r="I32" s="40">
        <v>1</v>
      </c>
      <c r="J32" s="40">
        <v>1</v>
      </c>
      <c r="K32" s="41">
        <v>8</v>
      </c>
      <c r="L32" s="41">
        <v>8</v>
      </c>
    </row>
    <row r="33" spans="4:12">
      <c r="D33" s="39">
        <v>46106</v>
      </c>
      <c r="E33" s="19">
        <v>1588786</v>
      </c>
      <c r="F33" s="19" t="s">
        <v>14</v>
      </c>
      <c r="G33" s="40">
        <v>20008591</v>
      </c>
      <c r="H33" s="19" t="s">
        <v>65</v>
      </c>
      <c r="I33" s="40">
        <v>1</v>
      </c>
      <c r="J33" s="40">
        <v>1</v>
      </c>
      <c r="K33" s="41">
        <v>8</v>
      </c>
      <c r="L33" s="41">
        <v>8</v>
      </c>
    </row>
    <row r="34" spans="4:12">
      <c r="D34" s="39">
        <v>46106</v>
      </c>
      <c r="E34" s="19">
        <v>1588786</v>
      </c>
      <c r="F34" s="19" t="s">
        <v>14</v>
      </c>
      <c r="G34" s="40">
        <v>20007358</v>
      </c>
      <c r="H34" s="19" t="s">
        <v>172</v>
      </c>
      <c r="I34" s="40">
        <v>1</v>
      </c>
      <c r="J34" s="40">
        <v>1</v>
      </c>
      <c r="K34" s="41">
        <v>8</v>
      </c>
      <c r="L34" s="41">
        <v>8</v>
      </c>
    </row>
    <row r="35" spans="4:12">
      <c r="D35" s="39">
        <v>46106</v>
      </c>
      <c r="E35" s="19">
        <v>1588786</v>
      </c>
      <c r="F35" s="19" t="s">
        <v>14</v>
      </c>
      <c r="G35" s="40">
        <v>20007364</v>
      </c>
      <c r="H35" s="19" t="s">
        <v>173</v>
      </c>
      <c r="I35" s="40">
        <v>2</v>
      </c>
      <c r="J35" s="40">
        <v>2</v>
      </c>
      <c r="K35" s="41">
        <v>8</v>
      </c>
      <c r="L35" s="41">
        <v>16</v>
      </c>
    </row>
    <row r="36" spans="4:12">
      <c r="D36" s="39">
        <v>46106</v>
      </c>
      <c r="E36" s="19">
        <v>1588786</v>
      </c>
      <c r="F36" s="19" t="s">
        <v>14</v>
      </c>
      <c r="G36" s="40">
        <v>20312879</v>
      </c>
      <c r="H36" s="19" t="s">
        <v>178</v>
      </c>
      <c r="I36" s="40">
        <v>1</v>
      </c>
      <c r="J36" s="40">
        <v>1</v>
      </c>
      <c r="K36" s="41">
        <v>8</v>
      </c>
      <c r="L36" s="41">
        <v>8</v>
      </c>
    </row>
    <row r="37" spans="4:12">
      <c r="D37" s="39">
        <v>46106</v>
      </c>
      <c r="E37" s="19">
        <v>1588786</v>
      </c>
      <c r="F37" s="19" t="s">
        <v>14</v>
      </c>
      <c r="G37" s="40">
        <v>20007354</v>
      </c>
      <c r="H37" s="19" t="s">
        <v>174</v>
      </c>
      <c r="I37" s="40">
        <v>1</v>
      </c>
      <c r="J37" s="40">
        <v>1</v>
      </c>
      <c r="K37" s="41">
        <v>8</v>
      </c>
      <c r="L37" s="41">
        <v>8</v>
      </c>
    </row>
    <row r="38" spans="4:12">
      <c r="D38" s="39">
        <v>46106</v>
      </c>
      <c r="E38" s="19">
        <v>1588786</v>
      </c>
      <c r="F38" s="19" t="s">
        <v>14</v>
      </c>
      <c r="G38" s="40">
        <v>20007355</v>
      </c>
      <c r="H38" s="19" t="s">
        <v>175</v>
      </c>
      <c r="I38" s="40">
        <v>2</v>
      </c>
      <c r="J38" s="40">
        <v>2</v>
      </c>
      <c r="K38" s="41">
        <v>8</v>
      </c>
      <c r="L38" s="41">
        <v>16</v>
      </c>
    </row>
    <row r="39" spans="4:12">
      <c r="D39" s="39">
        <v>46106</v>
      </c>
      <c r="E39" s="19">
        <v>1588786</v>
      </c>
      <c r="F39" s="19" t="s">
        <v>14</v>
      </c>
      <c r="G39" s="40">
        <v>20007356</v>
      </c>
      <c r="H39" s="19" t="s">
        <v>176</v>
      </c>
      <c r="I39" s="40">
        <v>2</v>
      </c>
      <c r="J39" s="40">
        <v>2</v>
      </c>
      <c r="K39" s="41">
        <v>8</v>
      </c>
      <c r="L39" s="41">
        <v>16</v>
      </c>
    </row>
    <row r="40" spans="4:12">
      <c r="D40" s="39">
        <v>46106</v>
      </c>
      <c r="E40" s="19">
        <v>1588786</v>
      </c>
      <c r="F40" s="19" t="s">
        <v>14</v>
      </c>
      <c r="G40" s="40">
        <v>20007357</v>
      </c>
      <c r="H40" s="19" t="s">
        <v>177</v>
      </c>
      <c r="I40" s="40">
        <v>1</v>
      </c>
      <c r="J40" s="40">
        <v>1</v>
      </c>
      <c r="K40" s="41">
        <v>8</v>
      </c>
      <c r="L40" s="41">
        <v>8</v>
      </c>
    </row>
    <row r="41" ht="0.05" customHeight="1"/>
  </sheetData>
  <mergeCells count="5">
    <mergeCell ref="D8:H8"/>
    <mergeCell ref="C7:C40"/>
    <mergeCell ref="B4:H5"/>
    <mergeCell ref="A7:B40"/>
    <mergeCell ref="C1:H2"/>
  </mergeCells>
  <pageMargins left="0.25" right="0.25" top="0.75" bottom="0.75" header="0.298611111111111" footer="0.298611111111111"/>
  <pageSetup paperSize="9" scale="92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&amp;"-,Regular"2026年4月1日 9:10 
&amp;"-,Bold"&amp;10 黑龙江省铂康医疗灭菌有限公司 &amp;R&amp;"Droid Sans Fallback"&amp;9第&amp;P页，共&amp;N页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"/>
  <sheetViews>
    <sheetView view="pageBreakPreview" zoomScaleNormal="100" workbookViewId="0">
      <selection activeCell="D38" sqref="D38"/>
    </sheetView>
  </sheetViews>
  <sheetFormatPr defaultColWidth="9" defaultRowHeight="13.5"/>
  <cols>
    <col min="1" max="1" width="0.225" customWidth="1"/>
    <col min="2" max="2" width="1.18333333333333" customWidth="1"/>
    <col min="3" max="3" width="1.525" customWidth="1"/>
    <col min="4" max="4" width="9.5" customWidth="1"/>
    <col min="5" max="5" width="9.8" customWidth="1"/>
    <col min="6" max="6" width="9.4" customWidth="1"/>
    <col min="7" max="7" width="15.4333333333333" customWidth="1"/>
    <col min="8" max="8" width="10.5" customWidth="1"/>
    <col min="9" max="9" width="23.875" customWidth="1"/>
    <col min="10" max="10" width="9.125" customWidth="1"/>
    <col min="11" max="11" width="10" customWidth="1"/>
    <col min="12" max="12" width="8.875" customWidth="1"/>
    <col min="13" max="13" width="10.5" customWidth="1"/>
    <col min="14" max="14" width="2.125" customWidth="1"/>
  </cols>
  <sheetData>
    <row r="1" customFormat="1" spans="1:13">
      <c r="B1" s="1" t="s">
        <v>179</v>
      </c>
    </row>
    <row r="2" ht="23.05" customHeight="1"/>
    <row r="3" ht="2" customHeight="1"/>
    <row r="4" customFormat="1" ht="15.2" customHeight="1" spans="1:13">
      <c r="B4" s="2" t="s">
        <v>180</v>
      </c>
    </row>
    <row r="6" ht="2.05" customHeight="1"/>
    <row r="7" customFormat="1" ht="1.9" customHeight="1" spans="1:13">
      <c r="A7" s="3" t="s">
        <v>2</v>
      </c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2.95" customHeight="1"/>
    <row r="9" customFormat="1" spans="1:13">
      <c r="A9" s="8" t="s">
        <v>2</v>
      </c>
      <c r="C9" s="8" t="s">
        <v>2</v>
      </c>
      <c r="D9" s="8" t="s">
        <v>4</v>
      </c>
      <c r="E9" s="8" t="s">
        <v>5</v>
      </c>
      <c r="F9" s="8" t="s">
        <v>181</v>
      </c>
      <c r="G9" s="8" t="s">
        <v>6</v>
      </c>
      <c r="H9" s="8" t="s">
        <v>182</v>
      </c>
      <c r="I9" s="8" t="s">
        <v>8</v>
      </c>
      <c r="J9" s="21" t="s">
        <v>183</v>
      </c>
      <c r="K9" s="21" t="s">
        <v>184</v>
      </c>
      <c r="L9" s="21" t="s">
        <v>11</v>
      </c>
      <c r="M9" s="21" t="s">
        <v>185</v>
      </c>
    </row>
    <row r="10" customFormat="1" ht="15" spans="1:13">
      <c r="A10" s="22" t="s">
        <v>2</v>
      </c>
      <c r="B10" s="5" t="s">
        <v>2</v>
      </c>
      <c r="C10" s="22" t="s">
        <v>2</v>
      </c>
      <c r="D10" s="22" t="s">
        <v>186</v>
      </c>
      <c r="E10" s="5" t="s">
        <v>2</v>
      </c>
      <c r="F10" s="5" t="s">
        <v>2</v>
      </c>
      <c r="G10" s="5" t="s">
        <v>2</v>
      </c>
      <c r="H10" s="5" t="s">
        <v>2</v>
      </c>
      <c r="I10" s="22" t="s">
        <v>2</v>
      </c>
      <c r="J10" s="23">
        <v>9</v>
      </c>
      <c r="K10" s="24">
        <v>267</v>
      </c>
      <c r="L10" s="22" t="s">
        <v>2</v>
      </c>
      <c r="M10" s="25">
        <v>1203</v>
      </c>
    </row>
    <row r="11" customFormat="1" ht="14.25" spans="1:13">
      <c r="A11" s="8" t="s">
        <v>2</v>
      </c>
      <c r="C11" s="10" t="s">
        <v>2</v>
      </c>
      <c r="D11" s="10" t="s">
        <v>187</v>
      </c>
      <c r="E11" s="5" t="s">
        <v>2</v>
      </c>
      <c r="F11" s="5" t="s">
        <v>2</v>
      </c>
      <c r="G11" s="5" t="s">
        <v>2</v>
      </c>
      <c r="H11" s="5" t="s">
        <v>2</v>
      </c>
      <c r="I11" s="10" t="s">
        <v>2</v>
      </c>
      <c r="J11" s="26">
        <v>9</v>
      </c>
      <c r="K11" s="27">
        <v>267</v>
      </c>
      <c r="L11" s="10" t="s">
        <v>2</v>
      </c>
      <c r="M11" s="28">
        <v>1203</v>
      </c>
    </row>
    <row r="12" customFormat="1" ht="24.75" spans="1:13">
      <c r="C12" s="8" t="s">
        <v>2</v>
      </c>
      <c r="D12" s="29">
        <v>46086</v>
      </c>
      <c r="E12" s="15">
        <v>1582499</v>
      </c>
      <c r="F12" s="15" t="s">
        <v>188</v>
      </c>
      <c r="G12" s="19" t="s">
        <v>189</v>
      </c>
      <c r="H12" s="15">
        <v>20414764</v>
      </c>
      <c r="I12" s="19" t="s">
        <v>190</v>
      </c>
      <c r="J12" s="30">
        <v>1</v>
      </c>
      <c r="K12" s="31">
        <v>1</v>
      </c>
      <c r="L12" s="32">
        <v>5.5</v>
      </c>
      <c r="M12" s="32">
        <v>5.5</v>
      </c>
    </row>
    <row r="13" customFormat="1" ht="24.75" spans="1:13">
      <c r="D13" s="29">
        <v>46086</v>
      </c>
      <c r="E13" s="15">
        <v>1582499</v>
      </c>
      <c r="F13" s="15" t="s">
        <v>188</v>
      </c>
      <c r="G13" s="19" t="s">
        <v>189</v>
      </c>
      <c r="H13" s="15">
        <v>20414758</v>
      </c>
      <c r="I13" s="19" t="s">
        <v>191</v>
      </c>
      <c r="J13" s="30">
        <v>1</v>
      </c>
      <c r="K13" s="31">
        <v>20</v>
      </c>
      <c r="L13" s="32">
        <v>110</v>
      </c>
      <c r="M13" s="32">
        <v>110</v>
      </c>
    </row>
    <row r="14" customFormat="1" ht="24.75" spans="1:13">
      <c r="D14" s="29">
        <v>46086</v>
      </c>
      <c r="E14" s="15">
        <v>1582499</v>
      </c>
      <c r="F14" s="15" t="s">
        <v>188</v>
      </c>
      <c r="G14" s="19" t="s">
        <v>192</v>
      </c>
      <c r="H14" s="15">
        <v>20414757</v>
      </c>
      <c r="I14" s="19" t="s">
        <v>193</v>
      </c>
      <c r="J14" s="30">
        <v>1</v>
      </c>
      <c r="K14" s="31">
        <v>43</v>
      </c>
      <c r="L14" s="32">
        <v>359.5</v>
      </c>
      <c r="M14" s="32">
        <v>359.5</v>
      </c>
    </row>
    <row r="15" customFormat="1" ht="24.75" spans="1:13">
      <c r="D15" s="29">
        <v>46086</v>
      </c>
      <c r="E15" s="15">
        <v>1582499</v>
      </c>
      <c r="F15" s="15" t="s">
        <v>188</v>
      </c>
      <c r="G15" s="19" t="s">
        <v>189</v>
      </c>
      <c r="H15" s="15">
        <v>20414762</v>
      </c>
      <c r="I15" s="19" t="s">
        <v>194</v>
      </c>
      <c r="J15" s="30">
        <v>1</v>
      </c>
      <c r="K15" s="31">
        <v>16</v>
      </c>
      <c r="L15" s="32">
        <v>88</v>
      </c>
      <c r="M15" s="32">
        <v>88</v>
      </c>
    </row>
    <row r="16" customFormat="1" ht="24.75" spans="1:13">
      <c r="D16" s="29">
        <v>46086</v>
      </c>
      <c r="E16" s="15">
        <v>1582499</v>
      </c>
      <c r="F16" s="15" t="s">
        <v>188</v>
      </c>
      <c r="G16" s="19" t="s">
        <v>189</v>
      </c>
      <c r="H16" s="15">
        <v>20414761</v>
      </c>
      <c r="I16" s="19" t="s">
        <v>195</v>
      </c>
      <c r="J16" s="30">
        <v>1</v>
      </c>
      <c r="K16" s="31">
        <v>15</v>
      </c>
      <c r="L16" s="32">
        <v>82.5</v>
      </c>
      <c r="M16" s="32">
        <v>82.5</v>
      </c>
    </row>
    <row r="17" customFormat="1" ht="24.75" spans="4:13">
      <c r="D17" s="29">
        <v>46086</v>
      </c>
      <c r="E17" s="15">
        <v>1582499</v>
      </c>
      <c r="F17" s="15" t="s">
        <v>188</v>
      </c>
      <c r="G17" s="19" t="s">
        <v>189</v>
      </c>
      <c r="H17" s="15">
        <v>20414760</v>
      </c>
      <c r="I17" s="19" t="s">
        <v>196</v>
      </c>
      <c r="J17" s="30">
        <v>1</v>
      </c>
      <c r="K17" s="31">
        <v>20</v>
      </c>
      <c r="L17" s="32">
        <v>110</v>
      </c>
      <c r="M17" s="32">
        <v>110</v>
      </c>
    </row>
    <row r="18" customFormat="1" ht="24.75" spans="4:13">
      <c r="D18" s="29">
        <v>46091</v>
      </c>
      <c r="E18" s="15">
        <v>1583439</v>
      </c>
      <c r="F18" s="15" t="s">
        <v>188</v>
      </c>
      <c r="G18" s="19" t="s">
        <v>189</v>
      </c>
      <c r="H18" s="15">
        <v>20415162</v>
      </c>
      <c r="I18" s="19" t="s">
        <v>197</v>
      </c>
      <c r="J18" s="30">
        <v>1</v>
      </c>
      <c r="K18" s="31">
        <v>24</v>
      </c>
      <c r="L18" s="32">
        <v>132</v>
      </c>
      <c r="M18" s="32">
        <v>132</v>
      </c>
    </row>
    <row r="19" customFormat="1" ht="24.75" spans="4:13">
      <c r="D19" s="29">
        <v>46091</v>
      </c>
      <c r="E19" s="15">
        <v>1583439</v>
      </c>
      <c r="F19" s="15" t="s">
        <v>188</v>
      </c>
      <c r="G19" s="19" t="s">
        <v>189</v>
      </c>
      <c r="H19" s="15">
        <v>20415163</v>
      </c>
      <c r="I19" s="19" t="s">
        <v>198</v>
      </c>
      <c r="J19" s="30">
        <v>1</v>
      </c>
      <c r="K19" s="31">
        <v>4</v>
      </c>
      <c r="L19" s="32">
        <v>22</v>
      </c>
      <c r="M19" s="32">
        <v>22</v>
      </c>
    </row>
    <row r="20" customFormat="1" ht="24.75" spans="4:13">
      <c r="D20" s="29">
        <v>46101</v>
      </c>
      <c r="E20" s="15">
        <v>1587644</v>
      </c>
      <c r="F20" s="15" t="s">
        <v>188</v>
      </c>
      <c r="G20" s="19" t="s">
        <v>192</v>
      </c>
      <c r="H20" s="15">
        <v>20417931</v>
      </c>
      <c r="I20" s="19" t="s">
        <v>199</v>
      </c>
      <c r="J20" s="30">
        <v>1</v>
      </c>
      <c r="K20" s="31">
        <v>124</v>
      </c>
      <c r="L20" s="32">
        <v>293.5</v>
      </c>
      <c r="M20" s="32">
        <v>293.5</v>
      </c>
    </row>
  </sheetData>
  <mergeCells count="8">
    <mergeCell ref="A9:B9"/>
    <mergeCell ref="A10:B10"/>
    <mergeCell ref="D10:H10"/>
    <mergeCell ref="D11:H11"/>
    <mergeCell ref="C12:C20"/>
    <mergeCell ref="B1:I2"/>
    <mergeCell ref="B4:I5"/>
    <mergeCell ref="A11:B20"/>
  </mergeCells>
  <pageMargins left="0.25" right="0.25" top="0.75" bottom="0.75" header="0.298611111111111" footer="0.298611111111111"/>
  <pageSetup paperSize="9" scale="84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view="pageBreakPreview" zoomScaleNormal="100" workbookViewId="0">
      <selection activeCell="N15" sqref="N15"/>
    </sheetView>
  </sheetViews>
  <sheetFormatPr defaultColWidth="9" defaultRowHeight="13.5"/>
  <cols>
    <col min="1" max="1" width="0.225" customWidth="1"/>
    <col min="2" max="2" width="1.09166666666667" customWidth="1"/>
    <col min="3" max="3" width="1.25833333333333" customWidth="1"/>
    <col min="4" max="4" width="12.125" customWidth="1"/>
    <col min="5" max="5" width="16.125" customWidth="1"/>
    <col min="6" max="6" width="7.875" customWidth="1"/>
    <col min="7" max="7" width="17.375" customWidth="1"/>
    <col min="8" max="8" width="13.85" customWidth="1"/>
    <col min="9" max="9" width="18.25" customWidth="1"/>
    <col min="10" max="10" width="12" customWidth="1"/>
  </cols>
  <sheetData>
    <row r="1" customFormat="1" ht="25.5" customHeight="1" spans="1:10">
      <c r="B1" s="1" t="s">
        <v>200</v>
      </c>
    </row>
    <row r="2" customFormat="1" ht="2" customHeight="1"/>
    <row r="3" customFormat="1" ht="12.75" customHeight="1" spans="1:10">
      <c r="B3" s="2" t="s">
        <v>201</v>
      </c>
    </row>
    <row r="4" customFormat="1"/>
    <row r="5" customFormat="1" ht="2.05" customHeight="1"/>
    <row r="6" customFormat="1" ht="1.95" customHeight="1" spans="1:10">
      <c r="A6" s="3" t="s">
        <v>2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2</v>
      </c>
    </row>
    <row r="7" customFormat="1" ht="15.75" spans="1:10">
      <c r="A7" s="4" t="s">
        <v>2</v>
      </c>
      <c r="B7" s="5" t="s">
        <v>2</v>
      </c>
      <c r="C7" s="4" t="s">
        <v>2</v>
      </c>
      <c r="D7" s="6" t="s">
        <v>3</v>
      </c>
      <c r="E7" s="5" t="s">
        <v>2</v>
      </c>
      <c r="F7" s="5" t="s">
        <v>2</v>
      </c>
      <c r="G7" s="5" t="s">
        <v>2</v>
      </c>
      <c r="H7" s="5" t="s">
        <v>2</v>
      </c>
      <c r="I7" s="4" t="s">
        <v>2</v>
      </c>
      <c r="J7" s="7">
        <v>-57</v>
      </c>
    </row>
    <row r="8" customFormat="1" spans="1:10">
      <c r="A8" s="8" t="s">
        <v>2</v>
      </c>
      <c r="C8" s="9" t="s">
        <v>2</v>
      </c>
      <c r="D8" s="9" t="s">
        <v>202</v>
      </c>
      <c r="E8" s="9" t="s">
        <v>203</v>
      </c>
      <c r="F8" s="9" t="s">
        <v>204</v>
      </c>
      <c r="G8" s="9" t="s">
        <v>205</v>
      </c>
      <c r="H8" s="9" t="s">
        <v>7</v>
      </c>
      <c r="I8" s="9" t="s">
        <v>206</v>
      </c>
      <c r="J8" s="9" t="s">
        <v>207</v>
      </c>
    </row>
    <row r="9" customFormat="1" ht="14.25" spans="1:10">
      <c r="C9" s="9" t="s">
        <v>2</v>
      </c>
      <c r="D9" s="10" t="s">
        <v>110</v>
      </c>
      <c r="E9" s="5" t="s">
        <v>2</v>
      </c>
      <c r="F9" s="5" t="s">
        <v>2</v>
      </c>
      <c r="G9" s="5" t="s">
        <v>2</v>
      </c>
      <c r="H9" s="5" t="s">
        <v>2</v>
      </c>
      <c r="I9" s="9" t="s">
        <v>2</v>
      </c>
      <c r="J9" s="11">
        <v>-57</v>
      </c>
    </row>
    <row r="10" customFormat="1" spans="1:10">
      <c r="C10" s="8" t="s">
        <v>2</v>
      </c>
      <c r="D10" s="12" t="s">
        <v>208</v>
      </c>
      <c r="E10" s="5" t="s">
        <v>2</v>
      </c>
      <c r="F10" s="5" t="s">
        <v>2</v>
      </c>
      <c r="G10" s="5" t="s">
        <v>2</v>
      </c>
      <c r="H10" s="5" t="s">
        <v>2</v>
      </c>
      <c r="I10" s="13" t="s">
        <v>2</v>
      </c>
      <c r="J10" s="14">
        <v>-57</v>
      </c>
    </row>
    <row r="11" customFormat="1" spans="1:10">
      <c r="D11" s="15">
        <v>3006013694</v>
      </c>
      <c r="E11" s="16">
        <v>46114.4146912384</v>
      </c>
      <c r="F11" s="17" t="s">
        <v>209</v>
      </c>
      <c r="G11" s="18">
        <v>46095.0816572106</v>
      </c>
      <c r="H11" s="19">
        <v>20312602</v>
      </c>
      <c r="I11" s="19" t="s">
        <v>116</v>
      </c>
      <c r="J11" s="20">
        <v>-22</v>
      </c>
    </row>
    <row r="12" customFormat="1" spans="1:10">
      <c r="D12" s="15">
        <v>3006018378</v>
      </c>
      <c r="E12" s="16">
        <v>46114.414953044</v>
      </c>
      <c r="F12" s="17" t="s">
        <v>209</v>
      </c>
      <c r="G12" s="18">
        <v>46098.1449154282</v>
      </c>
      <c r="H12" s="19">
        <v>20008861</v>
      </c>
      <c r="I12" s="19" t="s">
        <v>85</v>
      </c>
      <c r="J12" s="20">
        <v>-35</v>
      </c>
    </row>
    <row r="13" customFormat="1" spans="1:10">
      <c r="A13" s="8" t="s">
        <v>2</v>
      </c>
      <c r="C13" s="8" t="s">
        <v>2</v>
      </c>
      <c r="D13" s="8" t="s">
        <v>2</v>
      </c>
      <c r="E13" s="8" t="s">
        <v>2</v>
      </c>
      <c r="F13" s="8" t="s">
        <v>2</v>
      </c>
      <c r="G13" s="8" t="s">
        <v>2</v>
      </c>
      <c r="H13" s="8" t="s">
        <v>2</v>
      </c>
      <c r="I13" s="8" t="s">
        <v>2</v>
      </c>
      <c r="J13" s="8" t="s">
        <v>2</v>
      </c>
    </row>
    <row r="14" customFormat="1" ht="11.6" customHeight="1"/>
  </sheetData>
  <mergeCells count="9">
    <mergeCell ref="B1:I1"/>
    <mergeCell ref="A7:B7"/>
    <mergeCell ref="D7:H7"/>
    <mergeCell ref="D9:H9"/>
    <mergeCell ref="D10:H10"/>
    <mergeCell ref="A13:B13"/>
    <mergeCell ref="C10:C12"/>
    <mergeCell ref="B3:E4"/>
    <mergeCell ref="A8:B12"/>
  </mergeCells>
  <pageMargins left="0.25" right="0.25" top="0.75" bottom="0.75" header="0.298611111111111" footer="0.298611111111111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耳科</vt:lpstr>
      <vt:lpstr>妇科门诊（一病区）</vt:lpstr>
      <vt:lpstr>急诊</vt:lpstr>
      <vt:lpstr>口腔科</vt:lpstr>
      <vt:lpstr>泌外科</vt:lpstr>
      <vt:lpstr>皮肤科</vt:lpstr>
      <vt:lpstr>普外科</vt:lpstr>
      <vt:lpstr>手术室</vt:lpstr>
      <vt:lpstr>透析科</vt:lpstr>
      <vt:lpstr>眼科</vt:lpstr>
      <vt:lpstr>外来器械</vt:lpstr>
      <vt:lpstr>费用调整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2026-04-01T01:11:00Z</dcterms:created>
  <dcterms:modified xsi:type="dcterms:W3CDTF">2026-04-09T02:42:17Z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CDD672E09BEA4AC09A149DD6DC21D72D_13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