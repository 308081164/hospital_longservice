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<sst xmlns="http://schemas.openxmlformats.org/spreadsheetml/2006/main" count="44" uniqueCount="22">
  <si>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</si>
  <si>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</si>
  <si>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</si>
  <si>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工农专科门诊部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</si>
  <si>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</si>
  <si>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</si>
  <si>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</si>
  <si>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</si>
  <si>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</si>
  <si>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</si>
  <si>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</si>
  <si>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</si>
  <si>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</si>
  <si>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</si>
  <si>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镊子缸-2/Z2044</t>
  </si>
  <si>
    <t>无菌缸-1/Z2530</t>
  </si>
  <si>
    <t>额外包(无纺布)</t>
  </si>
  <si>
    <t>带盖方盘-1/w9050</t>
  </si>
  <si>
    <t>带架治疗盘-1/W9050</t>
  </si>
  <si>
    <t>小罐-3件/W7050</t>
  </si>
  <si>
    <t>额外包(低温等离子)</t>
  </si>
  <si>
    <t>湿化瓶-1/Z1530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</si>
</sst>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24" sqref="H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</v>
      </c>
      <c r="J10" s="12"/>
      <c r="K10" s="12">
        <f>SUM(K11:K16)</f>
        <v>123</v>
      </c>
    </row>
    <row r="11" spans="2:11">
      <c r="D11" s="13">
        <v>46172</v>
      </c>
      <c r="E11" s="14">
        <v>1607754</v>
      </c>
      <c r="F11" s="14" t="s">
        <v>13</v>
      </c>
      <c r="G11" s="9">
        <v>20427501</v>
      </c>
      <c r="H11" s="14" t="s">
        <v>14</v>
      </c>
      <c r="I11" s="9">
        <v>1</v>
      </c>
      <c r="J11" s="15">
        <v>16.5</v>
      </c>
      <c r="K11" s="15">
        <f>J11*I11</f>
        <v>16.5</v>
      </c>
    </row>
    <row r="12" spans="2:11">
      <c r="D12" s="13">
        <v>46172</v>
      </c>
      <c r="E12" s="14">
        <v>1607754</v>
      </c>
      <c r="F12" s="14" t="s">
        <v>13</v>
      </c>
      <c r="G12" s="9">
        <v>20427502</v>
      </c>
      <c r="H12" s="14" t="s">
        <v>15</v>
      </c>
      <c r="I12" s="9">
        <v>2</v>
      </c>
      <c r="J12" s="15">
        <v>16</v>
      </c>
      <c r="K12" s="15">
        <f>J12*I12</f>
        <v>32</v>
      </c>
    </row>
    <row r="13" spans="2:11">
      <c r="D13" s="13">
        <v>46172</v>
      </c>
      <c r="E13" s="14">
        <v>1607754</v>
      </c>
      <c r="F13" s="14" t="s">
        <v>16</v>
      </c>
      <c r="G13" s="9">
        <v>20427503</v>
      </c>
      <c r="H13" s="14" t="s">
        <v>17</v>
      </c>
      <c r="I13" s="9">
        <v>1</v>
      </c>
      <c r="J13" s="15">
        <v>16.5</v>
      </c>
      <c r="K13" s="15">
        <f>J13*I13</f>
        <v>16.5</v>
      </c>
    </row>
    <row r="14" spans="2:11">
      <c r="D14" s="13">
        <v>46172</v>
      </c>
      <c r="E14" s="14">
        <v>1607754</v>
      </c>
      <c r="F14" s="14" t="s">
        <v>16</v>
      </c>
      <c r="G14" s="9">
        <v>20427504</v>
      </c>
      <c r="H14" s="14" t="s">
        <v>18</v>
      </c>
      <c r="I14" s="9">
        <v>1</v>
      </c>
      <c r="J14" s="15">
        <v>16.5</v>
      </c>
      <c r="K14" s="15">
        <f>J14*I14</f>
        <v>16.5</v>
      </c>
    </row>
    <row r="15" spans="2:11">
      <c r="D15" s="13">
        <v>46172</v>
      </c>
      <c r="E15" s="14">
        <v>1607754</v>
      </c>
      <c r="F15" s="14" t="s">
        <v>16</v>
      </c>
      <c r="G15" s="9">
        <v>20427505</v>
      </c>
      <c r="H15" s="14" t="s">
        <v>19</v>
      </c>
      <c r="I15" s="9">
        <v>1</v>
      </c>
      <c r="J15" s="15">
        <v>16.5</v>
      </c>
      <c r="K15" s="15">
        <f>J15*I15</f>
        <v>16.5</v>
      </c>
    </row>
    <row r="16" spans="2:11">
      <c r="D16" s="13">
        <v>46172</v>
      </c>
      <c r="E16" s="14">
        <v>1607799</v>
      </c>
      <c r="F16" s="14" t="s">
        <v>20</v>
      </c>
      <c r="G16" s="9">
        <v>20427500</v>
      </c>
      <c r="H16" s="14" t="s">
        <v>21</v>
      </c>
      <c r="I16" s="9">
        <v>1</v>
      </c>
      <c r="J16" s="15">
        <v>25</v>
      </c>
      <c r="K16" s="15">
        <f>J16*I16</f>
        <v>25</v>
      </c>
    </row>
    <row r="17" ht="0.05" customHeight="1"/>
  </sheetData>
  <mergeCells count="6">
    <mergeCell ref="D8:H8"/>
    <mergeCell ref="D10:H10"/>
    <mergeCell ref="C9:C16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9:20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2026-06-05T01:19:00Z</dcterms:created>
  <dcterms:modified xsi:type="dcterms:W3CDTF">2026-06-08T00:34:20Z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61787B34F03D48059665FBCFD2DC4E54_12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