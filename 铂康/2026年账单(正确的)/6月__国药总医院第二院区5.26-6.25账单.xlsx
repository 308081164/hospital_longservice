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妇产科" sheetId="1" r:id="rId1"/>
    <sheet name="急诊科" sheetId="2" r:id="rId2"/>
    <sheet name="手术室" sheetId="3" r:id="rId3"/>
    <sheet name="外科" sheetId="4" r:id="rId4"/>
  </sheets>
  <definedNames>
    <definedName name="_xlnm._FilterDatabase" localSheetId="0" hidden="1">妇产科!$A$1:$K$23</definedName>
    <definedName name="_xlnm._FilterDatabase" localSheetId="2" hidden="1">手术室!$A$1:$K$44</definedName>
    <definedName name="_xlnm._FilterDatabase" localSheetId="3" hidden="1">外科!$A$1:$J$34</definedName>
    <definedName name="_xlnm.Print_Titles" localSheetId="0">妇产科!$1:$6</definedName>
    <definedName name="_xlnm.Print_Titles" localSheetId="1">急诊科!$1:$6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<sst xmlns="http://schemas.openxmlformats.org/spreadsheetml/2006/main" count="242" uniqueCount="77">
  <si>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</si>
  <si>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</si>
  <si>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</si>
  <si>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电机厂医院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</si>
  <si>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</si>
  <si>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</si>
  <si>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</si>
  <si>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</si>
  <si>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</si>
  <si>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</si>
  <si>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</si>
  <si>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</si>
  <si>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</si>
  <si>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单包装包</t>
  </si>
  <si>
    <t>无菌缸-1/Z2530</t>
  </si>
  <si>
    <t>额外包(纸塑袋)</t>
  </si>
  <si>
    <t>止血钳-1/Z1029</t>
  </si>
  <si>
    <t>额外包(无纺布)</t>
  </si>
  <si>
    <t>取环包-6/W6050</t>
  </si>
  <si>
    <t>取环器-1/Z1535</t>
  </si>
  <si>
    <t>7号吸头-1/Z7534</t>
  </si>
  <si>
    <t>剪刀-1/Z1029</t>
  </si>
  <si>
    <t>扩棒-1/Z7530</t>
  </si>
  <si>
    <t>人流包-9件/W6050</t>
  </si>
  <si>
    <t>上环包-4/W6050</t>
  </si>
  <si>
    <t>急诊科</t>
  </si>
  <si>
    <t>器械包</t>
  </si>
  <si>
    <t>静脉切开包</t>
  </si>
  <si>
    <t>气管切开包</t>
  </si>
  <si>
    <t>开口器-1/Z1026</t>
  </si>
  <si>
    <t>舌钳子-1/Z1526</t>
  </si>
  <si>
    <t>手术室</t>
  </si>
  <si>
    <t>咬骨钳-1/(双)Z1526</t>
  </si>
  <si>
    <t>持物钳罐-2/W6050</t>
  </si>
  <si>
    <t>腹腔镜器械-9件/W6050</t>
  </si>
  <si>
    <t>额外包(低温等离子)</t>
  </si>
  <si>
    <t>穿刺器10.5-1/Z1026</t>
  </si>
  <si>
    <t>穿刺器5.5-1/Z1026</t>
  </si>
  <si>
    <t>电凝棒-1/z7550</t>
  </si>
  <si>
    <t>电凝钩 1 电极线 1/z2060</t>
  </si>
  <si>
    <t>剪刀（低温）-1/Z2060</t>
  </si>
  <si>
    <t>镜头-1/Z2060</t>
  </si>
  <si>
    <t>气腹管-1/z3040</t>
  </si>
  <si>
    <t>施夹钳-1/Z2060</t>
  </si>
  <si>
    <t>弯分离钳-1/Z2060</t>
  </si>
  <si>
    <t>胃抓钳-1/Z2060</t>
  </si>
  <si>
    <t>转换器-1/Z7520</t>
  </si>
  <si>
    <t>阑尾包</t>
  </si>
  <si>
    <t>门诊包</t>
  </si>
  <si>
    <t>剥离质-1/Z7534</t>
  </si>
  <si>
    <t>梅花-1/Z1035</t>
  </si>
  <si>
    <t>梅花一套-6/Z1026</t>
  </si>
  <si>
    <t>双极钳  双极线-2件/z2060</t>
  </si>
  <si>
    <t>甲状腺</t>
  </si>
  <si>
    <t>蚊式包</t>
  </si>
  <si>
    <t>S拉钩-1/Z1535</t>
  </si>
  <si>
    <t>针盒-1(带针)/W6050</t>
  </si>
  <si>
    <t>胃肠包</t>
  </si>
  <si>
    <t>胃肠特殊包</t>
  </si>
  <si>
    <t>小门诊包</t>
  </si>
  <si>
    <t>手刷-5/Z3032</t>
  </si>
  <si>
    <t>骨剪-1/W6050</t>
  </si>
  <si>
    <t>外科</t>
  </si>
  <si>
    <t>止血钳-1剪刀-1/Z1526</t>
  </si>
  <si>
    <t>器械包(ZSD)</t>
  </si>
  <si>
    <t>缝合包</t>
  </si>
  <si>
    <t>无菌缸-5/W9050</t>
  </si>
  <si>
    <t>刀柄1持针器1剪刀1止血钳1/W6050</t>
  </si>
  <si>
    <t>止血钳-2剪刀-1/Z1526</t>
  </si>
  <si>
    <t>止血钳-3/Z1526</t>
  </si>
  <si>
    <t>止血钳1持针器1钩镊1刀柄1/W6050</t>
  </si>
  <si>
    <t>止血钳-5/Z1526</t>
  </si>
  <si>
    <t>无菌缸-4/W9050</t>
  </si>
  <si>
    <t>剪刀-1止血钳-2/Z1530</t>
  </si>
  <si>
    <t>止血钳-2/Z1526</t>
  </si>
  <si>
    <t>敷料包</t>
  </si>
  <si>
    <t>纱条（棉布）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</si>
</sst>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152400</xdr:rowOff>
    </xdr:from>
    <xdr:to>
      <xdr:col>10</xdr:col>
      <xdr:colOff>719538</xdr:colOff>
      <xdr:row>4</xdr:row>
      <xdr:rowOff>149860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71450"/>
          <a:ext cx="509905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57150</xdr:rowOff>
    </xdr:from>
    <xdr:to>
      <xdr:col>10</xdr:col>
      <xdr:colOff>719538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19050</xdr:rowOff>
    </xdr:from>
    <xdr:to>
      <xdr:col>10</xdr:col>
      <xdr:colOff>738588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71450"/>
          <a:ext cx="509905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85725</xdr:colOff>
      <xdr:row>0</xdr:row>
      <xdr:rowOff>152400</xdr:rowOff>
    </xdr:from>
    <xdr:to>
      <xdr:col>10</xdr:col>
      <xdr:colOff>595713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1645" y="152400"/>
          <a:ext cx="509905" cy="1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3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hidden="1" customHeight="1"/>
    <row r="3" ht="2" hidden="1" customHeight="1"/>
    <row r="4" ht="15.2" hidden="1" customHeight="1" spans="2:11">
      <c r="B4" s="2" t="s">
        <v>1</v>
      </c>
    </row>
    <row r="5" hidden="1"/>
    <row r="6" ht="2.95" hidden="1" customHeight="1"/>
    <row r="7" ht="3.95" hidden="1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hidden="1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hidden="1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hidden="1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13</v>
      </c>
      <c r="J10" s="10"/>
      <c r="K10" s="10">
        <v>278.5</v>
      </c>
    </row>
    <row r="11" hidden="1" spans="2:11">
      <c r="D11" s="11">
        <v>46178</v>
      </c>
      <c r="E11" s="12">
        <v>1609673</v>
      </c>
      <c r="F11" s="12" t="s">
        <v>13</v>
      </c>
      <c r="G11" s="13">
        <v>20006140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46178</v>
      </c>
      <c r="E12" s="12">
        <v>1609673</v>
      </c>
      <c r="F12" s="12" t="s">
        <v>15</v>
      </c>
      <c r="G12" s="13">
        <v>20012950</v>
      </c>
      <c r="H12" s="12" t="s">
        <v>16</v>
      </c>
      <c r="I12" s="13">
        <v>1</v>
      </c>
      <c r="J12" s="14">
        <v>8</v>
      </c>
      <c r="K12" s="14">
        <v>8</v>
      </c>
    </row>
    <row r="13" spans="2:11">
      <c r="D13" s="11">
        <v>46178</v>
      </c>
      <c r="E13" s="12">
        <v>1609673</v>
      </c>
      <c r="F13" s="12" t="s">
        <v>17</v>
      </c>
      <c r="G13" s="13">
        <v>20311377</v>
      </c>
      <c r="H13" s="12" t="s">
        <v>18</v>
      </c>
      <c r="I13" s="13">
        <v>1</v>
      </c>
      <c r="J13" s="14">
        <v>33</v>
      </c>
      <c r="K13" s="14">
        <v>33</v>
      </c>
    </row>
    <row r="14" spans="2:11">
      <c r="D14" s="11">
        <v>46188</v>
      </c>
      <c r="E14" s="12">
        <v>1612286</v>
      </c>
      <c r="F14" s="12" t="s">
        <v>17</v>
      </c>
      <c r="G14" s="13">
        <v>20311377</v>
      </c>
      <c r="H14" s="12" t="s">
        <v>18</v>
      </c>
      <c r="I14" s="13">
        <v>2</v>
      </c>
      <c r="J14" s="14">
        <v>33</v>
      </c>
      <c r="K14" s="14">
        <v>66</v>
      </c>
    </row>
    <row r="15" spans="2:11">
      <c r="D15" s="11">
        <v>46188</v>
      </c>
      <c r="E15" s="12">
        <v>1612354</v>
      </c>
      <c r="F15" s="12" t="s">
        <v>15</v>
      </c>
      <c r="G15" s="13">
        <v>20006138</v>
      </c>
      <c r="H15" s="12" t="s">
        <v>19</v>
      </c>
      <c r="I15" s="13">
        <v>1</v>
      </c>
      <c r="J15" s="14">
        <v>11</v>
      </c>
      <c r="K15" s="14">
        <v>11</v>
      </c>
    </row>
    <row r="16" spans="2:11">
      <c r="D16" s="11">
        <v>46197</v>
      </c>
      <c r="E16" s="12">
        <v>1614789</v>
      </c>
      <c r="F16" s="12" t="s">
        <v>15</v>
      </c>
      <c r="G16" s="13">
        <v>20312028</v>
      </c>
      <c r="H16" s="12" t="s">
        <v>20</v>
      </c>
      <c r="I16" s="13">
        <v>1</v>
      </c>
      <c r="J16" s="14">
        <v>8</v>
      </c>
      <c r="K16" s="14">
        <v>8</v>
      </c>
    </row>
    <row r="17" spans="4:11">
      <c r="D17" s="11">
        <v>46197</v>
      </c>
      <c r="E17" s="12">
        <v>1614789</v>
      </c>
      <c r="F17" s="12" t="s">
        <v>15</v>
      </c>
      <c r="G17" s="13">
        <v>20006202</v>
      </c>
      <c r="H17" s="12" t="s">
        <v>21</v>
      </c>
      <c r="I17" s="13">
        <v>1</v>
      </c>
      <c r="J17" s="14">
        <v>8</v>
      </c>
      <c r="K17" s="14">
        <v>8</v>
      </c>
    </row>
    <row r="18" spans="4:11">
      <c r="D18" s="11">
        <v>46197</v>
      </c>
      <c r="E18" s="12">
        <v>1614789</v>
      </c>
      <c r="F18" s="12" t="s">
        <v>15</v>
      </c>
      <c r="G18" s="13">
        <v>20014787</v>
      </c>
      <c r="H18" s="12" t="s">
        <v>22</v>
      </c>
      <c r="I18" s="13">
        <v>1</v>
      </c>
      <c r="J18" s="14">
        <v>8</v>
      </c>
      <c r="K18" s="14">
        <v>8</v>
      </c>
    </row>
    <row r="19" spans="4:11">
      <c r="D19" s="11">
        <v>46197</v>
      </c>
      <c r="E19" s="12">
        <v>1614789</v>
      </c>
      <c r="F19" s="12" t="s">
        <v>17</v>
      </c>
      <c r="G19" s="13">
        <v>20311377</v>
      </c>
      <c r="H19" s="12" t="s">
        <v>18</v>
      </c>
      <c r="I19" s="13">
        <v>1</v>
      </c>
      <c r="J19" s="14">
        <v>33</v>
      </c>
      <c r="K19" s="14">
        <v>33</v>
      </c>
    </row>
    <row r="20" spans="4:11">
      <c r="D20" s="11">
        <v>46197</v>
      </c>
      <c r="E20" s="12">
        <v>1614789</v>
      </c>
      <c r="F20" s="12" t="s">
        <v>17</v>
      </c>
      <c r="G20" s="13">
        <v>20012085</v>
      </c>
      <c r="H20" s="12" t="s">
        <v>23</v>
      </c>
      <c r="I20" s="13">
        <v>1</v>
      </c>
      <c r="J20" s="14">
        <v>49.5</v>
      </c>
      <c r="K20" s="14">
        <v>49.5</v>
      </c>
    </row>
    <row r="21" spans="4:11">
      <c r="D21" s="11">
        <v>46197</v>
      </c>
      <c r="E21" s="12">
        <v>1614789</v>
      </c>
      <c r="F21" s="12" t="s">
        <v>17</v>
      </c>
      <c r="G21" s="13">
        <v>20006182</v>
      </c>
      <c r="H21" s="12" t="s">
        <v>24</v>
      </c>
      <c r="I21" s="13">
        <v>1</v>
      </c>
      <c r="J21" s="14">
        <v>22</v>
      </c>
      <c r="K21" s="14">
        <v>22</v>
      </c>
    </row>
    <row r="22" hidden="1" spans="4:11">
      <c r="D22" s="11">
        <v>46197</v>
      </c>
      <c r="E22" s="12">
        <v>1614820</v>
      </c>
      <c r="F22" s="12" t="s">
        <v>13</v>
      </c>
      <c r="G22" s="13">
        <v>20006140</v>
      </c>
      <c r="H22" s="12" t="s">
        <v>14</v>
      </c>
      <c r="I22" s="13">
        <v>1</v>
      </c>
      <c r="J22" s="14">
        <v>16</v>
      </c>
      <c r="K22" s="14">
        <v>16</v>
      </c>
    </row>
    <row r="23" ht="0.05" hidden="1" customHeight="1"/>
  </sheetData>
  <autoFilter xmlns:etc="http://www.wps.cn/officeDocument/2017/etCustomData" ref="A1:K23" etc:filterBottomFollowUsedRange="0">
    <filterColumn colId="5">
      <filters>
        <filter val="额外包(无纺布)"/>
        <filter val="额外包(纸塑袋)"/>
      </filters>
    </filterColumn>
    <extLst/>
  </autoFilter>
  <mergeCells count="6">
    <mergeCell ref="D8:H8"/>
    <mergeCell ref="D10:H10"/>
    <mergeCell ref="C9:C22"/>
    <mergeCell ref="B4:H5"/>
    <mergeCell ref="C1:H2"/>
    <mergeCell ref="A8:B2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123.5</v>
      </c>
    </row>
    <row r="9" spans="1:12">
      <c r="D9" s="11">
        <v>46183</v>
      </c>
      <c r="E9" s="12">
        <v>1611047</v>
      </c>
      <c r="F9" s="12" t="s">
        <v>26</v>
      </c>
      <c r="G9" s="13">
        <v>20007236</v>
      </c>
      <c r="H9" s="12" t="s">
        <v>27</v>
      </c>
      <c r="I9" s="13">
        <v>1</v>
      </c>
      <c r="J9" s="14">
        <v>33</v>
      </c>
      <c r="K9" s="14">
        <v>33</v>
      </c>
    </row>
    <row r="10" spans="1:12">
      <c r="D10" s="11">
        <v>46183</v>
      </c>
      <c r="E10" s="12">
        <v>1611047</v>
      </c>
      <c r="F10" s="12" t="s">
        <v>26</v>
      </c>
      <c r="G10" s="13">
        <v>20007238</v>
      </c>
      <c r="H10" s="12" t="s">
        <v>28</v>
      </c>
      <c r="I10" s="13">
        <v>1</v>
      </c>
      <c r="J10" s="14">
        <v>71.5</v>
      </c>
      <c r="K10" s="14">
        <v>71.5</v>
      </c>
    </row>
    <row r="11" spans="1:12">
      <c r="D11" s="11">
        <v>46184</v>
      </c>
      <c r="E11" s="12">
        <v>1611193</v>
      </c>
      <c r="F11" s="12" t="s">
        <v>15</v>
      </c>
      <c r="G11" s="13">
        <v>20005089</v>
      </c>
      <c r="H11" s="12" t="s">
        <v>29</v>
      </c>
      <c r="I11" s="13">
        <v>1</v>
      </c>
      <c r="J11" s="14">
        <v>8</v>
      </c>
      <c r="K11" s="14">
        <v>8</v>
      </c>
      <c r="L11">
        <f>246.5+19+363</f>
        <v>628.5</v>
      </c>
    </row>
    <row r="12" spans="1:12">
      <c r="D12" s="11">
        <v>46184</v>
      </c>
      <c r="E12" s="12">
        <v>1611193</v>
      </c>
      <c r="F12" s="12" t="s">
        <v>15</v>
      </c>
      <c r="G12" s="13">
        <v>20005090</v>
      </c>
      <c r="H12" s="12" t="s">
        <v>30</v>
      </c>
      <c r="I12" s="13">
        <v>1</v>
      </c>
      <c r="J12" s="14">
        <v>11</v>
      </c>
      <c r="K12" s="14">
        <v>11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4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hidden="1" customHeight="1"/>
    <row r="3" ht="2" hidden="1" customHeight="1"/>
    <row r="4" ht="15.2" hidden="1" customHeight="1" spans="1:11">
      <c r="B4" s="2" t="s">
        <v>1</v>
      </c>
    </row>
    <row r="5" hidden="1"/>
    <row r="6" ht="2.95" hidden="1" customHeight="1"/>
    <row r="7" hidden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47</v>
      </c>
      <c r="J8" s="10"/>
      <c r="K8" s="10">
        <v>2294</v>
      </c>
    </row>
    <row r="9" hidden="1" spans="1:11">
      <c r="D9" s="11">
        <v>46171</v>
      </c>
      <c r="E9" s="12">
        <v>1607612</v>
      </c>
      <c r="F9" s="12" t="s">
        <v>15</v>
      </c>
      <c r="G9" s="13">
        <v>20014282</v>
      </c>
      <c r="H9" s="12" t="s">
        <v>32</v>
      </c>
      <c r="I9" s="13">
        <v>1</v>
      </c>
      <c r="J9" s="14">
        <v>16.5</v>
      </c>
      <c r="K9" s="14">
        <v>16.5</v>
      </c>
    </row>
    <row r="10" hidden="1" spans="1:11">
      <c r="D10" s="11">
        <v>46171</v>
      </c>
      <c r="E10" s="12">
        <v>1607612</v>
      </c>
      <c r="F10" s="12" t="s">
        <v>17</v>
      </c>
      <c r="G10" s="13">
        <v>20006482</v>
      </c>
      <c r="H10" s="12" t="s">
        <v>33</v>
      </c>
      <c r="I10" s="13">
        <v>1</v>
      </c>
      <c r="J10" s="14">
        <v>16.5</v>
      </c>
      <c r="K10" s="14">
        <v>16.5</v>
      </c>
    </row>
    <row r="11" hidden="1" spans="1:11">
      <c r="D11" s="11">
        <v>46171</v>
      </c>
      <c r="E11" s="12">
        <v>1607612</v>
      </c>
      <c r="F11" s="12" t="s">
        <v>17</v>
      </c>
      <c r="G11" s="13">
        <v>20400567</v>
      </c>
      <c r="H11" s="12" t="s">
        <v>34</v>
      </c>
      <c r="I11" s="13">
        <v>1</v>
      </c>
      <c r="J11" s="14">
        <v>49.5</v>
      </c>
      <c r="K11" s="14">
        <v>49.5</v>
      </c>
    </row>
    <row r="12" hidden="1" spans="1:11">
      <c r="D12" s="11">
        <v>46172</v>
      </c>
      <c r="E12" s="12">
        <v>1607797</v>
      </c>
      <c r="F12" s="12" t="s">
        <v>35</v>
      </c>
      <c r="G12" s="13">
        <v>20396305</v>
      </c>
      <c r="H12" s="12" t="s">
        <v>36</v>
      </c>
      <c r="I12" s="13">
        <v>2</v>
      </c>
      <c r="J12" s="14">
        <v>22</v>
      </c>
      <c r="K12" s="14">
        <v>44</v>
      </c>
    </row>
    <row r="13" hidden="1" spans="1:11">
      <c r="D13" s="11">
        <v>46172</v>
      </c>
      <c r="E13" s="12">
        <v>1607797</v>
      </c>
      <c r="F13" s="12" t="s">
        <v>35</v>
      </c>
      <c r="G13" s="13">
        <v>20396304</v>
      </c>
      <c r="H13" s="12" t="s">
        <v>37</v>
      </c>
      <c r="I13" s="13">
        <v>1</v>
      </c>
      <c r="J13" s="14">
        <v>22</v>
      </c>
      <c r="K13" s="14">
        <v>22</v>
      </c>
    </row>
    <row r="14" hidden="1" spans="1:11">
      <c r="D14" s="11">
        <v>46172</v>
      </c>
      <c r="E14" s="12">
        <v>1607797</v>
      </c>
      <c r="F14" s="12" t="s">
        <v>35</v>
      </c>
      <c r="G14" s="13">
        <v>20383282</v>
      </c>
      <c r="H14" s="12" t="s">
        <v>38</v>
      </c>
      <c r="I14" s="13">
        <v>1</v>
      </c>
      <c r="J14" s="14">
        <v>22</v>
      </c>
      <c r="K14" s="14">
        <v>22</v>
      </c>
    </row>
    <row r="15" hidden="1" spans="1:11">
      <c r="D15" s="11">
        <v>46172</v>
      </c>
      <c r="E15" s="12">
        <v>1607797</v>
      </c>
      <c r="F15" s="12" t="s">
        <v>35</v>
      </c>
      <c r="G15" s="13">
        <v>20421635</v>
      </c>
      <c r="H15" s="12" t="s">
        <v>39</v>
      </c>
      <c r="I15" s="13">
        <v>1</v>
      </c>
      <c r="J15" s="14">
        <v>44</v>
      </c>
      <c r="K15" s="14">
        <v>44</v>
      </c>
    </row>
    <row r="16" hidden="1" spans="1:11">
      <c r="D16" s="11">
        <v>46172</v>
      </c>
      <c r="E16" s="12">
        <v>1607797</v>
      </c>
      <c r="F16" s="12" t="s">
        <v>35</v>
      </c>
      <c r="G16" s="13">
        <v>20383288</v>
      </c>
      <c r="H16" s="12" t="s">
        <v>40</v>
      </c>
      <c r="I16" s="13">
        <v>1</v>
      </c>
      <c r="J16" s="14">
        <v>28</v>
      </c>
      <c r="K16" s="14">
        <v>28</v>
      </c>
    </row>
    <row r="17" hidden="1" spans="4:11">
      <c r="D17" s="11">
        <v>46172</v>
      </c>
      <c r="E17" s="12">
        <v>1607797</v>
      </c>
      <c r="F17" s="12" t="s">
        <v>35</v>
      </c>
      <c r="G17" s="13">
        <v>20004918</v>
      </c>
      <c r="H17" s="12" t="s">
        <v>41</v>
      </c>
      <c r="I17" s="13">
        <v>1</v>
      </c>
      <c r="J17" s="14">
        <v>28</v>
      </c>
      <c r="K17" s="14">
        <v>28</v>
      </c>
    </row>
    <row r="18" hidden="1" spans="4:11">
      <c r="D18" s="11">
        <v>46172</v>
      </c>
      <c r="E18" s="12">
        <v>1607797</v>
      </c>
      <c r="F18" s="12" t="s">
        <v>35</v>
      </c>
      <c r="G18" s="13">
        <v>20356923</v>
      </c>
      <c r="H18" s="12" t="s">
        <v>42</v>
      </c>
      <c r="I18" s="13">
        <v>1</v>
      </c>
      <c r="J18" s="14">
        <v>35</v>
      </c>
      <c r="K18" s="14">
        <v>35</v>
      </c>
    </row>
    <row r="19" hidden="1" spans="4:11">
      <c r="D19" s="11">
        <v>46172</v>
      </c>
      <c r="E19" s="12">
        <v>1607797</v>
      </c>
      <c r="F19" s="12" t="s">
        <v>35</v>
      </c>
      <c r="G19" s="13">
        <v>20383290</v>
      </c>
      <c r="H19" s="12" t="s">
        <v>43</v>
      </c>
      <c r="I19" s="13">
        <v>1</v>
      </c>
      <c r="J19" s="14">
        <v>28</v>
      </c>
      <c r="K19" s="14">
        <v>28</v>
      </c>
    </row>
    <row r="20" hidden="1" spans="4:11">
      <c r="D20" s="11">
        <v>46172</v>
      </c>
      <c r="E20" s="12">
        <v>1607797</v>
      </c>
      <c r="F20" s="12" t="s">
        <v>35</v>
      </c>
      <c r="G20" s="13">
        <v>20383291</v>
      </c>
      <c r="H20" s="12" t="s">
        <v>44</v>
      </c>
      <c r="I20" s="13">
        <v>1</v>
      </c>
      <c r="J20" s="14">
        <v>28</v>
      </c>
      <c r="K20" s="14">
        <v>28</v>
      </c>
    </row>
    <row r="21" hidden="1" spans="4:11">
      <c r="D21" s="11">
        <v>46172</v>
      </c>
      <c r="E21" s="12">
        <v>1607797</v>
      </c>
      <c r="F21" s="12" t="s">
        <v>35</v>
      </c>
      <c r="G21" s="13">
        <v>20386402</v>
      </c>
      <c r="H21" s="12" t="s">
        <v>45</v>
      </c>
      <c r="I21" s="13">
        <v>1</v>
      </c>
      <c r="J21" s="14">
        <v>28</v>
      </c>
      <c r="K21" s="14">
        <v>28</v>
      </c>
    </row>
    <row r="22" hidden="1" spans="4:11">
      <c r="D22" s="11">
        <v>46172</v>
      </c>
      <c r="E22" s="12">
        <v>1607797</v>
      </c>
      <c r="F22" s="12" t="s">
        <v>35</v>
      </c>
      <c r="G22" s="13">
        <v>20387791</v>
      </c>
      <c r="H22" s="12" t="s">
        <v>46</v>
      </c>
      <c r="I22" s="13">
        <v>1</v>
      </c>
      <c r="J22" s="14">
        <v>22</v>
      </c>
      <c r="K22" s="14">
        <v>22</v>
      </c>
    </row>
    <row r="23" spans="4:11">
      <c r="D23" s="11">
        <v>46178</v>
      </c>
      <c r="E23" s="12">
        <v>1609674</v>
      </c>
      <c r="F23" s="12" t="s">
        <v>26</v>
      </c>
      <c r="G23" s="13">
        <v>20006102</v>
      </c>
      <c r="H23" s="12" t="s">
        <v>47</v>
      </c>
      <c r="I23" s="13">
        <v>1</v>
      </c>
      <c r="J23" s="14">
        <v>159.5</v>
      </c>
      <c r="K23" s="14">
        <v>159.5</v>
      </c>
    </row>
    <row r="24" spans="4:11">
      <c r="D24" s="11">
        <v>46178</v>
      </c>
      <c r="E24" s="12">
        <v>1609674</v>
      </c>
      <c r="F24" s="12" t="s">
        <v>26</v>
      </c>
      <c r="G24" s="13">
        <v>20006104</v>
      </c>
      <c r="H24" s="12" t="s">
        <v>48</v>
      </c>
      <c r="I24" s="13">
        <v>1</v>
      </c>
      <c r="J24" s="14">
        <v>137.5</v>
      </c>
      <c r="K24" s="14">
        <v>137.5</v>
      </c>
    </row>
    <row r="25" hidden="1" spans="4:11">
      <c r="D25" s="11">
        <v>46178</v>
      </c>
      <c r="E25" s="12">
        <v>1609674</v>
      </c>
      <c r="F25" s="12" t="s">
        <v>15</v>
      </c>
      <c r="G25" s="13">
        <v>20330123</v>
      </c>
      <c r="H25" s="12" t="s">
        <v>49</v>
      </c>
      <c r="I25" s="13">
        <v>1</v>
      </c>
      <c r="J25" s="14">
        <v>8</v>
      </c>
      <c r="K25" s="14">
        <v>8</v>
      </c>
    </row>
    <row r="26" hidden="1" spans="4:11">
      <c r="D26" s="11">
        <v>46178</v>
      </c>
      <c r="E26" s="12">
        <v>1609674</v>
      </c>
      <c r="F26" s="12" t="s">
        <v>15</v>
      </c>
      <c r="G26" s="13">
        <v>20300267</v>
      </c>
      <c r="H26" s="12" t="s">
        <v>50</v>
      </c>
      <c r="I26" s="13">
        <v>2</v>
      </c>
      <c r="J26" s="14">
        <v>8</v>
      </c>
      <c r="K26" s="14">
        <v>16</v>
      </c>
    </row>
    <row r="27" hidden="1" spans="4:11">
      <c r="D27" s="11">
        <v>46178</v>
      </c>
      <c r="E27" s="12">
        <v>1609674</v>
      </c>
      <c r="F27" s="12" t="s">
        <v>15</v>
      </c>
      <c r="G27" s="13">
        <v>20313613</v>
      </c>
      <c r="H27" s="12" t="s">
        <v>51</v>
      </c>
      <c r="I27" s="13">
        <v>1</v>
      </c>
      <c r="J27" s="14">
        <v>33</v>
      </c>
      <c r="K27" s="14">
        <v>33</v>
      </c>
    </row>
    <row r="28" hidden="1" spans="4:11">
      <c r="D28" s="11">
        <v>46178</v>
      </c>
      <c r="E28" s="12">
        <v>1609674</v>
      </c>
      <c r="F28" s="12" t="s">
        <v>17</v>
      </c>
      <c r="G28" s="13">
        <v>20006482</v>
      </c>
      <c r="H28" s="12" t="s">
        <v>33</v>
      </c>
      <c r="I28" s="13">
        <v>2</v>
      </c>
      <c r="J28" s="14">
        <v>16.5</v>
      </c>
      <c r="K28" s="14">
        <v>33</v>
      </c>
    </row>
    <row r="29" hidden="1" spans="4:11">
      <c r="D29" s="11">
        <v>46182</v>
      </c>
      <c r="E29" s="12">
        <v>1610456</v>
      </c>
      <c r="F29" s="12" t="s">
        <v>35</v>
      </c>
      <c r="G29" s="13">
        <v>20383281</v>
      </c>
      <c r="H29" s="12" t="s">
        <v>52</v>
      </c>
      <c r="I29" s="13">
        <v>1</v>
      </c>
      <c r="J29" s="14">
        <v>44</v>
      </c>
      <c r="K29" s="14">
        <v>44</v>
      </c>
    </row>
    <row r="30" spans="4:11">
      <c r="D30" s="11">
        <v>46183</v>
      </c>
      <c r="E30" s="12">
        <v>1611048</v>
      </c>
      <c r="F30" s="12" t="s">
        <v>26</v>
      </c>
      <c r="G30" s="13">
        <v>20006106</v>
      </c>
      <c r="H30" s="12" t="s">
        <v>53</v>
      </c>
      <c r="I30" s="13">
        <v>1</v>
      </c>
      <c r="J30" s="14">
        <v>192.5</v>
      </c>
      <c r="K30" s="14">
        <v>192.5</v>
      </c>
    </row>
    <row r="31" spans="4:11">
      <c r="D31" s="11">
        <v>46183</v>
      </c>
      <c r="E31" s="12">
        <v>1611048</v>
      </c>
      <c r="F31" s="12" t="s">
        <v>26</v>
      </c>
      <c r="G31" s="13">
        <v>20006102</v>
      </c>
      <c r="H31" s="12" t="s">
        <v>47</v>
      </c>
      <c r="I31" s="13">
        <v>2</v>
      </c>
      <c r="J31" s="14">
        <v>159.5</v>
      </c>
      <c r="K31" s="14">
        <v>319</v>
      </c>
    </row>
    <row r="32" spans="4:11">
      <c r="D32" s="11">
        <v>46183</v>
      </c>
      <c r="E32" s="12">
        <v>1611048</v>
      </c>
      <c r="F32" s="12" t="s">
        <v>26</v>
      </c>
      <c r="G32" s="13">
        <v>20006112</v>
      </c>
      <c r="H32" s="12" t="s">
        <v>54</v>
      </c>
      <c r="I32" s="13">
        <v>1</v>
      </c>
      <c r="J32" s="14">
        <v>104.5</v>
      </c>
      <c r="K32" s="14">
        <v>104.5</v>
      </c>
    </row>
    <row r="33" hidden="1" spans="4:11">
      <c r="D33" s="11">
        <v>46183</v>
      </c>
      <c r="E33" s="12">
        <v>1611048</v>
      </c>
      <c r="F33" s="12" t="s">
        <v>15</v>
      </c>
      <c r="G33" s="13">
        <v>20009712</v>
      </c>
      <c r="H33" s="12" t="s">
        <v>55</v>
      </c>
      <c r="I33" s="13">
        <v>2</v>
      </c>
      <c r="J33" s="14">
        <v>11</v>
      </c>
      <c r="K33" s="14">
        <v>22</v>
      </c>
    </row>
    <row r="34" hidden="1" spans="4:11">
      <c r="D34" s="11">
        <v>46183</v>
      </c>
      <c r="E34" s="12">
        <v>1611048</v>
      </c>
      <c r="F34" s="12" t="s">
        <v>17</v>
      </c>
      <c r="G34" s="13">
        <v>20006482</v>
      </c>
      <c r="H34" s="12" t="s">
        <v>33</v>
      </c>
      <c r="I34" s="13">
        <v>3</v>
      </c>
      <c r="J34" s="14">
        <v>16.5</v>
      </c>
      <c r="K34" s="14">
        <v>49.5</v>
      </c>
    </row>
    <row r="35" hidden="1" spans="4:11">
      <c r="D35" s="11">
        <v>46183</v>
      </c>
      <c r="E35" s="12">
        <v>1611048</v>
      </c>
      <c r="F35" s="12" t="s">
        <v>17</v>
      </c>
      <c r="G35" s="13">
        <v>20012341</v>
      </c>
      <c r="H35" s="12" t="s">
        <v>56</v>
      </c>
      <c r="I35" s="13">
        <v>1</v>
      </c>
      <c r="J35" s="14">
        <v>16.5</v>
      </c>
      <c r="K35" s="14">
        <v>16.5</v>
      </c>
    </row>
    <row r="36" spans="4:11">
      <c r="D36" s="11">
        <v>46190</v>
      </c>
      <c r="E36" s="12">
        <v>1613106</v>
      </c>
      <c r="F36" s="12" t="s">
        <v>26</v>
      </c>
      <c r="G36" s="13">
        <v>20006102</v>
      </c>
      <c r="H36" s="12" t="s">
        <v>47</v>
      </c>
      <c r="I36" s="13">
        <v>2</v>
      </c>
      <c r="J36" s="14">
        <v>159.5</v>
      </c>
      <c r="K36" s="14">
        <v>319</v>
      </c>
    </row>
    <row r="37" spans="4:11">
      <c r="D37" s="11">
        <v>46190</v>
      </c>
      <c r="E37" s="12">
        <v>1613106</v>
      </c>
      <c r="F37" s="12" t="s">
        <v>26</v>
      </c>
      <c r="G37" s="13">
        <v>20006103</v>
      </c>
      <c r="H37" s="12" t="s">
        <v>57</v>
      </c>
      <c r="I37" s="13">
        <v>1</v>
      </c>
      <c r="J37" s="14">
        <v>176</v>
      </c>
      <c r="K37" s="14">
        <v>176</v>
      </c>
    </row>
    <row r="38" spans="4:11">
      <c r="D38" s="11">
        <v>46190</v>
      </c>
      <c r="E38" s="12">
        <v>1613106</v>
      </c>
      <c r="F38" s="12" t="s">
        <v>26</v>
      </c>
      <c r="G38" s="13">
        <v>20006109</v>
      </c>
      <c r="H38" s="12" t="s">
        <v>58</v>
      </c>
      <c r="I38" s="13">
        <v>1</v>
      </c>
      <c r="J38" s="14">
        <v>60.5</v>
      </c>
      <c r="K38" s="14">
        <v>60.5</v>
      </c>
    </row>
    <row r="39" spans="4:11">
      <c r="D39" s="11">
        <v>46190</v>
      </c>
      <c r="E39" s="12">
        <v>1613106</v>
      </c>
      <c r="F39" s="12" t="s">
        <v>26</v>
      </c>
      <c r="G39" s="13">
        <v>20006113</v>
      </c>
      <c r="H39" s="12" t="s">
        <v>59</v>
      </c>
      <c r="I39" s="13">
        <v>1</v>
      </c>
      <c r="J39" s="14">
        <v>71.5</v>
      </c>
      <c r="K39" s="14">
        <v>71.5</v>
      </c>
    </row>
    <row r="40" hidden="1" spans="4:11">
      <c r="D40" s="11">
        <v>46190</v>
      </c>
      <c r="E40" s="12">
        <v>1613106</v>
      </c>
      <c r="F40" s="12" t="s">
        <v>15</v>
      </c>
      <c r="G40" s="13">
        <v>20009712</v>
      </c>
      <c r="H40" s="12" t="s">
        <v>55</v>
      </c>
      <c r="I40" s="13">
        <v>1</v>
      </c>
      <c r="J40" s="14">
        <v>11</v>
      </c>
      <c r="K40" s="14">
        <v>11</v>
      </c>
    </row>
    <row r="41" hidden="1" spans="4:11">
      <c r="D41" s="11">
        <v>46190</v>
      </c>
      <c r="E41" s="12">
        <v>1613106</v>
      </c>
      <c r="F41" s="12" t="s">
        <v>15</v>
      </c>
      <c r="G41" s="13">
        <v>20330123</v>
      </c>
      <c r="H41" s="12" t="s">
        <v>49</v>
      </c>
      <c r="I41" s="13">
        <v>2</v>
      </c>
      <c r="J41" s="14">
        <v>8</v>
      </c>
      <c r="K41" s="14">
        <v>16</v>
      </c>
    </row>
    <row r="42" hidden="1" spans="4:11">
      <c r="D42" s="11">
        <v>46190</v>
      </c>
      <c r="E42" s="12">
        <v>1613106</v>
      </c>
      <c r="F42" s="12" t="s">
        <v>15</v>
      </c>
      <c r="G42" s="13">
        <v>20006880</v>
      </c>
      <c r="H42" s="12" t="s">
        <v>60</v>
      </c>
      <c r="I42" s="13">
        <v>1</v>
      </c>
      <c r="J42" s="14">
        <v>27.5</v>
      </c>
      <c r="K42" s="14">
        <v>27.5</v>
      </c>
    </row>
    <row r="43" hidden="1" spans="4:11">
      <c r="D43" s="11">
        <v>46190</v>
      </c>
      <c r="E43" s="12">
        <v>1613106</v>
      </c>
      <c r="F43" s="12" t="s">
        <v>17</v>
      </c>
      <c r="G43" s="13">
        <v>20006482</v>
      </c>
      <c r="H43" s="12" t="s">
        <v>33</v>
      </c>
      <c r="I43" s="13">
        <v>3</v>
      </c>
      <c r="J43" s="14">
        <v>16.5</v>
      </c>
      <c r="K43" s="14">
        <v>49.5</v>
      </c>
    </row>
    <row r="44" hidden="1" spans="4:11">
      <c r="D44" s="11">
        <v>46190</v>
      </c>
      <c r="E44" s="12">
        <v>1613106</v>
      </c>
      <c r="F44" s="12" t="s">
        <v>17</v>
      </c>
      <c r="G44" s="13">
        <v>20012197</v>
      </c>
      <c r="H44" s="12" t="s">
        <v>61</v>
      </c>
      <c r="I44" s="13">
        <v>1</v>
      </c>
      <c r="J44" s="14">
        <v>16.5</v>
      </c>
      <c r="K44" s="14">
        <v>16.5</v>
      </c>
    </row>
    <row r="45" ht="0.05" customHeight="1"/>
  </sheetData>
  <autoFilter xmlns:etc="http://www.wps.cn/officeDocument/2017/etCustomData" ref="A1:K44" etc:filterBottomFollowUsedRange="0">
    <filterColumn colId="5">
      <filters>
        <filter val="器械包"/>
      </filters>
    </filterColumn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4"/>
  <sheetViews>
    <sheetView showGridLines="0" view="pageBreakPreview" zoomScaleNormal="100" workbookViewId="0">
      <pane ySplit="6" topLeftCell="A7" activePane="bottomLeft" state="frozen"/>
      <selection/>
      <selection pane="bottomLeft" activeCell="L25" sqref="L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25" customWidth="1"/>
    <col min="9" max="9" width="6.475" customWidth="1"/>
    <col min="10" max="10" width="11.125" customWidth="1"/>
    <col min="11" max="11" width="11.625" customWidth="1"/>
  </cols>
  <sheetData>
    <row r="1" spans="1:11">
      <c r="C1" s="1" t="s">
        <v>0</v>
      </c>
    </row>
    <row r="2" ht="23.05" hidden="1" customHeight="1"/>
    <row r="3" ht="2" hidden="1" customHeight="1"/>
    <row r="4" ht="15.2" hidden="1" customHeight="1" spans="1:11">
      <c r="B4" s="2" t="s">
        <v>1</v>
      </c>
    </row>
    <row r="5" hidden="1"/>
    <row r="6" ht="2.95" hidden="1" customHeight="1"/>
    <row r="7" hidden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55</v>
      </c>
      <c r="J8" s="10"/>
      <c r="K8" s="10">
        <v>1751.5</v>
      </c>
    </row>
    <row r="9" hidden="1" spans="1:11">
      <c r="D9" s="11">
        <v>46169</v>
      </c>
      <c r="E9" s="12">
        <v>1606891</v>
      </c>
      <c r="F9" s="12" t="s">
        <v>15</v>
      </c>
      <c r="G9" s="13">
        <v>20014137</v>
      </c>
      <c r="H9" s="12" t="s">
        <v>63</v>
      </c>
      <c r="I9" s="13">
        <v>1</v>
      </c>
      <c r="J9" s="14">
        <v>16.5</v>
      </c>
      <c r="K9" s="14">
        <v>16.5</v>
      </c>
    </row>
    <row r="10" spans="1:11">
      <c r="D10" s="11">
        <v>46169</v>
      </c>
      <c r="E10" s="12">
        <v>1606891</v>
      </c>
      <c r="F10" s="12" t="s">
        <v>64</v>
      </c>
      <c r="G10" s="13">
        <v>20012823</v>
      </c>
      <c r="H10" s="12" t="s">
        <v>65</v>
      </c>
      <c r="I10" s="13">
        <v>2</v>
      </c>
      <c r="J10" s="14">
        <v>38.5</v>
      </c>
      <c r="K10" s="14">
        <v>77</v>
      </c>
    </row>
    <row r="11" hidden="1" spans="1:11">
      <c r="D11" s="11">
        <v>46169</v>
      </c>
      <c r="E11" s="12">
        <v>1606891</v>
      </c>
      <c r="F11" s="12" t="s">
        <v>17</v>
      </c>
      <c r="G11" s="13">
        <v>20424560</v>
      </c>
      <c r="H11" s="12" t="s">
        <v>66</v>
      </c>
      <c r="I11" s="13">
        <v>2</v>
      </c>
      <c r="J11" s="14">
        <v>27.5</v>
      </c>
      <c r="K11" s="14">
        <v>55</v>
      </c>
    </row>
    <row r="12" spans="1:11">
      <c r="D12" s="11">
        <v>46171</v>
      </c>
      <c r="E12" s="12">
        <v>1607613</v>
      </c>
      <c r="F12" s="12" t="s">
        <v>64</v>
      </c>
      <c r="G12" s="13">
        <v>20012823</v>
      </c>
      <c r="H12" s="12" t="s">
        <v>65</v>
      </c>
      <c r="I12" s="13">
        <v>4</v>
      </c>
      <c r="J12" s="14">
        <v>38.5</v>
      </c>
      <c r="K12" s="14">
        <v>154</v>
      </c>
    </row>
    <row r="13" hidden="1" spans="1:11">
      <c r="D13" s="11">
        <v>46174</v>
      </c>
      <c r="E13" s="12">
        <v>1608175</v>
      </c>
      <c r="F13" s="12" t="s">
        <v>17</v>
      </c>
      <c r="G13" s="13">
        <v>20334787</v>
      </c>
      <c r="H13" s="12" t="s">
        <v>67</v>
      </c>
      <c r="I13" s="13">
        <v>2</v>
      </c>
      <c r="J13" s="14">
        <v>22</v>
      </c>
      <c r="K13" s="14">
        <v>44</v>
      </c>
    </row>
    <row r="14" hidden="1" spans="1:11">
      <c r="D14" s="11">
        <v>46178</v>
      </c>
      <c r="E14" s="12">
        <v>1609675</v>
      </c>
      <c r="F14" s="12" t="s">
        <v>15</v>
      </c>
      <c r="G14" s="13">
        <v>20014137</v>
      </c>
      <c r="H14" s="12" t="s">
        <v>63</v>
      </c>
      <c r="I14" s="13">
        <v>1</v>
      </c>
      <c r="J14" s="14">
        <v>16.5</v>
      </c>
      <c r="K14" s="14">
        <v>16.5</v>
      </c>
    </row>
    <row r="15" hidden="1" spans="1:11">
      <c r="D15" s="11">
        <v>46178</v>
      </c>
      <c r="E15" s="12">
        <v>1609675</v>
      </c>
      <c r="F15" s="12" t="s">
        <v>15</v>
      </c>
      <c r="G15" s="13">
        <v>20012825</v>
      </c>
      <c r="H15" s="12" t="s">
        <v>68</v>
      </c>
      <c r="I15" s="13">
        <v>1</v>
      </c>
      <c r="J15" s="14">
        <v>16.5</v>
      </c>
      <c r="K15" s="14">
        <v>16.5</v>
      </c>
    </row>
    <row r="16" spans="1:11">
      <c r="D16" s="11">
        <v>46178</v>
      </c>
      <c r="E16" s="12">
        <v>1609675</v>
      </c>
      <c r="F16" s="12" t="s">
        <v>64</v>
      </c>
      <c r="G16" s="13">
        <v>20012823</v>
      </c>
      <c r="H16" s="12" t="s">
        <v>65</v>
      </c>
      <c r="I16" s="13">
        <v>6</v>
      </c>
      <c r="J16" s="14">
        <v>38.5</v>
      </c>
      <c r="K16" s="14">
        <v>231</v>
      </c>
    </row>
    <row r="17" hidden="1" spans="4:12">
      <c r="D17" s="11">
        <v>46181</v>
      </c>
      <c r="E17" s="12">
        <v>1610265</v>
      </c>
      <c r="F17" s="12" t="s">
        <v>15</v>
      </c>
      <c r="G17" s="13">
        <v>20012825</v>
      </c>
      <c r="H17" s="12" t="s">
        <v>68</v>
      </c>
      <c r="I17" s="13">
        <v>1</v>
      </c>
      <c r="J17" s="14">
        <v>16.5</v>
      </c>
      <c r="K17" s="14">
        <v>16.5</v>
      </c>
    </row>
    <row r="18" hidden="1" spans="4:12">
      <c r="D18" s="11">
        <v>46181</v>
      </c>
      <c r="E18" s="12">
        <v>1610265</v>
      </c>
      <c r="F18" s="12" t="s">
        <v>15</v>
      </c>
      <c r="G18" s="13">
        <v>20012824</v>
      </c>
      <c r="H18" s="12" t="s">
        <v>69</v>
      </c>
      <c r="I18" s="13">
        <v>1</v>
      </c>
      <c r="J18" s="14">
        <v>16.5</v>
      </c>
      <c r="K18" s="14">
        <v>16.5</v>
      </c>
    </row>
    <row r="19" spans="4:12">
      <c r="D19" s="11">
        <v>46181</v>
      </c>
      <c r="E19" s="12">
        <v>1610265</v>
      </c>
      <c r="F19" s="12" t="s">
        <v>64</v>
      </c>
      <c r="G19" s="13">
        <v>20012823</v>
      </c>
      <c r="H19" s="12" t="s">
        <v>65</v>
      </c>
      <c r="I19" s="13">
        <v>3</v>
      </c>
      <c r="J19" s="14">
        <v>38.5</v>
      </c>
      <c r="K19" s="14">
        <v>115.5</v>
      </c>
    </row>
    <row r="20" hidden="1" spans="4:12">
      <c r="D20" s="11">
        <v>46181</v>
      </c>
      <c r="E20" s="12">
        <v>1610265</v>
      </c>
      <c r="F20" s="12" t="s">
        <v>17</v>
      </c>
      <c r="G20" s="13">
        <v>20324763</v>
      </c>
      <c r="H20" s="12" t="s">
        <v>70</v>
      </c>
      <c r="I20" s="13">
        <v>1</v>
      </c>
      <c r="J20" s="14">
        <v>22</v>
      </c>
      <c r="K20" s="14">
        <v>22</v>
      </c>
    </row>
    <row r="21" hidden="1" spans="4:12">
      <c r="D21" s="11">
        <v>46185</v>
      </c>
      <c r="E21" s="12">
        <v>1611790</v>
      </c>
      <c r="F21" s="12" t="s">
        <v>15</v>
      </c>
      <c r="G21" s="13">
        <v>20012824</v>
      </c>
      <c r="H21" s="12" t="s">
        <v>71</v>
      </c>
      <c r="I21" s="13">
        <v>1</v>
      </c>
      <c r="J21" s="14">
        <v>27.5</v>
      </c>
      <c r="K21" s="14">
        <v>27.5</v>
      </c>
    </row>
    <row r="22" spans="4:12">
      <c r="D22" s="11">
        <v>46185</v>
      </c>
      <c r="E22" s="12">
        <v>1611790</v>
      </c>
      <c r="F22" s="12" t="s">
        <v>64</v>
      </c>
      <c r="G22" s="13">
        <v>20012823</v>
      </c>
      <c r="H22" s="12" t="s">
        <v>65</v>
      </c>
      <c r="I22" s="13">
        <v>2</v>
      </c>
      <c r="J22" s="14">
        <v>38.5</v>
      </c>
      <c r="K22" s="14">
        <v>77</v>
      </c>
      <c r="L22">
        <f>1490.5/5.5</f>
        <v>271</v>
      </c>
    </row>
    <row r="23" hidden="1" spans="4:12">
      <c r="D23" s="11">
        <v>46185</v>
      </c>
      <c r="E23" s="12">
        <v>1611790</v>
      </c>
      <c r="F23" s="12" t="s">
        <v>17</v>
      </c>
      <c r="G23" s="13">
        <v>20009220</v>
      </c>
      <c r="H23" s="12" t="s">
        <v>72</v>
      </c>
      <c r="I23" s="13">
        <v>1</v>
      </c>
      <c r="J23" s="14">
        <v>22</v>
      </c>
      <c r="K23" s="14">
        <v>22</v>
      </c>
    </row>
    <row r="24" hidden="1" spans="4:12">
      <c r="D24" s="11">
        <v>46188</v>
      </c>
      <c r="E24" s="12">
        <v>1612287</v>
      </c>
      <c r="F24" s="12" t="s">
        <v>15</v>
      </c>
      <c r="G24" s="13">
        <v>20012825</v>
      </c>
      <c r="H24" s="12" t="s">
        <v>68</v>
      </c>
      <c r="I24" s="13">
        <v>1</v>
      </c>
      <c r="J24" s="14">
        <v>16.5</v>
      </c>
      <c r="K24" s="14">
        <v>16.5</v>
      </c>
    </row>
    <row r="25" spans="4:12">
      <c r="D25" s="11">
        <v>46188</v>
      </c>
      <c r="E25" s="12">
        <v>1612287</v>
      </c>
      <c r="F25" s="12" t="s">
        <v>64</v>
      </c>
      <c r="G25" s="13">
        <v>20012823</v>
      </c>
      <c r="H25" s="12" t="s">
        <v>65</v>
      </c>
      <c r="I25" s="13">
        <v>5</v>
      </c>
      <c r="J25" s="14">
        <v>38.5</v>
      </c>
      <c r="K25" s="14">
        <v>192.5</v>
      </c>
    </row>
    <row r="26" spans="4:12">
      <c r="D26" s="11">
        <v>46190</v>
      </c>
      <c r="E26" s="12">
        <v>1613107</v>
      </c>
      <c r="F26" s="12" t="s">
        <v>64</v>
      </c>
      <c r="G26" s="13">
        <v>20012823</v>
      </c>
      <c r="H26" s="12" t="s">
        <v>65</v>
      </c>
      <c r="I26" s="13">
        <v>4</v>
      </c>
      <c r="J26" s="14">
        <v>38.5</v>
      </c>
      <c r="K26" s="14">
        <v>154</v>
      </c>
      <c r="L26">
        <f>1386+104.5</f>
        <v>1490.5</v>
      </c>
    </row>
    <row r="27" hidden="1" spans="4:12">
      <c r="D27" s="11">
        <v>46195</v>
      </c>
      <c r="E27" s="12">
        <v>1614028</v>
      </c>
      <c r="F27" s="12" t="s">
        <v>15</v>
      </c>
      <c r="G27" s="13">
        <v>20309568</v>
      </c>
      <c r="H27" s="12" t="s">
        <v>73</v>
      </c>
      <c r="I27" s="13">
        <v>1</v>
      </c>
      <c r="J27" s="14">
        <v>16.5</v>
      </c>
      <c r="K27" s="14">
        <v>16.5</v>
      </c>
    </row>
    <row r="28" hidden="1" spans="4:12">
      <c r="D28" s="11">
        <v>46195</v>
      </c>
      <c r="E28" s="12">
        <v>1614028</v>
      </c>
      <c r="F28" s="12" t="s">
        <v>15</v>
      </c>
      <c r="G28" s="13">
        <v>20014137</v>
      </c>
      <c r="H28" s="12" t="s">
        <v>63</v>
      </c>
      <c r="I28" s="13">
        <v>1</v>
      </c>
      <c r="J28" s="14">
        <v>16.5</v>
      </c>
      <c r="K28" s="14">
        <v>16.5</v>
      </c>
    </row>
    <row r="29" hidden="1" spans="4:12">
      <c r="D29" s="11">
        <v>46195</v>
      </c>
      <c r="E29" s="12">
        <v>1614028</v>
      </c>
      <c r="F29" s="12" t="s">
        <v>15</v>
      </c>
      <c r="G29" s="13">
        <v>20311024</v>
      </c>
      <c r="H29" s="12" t="s">
        <v>74</v>
      </c>
      <c r="I29" s="13">
        <v>1</v>
      </c>
      <c r="J29" s="14">
        <v>16.5</v>
      </c>
      <c r="K29" s="14">
        <v>16.5</v>
      </c>
    </row>
    <row r="30" spans="4:12">
      <c r="D30" s="11">
        <v>46195</v>
      </c>
      <c r="E30" s="12">
        <v>1614126</v>
      </c>
      <c r="F30" s="12" t="s">
        <v>64</v>
      </c>
      <c r="G30" s="13">
        <v>20012823</v>
      </c>
      <c r="H30" s="12" t="s">
        <v>65</v>
      </c>
      <c r="I30" s="13">
        <v>5</v>
      </c>
      <c r="J30" s="14">
        <v>38.5</v>
      </c>
      <c r="K30" s="14">
        <v>192.5</v>
      </c>
    </row>
    <row r="31" hidden="1" spans="4:12">
      <c r="D31" s="11">
        <v>46197</v>
      </c>
      <c r="E31" s="12">
        <v>1614790</v>
      </c>
      <c r="F31" s="12" t="s">
        <v>15</v>
      </c>
      <c r="G31" s="13">
        <v>20311024</v>
      </c>
      <c r="H31" s="12" t="s">
        <v>69</v>
      </c>
      <c r="I31" s="13">
        <v>1</v>
      </c>
      <c r="J31" s="14">
        <v>16.5</v>
      </c>
      <c r="K31" s="14">
        <v>16.5</v>
      </c>
    </row>
    <row r="32" hidden="1" spans="4:12">
      <c r="D32" s="11">
        <v>46197</v>
      </c>
      <c r="E32" s="12">
        <v>1614790</v>
      </c>
      <c r="F32" s="12" t="s">
        <v>75</v>
      </c>
      <c r="G32" s="13">
        <v>20388872</v>
      </c>
      <c r="H32" s="12" t="s">
        <v>76</v>
      </c>
      <c r="I32" s="13">
        <v>1</v>
      </c>
      <c r="J32" s="14">
        <v>2.5</v>
      </c>
      <c r="K32" s="14">
        <v>2.5</v>
      </c>
    </row>
    <row r="33" spans="4:11">
      <c r="D33" s="11">
        <v>46197</v>
      </c>
      <c r="E33" s="12">
        <v>1614790</v>
      </c>
      <c r="F33" s="12" t="s">
        <v>64</v>
      </c>
      <c r="G33" s="13">
        <v>20012823</v>
      </c>
      <c r="H33" s="12" t="s">
        <v>65</v>
      </c>
      <c r="I33" s="13">
        <v>5</v>
      </c>
      <c r="J33" s="14">
        <v>38.5</v>
      </c>
      <c r="K33" s="14">
        <v>192.5</v>
      </c>
    </row>
    <row r="34" hidden="1" spans="4:11">
      <c r="D34" s="11">
        <v>46197</v>
      </c>
      <c r="E34" s="12">
        <v>1614790</v>
      </c>
      <c r="F34" s="12" t="s">
        <v>17</v>
      </c>
      <c r="G34" s="13">
        <v>20424560</v>
      </c>
      <c r="H34" s="12" t="s">
        <v>66</v>
      </c>
      <c r="I34" s="13">
        <v>1</v>
      </c>
      <c r="J34" s="14">
        <v>27.5</v>
      </c>
      <c r="K34" s="14">
        <v>27.5</v>
      </c>
    </row>
  </sheetData>
  <autoFilter xmlns:etc="http://www.wps.cn/officeDocument/2017/etCustomData" ref="A1:J34" etc:filterBottomFollowUsedRange="0">
    <filterColumn colId="5">
      <filters>
        <filter val="器械包(ZSD)"/>
      </filters>
    </filterColumn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妇产科</vt:lpstr>
      <vt:lpstr>急诊科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2026-06-26T07:36:00Z</dcterms:created>
  <dcterms:modified xsi:type="dcterms:W3CDTF">2026-07-01T07:44:24Z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6AA25DC912AD40B9801C4B8B71D74666_13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