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26.06" sheetId="4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<sst xmlns="http://schemas.openxmlformats.org/spreadsheetml/2006/main" count="14" uniqueCount="14">
  <si>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中医附一2026年6月洗涤明细</t>
  </si>
  <si>
    <t>序</t>
  </si>
  <si>
    <t>日期</t>
  </si>
  <si>
    <t>小单</t>
  </si>
  <si>
    <t>中单</t>
  </si>
  <si>
    <t>大单</t>
  </si>
  <si>
    <t>手术衣</t>
  </si>
  <si>
    <t>衣</t>
  </si>
  <si>
    <t>裤</t>
  </si>
  <si>
    <t>备注</t>
  </si>
  <si>
    <t>数量合计</t>
  </si>
  <si>
    <t>单价</t>
  </si>
  <si>
    <t>金额合计</t>
  </si>
  <si>
    <t>总计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</si>
</sst>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m&quot;月&quot;d&quot;日&quot;;@"/>
  </numFmts>
  <fonts count="23">
    <font>
      <sz val="11"/>
      <color theme="1"/>
      <name val="宋体"/>
      <charset val="134"/>
      <scheme val="minor"/>
    </font>
    <font>
      <b/>
      <sz val="10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b/>
      <sz val="20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6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0" fillId="3" borderId="5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6">
      <alignment vertical="center"/>
    </xf>
    <xf numFmtId="0" fontId="10" fillId="0" borderId="6">
      <alignment vertical="center"/>
    </xf>
    <xf numFmtId="0" fontId="11" fillId="0" borderId="7">
      <alignment vertical="center"/>
    </xf>
    <xf numFmtId="0" fontId="11" fillId="0" borderId="0">
      <alignment vertical="center"/>
    </xf>
    <xf numFmtId="0" fontId="12" fillId="4" borderId="8">
      <alignment vertical="center"/>
    </xf>
    <xf numFmtId="0" fontId="13" fillId="5" borderId="9">
      <alignment vertical="center"/>
    </xf>
    <xf numFmtId="0" fontId="14" fillId="5" borderId="8">
      <alignment vertical="center"/>
    </xf>
    <xf numFmtId="0" fontId="15" fillId="6" borderId="10">
      <alignment vertical="center"/>
    </xf>
    <xf numFmtId="0" fontId="16" fillId="0" borderId="11">
      <alignment vertical="center"/>
    </xf>
    <xf numFmtId="0" fontId="17" fillId="0" borderId="12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2" fillId="11" borderId="0">
      <alignment vertical="center"/>
    </xf>
    <xf numFmtId="0" fontId="22" fillId="12" borderId="0">
      <alignment vertical="center"/>
    </xf>
    <xf numFmtId="0" fontId="21" fillId="13" borderId="0">
      <alignment vertical="center"/>
    </xf>
    <xf numFmtId="0" fontId="21" fillId="14" borderId="0">
      <alignment vertical="center"/>
    </xf>
    <xf numFmtId="0" fontId="22" fillId="15" borderId="0">
      <alignment vertical="center"/>
    </xf>
    <xf numFmtId="0" fontId="22" fillId="16" borderId="0">
      <alignment vertical="center"/>
    </xf>
    <xf numFmtId="0" fontId="21" fillId="17" borderId="0">
      <alignment vertical="center"/>
    </xf>
    <xf numFmtId="0" fontId="21" fillId="18" borderId="0">
      <alignment vertical="center"/>
    </xf>
    <xf numFmtId="0" fontId="22" fillId="19" borderId="0">
      <alignment vertical="center"/>
    </xf>
    <xf numFmtId="0" fontId="22" fillId="20" borderId="0">
      <alignment vertical="center"/>
    </xf>
    <xf numFmtId="0" fontId="21" fillId="21" borderId="0">
      <alignment vertical="center"/>
    </xf>
    <xf numFmtId="0" fontId="21" fillId="22" borderId="0">
      <alignment vertical="center"/>
    </xf>
    <xf numFmtId="0" fontId="22" fillId="23" borderId="0">
      <alignment vertical="center"/>
    </xf>
    <xf numFmtId="0" fontId="22" fillId="24" borderId="0">
      <alignment vertical="center"/>
    </xf>
    <xf numFmtId="0" fontId="21" fillId="25" borderId="0">
      <alignment vertical="center"/>
    </xf>
    <xf numFmtId="0" fontId="21" fillId="26" borderId="0">
      <alignment vertical="center"/>
    </xf>
    <xf numFmtId="0" fontId="22" fillId="27" borderId="0">
      <alignment vertical="center"/>
    </xf>
    <xf numFmtId="0" fontId="22" fillId="28" borderId="0">
      <alignment vertical="center"/>
    </xf>
    <xf numFmtId="0" fontId="21" fillId="29" borderId="0">
      <alignment vertical="center"/>
    </xf>
    <xf numFmtId="0" fontId="21" fillId="30" borderId="0">
      <alignment vertical="center"/>
    </xf>
    <xf numFmtId="0" fontId="22" fillId="31" borderId="0">
      <alignment vertical="center"/>
    </xf>
    <xf numFmtId="0" fontId="22" fillId="32" borderId="0">
      <alignment vertical="center"/>
    </xf>
    <xf numFmtId="0" fontId="21" fillId="33" borderId="0">
      <alignment vertical="center"/>
    </xf>
  </cellStyleXfs>
  <cellXfs count="13"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176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76" fontId="1" fillId="0" borderId="1" xfId="0" applyNumberFormat="1" applyFont="1" applyBorder="1" applyAlignment="1">
      <alignment horizontal="center" vertical="center"/>
    </xf>
    <xf numFmtId="176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left" vertical="center"/>
    </xf>
    <xf numFmtId="0" fontId="1" fillId="2" borderId="3" xfId="0" applyFont="1" applyFill="1" applyBorder="1" applyAlignment="1">
      <alignment horizontal="left" vertical="center"/>
    </xf>
    <xf numFmtId="0" fontId="1" fillId="2" borderId="4" xfId="0" applyFont="1" applyFill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4"/>
  <sheetViews>
    <sheetView showZeros="0" tabSelected="1" workbookViewId="0">
      <selection activeCell="L23" sqref="L23"/>
    </sheetView>
  </sheetViews>
  <sheetFormatPr defaultColWidth="9.375" defaultRowHeight="21" customHeight="1"/>
  <cols>
    <col min="1" max="1" width="5.625" style="1" customWidth="1"/>
    <col min="2" max="2" width="11.875" style="2" customWidth="1"/>
    <col min="3" max="8" width="11.875" style="3" customWidth="1"/>
    <col min="9" max="9" width="13.25" style="3" customWidth="1"/>
    <col min="10" max="16384" width="9.375" style="3" customWidth="1"/>
  </cols>
  <sheetData>
    <row r="1" ht="33" customHeight="1" spans="1:9">
      <c r="A1" s="4" t="s">
        <v>0</v>
      </c>
      <c r="B1" s="4"/>
      <c r="C1" s="4"/>
      <c r="D1" s="4"/>
      <c r="E1" s="4"/>
      <c r="F1" s="4"/>
      <c r="G1" s="4"/>
      <c r="H1" s="4"/>
      <c r="I1" s="4"/>
    </row>
    <row r="2" ht="10" customHeight="1"/>
    <row r="3" s="1" customFormat="1" customHeight="1" spans="1:9">
      <c r="A3" s="5" t="s">
        <v>1</v>
      </c>
      <c r="B3" s="6" t="s">
        <v>2</v>
      </c>
      <c r="C3" s="5" t="s">
        <v>3</v>
      </c>
      <c r="D3" s="5" t="s">
        <v>4</v>
      </c>
      <c r="E3" s="5" t="s">
        <v>5</v>
      </c>
      <c r="F3" s="5" t="s">
        <v>6</v>
      </c>
      <c r="G3" s="5" t="s">
        <v>7</v>
      </c>
      <c r="H3" s="5" t="s">
        <v>8</v>
      </c>
      <c r="I3" s="5" t="s">
        <v>9</v>
      </c>
    </row>
    <row r="4" customHeight="1" spans="1:9">
      <c r="A4" s="5">
        <v>1</v>
      </c>
      <c r="B4" s="7">
        <v>46175</v>
      </c>
      <c r="C4" s="8">
        <v>3</v>
      </c>
      <c r="D4" s="8">
        <v>1</v>
      </c>
      <c r="E4" s="8"/>
      <c r="F4" s="8">
        <v>3</v>
      </c>
      <c r="G4" s="8">
        <f>30+17+13</f>
        <v>60</v>
      </c>
      <c r="H4" s="8">
        <f>30+17+13</f>
        <v>60</v>
      </c>
      <c r="I4" s="8"/>
    </row>
    <row r="5" customHeight="1" spans="1:9">
      <c r="A5" s="5">
        <v>2</v>
      </c>
      <c r="B5" s="7">
        <v>46176</v>
      </c>
      <c r="C5" s="8">
        <v>3</v>
      </c>
      <c r="D5" s="8">
        <v>1</v>
      </c>
      <c r="E5" s="8"/>
      <c r="F5" s="8">
        <v>3</v>
      </c>
      <c r="G5" s="8">
        <f>25+9</f>
        <v>34</v>
      </c>
      <c r="H5" s="8">
        <f>25+9</f>
        <v>34</v>
      </c>
      <c r="I5" s="8"/>
    </row>
    <row r="6" customHeight="1" spans="1:9">
      <c r="A6" s="5">
        <v>3</v>
      </c>
      <c r="B6" s="7">
        <v>46177</v>
      </c>
      <c r="C6" s="8">
        <f>6+3+6</f>
        <v>15</v>
      </c>
      <c r="D6" s="8">
        <f>5+1+2</f>
        <v>8</v>
      </c>
      <c r="E6" s="8"/>
      <c r="F6" s="8">
        <f>5+3+6</f>
        <v>14</v>
      </c>
      <c r="G6" s="8">
        <f>30</f>
        <v>30</v>
      </c>
      <c r="H6" s="8">
        <f>30</f>
        <v>30</v>
      </c>
      <c r="I6" s="8"/>
    </row>
    <row r="7" customHeight="1" spans="1:9">
      <c r="A7" s="5">
        <v>4</v>
      </c>
      <c r="B7" s="7">
        <v>46178</v>
      </c>
      <c r="C7" s="8"/>
      <c r="D7" s="8"/>
      <c r="E7" s="8"/>
      <c r="F7" s="8"/>
      <c r="G7" s="8">
        <f>26+17</f>
        <v>43</v>
      </c>
      <c r="H7" s="8">
        <f>26+17</f>
        <v>43</v>
      </c>
      <c r="I7" s="8"/>
    </row>
    <row r="8" customHeight="1" spans="1:9">
      <c r="A8" s="5">
        <v>5</v>
      </c>
      <c r="B8" s="7">
        <v>46179</v>
      </c>
      <c r="C8" s="8"/>
      <c r="D8" s="8"/>
      <c r="E8" s="8"/>
      <c r="F8" s="8"/>
      <c r="G8" s="8">
        <v>15</v>
      </c>
      <c r="H8" s="8">
        <v>15</v>
      </c>
      <c r="I8" s="8"/>
    </row>
    <row r="9" customHeight="1" spans="1:9">
      <c r="A9" s="5">
        <v>6</v>
      </c>
      <c r="B9" s="7">
        <v>46181</v>
      </c>
      <c r="C9" s="8">
        <v>3</v>
      </c>
      <c r="D9" s="8">
        <v>1</v>
      </c>
      <c r="E9" s="8"/>
      <c r="F9" s="8">
        <v>3</v>
      </c>
      <c r="G9" s="8">
        <f>4+15</f>
        <v>19</v>
      </c>
      <c r="H9" s="8">
        <f>4+15</f>
        <v>19</v>
      </c>
      <c r="I9" s="8"/>
    </row>
    <row r="10" customHeight="1" spans="1:9">
      <c r="A10" s="5">
        <v>7</v>
      </c>
      <c r="B10" s="7">
        <v>46182</v>
      </c>
      <c r="C10" s="8"/>
      <c r="D10" s="8"/>
      <c r="E10" s="8"/>
      <c r="F10" s="8">
        <v>5</v>
      </c>
      <c r="G10" s="8">
        <f>30+7+7</f>
        <v>44</v>
      </c>
      <c r="H10" s="8">
        <f>30+7+7</f>
        <v>44</v>
      </c>
      <c r="I10" s="8"/>
    </row>
    <row r="11" customHeight="1" spans="1:9">
      <c r="A11" s="5">
        <v>8</v>
      </c>
      <c r="B11" s="7">
        <v>46183</v>
      </c>
      <c r="C11" s="8">
        <v>6</v>
      </c>
      <c r="D11" s="8">
        <v>2</v>
      </c>
      <c r="E11" s="8"/>
      <c r="F11" s="8">
        <f>5+6</f>
        <v>11</v>
      </c>
      <c r="G11" s="8">
        <v>30</v>
      </c>
      <c r="H11" s="8">
        <v>30</v>
      </c>
      <c r="I11" s="8"/>
    </row>
    <row r="12" customHeight="1" spans="1:9">
      <c r="A12" s="5">
        <v>9</v>
      </c>
      <c r="B12" s="7">
        <v>46184</v>
      </c>
      <c r="C12" s="8">
        <v>3</v>
      </c>
      <c r="D12" s="8">
        <v>1</v>
      </c>
      <c r="E12" s="8"/>
      <c r="F12" s="8">
        <v>3</v>
      </c>
      <c r="G12" s="8">
        <f>20+9</f>
        <v>29</v>
      </c>
      <c r="H12" s="8">
        <f>20+9</f>
        <v>29</v>
      </c>
      <c r="I12" s="8"/>
    </row>
    <row r="13" customHeight="1" spans="1:9">
      <c r="A13" s="5">
        <v>10</v>
      </c>
      <c r="B13" s="7">
        <v>46185</v>
      </c>
      <c r="C13" s="8">
        <f>9+6</f>
        <v>15</v>
      </c>
      <c r="D13" s="8">
        <f>6+5</f>
        <v>11</v>
      </c>
      <c r="E13" s="8"/>
      <c r="F13" s="8">
        <f>3+5</f>
        <v>8</v>
      </c>
      <c r="G13" s="8">
        <f>28</f>
        <v>28</v>
      </c>
      <c r="H13" s="8">
        <v>28</v>
      </c>
      <c r="I13" s="8"/>
    </row>
    <row r="14" customHeight="1" spans="1:9">
      <c r="A14" s="5">
        <v>11</v>
      </c>
      <c r="B14" s="7">
        <v>46186</v>
      </c>
      <c r="C14" s="8"/>
      <c r="D14" s="8"/>
      <c r="E14" s="8"/>
      <c r="F14" s="8"/>
      <c r="G14" s="8">
        <v>25</v>
      </c>
      <c r="H14" s="8">
        <v>25</v>
      </c>
      <c r="I14" s="8"/>
    </row>
    <row r="15" customHeight="1" spans="1:9">
      <c r="A15" s="5">
        <v>12</v>
      </c>
      <c r="B15" s="7">
        <v>46188</v>
      </c>
      <c r="C15" s="8"/>
      <c r="D15" s="8"/>
      <c r="E15" s="8"/>
      <c r="F15" s="8"/>
      <c r="G15" s="8">
        <v>30</v>
      </c>
      <c r="H15" s="8">
        <v>30</v>
      </c>
      <c r="I15" s="8"/>
    </row>
    <row r="16" customHeight="1" spans="1:9">
      <c r="A16" s="5">
        <v>13</v>
      </c>
      <c r="B16" s="7">
        <v>46189</v>
      </c>
      <c r="C16" s="8"/>
      <c r="D16" s="8"/>
      <c r="E16" s="8"/>
      <c r="F16" s="8">
        <v>5</v>
      </c>
      <c r="G16" s="8">
        <v>33</v>
      </c>
      <c r="H16" s="8">
        <v>33</v>
      </c>
      <c r="I16" s="8"/>
    </row>
    <row r="17" customHeight="1" spans="1:9">
      <c r="A17" s="5">
        <v>14</v>
      </c>
      <c r="B17" s="7">
        <v>46190</v>
      </c>
      <c r="C17" s="8">
        <v>3</v>
      </c>
      <c r="D17" s="8">
        <v>1</v>
      </c>
      <c r="E17" s="8"/>
      <c r="F17" s="8">
        <v>3</v>
      </c>
      <c r="G17" s="8">
        <v>30</v>
      </c>
      <c r="H17" s="8">
        <v>30</v>
      </c>
      <c r="I17" s="8"/>
    </row>
    <row r="18" customHeight="1" spans="1:9">
      <c r="A18" s="5">
        <v>15</v>
      </c>
      <c r="B18" s="7">
        <v>46191</v>
      </c>
      <c r="C18" s="8"/>
      <c r="D18" s="8"/>
      <c r="E18" s="8"/>
      <c r="F18" s="8"/>
      <c r="G18" s="8">
        <v>36</v>
      </c>
      <c r="H18" s="8">
        <v>36</v>
      </c>
      <c r="I18" s="8"/>
    </row>
    <row r="19" customHeight="1" spans="1:9">
      <c r="A19" s="5">
        <v>16</v>
      </c>
      <c r="B19" s="7">
        <v>46192</v>
      </c>
      <c r="C19" s="8"/>
      <c r="D19" s="8"/>
      <c r="E19" s="8"/>
      <c r="F19" s="8"/>
      <c r="G19" s="8">
        <v>17</v>
      </c>
      <c r="H19" s="8">
        <v>17</v>
      </c>
      <c r="I19" s="8"/>
    </row>
    <row r="20" customHeight="1" spans="1:9">
      <c r="A20" s="5">
        <v>17</v>
      </c>
      <c r="B20" s="7">
        <v>46195</v>
      </c>
      <c r="C20" s="8"/>
      <c r="D20" s="8"/>
      <c r="E20" s="8"/>
      <c r="F20" s="8"/>
      <c r="G20" s="8">
        <v>20</v>
      </c>
      <c r="H20" s="8">
        <v>20</v>
      </c>
      <c r="I20" s="8"/>
    </row>
    <row r="21" customHeight="1" spans="1:9">
      <c r="A21" s="5">
        <v>18</v>
      </c>
      <c r="B21" s="7">
        <v>46196</v>
      </c>
      <c r="C21" s="8"/>
      <c r="D21" s="8"/>
      <c r="E21" s="8"/>
      <c r="F21" s="8"/>
      <c r="G21" s="8">
        <v>30</v>
      </c>
      <c r="H21" s="8">
        <v>30</v>
      </c>
      <c r="I21" s="8"/>
    </row>
    <row r="22" customHeight="1" spans="1:9">
      <c r="A22" s="5">
        <v>19</v>
      </c>
      <c r="B22" s="7">
        <v>46197</v>
      </c>
      <c r="C22" s="8">
        <f>18+6</f>
        <v>24</v>
      </c>
      <c r="D22" s="8">
        <f>9+5</f>
        <v>14</v>
      </c>
      <c r="E22" s="8"/>
      <c r="F22" s="8">
        <f>12+5</f>
        <v>17</v>
      </c>
      <c r="G22" s="8">
        <v>44</v>
      </c>
      <c r="H22" s="8">
        <v>44</v>
      </c>
      <c r="I22" s="8"/>
    </row>
    <row r="23" customHeight="1" spans="1:9">
      <c r="A23" s="5">
        <v>20</v>
      </c>
      <c r="B23" s="7">
        <v>46198</v>
      </c>
      <c r="C23" s="8">
        <f>3+6+6+6</f>
        <v>21</v>
      </c>
      <c r="D23" s="8">
        <f>1+2+5+5+5+3</f>
        <v>21</v>
      </c>
      <c r="E23" s="8">
        <v>10</v>
      </c>
      <c r="F23" s="8">
        <f>3+6+5+50+5+3</f>
        <v>72</v>
      </c>
      <c r="G23" s="8">
        <v>40</v>
      </c>
      <c r="H23" s="8">
        <v>40</v>
      </c>
      <c r="I23" s="8"/>
    </row>
    <row r="24" customHeight="1" spans="1:9">
      <c r="A24" s="5">
        <v>21</v>
      </c>
      <c r="B24" s="7">
        <v>46199</v>
      </c>
      <c r="C24" s="8">
        <v>6</v>
      </c>
      <c r="D24" s="8">
        <v>5</v>
      </c>
      <c r="E24" s="8"/>
      <c r="F24" s="8">
        <v>5</v>
      </c>
      <c r="G24" s="8">
        <v>30</v>
      </c>
      <c r="H24" s="8">
        <v>30</v>
      </c>
      <c r="I24" s="8"/>
    </row>
    <row r="25" customHeight="1" spans="1:9">
      <c r="A25" s="5">
        <v>22</v>
      </c>
      <c r="B25" s="7">
        <v>46200</v>
      </c>
      <c r="C25" s="8"/>
      <c r="D25" s="8"/>
      <c r="E25" s="8"/>
      <c r="F25" s="8"/>
      <c r="G25" s="8">
        <v>19</v>
      </c>
      <c r="H25" s="8">
        <v>19</v>
      </c>
      <c r="I25" s="8"/>
    </row>
    <row r="26" customHeight="1" spans="1:9">
      <c r="A26" s="5">
        <v>23</v>
      </c>
      <c r="B26" s="7">
        <v>46202</v>
      </c>
      <c r="C26" s="8">
        <v>6</v>
      </c>
      <c r="D26" s="8">
        <v>5</v>
      </c>
      <c r="E26" s="8"/>
      <c r="F26" s="8">
        <v>5</v>
      </c>
      <c r="G26" s="8">
        <v>16</v>
      </c>
      <c r="H26" s="8">
        <v>16</v>
      </c>
      <c r="I26" s="8"/>
    </row>
    <row r="27" customHeight="1" spans="1:9">
      <c r="A27" s="5">
        <v>24</v>
      </c>
      <c r="B27" s="7"/>
      <c r="C27" s="8"/>
      <c r="D27" s="8"/>
      <c r="E27" s="8"/>
      <c r="F27" s="8"/>
      <c r="G27" s="8"/>
      <c r="H27" s="8"/>
      <c r="I27" s="8"/>
    </row>
    <row r="28" hidden="1" customHeight="1" spans="1:9">
      <c r="A28" s="5">
        <v>25</v>
      </c>
      <c r="B28" s="7"/>
      <c r="C28" s="8"/>
      <c r="D28" s="8"/>
      <c r="E28" s="8"/>
      <c r="F28" s="8"/>
      <c r="G28" s="8"/>
      <c r="H28" s="8"/>
      <c r="I28" s="8"/>
    </row>
    <row r="29" hidden="1" customHeight="1" spans="1:9">
      <c r="A29" s="5">
        <v>26</v>
      </c>
      <c r="B29" s="7"/>
      <c r="C29" s="8"/>
      <c r="D29" s="8"/>
      <c r="E29" s="8"/>
      <c r="F29" s="8"/>
      <c r="G29" s="8"/>
      <c r="H29" s="8"/>
      <c r="I29" s="8"/>
    </row>
    <row r="30" hidden="1" customHeight="1" spans="1:9">
      <c r="A30" s="5">
        <v>27</v>
      </c>
      <c r="B30" s="7"/>
      <c r="C30" s="8"/>
      <c r="D30" s="8"/>
      <c r="E30" s="8"/>
      <c r="F30" s="8"/>
      <c r="G30" s="8"/>
      <c r="H30" s="8"/>
      <c r="I30" s="8"/>
    </row>
    <row r="31" customHeight="1" spans="1:9">
      <c r="A31" s="9" t="s">
        <v>10</v>
      </c>
      <c r="B31" s="9"/>
      <c r="C31" s="9">
        <f t="shared" ref="C31:H31" si="0">SUM(C4:C30)</f>
        <v>108</v>
      </c>
      <c r="D31" s="9">
        <f t="shared" si="0"/>
        <v>71</v>
      </c>
      <c r="E31" s="9">
        <f t="shared" si="0"/>
        <v>10</v>
      </c>
      <c r="F31" s="9">
        <f t="shared" si="0"/>
        <v>157</v>
      </c>
      <c r="G31" s="9">
        <f t="shared" si="0"/>
        <v>702</v>
      </c>
      <c r="H31" s="9">
        <f t="shared" si="0"/>
        <v>702</v>
      </c>
      <c r="I31" s="9"/>
    </row>
    <row r="32" customHeight="1" spans="1:9">
      <c r="A32" s="9" t="s">
        <v>11</v>
      </c>
      <c r="B32" s="9"/>
      <c r="C32" s="9">
        <v>1.5</v>
      </c>
      <c r="D32" s="9">
        <v>2</v>
      </c>
      <c r="E32" s="9">
        <v>3</v>
      </c>
      <c r="F32" s="9">
        <v>2.7</v>
      </c>
      <c r="G32" s="9">
        <v>2.4</v>
      </c>
      <c r="H32" s="9">
        <v>2.2</v>
      </c>
      <c r="I32" s="9"/>
    </row>
    <row r="33" customHeight="1" spans="1:9">
      <c r="A33" s="9" t="s">
        <v>12</v>
      </c>
      <c r="B33" s="9"/>
      <c r="C33" s="9">
        <f t="shared" ref="C33:H33" si="1">C32*C31</f>
        <v>162</v>
      </c>
      <c r="D33" s="9">
        <f t="shared" si="1"/>
        <v>142</v>
      </c>
      <c r="E33" s="9">
        <f t="shared" si="1"/>
        <v>30</v>
      </c>
      <c r="F33" s="9">
        <f t="shared" si="1"/>
        <v>423.9</v>
      </c>
      <c r="G33" s="9">
        <f t="shared" si="1"/>
        <v>1684.8</v>
      </c>
      <c r="H33" s="9">
        <f t="shared" si="1"/>
        <v>1544.4</v>
      </c>
      <c r="I33" s="9"/>
    </row>
    <row r="34" customHeight="1" spans="1:9">
      <c r="A34" s="9" t="s">
        <v>13</v>
      </c>
      <c r="B34" s="9"/>
      <c r="C34" s="10" t="str">
        <f>SUM(C33:I33)&amp;"元"</f>
        <v>3987.1元</v>
      </c>
      <c r="D34" s="11"/>
      <c r="E34" s="11"/>
      <c r="F34" s="11"/>
      <c r="G34" s="11"/>
      <c r="H34" s="11"/>
      <c r="I34" s="12"/>
    </row>
  </sheetData>
  <mergeCells count="6">
    <mergeCell ref="A1:I1"/>
    <mergeCell ref="A31:B31"/>
    <mergeCell ref="A32:B32"/>
    <mergeCell ref="A33:B33"/>
    <mergeCell ref="A34:B34"/>
    <mergeCell ref="C34:I34"/>
  </mergeCells>
  <printOptions horizontalCentered="1"/>
  <pageMargins left="0.503472222222222" right="0.503472222222222" top="0.554861111111111" bottom="0.554861111111111" header="0.298611111111111" footer="0.298611111111111"/>
  <pageSetup paperSize="9" orientation="portrait" horizontalDpi="6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26.06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张</dc:creator>
  <cp:lastModifiedBy>铂康医疗销售部内勤</cp:lastModifiedBy>
  <dcterms:created xsi:type="dcterms:W3CDTF">2023-05-12T11:15:00Z</dcterms:created>
  <dcterms:modified xsi:type="dcterms:W3CDTF">2026-07-02T04:18:15Z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KSOReadingLayout">
    <vt:bool>true</vt:bool>
  </property>
  <property fmtid="{D5CDD505-2E9C-101B-9397-08002B2CF9AE}" pid="4" name="ICV">
    <vt:lpwstr>98F180F636C64F778B0B91B81CA2CAFC_13</vt:lpwstr>
  </property>
  <property fmtid="{D5CDD505-2E9C-101B-9397-08002B2CF9AE}" pid="5" name="CalculationRule">
    <vt:i4>0</vt:i4>
  </property>
</Properties>
</file>