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儿科" sheetId="1" r:id="rId1"/>
    <sheet name="妇病" sheetId="2" r:id="rId2"/>
    <sheet name="妇科（综合）" sheetId="3" r:id="rId3"/>
    <sheet name="妇门" sheetId="4" r:id="rId4"/>
    <sheet name="口腔科" sheetId="5" r:id="rId5"/>
    <sheet name="内科" sheetId="6" r:id="rId6"/>
    <sheet name="手术室" sheetId="7" r:id="rId7"/>
    <sheet name="外科" sheetId="8" r:id="rId8"/>
    <sheet name="五官科" sheetId="9" r:id="rId9"/>
    <sheet name="注射室" sheetId="10" r:id="rId10"/>
  </sheets>
  <definedNames>
    <definedName name="_xlnm._FilterDatabase" localSheetId="0" hidden="1">儿科!$A$9:$K$14</definedName>
    <definedName name="_xlnm._FilterDatabase" localSheetId="1" hidden="1">妇病!$A$7:$K$40</definedName>
    <definedName name="_xlnm._FilterDatabase" localSheetId="2" hidden="1">'妇科（综合）'!$A$7:$K$14</definedName>
    <definedName name="_xlnm._FilterDatabase" localSheetId="3" hidden="1">妇门!$A$7:$K$34</definedName>
    <definedName name="_xlnm._FilterDatabase" localSheetId="4" hidden="1">口腔科!$A$7:$K$234</definedName>
    <definedName name="_xlnm._FilterDatabase" localSheetId="5" hidden="1">内科!$A$7:$K$21</definedName>
    <definedName name="_xlnm._FilterDatabase" localSheetId="6" hidden="1">手术室!$A$7:$K$91</definedName>
    <definedName name="_xlnm._FilterDatabase" localSheetId="7" hidden="1">外科!$A$7:$K$97</definedName>
    <definedName name="_xlnm._FilterDatabase" localSheetId="8" hidden="1">五官科!$A$7:$K$109</definedName>
    <definedName name="_xlnm._FilterDatabase" localSheetId="9" hidden="1">注射室!$A$7:$K$13</definedName>
    <definedName name="_xlnm.Print_Titles" localSheetId="0">儿科!$1:$6</definedName>
    <definedName name="_xlnm.Print_Titles" localSheetId="1">妇病!$1:$6</definedName>
    <definedName name="_xlnm.Print_Titles" localSheetId="2">'妇科（综合）'!$1:$6</definedName>
    <definedName name="_xlnm.Print_Titles" localSheetId="3">妇门!$1:$6</definedName>
    <definedName name="_xlnm.Print_Titles" localSheetId="4">口腔科!$1:$6</definedName>
    <definedName name="_xlnm.Print_Titles" localSheetId="5">内科!$1:$6</definedName>
    <definedName name="_xlnm.Print_Titles" localSheetId="6">手术室!$1:$6</definedName>
    <definedName name="_xlnm.Print_Titles" localSheetId="7">外科!$1:$6</definedName>
    <definedName name="_xlnm.Print_Titles" localSheetId="8">五官科!$1:$6</definedName>
    <definedName name="_xlnm.Print_Titles" localSheetId="9">注射室!$1:$6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<sst xmlns="http://schemas.openxmlformats.org/spreadsheetml/2006/main" count="1364" uniqueCount="183">
  <si>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</si>
  <si>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</si>
  <si>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</si>
  <si>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平房区人民医院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</si>
  <si>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</si>
  <si>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</si>
  <si>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</si>
  <si>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</si>
  <si>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</si>
  <si>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</si>
  <si>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</si>
  <si>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</si>
  <si>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儿科</t>
  </si>
  <si>
    <t>额外包(纸塑袋)</t>
  </si>
  <si>
    <t>带架方盘-1/Z3044</t>
  </si>
  <si>
    <t>妇病</t>
  </si>
  <si>
    <t>取环器-1/Z1535</t>
  </si>
  <si>
    <t>额外包(无纺布)</t>
  </si>
  <si>
    <t>环包-9件/W6050</t>
  </si>
  <si>
    <t>器械包</t>
  </si>
  <si>
    <t>妇病流产包</t>
  </si>
  <si>
    <t>长弯钳-1/Z1535</t>
  </si>
  <si>
    <t>额外包(低温等离子)</t>
  </si>
  <si>
    <t>镜鞘（1号）-3/拆分包Z2045</t>
  </si>
  <si>
    <t>水管-1/Z3040</t>
  </si>
  <si>
    <t>额外包(ETO)</t>
  </si>
  <si>
    <t>30度宫腔镜镜头（环氧）-1/Z2060</t>
  </si>
  <si>
    <t>窥器-1/Z1526</t>
  </si>
  <si>
    <t>艾丽斯-1/Z1026</t>
  </si>
  <si>
    <t>钩镊-1/Z7526</t>
  </si>
  <si>
    <t>剪刀-1/z1029</t>
  </si>
  <si>
    <t>胎头吸引器-1/Z2045</t>
  </si>
  <si>
    <t>妇病大产包</t>
  </si>
  <si>
    <t>刮勺-1/Z7537</t>
  </si>
  <si>
    <t>开口器1 舌钳子1 压舌板1/z1530</t>
  </si>
  <si>
    <t>镊子-1/Z7526</t>
  </si>
  <si>
    <t>止血钳1剪刀1/Z1029</t>
  </si>
  <si>
    <t>敷料包(纸塑袋)</t>
  </si>
  <si>
    <t>大产敷料包/Z2032</t>
  </si>
  <si>
    <t>大纱布/Z2032</t>
  </si>
  <si>
    <t>小产辅料包</t>
  </si>
  <si>
    <t>妇科（综合）</t>
  </si>
  <si>
    <t>镜鞘（2号）-3件/拆分包Z2045</t>
  </si>
  <si>
    <t>单包装包(EO)</t>
  </si>
  <si>
    <t>30°宫腔镜（环氧，1号）-1/Z2060</t>
  </si>
  <si>
    <t>30°宫腔镜（环氧，2号）-1/Z2060</t>
  </si>
  <si>
    <t>妇门</t>
  </si>
  <si>
    <t>环包-6件/W6050</t>
  </si>
  <si>
    <t>流产包</t>
  </si>
  <si>
    <t>扩棒-1/z7526</t>
  </si>
  <si>
    <t>口腔科</t>
  </si>
  <si>
    <t>P钻-1/Z7520</t>
  </si>
  <si>
    <t>拔牙钳-1/Z1029</t>
  </si>
  <si>
    <t>拔牙挺-1/Z7526</t>
  </si>
  <si>
    <t>玻璃板-1/Z1526</t>
  </si>
  <si>
    <t>车针盒/Z1026</t>
  </si>
  <si>
    <t>车针排/Z1026</t>
  </si>
  <si>
    <t>成型片-1/Z7520</t>
  </si>
  <si>
    <t>唇钩-1/Z7520</t>
  </si>
  <si>
    <t>杆状器械-1件/Z7530</t>
  </si>
  <si>
    <t>骨锤-1/z1535</t>
  </si>
  <si>
    <t>剪刀-1/z7520</t>
  </si>
  <si>
    <t>洁牙机1 钥匙1/z1026</t>
  </si>
  <si>
    <t>洁牙机头-1/Z7526</t>
  </si>
  <si>
    <t>扩大针排/Z1026</t>
  </si>
  <si>
    <t>毛刷-1/Z7520</t>
  </si>
  <si>
    <t>去冠器头-1/Z7520</t>
  </si>
  <si>
    <t>三枪头-1/Z7520</t>
  </si>
  <si>
    <t>手机-1/Z7526</t>
  </si>
  <si>
    <t>针柄-1/7520</t>
  </si>
  <si>
    <t>止血钳-1/z1026</t>
  </si>
  <si>
    <t>注射器-1/Z1026</t>
  </si>
  <si>
    <t>种植盒-36件 盒1/w9050</t>
  </si>
  <si>
    <t>G钻-1/Z7520</t>
  </si>
  <si>
    <t>车针-1件/Z7520</t>
  </si>
  <si>
    <t>洁牙尖-1/Z7520</t>
  </si>
  <si>
    <t>磨头-1/Z7520</t>
  </si>
  <si>
    <t>种植包-10件/W6050</t>
  </si>
  <si>
    <t>成型夹-1/Z7520</t>
  </si>
  <si>
    <t>钥匙-1/Z1020</t>
  </si>
  <si>
    <t>持针器-1/Z1026</t>
  </si>
  <si>
    <t>种植转移杆-1件/z7526</t>
  </si>
  <si>
    <t>抛光轮-1/Z7520</t>
  </si>
  <si>
    <t>去冠器-1/z7530</t>
  </si>
  <si>
    <t>探针-1/Z7526</t>
  </si>
  <si>
    <t>刀柄-1/Z7520</t>
  </si>
  <si>
    <t>棉球/Z1020</t>
  </si>
  <si>
    <t>挺子-1/Z7526</t>
  </si>
  <si>
    <t>螺旋输送针-1/Z7520</t>
  </si>
  <si>
    <t>弯机-1/Z7526</t>
  </si>
  <si>
    <t>抛光头-1/Z7520</t>
  </si>
  <si>
    <t>内科</t>
  </si>
  <si>
    <t>敷料包(无纺布包)</t>
  </si>
  <si>
    <t>辅料包/W7050</t>
  </si>
  <si>
    <t>敷布包/W9050</t>
  </si>
  <si>
    <t>手术室</t>
  </si>
  <si>
    <t>中包40件</t>
  </si>
  <si>
    <t>持物钳罐-2/W6050</t>
  </si>
  <si>
    <t>碗2盘2杯1针盒1/W6050</t>
  </si>
  <si>
    <t>骨科四肢器械</t>
  </si>
  <si>
    <t>克氏钳-1/Z1530</t>
  </si>
  <si>
    <t>器械包(ZSD)</t>
  </si>
  <si>
    <t>上肢骨科8件</t>
  </si>
  <si>
    <t>盆-1/W605050</t>
  </si>
  <si>
    <t>驱血带(低温)-1/Z2030</t>
  </si>
  <si>
    <t>急诊包-22件</t>
  </si>
  <si>
    <t>直角钳-2/Z1526</t>
  </si>
  <si>
    <t>胆囊取石器械7件</t>
  </si>
  <si>
    <t>手显微器械20件</t>
  </si>
  <si>
    <t>手显微器械5件</t>
  </si>
  <si>
    <t>S拉钩(大)-2/W9050</t>
  </si>
  <si>
    <t>骨锯-1/W605050</t>
  </si>
  <si>
    <t>盆2盘2杯1针盒1/W6050</t>
  </si>
  <si>
    <t>擦手巾-6/Z3040</t>
  </si>
  <si>
    <t>单包装包(老肯低温)</t>
  </si>
  <si>
    <t>阴式旋切器-11盒1/W12050</t>
  </si>
  <si>
    <t>妇科8件</t>
  </si>
  <si>
    <t>尖嘴克氏老虎钢丝</t>
  </si>
  <si>
    <t>缝合针-12/Z1020</t>
  </si>
  <si>
    <t>缝合针-6/Z1020</t>
  </si>
  <si>
    <t>缝合针-8/Z1020</t>
  </si>
  <si>
    <t>电钻10件</t>
  </si>
  <si>
    <t>大包52件</t>
  </si>
  <si>
    <t>解剖钳-2/Z1526</t>
  </si>
  <si>
    <t>大小弹肠压5件</t>
  </si>
  <si>
    <t>大直弯钳8件</t>
  </si>
  <si>
    <t>解刨-7件/1205050</t>
  </si>
  <si>
    <t>超声刀导线-1/Z3040</t>
  </si>
  <si>
    <t>宫腔镜包27件</t>
  </si>
  <si>
    <t>单极电缆-1/Z3040</t>
  </si>
  <si>
    <t>器械包(低温等离子)</t>
  </si>
  <si>
    <t>腔镜器械包</t>
  </si>
  <si>
    <t>30°宫腔镜镜头（环氧）-1/W9050</t>
  </si>
  <si>
    <t>下肢骨科7件</t>
  </si>
  <si>
    <t>起钉器一套53件</t>
  </si>
  <si>
    <t>胆阑甲-15件</t>
  </si>
  <si>
    <t>甲状腺-8件/W9050</t>
  </si>
  <si>
    <t>小弹力压肠板-3件/W6050</t>
  </si>
  <si>
    <t>手术室-流产包</t>
  </si>
  <si>
    <t>外科</t>
  </si>
  <si>
    <t>缝合包-5件/W6050</t>
  </si>
  <si>
    <t>纱布/Z1526</t>
  </si>
  <si>
    <t>无菌缸-1/z2530</t>
  </si>
  <si>
    <t>方盘-1/W9050</t>
  </si>
  <si>
    <t>镊子缸-1/Z2044</t>
  </si>
  <si>
    <t>缝合包手科-6件/W6050</t>
  </si>
  <si>
    <t>治疗盘-1/W9050</t>
  </si>
  <si>
    <t>持物钳罐-1/Z2044</t>
  </si>
  <si>
    <t>缝合包-10件（筐1）/W7050</t>
  </si>
  <si>
    <t>手科-6件/W6050</t>
  </si>
  <si>
    <t>五官科</t>
  </si>
  <si>
    <t>耵聍钩-1/Z7534</t>
  </si>
  <si>
    <t>间接喉镜-1/Z7526</t>
  </si>
  <si>
    <t>睫毛镊-1/Z7526</t>
  </si>
  <si>
    <t>卷棉子-1/Z7526</t>
  </si>
  <si>
    <t>麻杯-1/z1526</t>
  </si>
  <si>
    <t>前鼻镜-1/z1530</t>
  </si>
  <si>
    <t>枪状镊-1//Z7530</t>
  </si>
  <si>
    <t>喉镜-1/Z1029</t>
  </si>
  <si>
    <t>鼻镜-1/Z1029</t>
  </si>
  <si>
    <t>膝状镊-1/Z1026</t>
  </si>
  <si>
    <t>睑板腺镊-1/Z7520</t>
  </si>
  <si>
    <t>挡板（高温）-1/Z7530</t>
  </si>
  <si>
    <t>刮匙-1/z7526</t>
  </si>
  <si>
    <t>喉滴入针-1/Z7520</t>
  </si>
  <si>
    <t>睑板夹-1/z7526</t>
  </si>
  <si>
    <t>开睑器-1/z7520</t>
  </si>
  <si>
    <t>拉钩-1/Z7534</t>
  </si>
  <si>
    <t>显微持针器-1/z7526</t>
  </si>
  <si>
    <t>显微钩镊-1/z7526</t>
  </si>
  <si>
    <t>显微剪刀-1/z7526</t>
  </si>
  <si>
    <t>显微平台镊-1/Z1026</t>
  </si>
  <si>
    <t>显微弯镊-1/z1026</t>
  </si>
  <si>
    <t>眼科钩镊-1/z1026</t>
  </si>
  <si>
    <t>眼科剪刀-1/z7520</t>
  </si>
  <si>
    <t>冲洗针-1/z7520</t>
  </si>
  <si>
    <t>间接喉钳-1/Z1026</t>
  </si>
  <si>
    <t>吸引器头-1/Z7526</t>
  </si>
  <si>
    <t>注射室</t>
  </si>
  <si>
    <t>缝合针-4/Z1020</t>
  </si>
  <si>
    <t>开口器-1/Z1026</t>
  </si>
  <si>
    <t>气管切开包</t>
  </si>
  <si>
    <t>静脉切开包-9件/W7050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</si>
</sst>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208915</xdr:colOff>
      <xdr:row>1</xdr:row>
      <xdr:rowOff>47625</xdr:rowOff>
    </xdr:from>
    <xdr:to>
      <xdr:col>10</xdr:col>
      <xdr:colOff>718903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196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218440</xdr:colOff>
      <xdr:row>1</xdr:row>
      <xdr:rowOff>104775</xdr:rowOff>
    </xdr:from>
    <xdr:to>
      <xdr:col>10</xdr:col>
      <xdr:colOff>728428</xdr:colOff>
      <xdr:row>4</xdr:row>
      <xdr:rowOff>102235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1490" y="2762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1</xdr:row>
      <xdr:rowOff>28575</xdr:rowOff>
    </xdr:from>
    <xdr:to>
      <xdr:col>10</xdr:col>
      <xdr:colOff>757003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199390</xdr:colOff>
      <xdr:row>1</xdr:row>
      <xdr:rowOff>76200</xdr:rowOff>
    </xdr:from>
    <xdr:to>
      <xdr:col>10</xdr:col>
      <xdr:colOff>709378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244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47625</xdr:rowOff>
    </xdr:from>
    <xdr:to>
      <xdr:col>10</xdr:col>
      <xdr:colOff>737953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256540</xdr:colOff>
      <xdr:row>0</xdr:row>
      <xdr:rowOff>142875</xdr:rowOff>
    </xdr:from>
    <xdr:to>
      <xdr:col>10</xdr:col>
      <xdr:colOff>766528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959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76200</xdr:rowOff>
    </xdr:from>
    <xdr:to>
      <xdr:col>10</xdr:col>
      <xdr:colOff>699853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291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256540</xdr:colOff>
      <xdr:row>1</xdr:row>
      <xdr:rowOff>28575</xdr:rowOff>
    </xdr:from>
    <xdr:to>
      <xdr:col>10</xdr:col>
      <xdr:colOff>766528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95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218440</xdr:colOff>
      <xdr:row>1</xdr:row>
      <xdr:rowOff>57150</xdr:rowOff>
    </xdr:from>
    <xdr:to>
      <xdr:col>10</xdr:col>
      <xdr:colOff>728428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14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180340</xdr:colOff>
      <xdr:row>1</xdr:row>
      <xdr:rowOff>57150</xdr:rowOff>
    </xdr:from>
    <xdr:to>
      <xdr:col>10</xdr:col>
      <xdr:colOff>690328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3390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4</v>
      </c>
      <c r="J10" s="10"/>
      <c r="K10" s="10">
        <v>66</v>
      </c>
      <c r="L10">
        <f>K10+妇病!K8+'妇科（综合）'!K8+妇门!K8+口腔科!K8+内科!K8+手术室!K8+外科!K8+五官科!K8+注射室!K8</f>
        <v>25583.5</v>
      </c>
    </row>
    <row r="11" spans="2:12">
      <c r="D11" s="11">
        <v>46118</v>
      </c>
      <c r="E11" s="12">
        <v>1592347</v>
      </c>
      <c r="F11" s="12" t="s">
        <v>13</v>
      </c>
      <c r="G11" s="13">
        <v>20406515</v>
      </c>
      <c r="H11" s="12" t="s">
        <v>14</v>
      </c>
      <c r="I11" s="13">
        <v>1</v>
      </c>
      <c r="J11" s="14">
        <v>16</v>
      </c>
      <c r="K11" s="14">
        <f>J11*I11</f>
        <v>16</v>
      </c>
    </row>
    <row r="12" spans="2:12">
      <c r="D12" s="11">
        <v>46125</v>
      </c>
      <c r="E12" s="12">
        <v>1594462</v>
      </c>
      <c r="F12" s="12" t="s">
        <v>13</v>
      </c>
      <c r="G12" s="13">
        <v>20406515</v>
      </c>
      <c r="H12" s="12" t="s">
        <v>14</v>
      </c>
      <c r="I12" s="13">
        <v>1</v>
      </c>
      <c r="J12" s="14">
        <v>16</v>
      </c>
      <c r="K12" s="14">
        <f>J12*I12</f>
        <v>16</v>
      </c>
    </row>
    <row r="13" spans="2:12">
      <c r="D13" s="11">
        <v>46132</v>
      </c>
      <c r="E13" s="12">
        <v>1596447</v>
      </c>
      <c r="F13" s="12" t="s">
        <v>13</v>
      </c>
      <c r="G13" s="13">
        <v>20406515</v>
      </c>
      <c r="H13" s="12" t="s">
        <v>14</v>
      </c>
      <c r="I13" s="13">
        <v>1</v>
      </c>
      <c r="J13" s="14">
        <v>16</v>
      </c>
      <c r="K13" s="14">
        <f>J13*I13</f>
        <v>16</v>
      </c>
    </row>
    <row r="14" spans="2:12">
      <c r="D14" s="11">
        <v>46139</v>
      </c>
      <c r="E14" s="12">
        <v>1598485</v>
      </c>
      <c r="F14" s="12" t="s">
        <v>13</v>
      </c>
      <c r="G14" s="13">
        <v>20406515</v>
      </c>
      <c r="H14" s="12" t="s">
        <v>14</v>
      </c>
      <c r="I14" s="13">
        <v>1</v>
      </c>
      <c r="J14" s="14">
        <v>16</v>
      </c>
      <c r="K14" s="14">
        <f>J14*I14</f>
        <v>16</v>
      </c>
    </row>
    <row r="15" ht="0.05" customHeight="1"/>
  </sheetData>
  <autoFilter xmlns:etc="http://www.wps.cn/officeDocument/2017/etCustomData" ref="A9:K14" etc:filterBottomFollowUsedRange="0">
    <extLst/>
  </autoFilter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12:57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47</v>
      </c>
      <c r="J8" s="10"/>
      <c r="K8" s="10">
        <v>1385</v>
      </c>
    </row>
    <row r="9" spans="1:11">
      <c r="D9" s="11">
        <v>46115</v>
      </c>
      <c r="E9" s="12">
        <v>1591918</v>
      </c>
      <c r="F9" s="12" t="s">
        <v>13</v>
      </c>
      <c r="G9" s="13">
        <v>20393586</v>
      </c>
      <c r="H9" s="12" t="s">
        <v>16</v>
      </c>
      <c r="I9" s="13">
        <v>1</v>
      </c>
      <c r="J9" s="14">
        <v>11</v>
      </c>
      <c r="K9" s="14">
        <v>11</v>
      </c>
    </row>
    <row r="10" spans="1:11">
      <c r="D10" s="11">
        <v>46115</v>
      </c>
      <c r="E10" s="12">
        <v>1591918</v>
      </c>
      <c r="F10" s="12" t="s">
        <v>17</v>
      </c>
      <c r="G10" s="13">
        <v>20394891</v>
      </c>
      <c r="H10" s="12" t="s">
        <v>18</v>
      </c>
      <c r="I10" s="13">
        <v>1</v>
      </c>
      <c r="J10" s="14">
        <v>49.5</v>
      </c>
      <c r="K10" s="14">
        <v>49.5</v>
      </c>
    </row>
    <row r="11" spans="1:11">
      <c r="D11" s="11">
        <v>46120</v>
      </c>
      <c r="E11" s="12">
        <v>1592920</v>
      </c>
      <c r="F11" s="12" t="s">
        <v>19</v>
      </c>
      <c r="G11" s="13">
        <v>20393612</v>
      </c>
      <c r="H11" s="12" t="s">
        <v>20</v>
      </c>
      <c r="I11" s="13">
        <v>1</v>
      </c>
      <c r="J11" s="14">
        <v>104.5</v>
      </c>
      <c r="K11" s="14">
        <v>104.5</v>
      </c>
    </row>
    <row r="12" spans="1:11">
      <c r="D12" s="11">
        <v>46120</v>
      </c>
      <c r="E12" s="12">
        <v>1592920</v>
      </c>
      <c r="F12" s="12" t="s">
        <v>13</v>
      </c>
      <c r="G12" s="13">
        <v>20393734</v>
      </c>
      <c r="H12" s="12" t="s">
        <v>21</v>
      </c>
      <c r="I12" s="13">
        <v>1</v>
      </c>
      <c r="J12" s="14">
        <v>11</v>
      </c>
      <c r="K12" s="14">
        <v>11</v>
      </c>
    </row>
    <row r="13" spans="1:11">
      <c r="D13" s="11">
        <v>46120</v>
      </c>
      <c r="E13" s="12">
        <v>1592952</v>
      </c>
      <c r="F13" s="12" t="s">
        <v>22</v>
      </c>
      <c r="G13" s="13">
        <v>20322121</v>
      </c>
      <c r="H13" s="12" t="s">
        <v>23</v>
      </c>
      <c r="I13" s="13">
        <v>1</v>
      </c>
      <c r="J13" s="14">
        <v>66</v>
      </c>
      <c r="K13" s="14">
        <v>66</v>
      </c>
    </row>
    <row r="14" spans="1:11">
      <c r="D14" s="11">
        <v>46120</v>
      </c>
      <c r="E14" s="12">
        <v>1592952</v>
      </c>
      <c r="F14" s="12" t="s">
        <v>22</v>
      </c>
      <c r="G14" s="13">
        <v>20322055</v>
      </c>
      <c r="H14" s="12" t="s">
        <v>24</v>
      </c>
      <c r="I14" s="13">
        <v>1</v>
      </c>
      <c r="J14" s="14">
        <v>35</v>
      </c>
      <c r="K14" s="14">
        <v>35</v>
      </c>
    </row>
    <row r="15" ht="25.5" spans="1:11">
      <c r="D15" s="11">
        <v>46121</v>
      </c>
      <c r="E15" s="12">
        <v>1593144</v>
      </c>
      <c r="F15" s="12" t="s">
        <v>25</v>
      </c>
      <c r="G15" s="13">
        <v>20322056</v>
      </c>
      <c r="H15" s="12" t="s">
        <v>26</v>
      </c>
      <c r="I15" s="13">
        <v>1</v>
      </c>
      <c r="J15" s="14">
        <v>28</v>
      </c>
      <c r="K15" s="14">
        <v>28</v>
      </c>
    </row>
    <row r="16" spans="1:11">
      <c r="D16" s="11">
        <v>46127</v>
      </c>
      <c r="E16" s="12">
        <v>1595088</v>
      </c>
      <c r="F16" s="12" t="s">
        <v>19</v>
      </c>
      <c r="G16" s="13">
        <v>20393612</v>
      </c>
      <c r="H16" s="12" t="s">
        <v>20</v>
      </c>
      <c r="I16" s="13">
        <v>2</v>
      </c>
      <c r="J16" s="14">
        <v>104.5</v>
      </c>
      <c r="K16" s="14">
        <v>209</v>
      </c>
    </row>
    <row r="17" spans="4:11">
      <c r="D17" s="11">
        <v>46127</v>
      </c>
      <c r="E17" s="12">
        <v>1595088</v>
      </c>
      <c r="F17" s="12" t="s">
        <v>13</v>
      </c>
      <c r="G17" s="13">
        <v>20395248</v>
      </c>
      <c r="H17" s="12" t="s">
        <v>27</v>
      </c>
      <c r="I17" s="13">
        <v>2</v>
      </c>
      <c r="J17" s="14">
        <v>11</v>
      </c>
      <c r="K17" s="14">
        <v>22</v>
      </c>
    </row>
    <row r="18" spans="4:11">
      <c r="D18" s="11">
        <v>46129</v>
      </c>
      <c r="E18" s="12">
        <v>1595898</v>
      </c>
      <c r="F18" s="12" t="s">
        <v>19</v>
      </c>
      <c r="G18" s="13">
        <v>20393612</v>
      </c>
      <c r="H18" s="12" t="s">
        <v>20</v>
      </c>
      <c r="I18" s="13">
        <v>1</v>
      </c>
      <c r="J18" s="14">
        <v>104.5</v>
      </c>
      <c r="K18" s="14">
        <v>104.5</v>
      </c>
    </row>
    <row r="19" spans="4:11">
      <c r="D19" s="11">
        <v>46132</v>
      </c>
      <c r="E19" s="12">
        <v>1596448</v>
      </c>
      <c r="F19" s="12" t="s">
        <v>19</v>
      </c>
      <c r="G19" s="13">
        <v>20393612</v>
      </c>
      <c r="H19" s="12" t="s">
        <v>20</v>
      </c>
      <c r="I19" s="13">
        <v>1</v>
      </c>
      <c r="J19" s="14">
        <v>104.5</v>
      </c>
      <c r="K19" s="14">
        <v>104.5</v>
      </c>
    </row>
    <row r="20" spans="4:11">
      <c r="D20" s="11">
        <v>46132</v>
      </c>
      <c r="E20" s="12">
        <v>1596448</v>
      </c>
      <c r="F20" s="12" t="s">
        <v>13</v>
      </c>
      <c r="G20" s="13">
        <v>20399655</v>
      </c>
      <c r="H20" s="12" t="s">
        <v>28</v>
      </c>
      <c r="I20" s="13">
        <v>1</v>
      </c>
      <c r="J20" s="14">
        <v>8</v>
      </c>
      <c r="K20" s="14">
        <v>8</v>
      </c>
    </row>
    <row r="21" spans="4:11">
      <c r="D21" s="11">
        <v>46132</v>
      </c>
      <c r="E21" s="12">
        <v>1596491</v>
      </c>
      <c r="F21" s="12" t="s">
        <v>22</v>
      </c>
      <c r="G21" s="13">
        <v>20322121</v>
      </c>
      <c r="H21" s="12" t="s">
        <v>23</v>
      </c>
      <c r="I21" s="13">
        <v>1</v>
      </c>
      <c r="J21" s="14">
        <v>66</v>
      </c>
      <c r="K21" s="14">
        <v>66</v>
      </c>
    </row>
    <row r="22" spans="4:11">
      <c r="D22" s="11">
        <v>46132</v>
      </c>
      <c r="E22" s="12">
        <v>1596491</v>
      </c>
      <c r="F22" s="12" t="s">
        <v>22</v>
      </c>
      <c r="G22" s="13">
        <v>20322055</v>
      </c>
      <c r="H22" s="12" t="s">
        <v>24</v>
      </c>
      <c r="I22" s="13">
        <v>1</v>
      </c>
      <c r="J22" s="14">
        <v>35</v>
      </c>
      <c r="K22" s="14">
        <v>35</v>
      </c>
    </row>
    <row r="23" spans="4:11">
      <c r="D23" s="11">
        <v>46134</v>
      </c>
      <c r="E23" s="12">
        <v>1597212</v>
      </c>
      <c r="F23" s="12" t="s">
        <v>13</v>
      </c>
      <c r="G23" s="13">
        <v>20399655</v>
      </c>
      <c r="H23" s="12" t="s">
        <v>28</v>
      </c>
      <c r="I23" s="13">
        <v>1</v>
      </c>
      <c r="J23" s="14">
        <v>8</v>
      </c>
      <c r="K23" s="14">
        <v>8</v>
      </c>
    </row>
    <row r="24" spans="4:11">
      <c r="D24" s="11">
        <v>46134</v>
      </c>
      <c r="E24" s="12">
        <v>1597212</v>
      </c>
      <c r="F24" s="12" t="s">
        <v>17</v>
      </c>
      <c r="G24" s="13">
        <v>20394891</v>
      </c>
      <c r="H24" s="12" t="s">
        <v>18</v>
      </c>
      <c r="I24" s="13">
        <v>1</v>
      </c>
      <c r="J24" s="14">
        <v>49.5</v>
      </c>
      <c r="K24" s="14">
        <v>49.5</v>
      </c>
    </row>
    <row r="25" spans="4:11">
      <c r="D25" s="11">
        <v>46139</v>
      </c>
      <c r="E25" s="12">
        <v>1598484</v>
      </c>
      <c r="F25" s="12" t="s">
        <v>19</v>
      </c>
      <c r="G25" s="13">
        <v>20393612</v>
      </c>
      <c r="H25" s="12" t="s">
        <v>20</v>
      </c>
      <c r="I25" s="13">
        <v>1</v>
      </c>
      <c r="J25" s="14">
        <v>104.5</v>
      </c>
      <c r="K25" s="14">
        <v>104.5</v>
      </c>
    </row>
    <row r="26" spans="4:11">
      <c r="D26" s="11">
        <v>46139</v>
      </c>
      <c r="E26" s="12">
        <v>1598484</v>
      </c>
      <c r="F26" s="12" t="s">
        <v>13</v>
      </c>
      <c r="G26" s="13">
        <v>20392853</v>
      </c>
      <c r="H26" s="12" t="s">
        <v>29</v>
      </c>
      <c r="I26" s="13">
        <v>1</v>
      </c>
      <c r="J26" s="14">
        <v>8</v>
      </c>
      <c r="K26" s="14">
        <v>8</v>
      </c>
    </row>
    <row r="27" spans="4:11">
      <c r="D27" s="11">
        <v>46139</v>
      </c>
      <c r="E27" s="12">
        <v>1598484</v>
      </c>
      <c r="F27" s="12" t="s">
        <v>13</v>
      </c>
      <c r="G27" s="13">
        <v>20393901</v>
      </c>
      <c r="H27" s="12" t="s">
        <v>30</v>
      </c>
      <c r="I27" s="13">
        <v>1</v>
      </c>
      <c r="J27" s="14">
        <v>8</v>
      </c>
      <c r="K27" s="14">
        <v>8</v>
      </c>
    </row>
    <row r="28" spans="4:11">
      <c r="D28" s="11">
        <v>46139</v>
      </c>
      <c r="E28" s="12">
        <v>1598484</v>
      </c>
      <c r="F28" s="12" t="s">
        <v>13</v>
      </c>
      <c r="G28" s="13">
        <v>20393586</v>
      </c>
      <c r="H28" s="12" t="s">
        <v>16</v>
      </c>
      <c r="I28" s="13">
        <v>1</v>
      </c>
      <c r="J28" s="14">
        <v>11</v>
      </c>
      <c r="K28" s="14">
        <v>11</v>
      </c>
    </row>
    <row r="29" spans="4:11">
      <c r="D29" s="11">
        <v>46139</v>
      </c>
      <c r="E29" s="12">
        <v>1598484</v>
      </c>
      <c r="F29" s="12" t="s">
        <v>17</v>
      </c>
      <c r="G29" s="13">
        <v>20394891</v>
      </c>
      <c r="H29" s="12" t="s">
        <v>18</v>
      </c>
      <c r="I29" s="13">
        <v>1</v>
      </c>
      <c r="J29" s="14">
        <v>49.5</v>
      </c>
      <c r="K29" s="14">
        <v>49.5</v>
      </c>
    </row>
    <row r="30" spans="4:11">
      <c r="D30" s="11">
        <v>46142</v>
      </c>
      <c r="E30" s="12">
        <v>1599697</v>
      </c>
      <c r="F30" s="12" t="s">
        <v>22</v>
      </c>
      <c r="G30" s="13">
        <v>20399378</v>
      </c>
      <c r="H30" s="12" t="s">
        <v>31</v>
      </c>
      <c r="I30" s="13">
        <v>1</v>
      </c>
      <c r="J30" s="14">
        <v>28</v>
      </c>
      <c r="K30" s="14">
        <v>28</v>
      </c>
    </row>
    <row r="31" spans="4:11">
      <c r="D31" s="11">
        <v>46142</v>
      </c>
      <c r="E31" s="12">
        <v>1599771</v>
      </c>
      <c r="F31" s="12" t="s">
        <v>19</v>
      </c>
      <c r="G31" s="13">
        <v>20393594</v>
      </c>
      <c r="H31" s="12" t="s">
        <v>32</v>
      </c>
      <c r="I31" s="13">
        <v>2</v>
      </c>
      <c r="J31" s="14">
        <v>33</v>
      </c>
      <c r="K31" s="14">
        <v>66</v>
      </c>
    </row>
    <row r="32" spans="4:11">
      <c r="D32" s="11">
        <v>46142</v>
      </c>
      <c r="E32" s="12">
        <v>1599771</v>
      </c>
      <c r="F32" s="12" t="s">
        <v>13</v>
      </c>
      <c r="G32" s="13">
        <v>20399377</v>
      </c>
      <c r="H32" s="12" t="s">
        <v>33</v>
      </c>
      <c r="I32" s="13">
        <v>1</v>
      </c>
      <c r="J32" s="14">
        <v>8</v>
      </c>
      <c r="K32" s="14">
        <v>8</v>
      </c>
    </row>
    <row r="33" spans="4:11">
      <c r="D33" s="11">
        <v>46142</v>
      </c>
      <c r="E33" s="12">
        <v>1599771</v>
      </c>
      <c r="F33" s="12" t="s">
        <v>13</v>
      </c>
      <c r="G33" s="13">
        <v>20393664</v>
      </c>
      <c r="H33" s="12" t="s">
        <v>34</v>
      </c>
      <c r="I33" s="13">
        <v>1</v>
      </c>
      <c r="J33" s="14">
        <v>16.5</v>
      </c>
      <c r="K33" s="14">
        <v>16.5</v>
      </c>
    </row>
    <row r="34" spans="4:11">
      <c r="D34" s="11">
        <v>46142</v>
      </c>
      <c r="E34" s="12">
        <v>1599771</v>
      </c>
      <c r="F34" s="12" t="s">
        <v>13</v>
      </c>
      <c r="G34" s="13">
        <v>20393714</v>
      </c>
      <c r="H34" s="12" t="s">
        <v>35</v>
      </c>
      <c r="I34" s="13">
        <v>3</v>
      </c>
      <c r="J34" s="14">
        <v>8</v>
      </c>
      <c r="K34" s="14">
        <v>24</v>
      </c>
    </row>
    <row r="35" spans="4:11">
      <c r="D35" s="11">
        <v>46142</v>
      </c>
      <c r="E35" s="12">
        <v>1599771</v>
      </c>
      <c r="F35" s="12" t="s">
        <v>13</v>
      </c>
      <c r="G35" s="13">
        <v>20393586</v>
      </c>
      <c r="H35" s="12" t="s">
        <v>16</v>
      </c>
      <c r="I35" s="13">
        <v>1</v>
      </c>
      <c r="J35" s="14">
        <v>11</v>
      </c>
      <c r="K35" s="14">
        <v>11</v>
      </c>
    </row>
    <row r="36" spans="4:11">
      <c r="D36" s="11">
        <v>46142</v>
      </c>
      <c r="E36" s="12">
        <v>1599771</v>
      </c>
      <c r="F36" s="12" t="s">
        <v>13</v>
      </c>
      <c r="G36" s="13">
        <v>20399375</v>
      </c>
      <c r="H36" s="12" t="s">
        <v>36</v>
      </c>
      <c r="I36" s="13">
        <v>4</v>
      </c>
      <c r="J36" s="14">
        <v>13.5</v>
      </c>
      <c r="K36" s="14">
        <v>54</v>
      </c>
    </row>
    <row r="37" spans="4:11">
      <c r="D37" s="11">
        <v>46142</v>
      </c>
      <c r="E37" s="12">
        <v>1599771</v>
      </c>
      <c r="F37" s="12" t="s">
        <v>17</v>
      </c>
      <c r="G37" s="13">
        <v>20394891</v>
      </c>
      <c r="H37" s="12" t="s">
        <v>18</v>
      </c>
      <c r="I37" s="13">
        <v>1</v>
      </c>
      <c r="J37" s="14">
        <v>49.5</v>
      </c>
      <c r="K37" s="14">
        <v>49.5</v>
      </c>
    </row>
    <row r="38" spans="4:11">
      <c r="D38" s="11">
        <v>46142</v>
      </c>
      <c r="E38" s="12">
        <v>1599771</v>
      </c>
      <c r="F38" s="12" t="s">
        <v>37</v>
      </c>
      <c r="G38" s="13">
        <v>20395130</v>
      </c>
      <c r="H38" s="12" t="s">
        <v>38</v>
      </c>
      <c r="I38" s="13">
        <v>5</v>
      </c>
      <c r="J38" s="14">
        <v>4</v>
      </c>
      <c r="K38" s="14">
        <v>20</v>
      </c>
    </row>
    <row r="39" spans="4:11">
      <c r="D39" s="11">
        <v>46142</v>
      </c>
      <c r="E39" s="12">
        <v>1599771</v>
      </c>
      <c r="F39" s="12" t="s">
        <v>37</v>
      </c>
      <c r="G39" s="13">
        <v>20412024</v>
      </c>
      <c r="H39" s="12" t="s">
        <v>39</v>
      </c>
      <c r="I39" s="13">
        <v>2</v>
      </c>
      <c r="J39" s="14">
        <v>4</v>
      </c>
      <c r="K39" s="14">
        <v>8</v>
      </c>
    </row>
    <row r="40" spans="4:11">
      <c r="D40" s="11">
        <v>46142</v>
      </c>
      <c r="E40" s="12">
        <v>1599771</v>
      </c>
      <c r="F40" s="12" t="s">
        <v>37</v>
      </c>
      <c r="G40" s="13">
        <v>20402742</v>
      </c>
      <c r="H40" s="12" t="s">
        <v>40</v>
      </c>
      <c r="I40" s="13">
        <v>3</v>
      </c>
      <c r="J40" s="14">
        <v>2.5</v>
      </c>
      <c r="K40" s="14">
        <v>7.5</v>
      </c>
    </row>
    <row r="41" ht="0.05" customHeight="1"/>
  </sheetData>
  <autoFilter xmlns:etc="http://www.wps.cn/officeDocument/2017/etCustomData" ref="A7:K40" etc:filterBottomFollowUsedRange="0">
    <extLst/>
  </autoFilter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12:57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7</v>
      </c>
      <c r="J8" s="10"/>
      <c r="K8" s="10">
        <v>286</v>
      </c>
    </row>
    <row r="9" spans="1:11">
      <c r="D9" s="11">
        <v>46126</v>
      </c>
      <c r="E9" s="12">
        <v>1594678</v>
      </c>
      <c r="F9" s="12" t="s">
        <v>22</v>
      </c>
      <c r="G9" s="13">
        <v>20322121</v>
      </c>
      <c r="H9" s="12" t="s">
        <v>23</v>
      </c>
      <c r="I9" s="13">
        <v>1</v>
      </c>
      <c r="J9" s="14">
        <v>66</v>
      </c>
      <c r="K9" s="14">
        <v>66</v>
      </c>
    </row>
    <row r="10" spans="1:11">
      <c r="D10" s="11">
        <v>46126</v>
      </c>
      <c r="E10" s="12">
        <v>1594678</v>
      </c>
      <c r="F10" s="12" t="s">
        <v>22</v>
      </c>
      <c r="G10" s="13">
        <v>20322193</v>
      </c>
      <c r="H10" s="12" t="s">
        <v>42</v>
      </c>
      <c r="I10" s="13">
        <v>1</v>
      </c>
      <c r="J10" s="14">
        <v>66</v>
      </c>
      <c r="K10" s="14">
        <v>66</v>
      </c>
    </row>
    <row r="11" spans="1:11">
      <c r="D11" s="11">
        <v>46126</v>
      </c>
      <c r="E11" s="12">
        <v>1594678</v>
      </c>
      <c r="F11" s="12" t="s">
        <v>22</v>
      </c>
      <c r="G11" s="13">
        <v>20322055</v>
      </c>
      <c r="H11" s="12" t="s">
        <v>24</v>
      </c>
      <c r="I11" s="13">
        <v>2</v>
      </c>
      <c r="J11" s="14">
        <v>35</v>
      </c>
      <c r="K11" s="14">
        <v>70</v>
      </c>
    </row>
    <row r="12" spans="1:11">
      <c r="D12" s="11">
        <v>46127</v>
      </c>
      <c r="E12" s="12">
        <v>1594933</v>
      </c>
      <c r="F12" s="12" t="s">
        <v>43</v>
      </c>
      <c r="G12" s="13">
        <v>20399974</v>
      </c>
      <c r="H12" s="12" t="s">
        <v>44</v>
      </c>
      <c r="I12" s="13">
        <v>1</v>
      </c>
      <c r="J12" s="14">
        <v>28</v>
      </c>
      <c r="K12" s="14">
        <v>28</v>
      </c>
    </row>
    <row r="13" spans="1:11">
      <c r="D13" s="11">
        <v>46127</v>
      </c>
      <c r="E13" s="12">
        <v>1594933</v>
      </c>
      <c r="F13" s="12" t="s">
        <v>43</v>
      </c>
      <c r="G13" s="13">
        <v>20351603</v>
      </c>
      <c r="H13" s="12" t="s">
        <v>45</v>
      </c>
      <c r="I13" s="13">
        <v>1</v>
      </c>
      <c r="J13" s="14">
        <v>28</v>
      </c>
      <c r="K13" s="14">
        <v>28</v>
      </c>
    </row>
    <row r="14" spans="1:11">
      <c r="D14" s="11">
        <v>46133</v>
      </c>
      <c r="E14" s="12">
        <v>1596633</v>
      </c>
      <c r="F14" s="12" t="s">
        <v>43</v>
      </c>
      <c r="G14" s="13">
        <v>20399974</v>
      </c>
      <c r="H14" s="12" t="s">
        <v>44</v>
      </c>
      <c r="I14" s="13">
        <v>1</v>
      </c>
      <c r="J14" s="14">
        <v>28</v>
      </c>
      <c r="K14" s="14">
        <v>28</v>
      </c>
    </row>
    <row r="15" ht="0.05" customHeight="1"/>
  </sheetData>
  <autoFilter xmlns:etc="http://www.wps.cn/officeDocument/2017/etCustomData" ref="A7:K14" etc:filterBottomFollowUsedRange="0">
    <extLst/>
  </autoFilter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12:57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46</v>
      </c>
      <c r="E8" s="8" t="s">
        <v>2</v>
      </c>
      <c r="F8" s="8" t="s">
        <v>2</v>
      </c>
      <c r="G8" s="8" t="s">
        <v>2</v>
      </c>
      <c r="H8" s="8" t="s">
        <v>2</v>
      </c>
      <c r="I8" s="9">
        <v>56</v>
      </c>
      <c r="J8" s="10"/>
      <c r="K8" s="10">
        <v>1918</v>
      </c>
    </row>
    <row r="9" spans="1:11">
      <c r="D9" s="11">
        <v>46115</v>
      </c>
      <c r="E9" s="12">
        <v>1591919</v>
      </c>
      <c r="F9" s="12" t="s">
        <v>13</v>
      </c>
      <c r="G9" s="13">
        <v>20393901</v>
      </c>
      <c r="H9" s="12" t="s">
        <v>30</v>
      </c>
      <c r="I9" s="13">
        <v>1</v>
      </c>
      <c r="J9" s="14">
        <v>8</v>
      </c>
      <c r="K9" s="14">
        <v>8</v>
      </c>
    </row>
    <row r="10" spans="1:11">
      <c r="D10" s="11">
        <v>46115</v>
      </c>
      <c r="E10" s="12">
        <v>1591919</v>
      </c>
      <c r="F10" s="12" t="s">
        <v>13</v>
      </c>
      <c r="G10" s="13">
        <v>20393586</v>
      </c>
      <c r="H10" s="12" t="s">
        <v>16</v>
      </c>
      <c r="I10" s="13">
        <v>1</v>
      </c>
      <c r="J10" s="14">
        <v>11</v>
      </c>
      <c r="K10" s="14">
        <v>11</v>
      </c>
    </row>
    <row r="11" spans="1:11">
      <c r="D11" s="11">
        <v>46115</v>
      </c>
      <c r="E11" s="12">
        <v>1591919</v>
      </c>
      <c r="F11" s="12" t="s">
        <v>17</v>
      </c>
      <c r="G11" s="13">
        <v>20394705</v>
      </c>
      <c r="H11" s="12" t="s">
        <v>47</v>
      </c>
      <c r="I11" s="13">
        <v>3</v>
      </c>
      <c r="J11" s="14">
        <v>33</v>
      </c>
      <c r="K11" s="14">
        <v>99</v>
      </c>
    </row>
    <row r="12" spans="1:11">
      <c r="D12" s="11">
        <v>46119</v>
      </c>
      <c r="E12" s="12">
        <v>1592580</v>
      </c>
      <c r="F12" s="12" t="s">
        <v>19</v>
      </c>
      <c r="G12" s="13">
        <v>20393593</v>
      </c>
      <c r="H12" s="12" t="s">
        <v>48</v>
      </c>
      <c r="I12" s="13">
        <v>3</v>
      </c>
      <c r="J12" s="14">
        <v>77</v>
      </c>
      <c r="K12" s="14">
        <v>231</v>
      </c>
    </row>
    <row r="13" spans="1:11">
      <c r="D13" s="11">
        <v>46119</v>
      </c>
      <c r="E13" s="12">
        <v>1592580</v>
      </c>
      <c r="F13" s="12" t="s">
        <v>13</v>
      </c>
      <c r="G13" s="13">
        <v>20393586</v>
      </c>
      <c r="H13" s="12" t="s">
        <v>16</v>
      </c>
      <c r="I13" s="13">
        <v>2</v>
      </c>
      <c r="J13" s="14">
        <v>11</v>
      </c>
      <c r="K13" s="14">
        <v>22</v>
      </c>
    </row>
    <row r="14" spans="1:11">
      <c r="D14" s="11">
        <v>46119</v>
      </c>
      <c r="E14" s="12">
        <v>1592580</v>
      </c>
      <c r="F14" s="12" t="s">
        <v>17</v>
      </c>
      <c r="G14" s="13">
        <v>20394705</v>
      </c>
      <c r="H14" s="12" t="s">
        <v>47</v>
      </c>
      <c r="I14" s="13">
        <v>4</v>
      </c>
      <c r="J14" s="14">
        <v>33</v>
      </c>
      <c r="K14" s="14">
        <v>132</v>
      </c>
    </row>
    <row r="15" spans="1:11">
      <c r="D15" s="11">
        <v>46120</v>
      </c>
      <c r="E15" s="12">
        <v>1592921</v>
      </c>
      <c r="F15" s="12" t="s">
        <v>19</v>
      </c>
      <c r="G15" s="13">
        <v>20393593</v>
      </c>
      <c r="H15" s="12" t="s">
        <v>48</v>
      </c>
      <c r="I15" s="13">
        <v>1</v>
      </c>
      <c r="J15" s="14">
        <v>77</v>
      </c>
      <c r="K15" s="14">
        <v>77</v>
      </c>
    </row>
    <row r="16" spans="1:11">
      <c r="D16" s="11">
        <v>46120</v>
      </c>
      <c r="E16" s="12">
        <v>1592921</v>
      </c>
      <c r="F16" s="12" t="s">
        <v>13</v>
      </c>
      <c r="G16" s="13">
        <v>20399357</v>
      </c>
      <c r="H16" s="12" t="s">
        <v>49</v>
      </c>
      <c r="I16" s="13">
        <v>5</v>
      </c>
      <c r="J16" s="14">
        <v>8</v>
      </c>
      <c r="K16" s="14">
        <v>40</v>
      </c>
    </row>
    <row r="17" spans="4:11">
      <c r="D17" s="11">
        <v>46120</v>
      </c>
      <c r="E17" s="12">
        <v>1592921</v>
      </c>
      <c r="F17" s="12" t="s">
        <v>17</v>
      </c>
      <c r="G17" s="13">
        <v>20394705</v>
      </c>
      <c r="H17" s="12" t="s">
        <v>47</v>
      </c>
      <c r="I17" s="13">
        <v>3</v>
      </c>
      <c r="J17" s="14">
        <v>33</v>
      </c>
      <c r="K17" s="14">
        <v>99</v>
      </c>
    </row>
    <row r="18" spans="4:11">
      <c r="D18" s="11">
        <v>46122</v>
      </c>
      <c r="E18" s="12">
        <v>1593768</v>
      </c>
      <c r="F18" s="12" t="s">
        <v>13</v>
      </c>
      <c r="G18" s="13">
        <v>20393734</v>
      </c>
      <c r="H18" s="12" t="s">
        <v>21</v>
      </c>
      <c r="I18" s="13">
        <v>2</v>
      </c>
      <c r="J18" s="14">
        <v>11</v>
      </c>
      <c r="K18" s="14">
        <v>22</v>
      </c>
    </row>
    <row r="19" spans="4:11">
      <c r="D19" s="11">
        <v>46122</v>
      </c>
      <c r="E19" s="12">
        <v>1593768</v>
      </c>
      <c r="F19" s="12" t="s">
        <v>17</v>
      </c>
      <c r="G19" s="13">
        <v>20394705</v>
      </c>
      <c r="H19" s="12" t="s">
        <v>47</v>
      </c>
      <c r="I19" s="13">
        <v>4</v>
      </c>
      <c r="J19" s="14">
        <v>33</v>
      </c>
      <c r="K19" s="14">
        <v>132</v>
      </c>
    </row>
    <row r="20" spans="4:11">
      <c r="D20" s="11">
        <v>46122</v>
      </c>
      <c r="E20" s="12">
        <v>1593801</v>
      </c>
      <c r="F20" s="12" t="s">
        <v>19</v>
      </c>
      <c r="G20" s="13">
        <v>20393593</v>
      </c>
      <c r="H20" s="12" t="s">
        <v>48</v>
      </c>
      <c r="I20" s="13">
        <v>1</v>
      </c>
      <c r="J20" s="14">
        <v>77</v>
      </c>
      <c r="K20" s="14">
        <v>77</v>
      </c>
    </row>
    <row r="21" spans="4:11">
      <c r="D21" s="11">
        <v>46129</v>
      </c>
      <c r="E21" s="12">
        <v>1595899</v>
      </c>
      <c r="F21" s="12" t="s">
        <v>19</v>
      </c>
      <c r="G21" s="13">
        <v>20393593</v>
      </c>
      <c r="H21" s="12" t="s">
        <v>48</v>
      </c>
      <c r="I21" s="13">
        <v>1</v>
      </c>
      <c r="J21" s="14">
        <v>77</v>
      </c>
      <c r="K21" s="14">
        <v>77</v>
      </c>
    </row>
    <row r="22" spans="4:11">
      <c r="D22" s="11">
        <v>46129</v>
      </c>
      <c r="E22" s="12">
        <v>1595899</v>
      </c>
      <c r="F22" s="12" t="s">
        <v>13</v>
      </c>
      <c r="G22" s="13">
        <v>20393586</v>
      </c>
      <c r="H22" s="12" t="s">
        <v>16</v>
      </c>
      <c r="I22" s="13">
        <v>1</v>
      </c>
      <c r="J22" s="14">
        <v>11</v>
      </c>
      <c r="K22" s="14">
        <v>11</v>
      </c>
    </row>
    <row r="23" spans="4:11">
      <c r="D23" s="11">
        <v>46129</v>
      </c>
      <c r="E23" s="12">
        <v>1595899</v>
      </c>
      <c r="F23" s="12" t="s">
        <v>17</v>
      </c>
      <c r="G23" s="13">
        <v>20394705</v>
      </c>
      <c r="H23" s="12" t="s">
        <v>47</v>
      </c>
      <c r="I23" s="13">
        <v>3</v>
      </c>
      <c r="J23" s="14">
        <v>33</v>
      </c>
      <c r="K23" s="14">
        <v>99</v>
      </c>
    </row>
    <row r="24" spans="4:11">
      <c r="D24" s="11">
        <v>46134</v>
      </c>
      <c r="E24" s="12">
        <v>1597213</v>
      </c>
      <c r="F24" s="12" t="s">
        <v>19</v>
      </c>
      <c r="G24" s="13">
        <v>20393593</v>
      </c>
      <c r="H24" s="12" t="s">
        <v>48</v>
      </c>
      <c r="I24" s="13">
        <v>1</v>
      </c>
      <c r="J24" s="14">
        <v>77</v>
      </c>
      <c r="K24" s="14">
        <v>77</v>
      </c>
    </row>
    <row r="25" spans="4:11">
      <c r="D25" s="11">
        <v>46134</v>
      </c>
      <c r="E25" s="12">
        <v>1597213</v>
      </c>
      <c r="F25" s="12" t="s">
        <v>13</v>
      </c>
      <c r="G25" s="13">
        <v>20393734</v>
      </c>
      <c r="H25" s="12" t="s">
        <v>21</v>
      </c>
      <c r="I25" s="13">
        <v>2</v>
      </c>
      <c r="J25" s="14">
        <v>11</v>
      </c>
      <c r="K25" s="14">
        <v>22</v>
      </c>
    </row>
    <row r="26" spans="4:11">
      <c r="D26" s="11">
        <v>46134</v>
      </c>
      <c r="E26" s="12">
        <v>1597213</v>
      </c>
      <c r="F26" s="12" t="s">
        <v>17</v>
      </c>
      <c r="G26" s="13">
        <v>20394705</v>
      </c>
      <c r="H26" s="12" t="s">
        <v>47</v>
      </c>
      <c r="I26" s="13">
        <v>4</v>
      </c>
      <c r="J26" s="14">
        <v>33</v>
      </c>
      <c r="K26" s="14">
        <v>132</v>
      </c>
    </row>
    <row r="27" spans="4:11">
      <c r="D27" s="11">
        <v>46136</v>
      </c>
      <c r="E27" s="12">
        <v>1597906</v>
      </c>
      <c r="F27" s="12" t="s">
        <v>19</v>
      </c>
      <c r="G27" s="13">
        <v>20393593</v>
      </c>
      <c r="H27" s="12" t="s">
        <v>48</v>
      </c>
      <c r="I27" s="13">
        <v>2</v>
      </c>
      <c r="J27" s="14">
        <v>77</v>
      </c>
      <c r="K27" s="14">
        <v>154</v>
      </c>
    </row>
    <row r="28" spans="4:11">
      <c r="D28" s="11">
        <v>46136</v>
      </c>
      <c r="E28" s="12">
        <v>1597906</v>
      </c>
      <c r="F28" s="12" t="s">
        <v>13</v>
      </c>
      <c r="G28" s="13">
        <v>20393586</v>
      </c>
      <c r="H28" s="12" t="s">
        <v>16</v>
      </c>
      <c r="I28" s="13">
        <v>1</v>
      </c>
      <c r="J28" s="14">
        <v>11</v>
      </c>
      <c r="K28" s="14">
        <v>11</v>
      </c>
    </row>
    <row r="29" spans="4:11">
      <c r="D29" s="11">
        <v>46136</v>
      </c>
      <c r="E29" s="12">
        <v>1597906</v>
      </c>
      <c r="F29" s="12" t="s">
        <v>17</v>
      </c>
      <c r="G29" s="13">
        <v>20394705</v>
      </c>
      <c r="H29" s="12" t="s">
        <v>47</v>
      </c>
      <c r="I29" s="13">
        <v>3</v>
      </c>
      <c r="J29" s="14">
        <v>33</v>
      </c>
      <c r="K29" s="14">
        <v>99</v>
      </c>
    </row>
    <row r="30" spans="4:11">
      <c r="D30" s="11">
        <v>46139</v>
      </c>
      <c r="E30" s="12">
        <v>1598483</v>
      </c>
      <c r="F30" s="12" t="s">
        <v>17</v>
      </c>
      <c r="G30" s="13">
        <v>20394705</v>
      </c>
      <c r="H30" s="12" t="s">
        <v>47</v>
      </c>
      <c r="I30" s="13">
        <v>1</v>
      </c>
      <c r="J30" s="14">
        <v>33</v>
      </c>
      <c r="K30" s="14">
        <v>33</v>
      </c>
    </row>
    <row r="31" spans="4:11">
      <c r="D31" s="11">
        <v>46142</v>
      </c>
      <c r="E31" s="12">
        <v>1599772</v>
      </c>
      <c r="F31" s="12" t="s">
        <v>19</v>
      </c>
      <c r="G31" s="13">
        <v>20393593</v>
      </c>
      <c r="H31" s="12" t="s">
        <v>48</v>
      </c>
      <c r="I31" s="13">
        <v>2</v>
      </c>
      <c r="J31" s="14">
        <v>77</v>
      </c>
      <c r="K31" s="14">
        <v>154</v>
      </c>
    </row>
    <row r="32" spans="4:11">
      <c r="D32" s="11">
        <v>46142</v>
      </c>
      <c r="E32" s="12">
        <v>1599772</v>
      </c>
      <c r="F32" s="12" t="s">
        <v>13</v>
      </c>
      <c r="G32" s="13">
        <v>20393734</v>
      </c>
      <c r="H32" s="12" t="s">
        <v>21</v>
      </c>
      <c r="I32" s="13">
        <v>1</v>
      </c>
      <c r="J32" s="14">
        <v>11</v>
      </c>
      <c r="K32" s="14">
        <v>11</v>
      </c>
    </row>
    <row r="33" spans="4:11">
      <c r="D33" s="11">
        <v>46142</v>
      </c>
      <c r="E33" s="12">
        <v>1599772</v>
      </c>
      <c r="F33" s="12" t="s">
        <v>13</v>
      </c>
      <c r="G33" s="13">
        <v>20393586</v>
      </c>
      <c r="H33" s="12" t="s">
        <v>16</v>
      </c>
      <c r="I33" s="13">
        <v>2</v>
      </c>
      <c r="J33" s="14">
        <v>11</v>
      </c>
      <c r="K33" s="14">
        <v>22</v>
      </c>
    </row>
    <row r="34" spans="4:11">
      <c r="D34" s="11">
        <v>46142</v>
      </c>
      <c r="E34" s="12">
        <v>1599772</v>
      </c>
      <c r="F34" s="12" t="s">
        <v>17</v>
      </c>
      <c r="G34" s="13">
        <v>20394705</v>
      </c>
      <c r="H34" s="12" t="s">
        <v>47</v>
      </c>
      <c r="I34" s="13">
        <v>2</v>
      </c>
      <c r="J34" s="14">
        <v>33</v>
      </c>
      <c r="K34" s="14">
        <v>66</v>
      </c>
    </row>
  </sheetData>
  <autoFilter xmlns:etc="http://www.wps.cn/officeDocument/2017/etCustomData" ref="A7:K34" etc:filterBottomFollowUsedRange="0">
    <extLst/>
  </autoFilter>
  <mergeCells count="5">
    <mergeCell ref="D8:H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12:57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50</v>
      </c>
      <c r="E8" s="8" t="s">
        <v>2</v>
      </c>
      <c r="F8" s="8" t="s">
        <v>2</v>
      </c>
      <c r="G8" s="8" t="s">
        <v>2</v>
      </c>
      <c r="H8" s="8" t="s">
        <v>2</v>
      </c>
      <c r="I8" s="9">
        <v>875</v>
      </c>
      <c r="J8" s="10"/>
      <c r="K8" s="10">
        <f>SUM(K9:K234)</f>
        <v>7048.5</v>
      </c>
    </row>
    <row r="9" spans="1:11">
      <c r="D9" s="11">
        <v>46113</v>
      </c>
      <c r="E9" s="12">
        <v>1591160</v>
      </c>
      <c r="F9" s="12" t="s">
        <v>13</v>
      </c>
      <c r="G9" s="13">
        <v>20399386</v>
      </c>
      <c r="H9" s="12" t="s">
        <v>51</v>
      </c>
      <c r="I9" s="13">
        <v>1</v>
      </c>
      <c r="J9" s="14">
        <v>8</v>
      </c>
      <c r="K9" s="14">
        <f>J9*I9</f>
        <v>8</v>
      </c>
    </row>
    <row r="10" spans="1:11">
      <c r="D10" s="11">
        <v>46113</v>
      </c>
      <c r="E10" s="12">
        <v>1591160</v>
      </c>
      <c r="F10" s="12" t="s">
        <v>13</v>
      </c>
      <c r="G10" s="13">
        <v>20393838</v>
      </c>
      <c r="H10" s="12" t="s">
        <v>52</v>
      </c>
      <c r="I10" s="13">
        <v>6</v>
      </c>
      <c r="J10" s="14">
        <v>8</v>
      </c>
      <c r="K10" s="14">
        <f t="shared" ref="K10:K73" si="0">J10*I10</f>
        <v>48</v>
      </c>
    </row>
    <row r="11" spans="1:11">
      <c r="D11" s="11">
        <v>46113</v>
      </c>
      <c r="E11" s="12">
        <v>1591160</v>
      </c>
      <c r="F11" s="12" t="s">
        <v>13</v>
      </c>
      <c r="G11" s="13">
        <v>20393837</v>
      </c>
      <c r="H11" s="12" t="s">
        <v>53</v>
      </c>
      <c r="I11" s="13">
        <v>13</v>
      </c>
      <c r="J11" s="14">
        <v>8</v>
      </c>
      <c r="K11" s="14">
        <f t="shared" si="0"/>
        <v>104</v>
      </c>
    </row>
    <row r="12" spans="1:11">
      <c r="D12" s="11">
        <v>46113</v>
      </c>
      <c r="E12" s="12">
        <v>1591160</v>
      </c>
      <c r="F12" s="12" t="s">
        <v>13</v>
      </c>
      <c r="G12" s="13">
        <v>20394726</v>
      </c>
      <c r="H12" s="12" t="s">
        <v>54</v>
      </c>
      <c r="I12" s="13">
        <v>1</v>
      </c>
      <c r="J12" s="14">
        <v>11</v>
      </c>
      <c r="K12" s="14">
        <f t="shared" si="0"/>
        <v>11</v>
      </c>
    </row>
    <row r="13" spans="1:11">
      <c r="D13" s="11">
        <v>46113</v>
      </c>
      <c r="E13" s="12">
        <v>1591160</v>
      </c>
      <c r="F13" s="12" t="s">
        <v>13</v>
      </c>
      <c r="G13" s="13">
        <v>20403849</v>
      </c>
      <c r="H13" s="12" t="s">
        <v>55</v>
      </c>
      <c r="I13" s="13">
        <v>1</v>
      </c>
      <c r="J13" s="14">
        <v>8</v>
      </c>
      <c r="K13" s="14">
        <f t="shared" si="0"/>
        <v>8</v>
      </c>
    </row>
    <row r="14" spans="1:11">
      <c r="D14" s="11">
        <v>46113</v>
      </c>
      <c r="E14" s="12">
        <v>1591160</v>
      </c>
      <c r="F14" s="12" t="s">
        <v>13</v>
      </c>
      <c r="G14" s="13">
        <v>20394714</v>
      </c>
      <c r="H14" s="12" t="s">
        <v>56</v>
      </c>
      <c r="I14" s="13">
        <v>2</v>
      </c>
      <c r="J14" s="14">
        <v>8</v>
      </c>
      <c r="K14" s="14">
        <f t="shared" si="0"/>
        <v>16</v>
      </c>
    </row>
    <row r="15" spans="1:11">
      <c r="D15" s="11">
        <v>46113</v>
      </c>
      <c r="E15" s="12">
        <v>1591160</v>
      </c>
      <c r="F15" s="12" t="s">
        <v>13</v>
      </c>
      <c r="G15" s="13">
        <v>20393847</v>
      </c>
      <c r="H15" s="12" t="s">
        <v>57</v>
      </c>
      <c r="I15" s="13">
        <v>2</v>
      </c>
      <c r="J15" s="14">
        <v>8</v>
      </c>
      <c r="K15" s="14">
        <f t="shared" si="0"/>
        <v>16</v>
      </c>
    </row>
    <row r="16" spans="1:11">
      <c r="D16" s="11">
        <v>46113</v>
      </c>
      <c r="E16" s="12">
        <v>1591160</v>
      </c>
      <c r="F16" s="12" t="s">
        <v>13</v>
      </c>
      <c r="G16" s="13">
        <v>20394727</v>
      </c>
      <c r="H16" s="12" t="s">
        <v>58</v>
      </c>
      <c r="I16" s="13">
        <v>4</v>
      </c>
      <c r="J16" s="14">
        <v>8</v>
      </c>
      <c r="K16" s="14">
        <f t="shared" si="0"/>
        <v>32</v>
      </c>
    </row>
    <row r="17" spans="4:11">
      <c r="D17" s="11">
        <v>46113</v>
      </c>
      <c r="E17" s="12">
        <v>1591160</v>
      </c>
      <c r="F17" s="12" t="s">
        <v>13</v>
      </c>
      <c r="G17" s="13">
        <v>20394716</v>
      </c>
      <c r="H17" s="12" t="s">
        <v>59</v>
      </c>
      <c r="I17" s="13">
        <v>9</v>
      </c>
      <c r="J17" s="14">
        <v>8</v>
      </c>
      <c r="K17" s="14">
        <f t="shared" si="0"/>
        <v>72</v>
      </c>
    </row>
    <row r="18" spans="4:11">
      <c r="D18" s="11">
        <v>46113</v>
      </c>
      <c r="E18" s="12">
        <v>1591160</v>
      </c>
      <c r="F18" s="12" t="s">
        <v>13</v>
      </c>
      <c r="G18" s="13">
        <v>20400495</v>
      </c>
      <c r="H18" s="12" t="s">
        <v>60</v>
      </c>
      <c r="I18" s="13">
        <v>2</v>
      </c>
      <c r="J18" s="14">
        <v>11</v>
      </c>
      <c r="K18" s="14">
        <f t="shared" si="0"/>
        <v>22</v>
      </c>
    </row>
    <row r="19" spans="4:11">
      <c r="D19" s="11">
        <v>46113</v>
      </c>
      <c r="E19" s="12">
        <v>1591160</v>
      </c>
      <c r="F19" s="12" t="s">
        <v>13</v>
      </c>
      <c r="G19" s="13">
        <v>20395260</v>
      </c>
      <c r="H19" s="12" t="s">
        <v>61</v>
      </c>
      <c r="I19" s="13">
        <v>2</v>
      </c>
      <c r="J19" s="14">
        <v>8</v>
      </c>
      <c r="K19" s="14">
        <f t="shared" si="0"/>
        <v>16</v>
      </c>
    </row>
    <row r="20" spans="4:11">
      <c r="D20" s="11">
        <v>46113</v>
      </c>
      <c r="E20" s="12">
        <v>1591160</v>
      </c>
      <c r="F20" s="12" t="s">
        <v>13</v>
      </c>
      <c r="G20" s="13">
        <v>20395259</v>
      </c>
      <c r="H20" s="12" t="s">
        <v>62</v>
      </c>
      <c r="I20" s="13">
        <v>1</v>
      </c>
      <c r="J20" s="14">
        <v>13.5</v>
      </c>
      <c r="K20" s="14">
        <f t="shared" si="0"/>
        <v>13.5</v>
      </c>
    </row>
    <row r="21" spans="4:11">
      <c r="D21" s="11">
        <v>46113</v>
      </c>
      <c r="E21" s="12">
        <v>1591160</v>
      </c>
      <c r="F21" s="12" t="s">
        <v>13</v>
      </c>
      <c r="G21" s="13">
        <v>20393846</v>
      </c>
      <c r="H21" s="12" t="s">
        <v>63</v>
      </c>
      <c r="I21" s="13">
        <v>3</v>
      </c>
      <c r="J21" s="14">
        <v>8</v>
      </c>
      <c r="K21" s="14">
        <f t="shared" si="0"/>
        <v>24</v>
      </c>
    </row>
    <row r="22" spans="4:11">
      <c r="D22" s="11">
        <v>46113</v>
      </c>
      <c r="E22" s="12">
        <v>1591160</v>
      </c>
      <c r="F22" s="12" t="s">
        <v>13</v>
      </c>
      <c r="G22" s="13">
        <v>20394715</v>
      </c>
      <c r="H22" s="12" t="s">
        <v>64</v>
      </c>
      <c r="I22" s="13">
        <v>2</v>
      </c>
      <c r="J22" s="14">
        <v>8</v>
      </c>
      <c r="K22" s="14">
        <f t="shared" si="0"/>
        <v>16</v>
      </c>
    </row>
    <row r="23" spans="4:11">
      <c r="D23" s="11">
        <v>46113</v>
      </c>
      <c r="E23" s="12">
        <v>1591160</v>
      </c>
      <c r="F23" s="12" t="s">
        <v>13</v>
      </c>
      <c r="G23" s="13">
        <v>20393848</v>
      </c>
      <c r="H23" s="12" t="s">
        <v>65</v>
      </c>
      <c r="I23" s="13">
        <v>1</v>
      </c>
      <c r="J23" s="14">
        <v>8</v>
      </c>
      <c r="K23" s="14">
        <f t="shared" si="0"/>
        <v>8</v>
      </c>
    </row>
    <row r="24" spans="4:11">
      <c r="D24" s="11">
        <v>46113</v>
      </c>
      <c r="E24" s="12">
        <v>1591160</v>
      </c>
      <c r="F24" s="12" t="s">
        <v>13</v>
      </c>
      <c r="G24" s="13">
        <v>20397686</v>
      </c>
      <c r="H24" s="12" t="s">
        <v>66</v>
      </c>
      <c r="I24" s="13">
        <v>2</v>
      </c>
      <c r="J24" s="14">
        <v>8</v>
      </c>
      <c r="K24" s="14">
        <f t="shared" si="0"/>
        <v>16</v>
      </c>
    </row>
    <row r="25" spans="4:11">
      <c r="D25" s="11">
        <v>46113</v>
      </c>
      <c r="E25" s="12">
        <v>1591160</v>
      </c>
      <c r="F25" s="12" t="s">
        <v>13</v>
      </c>
      <c r="G25" s="13">
        <v>20393842</v>
      </c>
      <c r="H25" s="12" t="s">
        <v>67</v>
      </c>
      <c r="I25" s="13">
        <v>2</v>
      </c>
      <c r="J25" s="14">
        <v>8</v>
      </c>
      <c r="K25" s="14">
        <f t="shared" si="0"/>
        <v>16</v>
      </c>
    </row>
    <row r="26" spans="4:11">
      <c r="D26" s="11">
        <v>46113</v>
      </c>
      <c r="E26" s="12">
        <v>1591160</v>
      </c>
      <c r="F26" s="12" t="s">
        <v>13</v>
      </c>
      <c r="G26" s="13">
        <v>20392737</v>
      </c>
      <c r="H26" s="12" t="s">
        <v>68</v>
      </c>
      <c r="I26" s="13">
        <v>17</v>
      </c>
      <c r="J26" s="14">
        <v>8</v>
      </c>
      <c r="K26" s="14">
        <f t="shared" si="0"/>
        <v>136</v>
      </c>
    </row>
    <row r="27" spans="4:11">
      <c r="D27" s="11">
        <v>46113</v>
      </c>
      <c r="E27" s="12">
        <v>1591160</v>
      </c>
      <c r="F27" s="12" t="s">
        <v>13</v>
      </c>
      <c r="G27" s="13">
        <v>20393841</v>
      </c>
      <c r="H27" s="12" t="s">
        <v>69</v>
      </c>
      <c r="I27" s="13">
        <v>2</v>
      </c>
      <c r="J27" s="14">
        <v>8</v>
      </c>
      <c r="K27" s="14">
        <f t="shared" si="0"/>
        <v>16</v>
      </c>
    </row>
    <row r="28" spans="4:11">
      <c r="D28" s="11">
        <v>46113</v>
      </c>
      <c r="E28" s="12">
        <v>1591160</v>
      </c>
      <c r="F28" s="12" t="s">
        <v>13</v>
      </c>
      <c r="G28" s="13">
        <v>20393717</v>
      </c>
      <c r="H28" s="12" t="s">
        <v>70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46113</v>
      </c>
      <c r="E29" s="12">
        <v>1591160</v>
      </c>
      <c r="F29" s="12" t="s">
        <v>13</v>
      </c>
      <c r="G29" s="13">
        <v>20398217</v>
      </c>
      <c r="H29" s="12" t="s">
        <v>71</v>
      </c>
      <c r="I29" s="13">
        <v>1</v>
      </c>
      <c r="J29" s="14">
        <v>8</v>
      </c>
      <c r="K29" s="14">
        <f t="shared" si="0"/>
        <v>8</v>
      </c>
    </row>
    <row r="30" spans="4:11">
      <c r="D30" s="11">
        <v>46113</v>
      </c>
      <c r="E30" s="12">
        <v>1591160</v>
      </c>
      <c r="F30" s="12" t="s">
        <v>17</v>
      </c>
      <c r="G30" s="13">
        <v>20394718</v>
      </c>
      <c r="H30" s="12" t="s">
        <v>72</v>
      </c>
      <c r="I30" s="13">
        <v>1</v>
      </c>
      <c r="J30" s="14">
        <f>5.5*37</f>
        <v>203.5</v>
      </c>
      <c r="K30" s="14">
        <f t="shared" si="0"/>
        <v>203.5</v>
      </c>
    </row>
    <row r="31" spans="4:11">
      <c r="D31" s="11">
        <v>46115</v>
      </c>
      <c r="E31" s="12">
        <v>1591920</v>
      </c>
      <c r="F31" s="12" t="s">
        <v>13</v>
      </c>
      <c r="G31" s="13">
        <v>20399387</v>
      </c>
      <c r="H31" s="12" t="s">
        <v>73</v>
      </c>
      <c r="I31" s="13">
        <v>1</v>
      </c>
      <c r="J31" s="14">
        <v>8</v>
      </c>
      <c r="K31" s="14">
        <f t="shared" si="0"/>
        <v>8</v>
      </c>
    </row>
    <row r="32" spans="4:11">
      <c r="D32" s="11">
        <v>46115</v>
      </c>
      <c r="E32" s="12">
        <v>1591920</v>
      </c>
      <c r="F32" s="12" t="s">
        <v>13</v>
      </c>
      <c r="G32" s="13">
        <v>20393837</v>
      </c>
      <c r="H32" s="12" t="s">
        <v>53</v>
      </c>
      <c r="I32" s="13">
        <v>3</v>
      </c>
      <c r="J32" s="14">
        <v>8</v>
      </c>
      <c r="K32" s="14">
        <f t="shared" si="0"/>
        <v>24</v>
      </c>
    </row>
    <row r="33" spans="4:11">
      <c r="D33" s="11">
        <v>46115</v>
      </c>
      <c r="E33" s="12">
        <v>1591920</v>
      </c>
      <c r="F33" s="12" t="s">
        <v>13</v>
      </c>
      <c r="G33" s="13">
        <v>20395673</v>
      </c>
      <c r="H33" s="12" t="s">
        <v>74</v>
      </c>
      <c r="I33" s="13">
        <v>1</v>
      </c>
      <c r="J33" s="14">
        <v>8</v>
      </c>
      <c r="K33" s="14">
        <f t="shared" si="0"/>
        <v>8</v>
      </c>
    </row>
    <row r="34" spans="4:11">
      <c r="D34" s="11">
        <v>46115</v>
      </c>
      <c r="E34" s="12">
        <v>1591920</v>
      </c>
      <c r="F34" s="12" t="s">
        <v>13</v>
      </c>
      <c r="G34" s="13">
        <v>20403849</v>
      </c>
      <c r="H34" s="12" t="s">
        <v>55</v>
      </c>
      <c r="I34" s="13">
        <v>1</v>
      </c>
      <c r="J34" s="14">
        <v>8</v>
      </c>
      <c r="K34" s="14">
        <f t="shared" si="0"/>
        <v>8</v>
      </c>
    </row>
    <row r="35" spans="4:11">
      <c r="D35" s="11">
        <v>46115</v>
      </c>
      <c r="E35" s="12">
        <v>1591920</v>
      </c>
      <c r="F35" s="12" t="s">
        <v>13</v>
      </c>
      <c r="G35" s="13">
        <v>20394714</v>
      </c>
      <c r="H35" s="12" t="s">
        <v>56</v>
      </c>
      <c r="I35" s="13">
        <v>2</v>
      </c>
      <c r="J35" s="14">
        <v>8</v>
      </c>
      <c r="K35" s="14">
        <f t="shared" si="0"/>
        <v>16</v>
      </c>
    </row>
    <row r="36" spans="4:11">
      <c r="D36" s="11">
        <v>46115</v>
      </c>
      <c r="E36" s="12">
        <v>1591920</v>
      </c>
      <c r="F36" s="12" t="s">
        <v>13</v>
      </c>
      <c r="G36" s="13">
        <v>20393847</v>
      </c>
      <c r="H36" s="12" t="s">
        <v>57</v>
      </c>
      <c r="I36" s="13">
        <v>1</v>
      </c>
      <c r="J36" s="14">
        <v>8</v>
      </c>
      <c r="K36" s="14">
        <f t="shared" si="0"/>
        <v>8</v>
      </c>
    </row>
    <row r="37" spans="4:11">
      <c r="D37" s="11">
        <v>46115</v>
      </c>
      <c r="E37" s="12">
        <v>1591920</v>
      </c>
      <c r="F37" s="12" t="s">
        <v>13</v>
      </c>
      <c r="G37" s="13">
        <v>20394727</v>
      </c>
      <c r="H37" s="12" t="s">
        <v>58</v>
      </c>
      <c r="I37" s="13">
        <v>5</v>
      </c>
      <c r="J37" s="14">
        <v>8</v>
      </c>
      <c r="K37" s="14">
        <f t="shared" si="0"/>
        <v>40</v>
      </c>
    </row>
    <row r="38" spans="4:11">
      <c r="D38" s="11">
        <v>46115</v>
      </c>
      <c r="E38" s="12">
        <v>1591920</v>
      </c>
      <c r="F38" s="12" t="s">
        <v>13</v>
      </c>
      <c r="G38" s="13">
        <v>20394716</v>
      </c>
      <c r="H38" s="12" t="s">
        <v>59</v>
      </c>
      <c r="I38" s="13">
        <v>8</v>
      </c>
      <c r="J38" s="14">
        <v>8</v>
      </c>
      <c r="K38" s="14">
        <f t="shared" si="0"/>
        <v>64</v>
      </c>
    </row>
    <row r="39" spans="4:11">
      <c r="D39" s="11">
        <v>46115</v>
      </c>
      <c r="E39" s="12">
        <v>1591920</v>
      </c>
      <c r="F39" s="12" t="s">
        <v>13</v>
      </c>
      <c r="G39" s="13">
        <v>20395260</v>
      </c>
      <c r="H39" s="12" t="s">
        <v>61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46115</v>
      </c>
      <c r="E40" s="12">
        <v>1591920</v>
      </c>
      <c r="F40" s="12" t="s">
        <v>13</v>
      </c>
      <c r="G40" s="13">
        <v>20395259</v>
      </c>
      <c r="H40" s="12" t="s">
        <v>62</v>
      </c>
      <c r="I40" s="13">
        <v>1</v>
      </c>
      <c r="J40" s="14">
        <v>13.5</v>
      </c>
      <c r="K40" s="14">
        <f t="shared" si="0"/>
        <v>13.5</v>
      </c>
    </row>
    <row r="41" spans="4:11">
      <c r="D41" s="11">
        <v>46115</v>
      </c>
      <c r="E41" s="12">
        <v>1591920</v>
      </c>
      <c r="F41" s="12" t="s">
        <v>13</v>
      </c>
      <c r="G41" s="13">
        <v>20393878</v>
      </c>
      <c r="H41" s="12" t="s">
        <v>75</v>
      </c>
      <c r="I41" s="13">
        <v>2</v>
      </c>
      <c r="J41" s="14">
        <v>8</v>
      </c>
      <c r="K41" s="14">
        <f t="shared" si="0"/>
        <v>16</v>
      </c>
    </row>
    <row r="42" spans="4:11">
      <c r="D42" s="11">
        <v>46115</v>
      </c>
      <c r="E42" s="12">
        <v>1591920</v>
      </c>
      <c r="F42" s="12" t="s">
        <v>13</v>
      </c>
      <c r="G42" s="13">
        <v>20394715</v>
      </c>
      <c r="H42" s="12" t="s">
        <v>64</v>
      </c>
      <c r="I42" s="13">
        <v>6</v>
      </c>
      <c r="J42" s="14">
        <v>8</v>
      </c>
      <c r="K42" s="14">
        <f t="shared" si="0"/>
        <v>48</v>
      </c>
    </row>
    <row r="43" spans="4:11">
      <c r="D43" s="11">
        <v>46115</v>
      </c>
      <c r="E43" s="12">
        <v>1591920</v>
      </c>
      <c r="F43" s="12" t="s">
        <v>13</v>
      </c>
      <c r="G43" s="13">
        <v>20393848</v>
      </c>
      <c r="H43" s="12" t="s">
        <v>65</v>
      </c>
      <c r="I43" s="13">
        <v>1</v>
      </c>
      <c r="J43" s="14">
        <v>8</v>
      </c>
      <c r="K43" s="14">
        <f t="shared" si="0"/>
        <v>8</v>
      </c>
    </row>
    <row r="44" spans="4:11">
      <c r="D44" s="11">
        <v>46115</v>
      </c>
      <c r="E44" s="12">
        <v>1591920</v>
      </c>
      <c r="F44" s="12" t="s">
        <v>13</v>
      </c>
      <c r="G44" s="13">
        <v>20403016</v>
      </c>
      <c r="H44" s="12" t="s">
        <v>76</v>
      </c>
      <c r="I44" s="13">
        <v>1</v>
      </c>
      <c r="J44" s="14">
        <v>8</v>
      </c>
      <c r="K44" s="14">
        <f t="shared" si="0"/>
        <v>8</v>
      </c>
    </row>
    <row r="45" spans="4:11">
      <c r="D45" s="11">
        <v>46115</v>
      </c>
      <c r="E45" s="12">
        <v>1591920</v>
      </c>
      <c r="F45" s="12" t="s">
        <v>13</v>
      </c>
      <c r="G45" s="13">
        <v>20393842</v>
      </c>
      <c r="H45" s="12" t="s">
        <v>67</v>
      </c>
      <c r="I45" s="13">
        <v>4</v>
      </c>
      <c r="J45" s="14">
        <v>8</v>
      </c>
      <c r="K45" s="14">
        <f t="shared" si="0"/>
        <v>32</v>
      </c>
    </row>
    <row r="46" spans="4:11">
      <c r="D46" s="11">
        <v>46115</v>
      </c>
      <c r="E46" s="12">
        <v>1591920</v>
      </c>
      <c r="F46" s="12" t="s">
        <v>13</v>
      </c>
      <c r="G46" s="13">
        <v>20392737</v>
      </c>
      <c r="H46" s="12" t="s">
        <v>68</v>
      </c>
      <c r="I46" s="13">
        <v>29</v>
      </c>
      <c r="J46" s="14">
        <v>8</v>
      </c>
      <c r="K46" s="14">
        <f t="shared" si="0"/>
        <v>232</v>
      </c>
    </row>
    <row r="47" spans="4:11">
      <c r="D47" s="11">
        <v>46115</v>
      </c>
      <c r="E47" s="12">
        <v>1591920</v>
      </c>
      <c r="F47" s="12" t="s">
        <v>13</v>
      </c>
      <c r="G47" s="13">
        <v>20393841</v>
      </c>
      <c r="H47" s="12" t="s">
        <v>69</v>
      </c>
      <c r="I47" s="13">
        <v>4</v>
      </c>
      <c r="J47" s="14">
        <v>8</v>
      </c>
      <c r="K47" s="14">
        <f t="shared" si="0"/>
        <v>32</v>
      </c>
    </row>
    <row r="48" spans="4:11">
      <c r="D48" s="11">
        <v>46115</v>
      </c>
      <c r="E48" s="12">
        <v>1591920</v>
      </c>
      <c r="F48" s="12" t="s">
        <v>13</v>
      </c>
      <c r="G48" s="13">
        <v>20393717</v>
      </c>
      <c r="H48" s="12" t="s">
        <v>70</v>
      </c>
      <c r="I48" s="13">
        <v>1</v>
      </c>
      <c r="J48" s="14">
        <v>8</v>
      </c>
      <c r="K48" s="14">
        <f t="shared" si="0"/>
        <v>8</v>
      </c>
    </row>
    <row r="49" spans="4:11">
      <c r="D49" s="11">
        <v>46115</v>
      </c>
      <c r="E49" s="12">
        <v>1591920</v>
      </c>
      <c r="F49" s="12" t="s">
        <v>13</v>
      </c>
      <c r="G49" s="13">
        <v>20398217</v>
      </c>
      <c r="H49" s="12" t="s">
        <v>71</v>
      </c>
      <c r="I49" s="13">
        <v>3</v>
      </c>
      <c r="J49" s="14">
        <v>8</v>
      </c>
      <c r="K49" s="14">
        <f t="shared" si="0"/>
        <v>24</v>
      </c>
    </row>
    <row r="50" spans="4:11">
      <c r="D50" s="11">
        <v>46115</v>
      </c>
      <c r="E50" s="12">
        <v>1591920</v>
      </c>
      <c r="F50" s="12" t="s">
        <v>17</v>
      </c>
      <c r="G50" s="13">
        <v>20394719</v>
      </c>
      <c r="H50" s="12" t="s">
        <v>77</v>
      </c>
      <c r="I50" s="13">
        <v>1</v>
      </c>
      <c r="J50" s="14">
        <v>55</v>
      </c>
      <c r="K50" s="14">
        <f t="shared" si="0"/>
        <v>55</v>
      </c>
    </row>
    <row r="51" spans="4:11">
      <c r="D51" s="11">
        <v>46115</v>
      </c>
      <c r="E51" s="12">
        <v>1591920</v>
      </c>
      <c r="F51" s="12" t="s">
        <v>17</v>
      </c>
      <c r="G51" s="13">
        <v>20394718</v>
      </c>
      <c r="H51" s="12" t="s">
        <v>72</v>
      </c>
      <c r="I51" s="13">
        <v>1</v>
      </c>
      <c r="J51" s="14">
        <f>5.5*37</f>
        <v>203.5</v>
      </c>
      <c r="K51" s="14">
        <f t="shared" si="0"/>
        <v>203.5</v>
      </c>
    </row>
    <row r="52" spans="4:11">
      <c r="D52" s="11">
        <v>46118</v>
      </c>
      <c r="E52" s="12">
        <v>1592348</v>
      </c>
      <c r="F52" s="12" t="s">
        <v>13</v>
      </c>
      <c r="G52" s="13">
        <v>20403849</v>
      </c>
      <c r="H52" s="12" t="s">
        <v>55</v>
      </c>
      <c r="I52" s="13">
        <v>1</v>
      </c>
      <c r="J52" s="14">
        <v>8</v>
      </c>
      <c r="K52" s="14">
        <f t="shared" si="0"/>
        <v>8</v>
      </c>
    </row>
    <row r="53" spans="4:11">
      <c r="D53" s="11">
        <v>46118</v>
      </c>
      <c r="E53" s="12">
        <v>1592348</v>
      </c>
      <c r="F53" s="12" t="s">
        <v>13</v>
      </c>
      <c r="G53" s="13">
        <v>20394714</v>
      </c>
      <c r="H53" s="12" t="s">
        <v>56</v>
      </c>
      <c r="I53" s="13">
        <v>3</v>
      </c>
      <c r="J53" s="14">
        <v>8</v>
      </c>
      <c r="K53" s="14">
        <f t="shared" si="0"/>
        <v>24</v>
      </c>
    </row>
    <row r="54" spans="4:11">
      <c r="D54" s="11">
        <v>46118</v>
      </c>
      <c r="E54" s="12">
        <v>1592348</v>
      </c>
      <c r="F54" s="12" t="s">
        <v>13</v>
      </c>
      <c r="G54" s="13">
        <v>20393883</v>
      </c>
      <c r="H54" s="12" t="s">
        <v>78</v>
      </c>
      <c r="I54" s="13">
        <v>1</v>
      </c>
      <c r="J54" s="14">
        <v>8</v>
      </c>
      <c r="K54" s="14">
        <f t="shared" si="0"/>
        <v>8</v>
      </c>
    </row>
    <row r="55" spans="4:11">
      <c r="D55" s="11">
        <v>46118</v>
      </c>
      <c r="E55" s="12">
        <v>1592348</v>
      </c>
      <c r="F55" s="12" t="s">
        <v>13</v>
      </c>
      <c r="G55" s="13">
        <v>20393847</v>
      </c>
      <c r="H55" s="12" t="s">
        <v>57</v>
      </c>
      <c r="I55" s="13">
        <v>3</v>
      </c>
      <c r="J55" s="14">
        <v>8</v>
      </c>
      <c r="K55" s="14">
        <f t="shared" si="0"/>
        <v>24</v>
      </c>
    </row>
    <row r="56" spans="4:11">
      <c r="D56" s="11">
        <v>46118</v>
      </c>
      <c r="E56" s="12">
        <v>1592348</v>
      </c>
      <c r="F56" s="12" t="s">
        <v>13</v>
      </c>
      <c r="G56" s="13">
        <v>20394727</v>
      </c>
      <c r="H56" s="12" t="s">
        <v>58</v>
      </c>
      <c r="I56" s="13">
        <v>2</v>
      </c>
      <c r="J56" s="14">
        <v>8</v>
      </c>
      <c r="K56" s="14">
        <f t="shared" si="0"/>
        <v>16</v>
      </c>
    </row>
    <row r="57" spans="4:11">
      <c r="D57" s="11">
        <v>46118</v>
      </c>
      <c r="E57" s="12">
        <v>1592348</v>
      </c>
      <c r="F57" s="12" t="s">
        <v>13</v>
      </c>
      <c r="G57" s="13">
        <v>20394716</v>
      </c>
      <c r="H57" s="12" t="s">
        <v>59</v>
      </c>
      <c r="I57" s="13">
        <v>6</v>
      </c>
      <c r="J57" s="14">
        <v>8</v>
      </c>
      <c r="K57" s="14">
        <f t="shared" si="0"/>
        <v>48</v>
      </c>
    </row>
    <row r="58" spans="4:11">
      <c r="D58" s="11">
        <v>46118</v>
      </c>
      <c r="E58" s="12">
        <v>1592348</v>
      </c>
      <c r="F58" s="12" t="s">
        <v>13</v>
      </c>
      <c r="G58" s="13">
        <v>20395260</v>
      </c>
      <c r="H58" s="12" t="s">
        <v>61</v>
      </c>
      <c r="I58" s="13">
        <v>2</v>
      </c>
      <c r="J58" s="14">
        <v>8</v>
      </c>
      <c r="K58" s="14">
        <f t="shared" si="0"/>
        <v>16</v>
      </c>
    </row>
    <row r="59" spans="4:11">
      <c r="D59" s="11">
        <v>46118</v>
      </c>
      <c r="E59" s="12">
        <v>1592348</v>
      </c>
      <c r="F59" s="12" t="s">
        <v>13</v>
      </c>
      <c r="G59" s="13">
        <v>20395259</v>
      </c>
      <c r="H59" s="12" t="s">
        <v>62</v>
      </c>
      <c r="I59" s="13">
        <v>4</v>
      </c>
      <c r="J59" s="14">
        <v>13.5</v>
      </c>
      <c r="K59" s="14">
        <f t="shared" si="0"/>
        <v>54</v>
      </c>
    </row>
    <row r="60" spans="4:11">
      <c r="D60" s="11">
        <v>46118</v>
      </c>
      <c r="E60" s="12">
        <v>1592348</v>
      </c>
      <c r="F60" s="12" t="s">
        <v>13</v>
      </c>
      <c r="G60" s="13">
        <v>20393878</v>
      </c>
      <c r="H60" s="12" t="s">
        <v>75</v>
      </c>
      <c r="I60" s="13">
        <v>4</v>
      </c>
      <c r="J60" s="14">
        <v>8</v>
      </c>
      <c r="K60" s="14">
        <f t="shared" si="0"/>
        <v>32</v>
      </c>
    </row>
    <row r="61" spans="4:11">
      <c r="D61" s="11">
        <v>46118</v>
      </c>
      <c r="E61" s="12">
        <v>1592348</v>
      </c>
      <c r="F61" s="12" t="s">
        <v>13</v>
      </c>
      <c r="G61" s="13">
        <v>20394715</v>
      </c>
      <c r="H61" s="12" t="s">
        <v>64</v>
      </c>
      <c r="I61" s="13">
        <v>1</v>
      </c>
      <c r="J61" s="14">
        <v>8</v>
      </c>
      <c r="K61" s="14">
        <f t="shared" si="0"/>
        <v>8</v>
      </c>
    </row>
    <row r="62" spans="4:11">
      <c r="D62" s="11">
        <v>46118</v>
      </c>
      <c r="E62" s="12">
        <v>1592348</v>
      </c>
      <c r="F62" s="12" t="s">
        <v>13</v>
      </c>
      <c r="G62" s="13">
        <v>20393848</v>
      </c>
      <c r="H62" s="12" t="s">
        <v>65</v>
      </c>
      <c r="I62" s="13">
        <v>4</v>
      </c>
      <c r="J62" s="14">
        <v>8</v>
      </c>
      <c r="K62" s="14">
        <f t="shared" si="0"/>
        <v>32</v>
      </c>
    </row>
    <row r="63" spans="4:11">
      <c r="D63" s="11">
        <v>46118</v>
      </c>
      <c r="E63" s="12">
        <v>1592348</v>
      </c>
      <c r="F63" s="12" t="s">
        <v>13</v>
      </c>
      <c r="G63" s="13">
        <v>20393842</v>
      </c>
      <c r="H63" s="12" t="s">
        <v>67</v>
      </c>
      <c r="I63" s="13">
        <v>6</v>
      </c>
      <c r="J63" s="14">
        <v>8</v>
      </c>
      <c r="K63" s="14">
        <f t="shared" si="0"/>
        <v>48</v>
      </c>
    </row>
    <row r="64" spans="4:11">
      <c r="D64" s="11">
        <v>46118</v>
      </c>
      <c r="E64" s="12">
        <v>1592348</v>
      </c>
      <c r="F64" s="12" t="s">
        <v>13</v>
      </c>
      <c r="G64" s="13">
        <v>20392737</v>
      </c>
      <c r="H64" s="12" t="s">
        <v>68</v>
      </c>
      <c r="I64" s="13">
        <v>17</v>
      </c>
      <c r="J64" s="14">
        <v>8</v>
      </c>
      <c r="K64" s="14">
        <f t="shared" si="0"/>
        <v>136</v>
      </c>
    </row>
    <row r="65" spans="4:11">
      <c r="D65" s="11">
        <v>46118</v>
      </c>
      <c r="E65" s="12">
        <v>1592348</v>
      </c>
      <c r="F65" s="12" t="s">
        <v>13</v>
      </c>
      <c r="G65" s="13">
        <v>20393900</v>
      </c>
      <c r="H65" s="12" t="s">
        <v>79</v>
      </c>
      <c r="I65" s="13">
        <v>2</v>
      </c>
      <c r="J65" s="14">
        <v>8</v>
      </c>
      <c r="K65" s="14">
        <f t="shared" si="0"/>
        <v>16</v>
      </c>
    </row>
    <row r="66" spans="4:11">
      <c r="D66" s="11">
        <v>46118</v>
      </c>
      <c r="E66" s="12">
        <v>1592348</v>
      </c>
      <c r="F66" s="12" t="s">
        <v>13</v>
      </c>
      <c r="G66" s="13">
        <v>20393841</v>
      </c>
      <c r="H66" s="12" t="s">
        <v>69</v>
      </c>
      <c r="I66" s="13">
        <v>1</v>
      </c>
      <c r="J66" s="14">
        <v>8</v>
      </c>
      <c r="K66" s="14">
        <f t="shared" si="0"/>
        <v>8</v>
      </c>
    </row>
    <row r="67" spans="4:11">
      <c r="D67" s="11">
        <v>46120</v>
      </c>
      <c r="E67" s="12">
        <v>1592922</v>
      </c>
      <c r="F67" s="12" t="s">
        <v>13</v>
      </c>
      <c r="G67" s="13">
        <v>20399387</v>
      </c>
      <c r="H67" s="12" t="s">
        <v>73</v>
      </c>
      <c r="I67" s="13">
        <v>1</v>
      </c>
      <c r="J67" s="14">
        <v>8</v>
      </c>
      <c r="K67" s="14">
        <f t="shared" si="0"/>
        <v>8</v>
      </c>
    </row>
    <row r="68" spans="4:11">
      <c r="D68" s="11">
        <v>46120</v>
      </c>
      <c r="E68" s="12">
        <v>1592922</v>
      </c>
      <c r="F68" s="12" t="s">
        <v>13</v>
      </c>
      <c r="G68" s="13">
        <v>20393837</v>
      </c>
      <c r="H68" s="12" t="s">
        <v>53</v>
      </c>
      <c r="I68" s="13">
        <v>1</v>
      </c>
      <c r="J68" s="14">
        <v>8</v>
      </c>
      <c r="K68" s="14">
        <f t="shared" si="0"/>
        <v>8</v>
      </c>
    </row>
    <row r="69" spans="4:11">
      <c r="D69" s="11">
        <v>46120</v>
      </c>
      <c r="E69" s="12">
        <v>1592922</v>
      </c>
      <c r="F69" s="12" t="s">
        <v>13</v>
      </c>
      <c r="G69" s="13">
        <v>20403849</v>
      </c>
      <c r="H69" s="12" t="s">
        <v>55</v>
      </c>
      <c r="I69" s="13">
        <v>1</v>
      </c>
      <c r="J69" s="14">
        <v>8</v>
      </c>
      <c r="K69" s="14">
        <f t="shared" si="0"/>
        <v>8</v>
      </c>
    </row>
    <row r="70" spans="4:11">
      <c r="D70" s="11">
        <v>46120</v>
      </c>
      <c r="E70" s="12">
        <v>1592922</v>
      </c>
      <c r="F70" s="12" t="s">
        <v>13</v>
      </c>
      <c r="G70" s="13">
        <v>20394714</v>
      </c>
      <c r="H70" s="12" t="s">
        <v>56</v>
      </c>
      <c r="I70" s="13">
        <v>2</v>
      </c>
      <c r="J70" s="14">
        <v>8</v>
      </c>
      <c r="K70" s="14">
        <f t="shared" si="0"/>
        <v>16</v>
      </c>
    </row>
    <row r="71" spans="4:11">
      <c r="D71" s="11">
        <v>46120</v>
      </c>
      <c r="E71" s="12">
        <v>1592922</v>
      </c>
      <c r="F71" s="12" t="s">
        <v>13</v>
      </c>
      <c r="G71" s="13">
        <v>20393883</v>
      </c>
      <c r="H71" s="12" t="s">
        <v>78</v>
      </c>
      <c r="I71" s="13">
        <v>1</v>
      </c>
      <c r="J71" s="14">
        <v>8</v>
      </c>
      <c r="K71" s="14">
        <f t="shared" si="0"/>
        <v>8</v>
      </c>
    </row>
    <row r="72" spans="4:11">
      <c r="D72" s="11">
        <v>46120</v>
      </c>
      <c r="E72" s="12">
        <v>1592922</v>
      </c>
      <c r="F72" s="12" t="s">
        <v>13</v>
      </c>
      <c r="G72" s="13">
        <v>20393847</v>
      </c>
      <c r="H72" s="12" t="s">
        <v>57</v>
      </c>
      <c r="I72" s="13">
        <v>1</v>
      </c>
      <c r="J72" s="14">
        <v>8</v>
      </c>
      <c r="K72" s="14">
        <f t="shared" si="0"/>
        <v>8</v>
      </c>
    </row>
    <row r="73" spans="4:11">
      <c r="D73" s="11">
        <v>46120</v>
      </c>
      <c r="E73" s="12">
        <v>1592922</v>
      </c>
      <c r="F73" s="12" t="s">
        <v>13</v>
      </c>
      <c r="G73" s="13">
        <v>20394713</v>
      </c>
      <c r="H73" s="12" t="s">
        <v>80</v>
      </c>
      <c r="I73" s="13">
        <v>1</v>
      </c>
      <c r="J73" s="14">
        <v>8</v>
      </c>
      <c r="K73" s="14">
        <f t="shared" si="0"/>
        <v>8</v>
      </c>
    </row>
    <row r="74" spans="4:11">
      <c r="D74" s="11">
        <v>46120</v>
      </c>
      <c r="E74" s="12">
        <v>1592922</v>
      </c>
      <c r="F74" s="12" t="s">
        <v>13</v>
      </c>
      <c r="G74" s="13">
        <v>20394727</v>
      </c>
      <c r="H74" s="12" t="s">
        <v>58</v>
      </c>
      <c r="I74" s="13">
        <v>3</v>
      </c>
      <c r="J74" s="14">
        <v>8</v>
      </c>
      <c r="K74" s="14">
        <f t="shared" ref="K74:K137" si="1">J74*I74</f>
        <v>24</v>
      </c>
    </row>
    <row r="75" spans="4:11">
      <c r="D75" s="11">
        <v>46120</v>
      </c>
      <c r="E75" s="12">
        <v>1592922</v>
      </c>
      <c r="F75" s="12" t="s">
        <v>13</v>
      </c>
      <c r="G75" s="13">
        <v>20394716</v>
      </c>
      <c r="H75" s="12" t="s">
        <v>59</v>
      </c>
      <c r="I75" s="13">
        <v>2</v>
      </c>
      <c r="J75" s="14">
        <v>8</v>
      </c>
      <c r="K75" s="14">
        <f t="shared" si="1"/>
        <v>16</v>
      </c>
    </row>
    <row r="76" spans="4:11">
      <c r="D76" s="11">
        <v>46120</v>
      </c>
      <c r="E76" s="12">
        <v>1592922</v>
      </c>
      <c r="F76" s="12" t="s">
        <v>13</v>
      </c>
      <c r="G76" s="13">
        <v>20394715</v>
      </c>
      <c r="H76" s="12" t="s">
        <v>64</v>
      </c>
      <c r="I76" s="13">
        <v>6</v>
      </c>
      <c r="J76" s="14">
        <v>8</v>
      </c>
      <c r="K76" s="14">
        <f t="shared" si="1"/>
        <v>48</v>
      </c>
    </row>
    <row r="77" spans="4:11">
      <c r="D77" s="11">
        <v>46120</v>
      </c>
      <c r="E77" s="12">
        <v>1592922</v>
      </c>
      <c r="F77" s="12" t="s">
        <v>13</v>
      </c>
      <c r="G77" s="13">
        <v>20393842</v>
      </c>
      <c r="H77" s="12" t="s">
        <v>67</v>
      </c>
      <c r="I77" s="13">
        <v>2</v>
      </c>
      <c r="J77" s="14">
        <v>8</v>
      </c>
      <c r="K77" s="14">
        <f t="shared" si="1"/>
        <v>16</v>
      </c>
    </row>
    <row r="78" spans="4:11">
      <c r="D78" s="11">
        <v>46120</v>
      </c>
      <c r="E78" s="12">
        <v>1592922</v>
      </c>
      <c r="F78" s="12" t="s">
        <v>13</v>
      </c>
      <c r="G78" s="13">
        <v>20392737</v>
      </c>
      <c r="H78" s="12" t="s">
        <v>68</v>
      </c>
      <c r="I78" s="13">
        <v>15</v>
      </c>
      <c r="J78" s="14">
        <v>8</v>
      </c>
      <c r="K78" s="14">
        <f t="shared" si="1"/>
        <v>120</v>
      </c>
    </row>
    <row r="79" spans="4:11">
      <c r="D79" s="11">
        <v>46120</v>
      </c>
      <c r="E79" s="12">
        <v>1592922</v>
      </c>
      <c r="F79" s="12" t="s">
        <v>13</v>
      </c>
      <c r="G79" s="13">
        <v>20415139</v>
      </c>
      <c r="H79" s="12" t="s">
        <v>81</v>
      </c>
      <c r="I79" s="13">
        <v>1</v>
      </c>
      <c r="J79" s="14">
        <v>8</v>
      </c>
      <c r="K79" s="14">
        <f t="shared" si="1"/>
        <v>8</v>
      </c>
    </row>
    <row r="80" spans="4:11">
      <c r="D80" s="11">
        <v>46122</v>
      </c>
      <c r="E80" s="12">
        <v>1593769</v>
      </c>
      <c r="F80" s="12" t="s">
        <v>13</v>
      </c>
      <c r="G80" s="13">
        <v>20393837</v>
      </c>
      <c r="H80" s="12" t="s">
        <v>53</v>
      </c>
      <c r="I80" s="13">
        <v>4</v>
      </c>
      <c r="J80" s="14">
        <v>8</v>
      </c>
      <c r="K80" s="14">
        <f t="shared" si="1"/>
        <v>32</v>
      </c>
    </row>
    <row r="81" spans="4:11">
      <c r="D81" s="11">
        <v>46122</v>
      </c>
      <c r="E81" s="12">
        <v>1593769</v>
      </c>
      <c r="F81" s="12" t="s">
        <v>13</v>
      </c>
      <c r="G81" s="13">
        <v>20403849</v>
      </c>
      <c r="H81" s="12" t="s">
        <v>55</v>
      </c>
      <c r="I81" s="13">
        <v>1</v>
      </c>
      <c r="J81" s="14">
        <v>8</v>
      </c>
      <c r="K81" s="14">
        <f t="shared" si="1"/>
        <v>8</v>
      </c>
    </row>
    <row r="82" spans="4:11">
      <c r="D82" s="11">
        <v>46122</v>
      </c>
      <c r="E82" s="12">
        <v>1593769</v>
      </c>
      <c r="F82" s="12" t="s">
        <v>13</v>
      </c>
      <c r="G82" s="13">
        <v>20394714</v>
      </c>
      <c r="H82" s="12" t="s">
        <v>56</v>
      </c>
      <c r="I82" s="13">
        <v>3</v>
      </c>
      <c r="J82" s="14">
        <v>8</v>
      </c>
      <c r="K82" s="14">
        <f t="shared" si="1"/>
        <v>24</v>
      </c>
    </row>
    <row r="83" spans="4:11">
      <c r="D83" s="11">
        <v>46122</v>
      </c>
      <c r="E83" s="12">
        <v>1593769</v>
      </c>
      <c r="F83" s="12" t="s">
        <v>13</v>
      </c>
      <c r="G83" s="13">
        <v>20393847</v>
      </c>
      <c r="H83" s="12" t="s">
        <v>57</v>
      </c>
      <c r="I83" s="13">
        <v>1</v>
      </c>
      <c r="J83" s="14">
        <v>8</v>
      </c>
      <c r="K83" s="14">
        <f t="shared" si="1"/>
        <v>8</v>
      </c>
    </row>
    <row r="84" spans="4:11">
      <c r="D84" s="11">
        <v>46122</v>
      </c>
      <c r="E84" s="12">
        <v>1593769</v>
      </c>
      <c r="F84" s="12" t="s">
        <v>13</v>
      </c>
      <c r="G84" s="13">
        <v>20394727</v>
      </c>
      <c r="H84" s="12" t="s">
        <v>58</v>
      </c>
      <c r="I84" s="13">
        <v>5</v>
      </c>
      <c r="J84" s="14">
        <v>8</v>
      </c>
      <c r="K84" s="14">
        <f t="shared" si="1"/>
        <v>40</v>
      </c>
    </row>
    <row r="85" spans="4:11">
      <c r="D85" s="11">
        <v>46122</v>
      </c>
      <c r="E85" s="12">
        <v>1593769</v>
      </c>
      <c r="F85" s="12" t="s">
        <v>13</v>
      </c>
      <c r="G85" s="13">
        <v>20394716</v>
      </c>
      <c r="H85" s="12" t="s">
        <v>59</v>
      </c>
      <c r="I85" s="13">
        <v>6</v>
      </c>
      <c r="J85" s="14">
        <v>8</v>
      </c>
      <c r="K85" s="14">
        <f t="shared" si="1"/>
        <v>48</v>
      </c>
    </row>
    <row r="86" spans="4:11">
      <c r="D86" s="11">
        <v>46122</v>
      </c>
      <c r="E86" s="12">
        <v>1593769</v>
      </c>
      <c r="F86" s="12" t="s">
        <v>13</v>
      </c>
      <c r="G86" s="13">
        <v>20395260</v>
      </c>
      <c r="H86" s="12" t="s">
        <v>61</v>
      </c>
      <c r="I86" s="13">
        <v>1</v>
      </c>
      <c r="J86" s="14">
        <v>8</v>
      </c>
      <c r="K86" s="14">
        <f t="shared" si="1"/>
        <v>8</v>
      </c>
    </row>
    <row r="87" spans="4:11">
      <c r="D87" s="11">
        <v>46122</v>
      </c>
      <c r="E87" s="12">
        <v>1593769</v>
      </c>
      <c r="F87" s="12" t="s">
        <v>13</v>
      </c>
      <c r="G87" s="13">
        <v>20395259</v>
      </c>
      <c r="H87" s="12" t="s">
        <v>62</v>
      </c>
      <c r="I87" s="13">
        <v>1</v>
      </c>
      <c r="J87" s="14">
        <v>13.5</v>
      </c>
      <c r="K87" s="14">
        <f t="shared" si="1"/>
        <v>13.5</v>
      </c>
    </row>
    <row r="88" spans="4:11">
      <c r="D88" s="11">
        <v>46122</v>
      </c>
      <c r="E88" s="12">
        <v>1593769</v>
      </c>
      <c r="F88" s="12" t="s">
        <v>13</v>
      </c>
      <c r="G88" s="13">
        <v>20393878</v>
      </c>
      <c r="H88" s="12" t="s">
        <v>75</v>
      </c>
      <c r="I88" s="13">
        <v>1</v>
      </c>
      <c r="J88" s="14">
        <v>8</v>
      </c>
      <c r="K88" s="14">
        <f t="shared" si="1"/>
        <v>8</v>
      </c>
    </row>
    <row r="89" spans="4:11">
      <c r="D89" s="11">
        <v>46122</v>
      </c>
      <c r="E89" s="12">
        <v>1593769</v>
      </c>
      <c r="F89" s="12" t="s">
        <v>13</v>
      </c>
      <c r="G89" s="13">
        <v>20394715</v>
      </c>
      <c r="H89" s="12" t="s">
        <v>64</v>
      </c>
      <c r="I89" s="13">
        <v>3</v>
      </c>
      <c r="J89" s="14">
        <v>8</v>
      </c>
      <c r="K89" s="14">
        <f t="shared" si="1"/>
        <v>24</v>
      </c>
    </row>
    <row r="90" spans="4:11">
      <c r="D90" s="11">
        <v>46122</v>
      </c>
      <c r="E90" s="12">
        <v>1593769</v>
      </c>
      <c r="F90" s="12" t="s">
        <v>13</v>
      </c>
      <c r="G90" s="13">
        <v>20393848</v>
      </c>
      <c r="H90" s="12" t="s">
        <v>65</v>
      </c>
      <c r="I90" s="13">
        <v>1</v>
      </c>
      <c r="J90" s="14">
        <v>8</v>
      </c>
      <c r="K90" s="14">
        <f t="shared" si="1"/>
        <v>8</v>
      </c>
    </row>
    <row r="91" spans="4:11">
      <c r="D91" s="11">
        <v>46122</v>
      </c>
      <c r="E91" s="12">
        <v>1593769</v>
      </c>
      <c r="F91" s="12" t="s">
        <v>13</v>
      </c>
      <c r="G91" s="13">
        <v>20409367</v>
      </c>
      <c r="H91" s="12" t="s">
        <v>82</v>
      </c>
      <c r="I91" s="13">
        <v>1</v>
      </c>
      <c r="J91" s="14">
        <v>8</v>
      </c>
      <c r="K91" s="14">
        <f t="shared" si="1"/>
        <v>8</v>
      </c>
    </row>
    <row r="92" spans="4:11">
      <c r="D92" s="11">
        <v>46122</v>
      </c>
      <c r="E92" s="12">
        <v>1593769</v>
      </c>
      <c r="F92" s="12" t="s">
        <v>13</v>
      </c>
      <c r="G92" s="13">
        <v>20395590</v>
      </c>
      <c r="H92" s="12" t="s">
        <v>83</v>
      </c>
      <c r="I92" s="13">
        <v>1</v>
      </c>
      <c r="J92" s="14">
        <v>8</v>
      </c>
      <c r="K92" s="14">
        <f t="shared" si="1"/>
        <v>8</v>
      </c>
    </row>
    <row r="93" spans="4:11">
      <c r="D93" s="11">
        <v>46122</v>
      </c>
      <c r="E93" s="12">
        <v>1593769</v>
      </c>
      <c r="F93" s="12" t="s">
        <v>13</v>
      </c>
      <c r="G93" s="13">
        <v>20393842</v>
      </c>
      <c r="H93" s="12" t="s">
        <v>67</v>
      </c>
      <c r="I93" s="13">
        <v>3</v>
      </c>
      <c r="J93" s="14">
        <v>8</v>
      </c>
      <c r="K93" s="14">
        <f t="shared" si="1"/>
        <v>24</v>
      </c>
    </row>
    <row r="94" spans="4:11">
      <c r="D94" s="11">
        <v>46122</v>
      </c>
      <c r="E94" s="12">
        <v>1593769</v>
      </c>
      <c r="F94" s="12" t="s">
        <v>13</v>
      </c>
      <c r="G94" s="13">
        <v>20392737</v>
      </c>
      <c r="H94" s="12" t="s">
        <v>68</v>
      </c>
      <c r="I94" s="13">
        <v>18</v>
      </c>
      <c r="J94" s="14">
        <v>8</v>
      </c>
      <c r="K94" s="14">
        <f t="shared" si="1"/>
        <v>144</v>
      </c>
    </row>
    <row r="95" spans="4:11">
      <c r="D95" s="11">
        <v>46122</v>
      </c>
      <c r="E95" s="12">
        <v>1593769</v>
      </c>
      <c r="F95" s="12" t="s">
        <v>13</v>
      </c>
      <c r="G95" s="13">
        <v>20399392</v>
      </c>
      <c r="H95" s="12" t="s">
        <v>84</v>
      </c>
      <c r="I95" s="13">
        <v>1</v>
      </c>
      <c r="J95" s="14">
        <v>8</v>
      </c>
      <c r="K95" s="14">
        <f t="shared" si="1"/>
        <v>8</v>
      </c>
    </row>
    <row r="96" spans="4:11">
      <c r="D96" s="11">
        <v>46122</v>
      </c>
      <c r="E96" s="12">
        <v>1593769</v>
      </c>
      <c r="F96" s="12" t="s">
        <v>13</v>
      </c>
      <c r="G96" s="13">
        <v>20393841</v>
      </c>
      <c r="H96" s="12" t="s">
        <v>69</v>
      </c>
      <c r="I96" s="13">
        <v>4</v>
      </c>
      <c r="J96" s="14">
        <v>8</v>
      </c>
      <c r="K96" s="14">
        <f t="shared" si="1"/>
        <v>32</v>
      </c>
    </row>
    <row r="97" spans="4:11">
      <c r="D97" s="11">
        <v>46122</v>
      </c>
      <c r="E97" s="12">
        <v>1593769</v>
      </c>
      <c r="F97" s="12" t="s">
        <v>13</v>
      </c>
      <c r="G97" s="13">
        <v>20398217</v>
      </c>
      <c r="H97" s="12" t="s">
        <v>71</v>
      </c>
      <c r="I97" s="13">
        <v>3</v>
      </c>
      <c r="J97" s="14">
        <v>8</v>
      </c>
      <c r="K97" s="14">
        <f t="shared" si="1"/>
        <v>24</v>
      </c>
    </row>
    <row r="98" spans="4:11">
      <c r="D98" s="11">
        <v>46125</v>
      </c>
      <c r="E98" s="12">
        <v>1594329</v>
      </c>
      <c r="F98" s="12" t="s">
        <v>13</v>
      </c>
      <c r="G98" s="13">
        <v>20399387</v>
      </c>
      <c r="H98" s="12" t="s">
        <v>73</v>
      </c>
      <c r="I98" s="13">
        <v>1</v>
      </c>
      <c r="J98" s="14">
        <v>8</v>
      </c>
      <c r="K98" s="14">
        <f t="shared" si="1"/>
        <v>8</v>
      </c>
    </row>
    <row r="99" spans="4:11">
      <c r="D99" s="11">
        <v>46125</v>
      </c>
      <c r="E99" s="12">
        <v>1594329</v>
      </c>
      <c r="F99" s="12" t="s">
        <v>13</v>
      </c>
      <c r="G99" s="13">
        <v>20393838</v>
      </c>
      <c r="H99" s="12" t="s">
        <v>52</v>
      </c>
      <c r="I99" s="13">
        <v>5</v>
      </c>
      <c r="J99" s="14">
        <v>8</v>
      </c>
      <c r="K99" s="14">
        <f t="shared" si="1"/>
        <v>40</v>
      </c>
    </row>
    <row r="100" spans="4:11">
      <c r="D100" s="11">
        <v>46125</v>
      </c>
      <c r="E100" s="12">
        <v>1594329</v>
      </c>
      <c r="F100" s="12" t="s">
        <v>13</v>
      </c>
      <c r="G100" s="13">
        <v>20393837</v>
      </c>
      <c r="H100" s="12" t="s">
        <v>53</v>
      </c>
      <c r="I100" s="13">
        <v>8</v>
      </c>
      <c r="J100" s="14">
        <v>8</v>
      </c>
      <c r="K100" s="14">
        <f t="shared" si="1"/>
        <v>64</v>
      </c>
    </row>
    <row r="101" spans="4:11">
      <c r="D101" s="11">
        <v>46125</v>
      </c>
      <c r="E101" s="12">
        <v>1594329</v>
      </c>
      <c r="F101" s="12" t="s">
        <v>13</v>
      </c>
      <c r="G101" s="13">
        <v>20403849</v>
      </c>
      <c r="H101" s="12" t="s">
        <v>55</v>
      </c>
      <c r="I101" s="13">
        <v>1</v>
      </c>
      <c r="J101" s="14">
        <v>8</v>
      </c>
      <c r="K101" s="14">
        <f t="shared" si="1"/>
        <v>8</v>
      </c>
    </row>
    <row r="102" spans="4:11">
      <c r="D102" s="11">
        <v>46125</v>
      </c>
      <c r="E102" s="12">
        <v>1594329</v>
      </c>
      <c r="F102" s="12" t="s">
        <v>13</v>
      </c>
      <c r="G102" s="13">
        <v>20394714</v>
      </c>
      <c r="H102" s="12" t="s">
        <v>56</v>
      </c>
      <c r="I102" s="13">
        <v>1</v>
      </c>
      <c r="J102" s="14">
        <v>8</v>
      </c>
      <c r="K102" s="14">
        <f t="shared" si="1"/>
        <v>8</v>
      </c>
    </row>
    <row r="103" spans="4:11">
      <c r="D103" s="11">
        <v>46125</v>
      </c>
      <c r="E103" s="12">
        <v>1594329</v>
      </c>
      <c r="F103" s="12" t="s">
        <v>13</v>
      </c>
      <c r="G103" s="13">
        <v>20393883</v>
      </c>
      <c r="H103" s="12" t="s">
        <v>78</v>
      </c>
      <c r="I103" s="13">
        <v>1</v>
      </c>
      <c r="J103" s="14">
        <v>8</v>
      </c>
      <c r="K103" s="14">
        <f t="shared" si="1"/>
        <v>8</v>
      </c>
    </row>
    <row r="104" spans="4:11">
      <c r="D104" s="11">
        <v>46125</v>
      </c>
      <c r="E104" s="12">
        <v>1594329</v>
      </c>
      <c r="F104" s="12" t="s">
        <v>13</v>
      </c>
      <c r="G104" s="13">
        <v>20393847</v>
      </c>
      <c r="H104" s="12" t="s">
        <v>57</v>
      </c>
      <c r="I104" s="13">
        <v>1</v>
      </c>
      <c r="J104" s="14">
        <v>8</v>
      </c>
      <c r="K104" s="14">
        <f t="shared" si="1"/>
        <v>8</v>
      </c>
    </row>
    <row r="105" spans="4:11">
      <c r="D105" s="11">
        <v>46125</v>
      </c>
      <c r="E105" s="12">
        <v>1594329</v>
      </c>
      <c r="F105" s="12" t="s">
        <v>13</v>
      </c>
      <c r="G105" s="13">
        <v>20394713</v>
      </c>
      <c r="H105" s="12" t="s">
        <v>80</v>
      </c>
      <c r="I105" s="13">
        <v>1</v>
      </c>
      <c r="J105" s="14">
        <v>8</v>
      </c>
      <c r="K105" s="14">
        <f t="shared" si="1"/>
        <v>8</v>
      </c>
    </row>
    <row r="106" spans="4:11">
      <c r="D106" s="11">
        <v>46125</v>
      </c>
      <c r="E106" s="12">
        <v>1594329</v>
      </c>
      <c r="F106" s="12" t="s">
        <v>13</v>
      </c>
      <c r="G106" s="13">
        <v>20394727</v>
      </c>
      <c r="H106" s="12" t="s">
        <v>58</v>
      </c>
      <c r="I106" s="13">
        <v>6</v>
      </c>
      <c r="J106" s="14">
        <v>8</v>
      </c>
      <c r="K106" s="14">
        <f t="shared" si="1"/>
        <v>48</v>
      </c>
    </row>
    <row r="107" spans="4:11">
      <c r="D107" s="11">
        <v>46125</v>
      </c>
      <c r="E107" s="12">
        <v>1594329</v>
      </c>
      <c r="F107" s="12" t="s">
        <v>13</v>
      </c>
      <c r="G107" s="13">
        <v>20393716</v>
      </c>
      <c r="H107" s="12" t="s">
        <v>85</v>
      </c>
      <c r="I107" s="13">
        <v>1</v>
      </c>
      <c r="J107" s="14">
        <v>8</v>
      </c>
      <c r="K107" s="14">
        <f t="shared" si="1"/>
        <v>8</v>
      </c>
    </row>
    <row r="108" spans="4:11">
      <c r="D108" s="11">
        <v>46125</v>
      </c>
      <c r="E108" s="12">
        <v>1594329</v>
      </c>
      <c r="F108" s="12" t="s">
        <v>13</v>
      </c>
      <c r="G108" s="13">
        <v>20394716</v>
      </c>
      <c r="H108" s="12" t="s">
        <v>59</v>
      </c>
      <c r="I108" s="13">
        <v>4</v>
      </c>
      <c r="J108" s="14">
        <v>8</v>
      </c>
      <c r="K108" s="14">
        <f t="shared" si="1"/>
        <v>32</v>
      </c>
    </row>
    <row r="109" spans="4:11">
      <c r="D109" s="11">
        <v>46125</v>
      </c>
      <c r="E109" s="12">
        <v>1594329</v>
      </c>
      <c r="F109" s="12" t="s">
        <v>13</v>
      </c>
      <c r="G109" s="13">
        <v>20395260</v>
      </c>
      <c r="H109" s="12" t="s">
        <v>61</v>
      </c>
      <c r="I109" s="13">
        <v>2</v>
      </c>
      <c r="J109" s="14">
        <v>8</v>
      </c>
      <c r="K109" s="14">
        <f t="shared" si="1"/>
        <v>16</v>
      </c>
    </row>
    <row r="110" spans="4:11">
      <c r="D110" s="11">
        <v>46125</v>
      </c>
      <c r="E110" s="12">
        <v>1594329</v>
      </c>
      <c r="F110" s="12" t="s">
        <v>13</v>
      </c>
      <c r="G110" s="13">
        <v>20393878</v>
      </c>
      <c r="H110" s="12" t="s">
        <v>75</v>
      </c>
      <c r="I110" s="13">
        <v>1</v>
      </c>
      <c r="J110" s="14">
        <v>8</v>
      </c>
      <c r="K110" s="14">
        <f t="shared" si="1"/>
        <v>8</v>
      </c>
    </row>
    <row r="111" spans="4:11">
      <c r="D111" s="11">
        <v>46125</v>
      </c>
      <c r="E111" s="12">
        <v>1594329</v>
      </c>
      <c r="F111" s="12" t="s">
        <v>13</v>
      </c>
      <c r="G111" s="13">
        <v>20394715</v>
      </c>
      <c r="H111" s="12" t="s">
        <v>64</v>
      </c>
      <c r="I111" s="13">
        <v>5</v>
      </c>
      <c r="J111" s="14">
        <v>8</v>
      </c>
      <c r="K111" s="14">
        <f t="shared" si="1"/>
        <v>40</v>
      </c>
    </row>
    <row r="112" spans="4:11">
      <c r="D112" s="11">
        <v>46125</v>
      </c>
      <c r="E112" s="12">
        <v>1594329</v>
      </c>
      <c r="F112" s="12" t="s">
        <v>13</v>
      </c>
      <c r="G112" s="13">
        <v>20393842</v>
      </c>
      <c r="H112" s="12" t="s">
        <v>67</v>
      </c>
      <c r="I112" s="13">
        <v>4</v>
      </c>
      <c r="J112" s="14">
        <v>8</v>
      </c>
      <c r="K112" s="14">
        <f t="shared" si="1"/>
        <v>32</v>
      </c>
    </row>
    <row r="113" spans="4:11">
      <c r="D113" s="11">
        <v>46125</v>
      </c>
      <c r="E113" s="12">
        <v>1594329</v>
      </c>
      <c r="F113" s="12" t="s">
        <v>13</v>
      </c>
      <c r="G113" s="13">
        <v>20393841</v>
      </c>
      <c r="H113" s="12" t="s">
        <v>69</v>
      </c>
      <c r="I113" s="13">
        <v>6</v>
      </c>
      <c r="J113" s="14">
        <v>8</v>
      </c>
      <c r="K113" s="14">
        <f t="shared" si="1"/>
        <v>48</v>
      </c>
    </row>
    <row r="114" spans="4:11">
      <c r="D114" s="11">
        <v>46125</v>
      </c>
      <c r="E114" s="12">
        <v>1594329</v>
      </c>
      <c r="F114" s="12" t="s">
        <v>13</v>
      </c>
      <c r="G114" s="13">
        <v>20398217</v>
      </c>
      <c r="H114" s="12" t="s">
        <v>71</v>
      </c>
      <c r="I114" s="13">
        <v>1</v>
      </c>
      <c r="J114" s="14">
        <v>8</v>
      </c>
      <c r="K114" s="14">
        <f t="shared" si="1"/>
        <v>8</v>
      </c>
    </row>
    <row r="115" spans="4:11">
      <c r="D115" s="11">
        <v>46125</v>
      </c>
      <c r="E115" s="12">
        <v>1594329</v>
      </c>
      <c r="F115" s="12" t="s">
        <v>37</v>
      </c>
      <c r="G115" s="13">
        <v>20393913</v>
      </c>
      <c r="H115" s="12" t="s">
        <v>86</v>
      </c>
      <c r="I115" s="13">
        <v>30</v>
      </c>
      <c r="J115" s="14">
        <v>2.5</v>
      </c>
      <c r="K115" s="14">
        <f t="shared" si="1"/>
        <v>75</v>
      </c>
    </row>
    <row r="116" spans="4:11">
      <c r="D116" s="11">
        <v>46125</v>
      </c>
      <c r="E116" s="12">
        <v>1594463</v>
      </c>
      <c r="F116" s="12" t="s">
        <v>13</v>
      </c>
      <c r="G116" s="13">
        <v>20395259</v>
      </c>
      <c r="H116" s="12" t="s">
        <v>62</v>
      </c>
      <c r="I116" s="13">
        <v>2</v>
      </c>
      <c r="J116" s="14">
        <v>13.5</v>
      </c>
      <c r="K116" s="14">
        <f t="shared" si="1"/>
        <v>27</v>
      </c>
    </row>
    <row r="117" spans="4:11">
      <c r="D117" s="11">
        <v>46125</v>
      </c>
      <c r="E117" s="12">
        <v>1594463</v>
      </c>
      <c r="F117" s="12" t="s">
        <v>13</v>
      </c>
      <c r="G117" s="13">
        <v>20392737</v>
      </c>
      <c r="H117" s="12" t="s">
        <v>68</v>
      </c>
      <c r="I117" s="13">
        <v>16</v>
      </c>
      <c r="J117" s="14">
        <v>8</v>
      </c>
      <c r="K117" s="14">
        <f t="shared" si="1"/>
        <v>128</v>
      </c>
    </row>
    <row r="118" spans="4:11">
      <c r="D118" s="11">
        <v>46127</v>
      </c>
      <c r="E118" s="12">
        <v>1595089</v>
      </c>
      <c r="F118" s="12" t="s">
        <v>13</v>
      </c>
      <c r="G118" s="13">
        <v>20403849</v>
      </c>
      <c r="H118" s="12" t="s">
        <v>55</v>
      </c>
      <c r="I118" s="13">
        <v>1</v>
      </c>
      <c r="J118" s="14">
        <v>8</v>
      </c>
      <c r="K118" s="14">
        <f t="shared" si="1"/>
        <v>8</v>
      </c>
    </row>
    <row r="119" spans="4:11">
      <c r="D119" s="11">
        <v>46127</v>
      </c>
      <c r="E119" s="12">
        <v>1595089</v>
      </c>
      <c r="F119" s="12" t="s">
        <v>13</v>
      </c>
      <c r="G119" s="13">
        <v>20394714</v>
      </c>
      <c r="H119" s="12" t="s">
        <v>56</v>
      </c>
      <c r="I119" s="13">
        <v>3</v>
      </c>
      <c r="J119" s="14">
        <v>8</v>
      </c>
      <c r="K119" s="14">
        <f t="shared" si="1"/>
        <v>24</v>
      </c>
    </row>
    <row r="120" spans="4:11">
      <c r="D120" s="11">
        <v>46127</v>
      </c>
      <c r="E120" s="12">
        <v>1595089</v>
      </c>
      <c r="F120" s="12" t="s">
        <v>13</v>
      </c>
      <c r="G120" s="13">
        <v>20394727</v>
      </c>
      <c r="H120" s="12" t="s">
        <v>58</v>
      </c>
      <c r="I120" s="13">
        <v>2</v>
      </c>
      <c r="J120" s="14">
        <v>8</v>
      </c>
      <c r="K120" s="14">
        <f t="shared" si="1"/>
        <v>16</v>
      </c>
    </row>
    <row r="121" spans="4:11">
      <c r="D121" s="11">
        <v>46127</v>
      </c>
      <c r="E121" s="12">
        <v>1595089</v>
      </c>
      <c r="F121" s="12" t="s">
        <v>13</v>
      </c>
      <c r="G121" s="13">
        <v>20394716</v>
      </c>
      <c r="H121" s="12" t="s">
        <v>59</v>
      </c>
      <c r="I121" s="13">
        <v>1</v>
      </c>
      <c r="J121" s="14">
        <v>8</v>
      </c>
      <c r="K121" s="14">
        <f t="shared" si="1"/>
        <v>8</v>
      </c>
    </row>
    <row r="122" spans="4:11">
      <c r="D122" s="11">
        <v>46127</v>
      </c>
      <c r="E122" s="12">
        <v>1595089</v>
      </c>
      <c r="F122" s="12" t="s">
        <v>13</v>
      </c>
      <c r="G122" s="13">
        <v>20395259</v>
      </c>
      <c r="H122" s="12" t="s">
        <v>62</v>
      </c>
      <c r="I122" s="13">
        <v>2</v>
      </c>
      <c r="J122" s="14">
        <v>13.5</v>
      </c>
      <c r="K122" s="14">
        <f t="shared" si="1"/>
        <v>27</v>
      </c>
    </row>
    <row r="123" spans="4:11">
      <c r="D123" s="11">
        <v>46127</v>
      </c>
      <c r="E123" s="12">
        <v>1595089</v>
      </c>
      <c r="F123" s="12" t="s">
        <v>13</v>
      </c>
      <c r="G123" s="13">
        <v>20393842</v>
      </c>
      <c r="H123" s="12" t="s">
        <v>67</v>
      </c>
      <c r="I123" s="13">
        <v>3</v>
      </c>
      <c r="J123" s="14">
        <v>8</v>
      </c>
      <c r="K123" s="14">
        <f t="shared" si="1"/>
        <v>24</v>
      </c>
    </row>
    <row r="124" spans="4:11">
      <c r="D124" s="11">
        <v>46127</v>
      </c>
      <c r="E124" s="12">
        <v>1595089</v>
      </c>
      <c r="F124" s="12" t="s">
        <v>13</v>
      </c>
      <c r="G124" s="13">
        <v>20392737</v>
      </c>
      <c r="H124" s="12" t="s">
        <v>68</v>
      </c>
      <c r="I124" s="13">
        <v>8</v>
      </c>
      <c r="J124" s="14">
        <v>8</v>
      </c>
      <c r="K124" s="14">
        <f t="shared" si="1"/>
        <v>64</v>
      </c>
    </row>
    <row r="125" spans="4:11">
      <c r="D125" s="11">
        <v>46127</v>
      </c>
      <c r="E125" s="12">
        <v>1595089</v>
      </c>
      <c r="F125" s="12" t="s">
        <v>13</v>
      </c>
      <c r="G125" s="13">
        <v>20392738</v>
      </c>
      <c r="H125" s="12" t="s">
        <v>87</v>
      </c>
      <c r="I125" s="13">
        <v>4</v>
      </c>
      <c r="J125" s="14">
        <v>8</v>
      </c>
      <c r="K125" s="14">
        <f t="shared" si="1"/>
        <v>32</v>
      </c>
    </row>
    <row r="126" spans="4:11">
      <c r="D126" s="11">
        <v>46127</v>
      </c>
      <c r="E126" s="12">
        <v>1595089</v>
      </c>
      <c r="F126" s="12" t="s">
        <v>13</v>
      </c>
      <c r="G126" s="13">
        <v>20393841</v>
      </c>
      <c r="H126" s="12" t="s">
        <v>69</v>
      </c>
      <c r="I126" s="13">
        <v>1</v>
      </c>
      <c r="J126" s="14">
        <v>8</v>
      </c>
      <c r="K126" s="14">
        <f t="shared" si="1"/>
        <v>8</v>
      </c>
    </row>
    <row r="127" spans="4:11">
      <c r="D127" s="11">
        <v>46127</v>
      </c>
      <c r="E127" s="12">
        <v>1595089</v>
      </c>
      <c r="F127" s="12" t="s">
        <v>13</v>
      </c>
      <c r="G127" s="13">
        <v>20398217</v>
      </c>
      <c r="H127" s="12" t="s">
        <v>71</v>
      </c>
      <c r="I127" s="13">
        <v>2</v>
      </c>
      <c r="J127" s="14">
        <v>8</v>
      </c>
      <c r="K127" s="14">
        <f t="shared" si="1"/>
        <v>16</v>
      </c>
    </row>
    <row r="128" spans="4:11">
      <c r="D128" s="11">
        <v>46127</v>
      </c>
      <c r="E128" s="12">
        <v>1595089</v>
      </c>
      <c r="F128" s="12" t="s">
        <v>37</v>
      </c>
      <c r="G128" s="13">
        <v>20393913</v>
      </c>
      <c r="H128" s="12" t="s">
        <v>86</v>
      </c>
      <c r="I128" s="13">
        <v>20</v>
      </c>
      <c r="J128" s="14">
        <v>2.5</v>
      </c>
      <c r="K128" s="14">
        <f t="shared" si="1"/>
        <v>50</v>
      </c>
    </row>
    <row r="129" spans="4:11">
      <c r="D129" s="11">
        <v>46129</v>
      </c>
      <c r="E129" s="12">
        <v>1595900</v>
      </c>
      <c r="F129" s="12" t="s">
        <v>13</v>
      </c>
      <c r="G129" s="13">
        <v>20393838</v>
      </c>
      <c r="H129" s="12" t="s">
        <v>52</v>
      </c>
      <c r="I129" s="13">
        <v>4</v>
      </c>
      <c r="J129" s="14">
        <v>8</v>
      </c>
      <c r="K129" s="14">
        <f t="shared" si="1"/>
        <v>32</v>
      </c>
    </row>
    <row r="130" spans="4:11">
      <c r="D130" s="11">
        <v>46129</v>
      </c>
      <c r="E130" s="12">
        <v>1595900</v>
      </c>
      <c r="F130" s="12" t="s">
        <v>13</v>
      </c>
      <c r="G130" s="13">
        <v>20393837</v>
      </c>
      <c r="H130" s="12" t="s">
        <v>53</v>
      </c>
      <c r="I130" s="13">
        <v>6</v>
      </c>
      <c r="J130" s="14">
        <v>8</v>
      </c>
      <c r="K130" s="14">
        <f t="shared" si="1"/>
        <v>48</v>
      </c>
    </row>
    <row r="131" spans="4:11">
      <c r="D131" s="11">
        <v>46129</v>
      </c>
      <c r="E131" s="12">
        <v>1595900</v>
      </c>
      <c r="F131" s="12" t="s">
        <v>13</v>
      </c>
      <c r="G131" s="13">
        <v>20394726</v>
      </c>
      <c r="H131" s="12" t="s">
        <v>54</v>
      </c>
      <c r="I131" s="13">
        <v>1</v>
      </c>
      <c r="J131" s="14">
        <v>11</v>
      </c>
      <c r="K131" s="14">
        <f t="shared" si="1"/>
        <v>11</v>
      </c>
    </row>
    <row r="132" spans="4:11">
      <c r="D132" s="11">
        <v>46129</v>
      </c>
      <c r="E132" s="12">
        <v>1595900</v>
      </c>
      <c r="F132" s="12" t="s">
        <v>13</v>
      </c>
      <c r="G132" s="13">
        <v>20403849</v>
      </c>
      <c r="H132" s="12" t="s">
        <v>55</v>
      </c>
      <c r="I132" s="13">
        <v>1</v>
      </c>
      <c r="J132" s="14">
        <v>8</v>
      </c>
      <c r="K132" s="14">
        <f t="shared" si="1"/>
        <v>8</v>
      </c>
    </row>
    <row r="133" spans="4:11">
      <c r="D133" s="11">
        <v>46129</v>
      </c>
      <c r="E133" s="12">
        <v>1595900</v>
      </c>
      <c r="F133" s="12" t="s">
        <v>13</v>
      </c>
      <c r="G133" s="13">
        <v>20394714</v>
      </c>
      <c r="H133" s="12" t="s">
        <v>56</v>
      </c>
      <c r="I133" s="13">
        <v>2</v>
      </c>
      <c r="J133" s="14">
        <v>8</v>
      </c>
      <c r="K133" s="14">
        <f t="shared" si="1"/>
        <v>16</v>
      </c>
    </row>
    <row r="134" spans="4:11">
      <c r="D134" s="11">
        <v>46129</v>
      </c>
      <c r="E134" s="12">
        <v>1595900</v>
      </c>
      <c r="F134" s="12" t="s">
        <v>13</v>
      </c>
      <c r="G134" s="13">
        <v>20394713</v>
      </c>
      <c r="H134" s="12" t="s">
        <v>80</v>
      </c>
      <c r="I134" s="13">
        <v>1</v>
      </c>
      <c r="J134" s="14">
        <v>8</v>
      </c>
      <c r="K134" s="14">
        <f t="shared" si="1"/>
        <v>8</v>
      </c>
    </row>
    <row r="135" spans="4:11">
      <c r="D135" s="11">
        <v>46129</v>
      </c>
      <c r="E135" s="12">
        <v>1595900</v>
      </c>
      <c r="F135" s="12" t="s">
        <v>13</v>
      </c>
      <c r="G135" s="13">
        <v>20394727</v>
      </c>
      <c r="H135" s="12" t="s">
        <v>58</v>
      </c>
      <c r="I135" s="13">
        <v>3</v>
      </c>
      <c r="J135" s="14">
        <v>8</v>
      </c>
      <c r="K135" s="14">
        <f t="shared" si="1"/>
        <v>24</v>
      </c>
    </row>
    <row r="136" spans="4:11">
      <c r="D136" s="11">
        <v>46129</v>
      </c>
      <c r="E136" s="12">
        <v>1595900</v>
      </c>
      <c r="F136" s="12" t="s">
        <v>13</v>
      </c>
      <c r="G136" s="13">
        <v>20393716</v>
      </c>
      <c r="H136" s="12" t="s">
        <v>85</v>
      </c>
      <c r="I136" s="13">
        <v>1</v>
      </c>
      <c r="J136" s="14">
        <v>8</v>
      </c>
      <c r="K136" s="14">
        <f t="shared" si="1"/>
        <v>8</v>
      </c>
    </row>
    <row r="137" spans="4:11">
      <c r="D137" s="11">
        <v>46129</v>
      </c>
      <c r="E137" s="12">
        <v>1595900</v>
      </c>
      <c r="F137" s="12" t="s">
        <v>13</v>
      </c>
      <c r="G137" s="13">
        <v>20394716</v>
      </c>
      <c r="H137" s="12" t="s">
        <v>59</v>
      </c>
      <c r="I137" s="13">
        <v>5</v>
      </c>
      <c r="J137" s="14">
        <v>8</v>
      </c>
      <c r="K137" s="14">
        <f t="shared" si="1"/>
        <v>40</v>
      </c>
    </row>
    <row r="138" spans="4:11">
      <c r="D138" s="11">
        <v>46129</v>
      </c>
      <c r="E138" s="12">
        <v>1595900</v>
      </c>
      <c r="F138" s="12" t="s">
        <v>13</v>
      </c>
      <c r="G138" s="13">
        <v>20395260</v>
      </c>
      <c r="H138" s="12" t="s">
        <v>61</v>
      </c>
      <c r="I138" s="13">
        <v>3</v>
      </c>
      <c r="J138" s="14">
        <v>8</v>
      </c>
      <c r="K138" s="14">
        <f t="shared" ref="K138:K201" si="2">J138*I138</f>
        <v>24</v>
      </c>
    </row>
    <row r="139" spans="4:11">
      <c r="D139" s="11">
        <v>46129</v>
      </c>
      <c r="E139" s="12">
        <v>1595900</v>
      </c>
      <c r="F139" s="12" t="s">
        <v>13</v>
      </c>
      <c r="G139" s="13">
        <v>20394715</v>
      </c>
      <c r="H139" s="12" t="s">
        <v>64</v>
      </c>
      <c r="I139" s="13">
        <v>6</v>
      </c>
      <c r="J139" s="14">
        <v>8</v>
      </c>
      <c r="K139" s="14">
        <f t="shared" si="2"/>
        <v>48</v>
      </c>
    </row>
    <row r="140" spans="4:11">
      <c r="D140" s="11">
        <v>46129</v>
      </c>
      <c r="E140" s="12">
        <v>1595900</v>
      </c>
      <c r="F140" s="12" t="s">
        <v>13</v>
      </c>
      <c r="G140" s="13">
        <v>20393842</v>
      </c>
      <c r="H140" s="12" t="s">
        <v>67</v>
      </c>
      <c r="I140" s="13">
        <v>3</v>
      </c>
      <c r="J140" s="14">
        <v>8</v>
      </c>
      <c r="K140" s="14">
        <f t="shared" si="2"/>
        <v>24</v>
      </c>
    </row>
    <row r="141" spans="4:11">
      <c r="D141" s="11">
        <v>46129</v>
      </c>
      <c r="E141" s="12">
        <v>1595900</v>
      </c>
      <c r="F141" s="12" t="s">
        <v>13</v>
      </c>
      <c r="G141" s="13">
        <v>20392737</v>
      </c>
      <c r="H141" s="12" t="s">
        <v>68</v>
      </c>
      <c r="I141" s="13">
        <v>9</v>
      </c>
      <c r="J141" s="14">
        <v>8</v>
      </c>
      <c r="K141" s="14">
        <f t="shared" si="2"/>
        <v>72</v>
      </c>
    </row>
    <row r="142" spans="4:11">
      <c r="D142" s="11">
        <v>46129</v>
      </c>
      <c r="E142" s="12">
        <v>1595900</v>
      </c>
      <c r="F142" s="12" t="s">
        <v>13</v>
      </c>
      <c r="G142" s="13">
        <v>20393900</v>
      </c>
      <c r="H142" s="12" t="s">
        <v>79</v>
      </c>
      <c r="I142" s="13">
        <v>1</v>
      </c>
      <c r="J142" s="14">
        <v>8</v>
      </c>
      <c r="K142" s="14">
        <f t="shared" si="2"/>
        <v>8</v>
      </c>
    </row>
    <row r="143" spans="4:11">
      <c r="D143" s="11">
        <v>46129</v>
      </c>
      <c r="E143" s="12">
        <v>1595900</v>
      </c>
      <c r="F143" s="12" t="s">
        <v>13</v>
      </c>
      <c r="G143" s="13">
        <v>20393841</v>
      </c>
      <c r="H143" s="12" t="s">
        <v>69</v>
      </c>
      <c r="I143" s="13">
        <v>2</v>
      </c>
      <c r="J143" s="14">
        <v>8</v>
      </c>
      <c r="K143" s="14">
        <f t="shared" si="2"/>
        <v>16</v>
      </c>
    </row>
    <row r="144" spans="4:11">
      <c r="D144" s="11">
        <v>46129</v>
      </c>
      <c r="E144" s="12">
        <v>1595900</v>
      </c>
      <c r="F144" s="12" t="s">
        <v>13</v>
      </c>
      <c r="G144" s="13">
        <v>20398217</v>
      </c>
      <c r="H144" s="12" t="s">
        <v>71</v>
      </c>
      <c r="I144" s="13">
        <v>2</v>
      </c>
      <c r="J144" s="14">
        <v>8</v>
      </c>
      <c r="K144" s="14">
        <f t="shared" si="2"/>
        <v>16</v>
      </c>
    </row>
    <row r="145" spans="4:11">
      <c r="D145" s="11">
        <v>46132</v>
      </c>
      <c r="E145" s="12">
        <v>1596449</v>
      </c>
      <c r="F145" s="12" t="s">
        <v>13</v>
      </c>
      <c r="G145" s="13">
        <v>20399387</v>
      </c>
      <c r="H145" s="12" t="s">
        <v>73</v>
      </c>
      <c r="I145" s="13">
        <v>1</v>
      </c>
      <c r="J145" s="14">
        <v>8</v>
      </c>
      <c r="K145" s="14">
        <f t="shared" si="2"/>
        <v>8</v>
      </c>
    </row>
    <row r="146" spans="4:11">
      <c r="D146" s="11">
        <v>46132</v>
      </c>
      <c r="E146" s="12">
        <v>1596449</v>
      </c>
      <c r="F146" s="12" t="s">
        <v>13</v>
      </c>
      <c r="G146" s="13">
        <v>20399386</v>
      </c>
      <c r="H146" s="12" t="s">
        <v>51</v>
      </c>
      <c r="I146" s="13">
        <v>3</v>
      </c>
      <c r="J146" s="14">
        <v>8</v>
      </c>
      <c r="K146" s="14">
        <f t="shared" si="2"/>
        <v>24</v>
      </c>
    </row>
    <row r="147" spans="4:11">
      <c r="D147" s="11">
        <v>46132</v>
      </c>
      <c r="E147" s="12">
        <v>1596449</v>
      </c>
      <c r="F147" s="12" t="s">
        <v>13</v>
      </c>
      <c r="G147" s="13">
        <v>20393838</v>
      </c>
      <c r="H147" s="12" t="s">
        <v>52</v>
      </c>
      <c r="I147" s="13">
        <v>3</v>
      </c>
      <c r="J147" s="14">
        <v>8</v>
      </c>
      <c r="K147" s="14">
        <f t="shared" si="2"/>
        <v>24</v>
      </c>
    </row>
    <row r="148" spans="4:11">
      <c r="D148" s="11">
        <v>46132</v>
      </c>
      <c r="E148" s="12">
        <v>1596449</v>
      </c>
      <c r="F148" s="12" t="s">
        <v>13</v>
      </c>
      <c r="G148" s="13">
        <v>20393837</v>
      </c>
      <c r="H148" s="12" t="s">
        <v>53</v>
      </c>
      <c r="I148" s="13">
        <v>6</v>
      </c>
      <c r="J148" s="14">
        <v>8</v>
      </c>
      <c r="K148" s="14">
        <f t="shared" si="2"/>
        <v>48</v>
      </c>
    </row>
    <row r="149" spans="4:11">
      <c r="D149" s="11">
        <v>46132</v>
      </c>
      <c r="E149" s="12">
        <v>1596449</v>
      </c>
      <c r="F149" s="12" t="s">
        <v>13</v>
      </c>
      <c r="G149" s="13">
        <v>20403849</v>
      </c>
      <c r="H149" s="12" t="s">
        <v>55</v>
      </c>
      <c r="I149" s="13">
        <v>1</v>
      </c>
      <c r="J149" s="14">
        <v>8</v>
      </c>
      <c r="K149" s="14">
        <f t="shared" si="2"/>
        <v>8</v>
      </c>
    </row>
    <row r="150" spans="4:11">
      <c r="D150" s="11">
        <v>46132</v>
      </c>
      <c r="E150" s="12">
        <v>1596449</v>
      </c>
      <c r="F150" s="12" t="s">
        <v>13</v>
      </c>
      <c r="G150" s="13">
        <v>20394714</v>
      </c>
      <c r="H150" s="12" t="s">
        <v>56</v>
      </c>
      <c r="I150" s="13">
        <v>3</v>
      </c>
      <c r="J150" s="14">
        <v>8</v>
      </c>
      <c r="K150" s="14">
        <f t="shared" si="2"/>
        <v>24</v>
      </c>
    </row>
    <row r="151" spans="4:11">
      <c r="D151" s="11">
        <v>46132</v>
      </c>
      <c r="E151" s="12">
        <v>1596449</v>
      </c>
      <c r="F151" s="12" t="s">
        <v>13</v>
      </c>
      <c r="G151" s="13">
        <v>20393883</v>
      </c>
      <c r="H151" s="12" t="s">
        <v>78</v>
      </c>
      <c r="I151" s="13">
        <v>2</v>
      </c>
      <c r="J151" s="14">
        <v>8</v>
      </c>
      <c r="K151" s="14">
        <f t="shared" si="2"/>
        <v>16</v>
      </c>
    </row>
    <row r="152" spans="4:11">
      <c r="D152" s="11">
        <v>46132</v>
      </c>
      <c r="E152" s="12">
        <v>1596449</v>
      </c>
      <c r="F152" s="12" t="s">
        <v>13</v>
      </c>
      <c r="G152" s="13">
        <v>20393847</v>
      </c>
      <c r="H152" s="12" t="s">
        <v>57</v>
      </c>
      <c r="I152" s="13">
        <v>4</v>
      </c>
      <c r="J152" s="14">
        <v>8</v>
      </c>
      <c r="K152" s="14">
        <f t="shared" si="2"/>
        <v>32</v>
      </c>
    </row>
    <row r="153" spans="4:11">
      <c r="D153" s="11">
        <v>46132</v>
      </c>
      <c r="E153" s="12">
        <v>1596449</v>
      </c>
      <c r="F153" s="12" t="s">
        <v>13</v>
      </c>
      <c r="G153" s="13">
        <v>20394727</v>
      </c>
      <c r="H153" s="12" t="s">
        <v>58</v>
      </c>
      <c r="I153" s="13">
        <v>7</v>
      </c>
      <c r="J153" s="14">
        <v>8</v>
      </c>
      <c r="K153" s="14">
        <f t="shared" si="2"/>
        <v>56</v>
      </c>
    </row>
    <row r="154" spans="4:11">
      <c r="D154" s="11">
        <v>46132</v>
      </c>
      <c r="E154" s="12">
        <v>1596449</v>
      </c>
      <c r="F154" s="12" t="s">
        <v>13</v>
      </c>
      <c r="G154" s="13">
        <v>20393716</v>
      </c>
      <c r="H154" s="12" t="s">
        <v>85</v>
      </c>
      <c r="I154" s="13">
        <v>1</v>
      </c>
      <c r="J154" s="14">
        <v>8</v>
      </c>
      <c r="K154" s="14">
        <f t="shared" si="2"/>
        <v>8</v>
      </c>
    </row>
    <row r="155" spans="4:11">
      <c r="D155" s="11">
        <v>46132</v>
      </c>
      <c r="E155" s="12">
        <v>1596449</v>
      </c>
      <c r="F155" s="12" t="s">
        <v>13</v>
      </c>
      <c r="G155" s="13">
        <v>20394716</v>
      </c>
      <c r="H155" s="12" t="s">
        <v>59</v>
      </c>
      <c r="I155" s="13">
        <v>8</v>
      </c>
      <c r="J155" s="14">
        <v>8</v>
      </c>
      <c r="K155" s="14">
        <f t="shared" si="2"/>
        <v>64</v>
      </c>
    </row>
    <row r="156" spans="4:11">
      <c r="D156" s="11">
        <v>46132</v>
      </c>
      <c r="E156" s="12">
        <v>1596449</v>
      </c>
      <c r="F156" s="12" t="s">
        <v>13</v>
      </c>
      <c r="G156" s="13">
        <v>20395260</v>
      </c>
      <c r="H156" s="12" t="s">
        <v>61</v>
      </c>
      <c r="I156" s="13">
        <v>1</v>
      </c>
      <c r="J156" s="14">
        <v>8</v>
      </c>
      <c r="K156" s="14">
        <f t="shared" si="2"/>
        <v>8</v>
      </c>
    </row>
    <row r="157" spans="4:11">
      <c r="D157" s="11">
        <v>46132</v>
      </c>
      <c r="E157" s="12">
        <v>1596449</v>
      </c>
      <c r="F157" s="12" t="s">
        <v>13</v>
      </c>
      <c r="G157" s="13">
        <v>20395259</v>
      </c>
      <c r="H157" s="12" t="s">
        <v>62</v>
      </c>
      <c r="I157" s="13">
        <v>2</v>
      </c>
      <c r="J157" s="14">
        <v>13.5</v>
      </c>
      <c r="K157" s="14">
        <f t="shared" si="2"/>
        <v>27</v>
      </c>
    </row>
    <row r="158" spans="4:11">
      <c r="D158" s="11">
        <v>46132</v>
      </c>
      <c r="E158" s="12">
        <v>1596449</v>
      </c>
      <c r="F158" s="12" t="s">
        <v>13</v>
      </c>
      <c r="G158" s="13">
        <v>20393846</v>
      </c>
      <c r="H158" s="12" t="s">
        <v>63</v>
      </c>
      <c r="I158" s="13">
        <v>2</v>
      </c>
      <c r="J158" s="14">
        <v>8</v>
      </c>
      <c r="K158" s="14">
        <f t="shared" si="2"/>
        <v>16</v>
      </c>
    </row>
    <row r="159" spans="4:11">
      <c r="D159" s="11">
        <v>46132</v>
      </c>
      <c r="E159" s="12">
        <v>1596449</v>
      </c>
      <c r="F159" s="12" t="s">
        <v>13</v>
      </c>
      <c r="G159" s="13">
        <v>20394715</v>
      </c>
      <c r="H159" s="12" t="s">
        <v>64</v>
      </c>
      <c r="I159" s="13">
        <v>5</v>
      </c>
      <c r="J159" s="14">
        <v>8</v>
      </c>
      <c r="K159" s="14">
        <f t="shared" si="2"/>
        <v>40</v>
      </c>
    </row>
    <row r="160" spans="4:11">
      <c r="D160" s="11">
        <v>46132</v>
      </c>
      <c r="E160" s="12">
        <v>1596449</v>
      </c>
      <c r="F160" s="12" t="s">
        <v>13</v>
      </c>
      <c r="G160" s="13">
        <v>20393842</v>
      </c>
      <c r="H160" s="12" t="s">
        <v>67</v>
      </c>
      <c r="I160" s="13">
        <v>2</v>
      </c>
      <c r="J160" s="14">
        <v>8</v>
      </c>
      <c r="K160" s="14">
        <f t="shared" si="2"/>
        <v>16</v>
      </c>
    </row>
    <row r="161" spans="4:11">
      <c r="D161" s="11">
        <v>46132</v>
      </c>
      <c r="E161" s="12">
        <v>1596449</v>
      </c>
      <c r="F161" s="12" t="s">
        <v>13</v>
      </c>
      <c r="G161" s="13">
        <v>20392737</v>
      </c>
      <c r="H161" s="12" t="s">
        <v>68</v>
      </c>
      <c r="I161" s="13">
        <v>16</v>
      </c>
      <c r="J161" s="14">
        <v>8</v>
      </c>
      <c r="K161" s="14">
        <f t="shared" si="2"/>
        <v>128</v>
      </c>
    </row>
    <row r="162" spans="4:11">
      <c r="D162" s="11">
        <v>46132</v>
      </c>
      <c r="E162" s="12">
        <v>1596449</v>
      </c>
      <c r="F162" s="12" t="s">
        <v>13</v>
      </c>
      <c r="G162" s="13">
        <v>20393841</v>
      </c>
      <c r="H162" s="12" t="s">
        <v>69</v>
      </c>
      <c r="I162" s="13">
        <v>3</v>
      </c>
      <c r="J162" s="14">
        <v>8</v>
      </c>
      <c r="K162" s="14">
        <f t="shared" si="2"/>
        <v>24</v>
      </c>
    </row>
    <row r="163" spans="4:11">
      <c r="D163" s="11">
        <v>46132</v>
      </c>
      <c r="E163" s="12">
        <v>1596449</v>
      </c>
      <c r="F163" s="12" t="s">
        <v>13</v>
      </c>
      <c r="G163" s="13">
        <v>20393717</v>
      </c>
      <c r="H163" s="12" t="s">
        <v>70</v>
      </c>
      <c r="I163" s="13">
        <v>1</v>
      </c>
      <c r="J163" s="14">
        <v>8</v>
      </c>
      <c r="K163" s="14">
        <f t="shared" si="2"/>
        <v>8</v>
      </c>
    </row>
    <row r="164" spans="4:11">
      <c r="D164" s="11">
        <v>46132</v>
      </c>
      <c r="E164" s="12">
        <v>1596449</v>
      </c>
      <c r="F164" s="12" t="s">
        <v>13</v>
      </c>
      <c r="G164" s="13">
        <v>20398217</v>
      </c>
      <c r="H164" s="12" t="s">
        <v>71</v>
      </c>
      <c r="I164" s="13">
        <v>3</v>
      </c>
      <c r="J164" s="14">
        <v>8</v>
      </c>
      <c r="K164" s="14">
        <f t="shared" si="2"/>
        <v>24</v>
      </c>
    </row>
    <row r="165" spans="4:11">
      <c r="D165" s="11">
        <v>46134</v>
      </c>
      <c r="E165" s="12">
        <v>1597214</v>
      </c>
      <c r="F165" s="12" t="s">
        <v>13</v>
      </c>
      <c r="G165" s="13">
        <v>20393838</v>
      </c>
      <c r="H165" s="12" t="s">
        <v>52</v>
      </c>
      <c r="I165" s="13">
        <v>1</v>
      </c>
      <c r="J165" s="14">
        <v>8</v>
      </c>
      <c r="K165" s="14">
        <f t="shared" si="2"/>
        <v>8</v>
      </c>
    </row>
    <row r="166" spans="4:11">
      <c r="D166" s="11">
        <v>46134</v>
      </c>
      <c r="E166" s="12">
        <v>1597214</v>
      </c>
      <c r="F166" s="12" t="s">
        <v>13</v>
      </c>
      <c r="G166" s="13">
        <v>20393837</v>
      </c>
      <c r="H166" s="12" t="s">
        <v>53</v>
      </c>
      <c r="I166" s="13">
        <v>3</v>
      </c>
      <c r="J166" s="14">
        <v>8</v>
      </c>
      <c r="K166" s="14">
        <f t="shared" si="2"/>
        <v>24</v>
      </c>
    </row>
    <row r="167" spans="4:11">
      <c r="D167" s="11">
        <v>46134</v>
      </c>
      <c r="E167" s="12">
        <v>1597214</v>
      </c>
      <c r="F167" s="12" t="s">
        <v>13</v>
      </c>
      <c r="G167" s="13">
        <v>20403849</v>
      </c>
      <c r="H167" s="12" t="s">
        <v>55</v>
      </c>
      <c r="I167" s="13">
        <v>2</v>
      </c>
      <c r="J167" s="14">
        <v>8</v>
      </c>
      <c r="K167" s="14">
        <f t="shared" si="2"/>
        <v>16</v>
      </c>
    </row>
    <row r="168" spans="4:11">
      <c r="D168" s="11">
        <v>46134</v>
      </c>
      <c r="E168" s="12">
        <v>1597214</v>
      </c>
      <c r="F168" s="12" t="s">
        <v>13</v>
      </c>
      <c r="G168" s="13">
        <v>20394714</v>
      </c>
      <c r="H168" s="12" t="s">
        <v>56</v>
      </c>
      <c r="I168" s="13">
        <v>1</v>
      </c>
      <c r="J168" s="14">
        <v>8</v>
      </c>
      <c r="K168" s="14">
        <f t="shared" si="2"/>
        <v>8</v>
      </c>
    </row>
    <row r="169" spans="4:11">
      <c r="D169" s="11">
        <v>46134</v>
      </c>
      <c r="E169" s="12">
        <v>1597214</v>
      </c>
      <c r="F169" s="12" t="s">
        <v>13</v>
      </c>
      <c r="G169" s="13">
        <v>20393847</v>
      </c>
      <c r="H169" s="12" t="s">
        <v>57</v>
      </c>
      <c r="I169" s="13">
        <v>1</v>
      </c>
      <c r="J169" s="14">
        <v>8</v>
      </c>
      <c r="K169" s="14">
        <f t="shared" si="2"/>
        <v>8</v>
      </c>
    </row>
    <row r="170" spans="4:11">
      <c r="D170" s="11">
        <v>46134</v>
      </c>
      <c r="E170" s="12">
        <v>1597214</v>
      </c>
      <c r="F170" s="12" t="s">
        <v>13</v>
      </c>
      <c r="G170" s="13">
        <v>20394727</v>
      </c>
      <c r="H170" s="12" t="s">
        <v>58</v>
      </c>
      <c r="I170" s="13">
        <v>3</v>
      </c>
      <c r="J170" s="14">
        <v>8</v>
      </c>
      <c r="K170" s="14">
        <f t="shared" si="2"/>
        <v>24</v>
      </c>
    </row>
    <row r="171" spans="4:11">
      <c r="D171" s="11">
        <v>46134</v>
      </c>
      <c r="E171" s="12">
        <v>1597214</v>
      </c>
      <c r="F171" s="12" t="s">
        <v>13</v>
      </c>
      <c r="G171" s="13">
        <v>20394716</v>
      </c>
      <c r="H171" s="12" t="s">
        <v>59</v>
      </c>
      <c r="I171" s="13">
        <v>5</v>
      </c>
      <c r="J171" s="14">
        <v>8</v>
      </c>
      <c r="K171" s="14">
        <f t="shared" si="2"/>
        <v>40</v>
      </c>
    </row>
    <row r="172" spans="4:11">
      <c r="D172" s="11">
        <v>46134</v>
      </c>
      <c r="E172" s="12">
        <v>1597214</v>
      </c>
      <c r="F172" s="12" t="s">
        <v>13</v>
      </c>
      <c r="G172" s="13">
        <v>20394715</v>
      </c>
      <c r="H172" s="12" t="s">
        <v>64</v>
      </c>
      <c r="I172" s="13">
        <v>4</v>
      </c>
      <c r="J172" s="14">
        <v>8</v>
      </c>
      <c r="K172" s="14">
        <f t="shared" si="2"/>
        <v>32</v>
      </c>
    </row>
    <row r="173" spans="4:11">
      <c r="D173" s="11">
        <v>46134</v>
      </c>
      <c r="E173" s="12">
        <v>1597214</v>
      </c>
      <c r="F173" s="12" t="s">
        <v>13</v>
      </c>
      <c r="G173" s="13">
        <v>20395590</v>
      </c>
      <c r="H173" s="12" t="s">
        <v>83</v>
      </c>
      <c r="I173" s="13">
        <v>1</v>
      </c>
      <c r="J173" s="14">
        <v>8</v>
      </c>
      <c r="K173" s="14">
        <f t="shared" si="2"/>
        <v>8</v>
      </c>
    </row>
    <row r="174" spans="4:11">
      <c r="D174" s="11">
        <v>46134</v>
      </c>
      <c r="E174" s="12">
        <v>1597214</v>
      </c>
      <c r="F174" s="12" t="s">
        <v>13</v>
      </c>
      <c r="G174" s="13">
        <v>20393842</v>
      </c>
      <c r="H174" s="12" t="s">
        <v>67</v>
      </c>
      <c r="I174" s="13">
        <v>4</v>
      </c>
      <c r="J174" s="14">
        <v>8</v>
      </c>
      <c r="K174" s="14">
        <f t="shared" si="2"/>
        <v>32</v>
      </c>
    </row>
    <row r="175" spans="4:11">
      <c r="D175" s="11">
        <v>46134</v>
      </c>
      <c r="E175" s="12">
        <v>1597214</v>
      </c>
      <c r="F175" s="12" t="s">
        <v>13</v>
      </c>
      <c r="G175" s="13">
        <v>20392737</v>
      </c>
      <c r="H175" s="12" t="s">
        <v>68</v>
      </c>
      <c r="I175" s="13">
        <v>13</v>
      </c>
      <c r="J175" s="14">
        <v>8</v>
      </c>
      <c r="K175" s="14">
        <f t="shared" si="2"/>
        <v>104</v>
      </c>
    </row>
    <row r="176" spans="4:11">
      <c r="D176" s="11">
        <v>46134</v>
      </c>
      <c r="E176" s="12">
        <v>1597214</v>
      </c>
      <c r="F176" s="12" t="s">
        <v>13</v>
      </c>
      <c r="G176" s="13">
        <v>20393841</v>
      </c>
      <c r="H176" s="12" t="s">
        <v>69</v>
      </c>
      <c r="I176" s="13">
        <v>3</v>
      </c>
      <c r="J176" s="14">
        <v>8</v>
      </c>
      <c r="K176" s="14">
        <f t="shared" si="2"/>
        <v>24</v>
      </c>
    </row>
    <row r="177" spans="4:11">
      <c r="D177" s="11">
        <v>46134</v>
      </c>
      <c r="E177" s="12">
        <v>1597214</v>
      </c>
      <c r="F177" s="12" t="s">
        <v>13</v>
      </c>
      <c r="G177" s="13">
        <v>20398217</v>
      </c>
      <c r="H177" s="12" t="s">
        <v>71</v>
      </c>
      <c r="I177" s="13">
        <v>1</v>
      </c>
      <c r="J177" s="14">
        <v>8</v>
      </c>
      <c r="K177" s="14">
        <f t="shared" si="2"/>
        <v>8</v>
      </c>
    </row>
    <row r="178" spans="4:11">
      <c r="D178" s="11">
        <v>46136</v>
      </c>
      <c r="E178" s="12">
        <v>1597916</v>
      </c>
      <c r="F178" s="12" t="s">
        <v>13</v>
      </c>
      <c r="G178" s="13">
        <v>20393838</v>
      </c>
      <c r="H178" s="12" t="s">
        <v>52</v>
      </c>
      <c r="I178" s="13">
        <v>1</v>
      </c>
      <c r="J178" s="14">
        <v>8</v>
      </c>
      <c r="K178" s="14">
        <f t="shared" si="2"/>
        <v>8</v>
      </c>
    </row>
    <row r="179" spans="4:11">
      <c r="D179" s="11">
        <v>46136</v>
      </c>
      <c r="E179" s="12">
        <v>1597916</v>
      </c>
      <c r="F179" s="12" t="s">
        <v>13</v>
      </c>
      <c r="G179" s="13">
        <v>20393837</v>
      </c>
      <c r="H179" s="12" t="s">
        <v>53</v>
      </c>
      <c r="I179" s="13">
        <v>5</v>
      </c>
      <c r="J179" s="14">
        <v>8</v>
      </c>
      <c r="K179" s="14">
        <f t="shared" si="2"/>
        <v>40</v>
      </c>
    </row>
    <row r="180" spans="4:11">
      <c r="D180" s="11">
        <v>46136</v>
      </c>
      <c r="E180" s="12">
        <v>1597916</v>
      </c>
      <c r="F180" s="12" t="s">
        <v>13</v>
      </c>
      <c r="G180" s="13">
        <v>20403849</v>
      </c>
      <c r="H180" s="12" t="s">
        <v>55</v>
      </c>
      <c r="I180" s="13">
        <v>1</v>
      </c>
      <c r="J180" s="14">
        <v>8</v>
      </c>
      <c r="K180" s="14">
        <f t="shared" si="2"/>
        <v>8</v>
      </c>
    </row>
    <row r="181" spans="4:11">
      <c r="D181" s="11">
        <v>46136</v>
      </c>
      <c r="E181" s="12">
        <v>1597916</v>
      </c>
      <c r="F181" s="12" t="s">
        <v>13</v>
      </c>
      <c r="G181" s="13">
        <v>20394714</v>
      </c>
      <c r="H181" s="12" t="s">
        <v>56</v>
      </c>
      <c r="I181" s="13">
        <v>4</v>
      </c>
      <c r="J181" s="14">
        <v>8</v>
      </c>
      <c r="K181" s="14">
        <f t="shared" si="2"/>
        <v>32</v>
      </c>
    </row>
    <row r="182" spans="4:11">
      <c r="D182" s="11">
        <v>46136</v>
      </c>
      <c r="E182" s="12">
        <v>1597916</v>
      </c>
      <c r="F182" s="12" t="s">
        <v>13</v>
      </c>
      <c r="G182" s="13">
        <v>20393883</v>
      </c>
      <c r="H182" s="12" t="s">
        <v>78</v>
      </c>
      <c r="I182" s="13">
        <v>2</v>
      </c>
      <c r="J182" s="14">
        <v>8</v>
      </c>
      <c r="K182" s="14">
        <f t="shared" si="2"/>
        <v>16</v>
      </c>
    </row>
    <row r="183" spans="4:11">
      <c r="D183" s="11">
        <v>46136</v>
      </c>
      <c r="E183" s="12">
        <v>1597916</v>
      </c>
      <c r="F183" s="12" t="s">
        <v>13</v>
      </c>
      <c r="G183" s="13">
        <v>20393847</v>
      </c>
      <c r="H183" s="12" t="s">
        <v>57</v>
      </c>
      <c r="I183" s="13">
        <v>1</v>
      </c>
      <c r="J183" s="14">
        <v>8</v>
      </c>
      <c r="K183" s="14">
        <f t="shared" si="2"/>
        <v>8</v>
      </c>
    </row>
    <row r="184" spans="4:11">
      <c r="D184" s="11">
        <v>46136</v>
      </c>
      <c r="E184" s="12">
        <v>1597916</v>
      </c>
      <c r="F184" s="12" t="s">
        <v>13</v>
      </c>
      <c r="G184" s="13">
        <v>20394727</v>
      </c>
      <c r="H184" s="12" t="s">
        <v>58</v>
      </c>
      <c r="I184" s="13">
        <v>7</v>
      </c>
      <c r="J184" s="14">
        <v>8</v>
      </c>
      <c r="K184" s="14">
        <f t="shared" si="2"/>
        <v>56</v>
      </c>
    </row>
    <row r="185" spans="4:11">
      <c r="D185" s="11">
        <v>46136</v>
      </c>
      <c r="E185" s="12">
        <v>1597916</v>
      </c>
      <c r="F185" s="12" t="s">
        <v>13</v>
      </c>
      <c r="G185" s="13">
        <v>20394716</v>
      </c>
      <c r="H185" s="12" t="s">
        <v>59</v>
      </c>
      <c r="I185" s="13">
        <v>8</v>
      </c>
      <c r="J185" s="14">
        <v>8</v>
      </c>
      <c r="K185" s="14">
        <f t="shared" si="2"/>
        <v>64</v>
      </c>
    </row>
    <row r="186" spans="4:11">
      <c r="D186" s="11">
        <v>46136</v>
      </c>
      <c r="E186" s="12">
        <v>1597916</v>
      </c>
      <c r="F186" s="12" t="s">
        <v>13</v>
      </c>
      <c r="G186" s="13">
        <v>20395260</v>
      </c>
      <c r="H186" s="12" t="s">
        <v>61</v>
      </c>
      <c r="I186" s="13">
        <v>4</v>
      </c>
      <c r="J186" s="14">
        <v>8</v>
      </c>
      <c r="K186" s="14">
        <f t="shared" si="2"/>
        <v>32</v>
      </c>
    </row>
    <row r="187" spans="4:11">
      <c r="D187" s="11">
        <v>46136</v>
      </c>
      <c r="E187" s="12">
        <v>1597916</v>
      </c>
      <c r="F187" s="12" t="s">
        <v>13</v>
      </c>
      <c r="G187" s="13">
        <v>20394715</v>
      </c>
      <c r="H187" s="12" t="s">
        <v>64</v>
      </c>
      <c r="I187" s="13">
        <v>8</v>
      </c>
      <c r="J187" s="14">
        <v>8</v>
      </c>
      <c r="K187" s="14">
        <f t="shared" si="2"/>
        <v>64</v>
      </c>
    </row>
    <row r="188" spans="4:11">
      <c r="D188" s="11">
        <v>46136</v>
      </c>
      <c r="E188" s="12">
        <v>1597916</v>
      </c>
      <c r="F188" s="12" t="s">
        <v>13</v>
      </c>
      <c r="G188" s="13">
        <v>20396103</v>
      </c>
      <c r="H188" s="12" t="s">
        <v>88</v>
      </c>
      <c r="I188" s="13">
        <v>1</v>
      </c>
      <c r="J188" s="14">
        <v>8</v>
      </c>
      <c r="K188" s="14">
        <f t="shared" si="2"/>
        <v>8</v>
      </c>
    </row>
    <row r="189" spans="4:11">
      <c r="D189" s="11">
        <v>46136</v>
      </c>
      <c r="E189" s="12">
        <v>1597916</v>
      </c>
      <c r="F189" s="12" t="s">
        <v>13</v>
      </c>
      <c r="G189" s="13">
        <v>20393848</v>
      </c>
      <c r="H189" s="12" t="s">
        <v>65</v>
      </c>
      <c r="I189" s="13">
        <v>1</v>
      </c>
      <c r="J189" s="14">
        <v>8</v>
      </c>
      <c r="K189" s="14">
        <f t="shared" si="2"/>
        <v>8</v>
      </c>
    </row>
    <row r="190" spans="4:11">
      <c r="D190" s="11">
        <v>46136</v>
      </c>
      <c r="E190" s="12">
        <v>1597916</v>
      </c>
      <c r="F190" s="12" t="s">
        <v>13</v>
      </c>
      <c r="G190" s="13">
        <v>20395590</v>
      </c>
      <c r="H190" s="12" t="s">
        <v>83</v>
      </c>
      <c r="I190" s="13">
        <v>1</v>
      </c>
      <c r="J190" s="14">
        <v>8</v>
      </c>
      <c r="K190" s="14">
        <f t="shared" si="2"/>
        <v>8</v>
      </c>
    </row>
    <row r="191" spans="4:11">
      <c r="D191" s="11">
        <v>46136</v>
      </c>
      <c r="E191" s="12">
        <v>1597916</v>
      </c>
      <c r="F191" s="12" t="s">
        <v>13</v>
      </c>
      <c r="G191" s="13">
        <v>20393842</v>
      </c>
      <c r="H191" s="12" t="s">
        <v>67</v>
      </c>
      <c r="I191" s="13">
        <v>5</v>
      </c>
      <c r="J191" s="14">
        <v>8</v>
      </c>
      <c r="K191" s="14">
        <f t="shared" si="2"/>
        <v>40</v>
      </c>
    </row>
    <row r="192" spans="4:11">
      <c r="D192" s="11">
        <v>46136</v>
      </c>
      <c r="E192" s="12">
        <v>1597916</v>
      </c>
      <c r="F192" s="12" t="s">
        <v>13</v>
      </c>
      <c r="G192" s="13">
        <v>20393900</v>
      </c>
      <c r="H192" s="12" t="s">
        <v>79</v>
      </c>
      <c r="I192" s="13">
        <v>2</v>
      </c>
      <c r="J192" s="14">
        <v>8</v>
      </c>
      <c r="K192" s="14">
        <f t="shared" si="2"/>
        <v>16</v>
      </c>
    </row>
    <row r="193" spans="4:11">
      <c r="D193" s="11">
        <v>46136</v>
      </c>
      <c r="E193" s="12">
        <v>1597916</v>
      </c>
      <c r="F193" s="12" t="s">
        <v>13</v>
      </c>
      <c r="G193" s="13">
        <v>20393841</v>
      </c>
      <c r="H193" s="12" t="s">
        <v>69</v>
      </c>
      <c r="I193" s="13">
        <v>2</v>
      </c>
      <c r="J193" s="14">
        <v>8</v>
      </c>
      <c r="K193" s="14">
        <f t="shared" si="2"/>
        <v>16</v>
      </c>
    </row>
    <row r="194" spans="4:11">
      <c r="D194" s="11">
        <v>46136</v>
      </c>
      <c r="E194" s="12">
        <v>1597916</v>
      </c>
      <c r="F194" s="12" t="s">
        <v>13</v>
      </c>
      <c r="G194" s="13">
        <v>20393717</v>
      </c>
      <c r="H194" s="12" t="s">
        <v>70</v>
      </c>
      <c r="I194" s="13">
        <v>1</v>
      </c>
      <c r="J194" s="14">
        <v>8</v>
      </c>
      <c r="K194" s="14">
        <f t="shared" si="2"/>
        <v>8</v>
      </c>
    </row>
    <row r="195" spans="4:11">
      <c r="D195" s="11">
        <v>46136</v>
      </c>
      <c r="E195" s="12">
        <v>1597916</v>
      </c>
      <c r="F195" s="12" t="s">
        <v>13</v>
      </c>
      <c r="G195" s="13">
        <v>20398217</v>
      </c>
      <c r="H195" s="12" t="s">
        <v>71</v>
      </c>
      <c r="I195" s="13">
        <v>1</v>
      </c>
      <c r="J195" s="14">
        <v>8</v>
      </c>
      <c r="K195" s="14">
        <f t="shared" si="2"/>
        <v>8</v>
      </c>
    </row>
    <row r="196" spans="4:11">
      <c r="D196" s="11">
        <v>46136</v>
      </c>
      <c r="E196" s="12">
        <v>1597916</v>
      </c>
      <c r="F196" s="12" t="s">
        <v>37</v>
      </c>
      <c r="G196" s="13">
        <v>20393913</v>
      </c>
      <c r="H196" s="12" t="s">
        <v>86</v>
      </c>
      <c r="I196" s="13">
        <v>30</v>
      </c>
      <c r="J196" s="14">
        <v>2.5</v>
      </c>
      <c r="K196" s="14">
        <f t="shared" si="2"/>
        <v>75</v>
      </c>
    </row>
    <row r="197" spans="4:11">
      <c r="D197" s="11">
        <v>46136</v>
      </c>
      <c r="E197" s="12">
        <v>1597952</v>
      </c>
      <c r="F197" s="12" t="s">
        <v>13</v>
      </c>
      <c r="G197" s="13">
        <v>20392737</v>
      </c>
      <c r="H197" s="12" t="s">
        <v>68</v>
      </c>
      <c r="I197" s="13">
        <v>24</v>
      </c>
      <c r="J197" s="14">
        <v>8</v>
      </c>
      <c r="K197" s="14">
        <f t="shared" si="2"/>
        <v>192</v>
      </c>
    </row>
    <row r="198" spans="4:11">
      <c r="D198" s="11">
        <v>46139</v>
      </c>
      <c r="E198" s="12">
        <v>1598482</v>
      </c>
      <c r="F198" s="12" t="s">
        <v>13</v>
      </c>
      <c r="G198" s="13">
        <v>20393838</v>
      </c>
      <c r="H198" s="12" t="s">
        <v>52</v>
      </c>
      <c r="I198" s="13">
        <v>2</v>
      </c>
      <c r="J198" s="14">
        <v>8</v>
      </c>
      <c r="K198" s="14">
        <f t="shared" si="2"/>
        <v>16</v>
      </c>
    </row>
    <row r="199" spans="4:11">
      <c r="D199" s="11">
        <v>46139</v>
      </c>
      <c r="E199" s="12">
        <v>1598482</v>
      </c>
      <c r="F199" s="12" t="s">
        <v>13</v>
      </c>
      <c r="G199" s="13">
        <v>20393837</v>
      </c>
      <c r="H199" s="12" t="s">
        <v>53</v>
      </c>
      <c r="I199" s="13">
        <v>2</v>
      </c>
      <c r="J199" s="14">
        <v>8</v>
      </c>
      <c r="K199" s="14">
        <f t="shared" si="2"/>
        <v>16</v>
      </c>
    </row>
    <row r="200" spans="4:11">
      <c r="D200" s="11">
        <v>46139</v>
      </c>
      <c r="E200" s="12">
        <v>1598482</v>
      </c>
      <c r="F200" s="12" t="s">
        <v>13</v>
      </c>
      <c r="G200" s="13">
        <v>20403849</v>
      </c>
      <c r="H200" s="12" t="s">
        <v>55</v>
      </c>
      <c r="I200" s="13">
        <v>2</v>
      </c>
      <c r="J200" s="14">
        <v>8</v>
      </c>
      <c r="K200" s="14">
        <f t="shared" si="2"/>
        <v>16</v>
      </c>
    </row>
    <row r="201" spans="4:11">
      <c r="D201" s="11">
        <v>46139</v>
      </c>
      <c r="E201" s="12">
        <v>1598482</v>
      </c>
      <c r="F201" s="12" t="s">
        <v>13</v>
      </c>
      <c r="G201" s="13">
        <v>20394714</v>
      </c>
      <c r="H201" s="12" t="s">
        <v>56</v>
      </c>
      <c r="I201" s="13">
        <v>3</v>
      </c>
      <c r="J201" s="14">
        <v>8</v>
      </c>
      <c r="K201" s="14">
        <f t="shared" si="2"/>
        <v>24</v>
      </c>
    </row>
    <row r="202" spans="4:11">
      <c r="D202" s="11">
        <v>46139</v>
      </c>
      <c r="E202" s="12">
        <v>1598482</v>
      </c>
      <c r="F202" s="12" t="s">
        <v>13</v>
      </c>
      <c r="G202" s="13">
        <v>20393847</v>
      </c>
      <c r="H202" s="12" t="s">
        <v>57</v>
      </c>
      <c r="I202" s="13">
        <v>1</v>
      </c>
      <c r="J202" s="14">
        <v>8</v>
      </c>
      <c r="K202" s="14">
        <f t="shared" ref="K202:K234" si="3">J202*I202</f>
        <v>8</v>
      </c>
    </row>
    <row r="203" spans="4:11">
      <c r="D203" s="11">
        <v>46139</v>
      </c>
      <c r="E203" s="12">
        <v>1598482</v>
      </c>
      <c r="F203" s="12" t="s">
        <v>13</v>
      </c>
      <c r="G203" s="13">
        <v>20394727</v>
      </c>
      <c r="H203" s="12" t="s">
        <v>58</v>
      </c>
      <c r="I203" s="13">
        <v>5</v>
      </c>
      <c r="J203" s="14">
        <v>8</v>
      </c>
      <c r="K203" s="14">
        <f t="shared" si="3"/>
        <v>40</v>
      </c>
    </row>
    <row r="204" spans="4:11">
      <c r="D204" s="11">
        <v>46139</v>
      </c>
      <c r="E204" s="12">
        <v>1598482</v>
      </c>
      <c r="F204" s="12" t="s">
        <v>13</v>
      </c>
      <c r="G204" s="13">
        <v>20393716</v>
      </c>
      <c r="H204" s="12" t="s">
        <v>85</v>
      </c>
      <c r="I204" s="13">
        <v>1</v>
      </c>
      <c r="J204" s="14">
        <v>8</v>
      </c>
      <c r="K204" s="14">
        <f t="shared" si="3"/>
        <v>8</v>
      </c>
    </row>
    <row r="205" spans="4:11">
      <c r="D205" s="11">
        <v>46139</v>
      </c>
      <c r="E205" s="12">
        <v>1598482</v>
      </c>
      <c r="F205" s="12" t="s">
        <v>13</v>
      </c>
      <c r="G205" s="13">
        <v>20394716</v>
      </c>
      <c r="H205" s="12" t="s">
        <v>59</v>
      </c>
      <c r="I205" s="13">
        <v>8</v>
      </c>
      <c r="J205" s="14">
        <v>8</v>
      </c>
      <c r="K205" s="14">
        <f t="shared" si="3"/>
        <v>64</v>
      </c>
    </row>
    <row r="206" spans="4:11">
      <c r="D206" s="11">
        <v>46139</v>
      </c>
      <c r="E206" s="12">
        <v>1598482</v>
      </c>
      <c r="F206" s="12" t="s">
        <v>13</v>
      </c>
      <c r="G206" s="13">
        <v>20395260</v>
      </c>
      <c r="H206" s="12" t="s">
        <v>61</v>
      </c>
      <c r="I206" s="13">
        <v>1</v>
      </c>
      <c r="J206" s="14">
        <v>8</v>
      </c>
      <c r="K206" s="14">
        <f t="shared" si="3"/>
        <v>8</v>
      </c>
    </row>
    <row r="207" spans="4:11">
      <c r="D207" s="11">
        <v>46139</v>
      </c>
      <c r="E207" s="12">
        <v>1598482</v>
      </c>
      <c r="F207" s="12" t="s">
        <v>13</v>
      </c>
      <c r="G207" s="13">
        <v>20395259</v>
      </c>
      <c r="H207" s="12" t="s">
        <v>62</v>
      </c>
      <c r="I207" s="13">
        <v>3</v>
      </c>
      <c r="J207" s="14">
        <v>13.5</v>
      </c>
      <c r="K207" s="14">
        <f t="shared" si="3"/>
        <v>40.5</v>
      </c>
    </row>
    <row r="208" spans="4:11">
      <c r="D208" s="11">
        <v>46139</v>
      </c>
      <c r="E208" s="12">
        <v>1598482</v>
      </c>
      <c r="F208" s="12" t="s">
        <v>13</v>
      </c>
      <c r="G208" s="13">
        <v>20393878</v>
      </c>
      <c r="H208" s="12" t="s">
        <v>75</v>
      </c>
      <c r="I208" s="13">
        <v>4</v>
      </c>
      <c r="J208" s="14">
        <v>8</v>
      </c>
      <c r="K208" s="14">
        <f t="shared" si="3"/>
        <v>32</v>
      </c>
    </row>
    <row r="209" spans="4:11">
      <c r="D209" s="11">
        <v>46139</v>
      </c>
      <c r="E209" s="12">
        <v>1598482</v>
      </c>
      <c r="F209" s="12" t="s">
        <v>13</v>
      </c>
      <c r="G209" s="13">
        <v>20394715</v>
      </c>
      <c r="H209" s="12" t="s">
        <v>64</v>
      </c>
      <c r="I209" s="13">
        <v>5</v>
      </c>
      <c r="J209" s="14">
        <v>8</v>
      </c>
      <c r="K209" s="14">
        <f t="shared" si="3"/>
        <v>40</v>
      </c>
    </row>
    <row r="210" spans="4:11">
      <c r="D210" s="11">
        <v>46139</v>
      </c>
      <c r="E210" s="12">
        <v>1598482</v>
      </c>
      <c r="F210" s="12" t="s">
        <v>13</v>
      </c>
      <c r="G210" s="13">
        <v>20393842</v>
      </c>
      <c r="H210" s="12" t="s">
        <v>67</v>
      </c>
      <c r="I210" s="13">
        <v>4</v>
      </c>
      <c r="J210" s="14">
        <v>8</v>
      </c>
      <c r="K210" s="14">
        <f t="shared" si="3"/>
        <v>32</v>
      </c>
    </row>
    <row r="211" spans="4:11">
      <c r="D211" s="11">
        <v>46139</v>
      </c>
      <c r="E211" s="12">
        <v>1598482</v>
      </c>
      <c r="F211" s="12" t="s">
        <v>13</v>
      </c>
      <c r="G211" s="13">
        <v>20392737</v>
      </c>
      <c r="H211" s="12" t="s">
        <v>68</v>
      </c>
      <c r="I211" s="13">
        <v>10</v>
      </c>
      <c r="J211" s="14">
        <v>8</v>
      </c>
      <c r="K211" s="14">
        <f t="shared" si="3"/>
        <v>80</v>
      </c>
    </row>
    <row r="212" spans="4:11">
      <c r="D212" s="11">
        <v>46139</v>
      </c>
      <c r="E212" s="12">
        <v>1598482</v>
      </c>
      <c r="F212" s="12" t="s">
        <v>13</v>
      </c>
      <c r="G212" s="13">
        <v>20423152</v>
      </c>
      <c r="H212" s="12" t="s">
        <v>89</v>
      </c>
      <c r="I212" s="13">
        <v>4</v>
      </c>
      <c r="J212" s="14">
        <v>8</v>
      </c>
      <c r="K212" s="14">
        <f t="shared" si="3"/>
        <v>32</v>
      </c>
    </row>
    <row r="213" spans="4:11">
      <c r="D213" s="11">
        <v>46139</v>
      </c>
      <c r="E213" s="12">
        <v>1598482</v>
      </c>
      <c r="F213" s="12" t="s">
        <v>13</v>
      </c>
      <c r="G213" s="13">
        <v>20393900</v>
      </c>
      <c r="H213" s="12" t="s">
        <v>79</v>
      </c>
      <c r="I213" s="13">
        <v>1</v>
      </c>
      <c r="J213" s="14">
        <v>8</v>
      </c>
      <c r="K213" s="14">
        <f t="shared" si="3"/>
        <v>8</v>
      </c>
    </row>
    <row r="214" spans="4:11">
      <c r="D214" s="11">
        <v>46139</v>
      </c>
      <c r="E214" s="12">
        <v>1598482</v>
      </c>
      <c r="F214" s="12" t="s">
        <v>13</v>
      </c>
      <c r="G214" s="13">
        <v>20393841</v>
      </c>
      <c r="H214" s="12" t="s">
        <v>69</v>
      </c>
      <c r="I214" s="13">
        <v>4</v>
      </c>
      <c r="J214" s="14">
        <v>8</v>
      </c>
      <c r="K214" s="14">
        <f t="shared" si="3"/>
        <v>32</v>
      </c>
    </row>
    <row r="215" spans="4:11">
      <c r="D215" s="11">
        <v>46139</v>
      </c>
      <c r="E215" s="12">
        <v>1598482</v>
      </c>
      <c r="F215" s="12" t="s">
        <v>13</v>
      </c>
      <c r="G215" s="13">
        <v>20398217</v>
      </c>
      <c r="H215" s="12" t="s">
        <v>71</v>
      </c>
      <c r="I215" s="13">
        <v>1</v>
      </c>
      <c r="J215" s="14">
        <v>8</v>
      </c>
      <c r="K215" s="14">
        <f t="shared" si="3"/>
        <v>8</v>
      </c>
    </row>
    <row r="216" spans="4:11">
      <c r="D216" s="11">
        <v>46139</v>
      </c>
      <c r="E216" s="12">
        <v>1598482</v>
      </c>
      <c r="F216" s="12" t="s">
        <v>37</v>
      </c>
      <c r="G216" s="13">
        <v>20393913</v>
      </c>
      <c r="H216" s="12" t="s">
        <v>86</v>
      </c>
      <c r="I216" s="13">
        <v>10</v>
      </c>
      <c r="J216" s="14">
        <v>2.5</v>
      </c>
      <c r="K216" s="14">
        <f t="shared" si="3"/>
        <v>25</v>
      </c>
    </row>
    <row r="217" spans="4:11">
      <c r="D217" s="11">
        <v>46142</v>
      </c>
      <c r="E217" s="12">
        <v>1599773</v>
      </c>
      <c r="F217" s="12" t="s">
        <v>13</v>
      </c>
      <c r="G217" s="13">
        <v>20393838</v>
      </c>
      <c r="H217" s="12" t="s">
        <v>52</v>
      </c>
      <c r="I217" s="13">
        <v>2</v>
      </c>
      <c r="J217" s="14">
        <v>8</v>
      </c>
      <c r="K217" s="14">
        <f t="shared" si="3"/>
        <v>16</v>
      </c>
    </row>
    <row r="218" spans="4:11">
      <c r="D218" s="11">
        <v>46142</v>
      </c>
      <c r="E218" s="12">
        <v>1599773</v>
      </c>
      <c r="F218" s="12" t="s">
        <v>13</v>
      </c>
      <c r="G218" s="13">
        <v>20393837</v>
      </c>
      <c r="H218" s="12" t="s">
        <v>53</v>
      </c>
      <c r="I218" s="13">
        <v>7</v>
      </c>
      <c r="J218" s="14">
        <v>8</v>
      </c>
      <c r="K218" s="14">
        <f t="shared" si="3"/>
        <v>56</v>
      </c>
    </row>
    <row r="219" spans="4:11">
      <c r="D219" s="11">
        <v>46142</v>
      </c>
      <c r="E219" s="12">
        <v>1599773</v>
      </c>
      <c r="F219" s="12" t="s">
        <v>13</v>
      </c>
      <c r="G219" s="13">
        <v>20403849</v>
      </c>
      <c r="H219" s="12" t="s">
        <v>55</v>
      </c>
      <c r="I219" s="13">
        <v>1</v>
      </c>
      <c r="J219" s="14">
        <v>8</v>
      </c>
      <c r="K219" s="14">
        <f t="shared" si="3"/>
        <v>8</v>
      </c>
    </row>
    <row r="220" spans="4:11">
      <c r="D220" s="11">
        <v>46142</v>
      </c>
      <c r="E220" s="12">
        <v>1599773</v>
      </c>
      <c r="F220" s="12" t="s">
        <v>13</v>
      </c>
      <c r="G220" s="13">
        <v>20394714</v>
      </c>
      <c r="H220" s="12" t="s">
        <v>56</v>
      </c>
      <c r="I220" s="13">
        <v>10</v>
      </c>
      <c r="J220" s="14">
        <v>8</v>
      </c>
      <c r="K220" s="14">
        <f t="shared" si="3"/>
        <v>80</v>
      </c>
    </row>
    <row r="221" spans="4:11">
      <c r="D221" s="11">
        <v>46142</v>
      </c>
      <c r="E221" s="12">
        <v>1599773</v>
      </c>
      <c r="F221" s="12" t="s">
        <v>13</v>
      </c>
      <c r="G221" s="13">
        <v>20393883</v>
      </c>
      <c r="H221" s="12" t="s">
        <v>78</v>
      </c>
      <c r="I221" s="13">
        <v>2</v>
      </c>
      <c r="J221" s="14">
        <v>8</v>
      </c>
      <c r="K221" s="14">
        <f t="shared" si="3"/>
        <v>16</v>
      </c>
    </row>
    <row r="222" spans="4:11">
      <c r="D222" s="11">
        <v>46142</v>
      </c>
      <c r="E222" s="12">
        <v>1599773</v>
      </c>
      <c r="F222" s="12" t="s">
        <v>13</v>
      </c>
      <c r="G222" s="13">
        <v>20393847</v>
      </c>
      <c r="H222" s="12" t="s">
        <v>57</v>
      </c>
      <c r="I222" s="13">
        <v>8</v>
      </c>
      <c r="J222" s="14">
        <v>8</v>
      </c>
      <c r="K222" s="14">
        <f t="shared" si="3"/>
        <v>64</v>
      </c>
    </row>
    <row r="223" spans="4:11">
      <c r="D223" s="11">
        <v>46142</v>
      </c>
      <c r="E223" s="12">
        <v>1599773</v>
      </c>
      <c r="F223" s="12" t="s">
        <v>13</v>
      </c>
      <c r="G223" s="13">
        <v>20394727</v>
      </c>
      <c r="H223" s="12" t="s">
        <v>58</v>
      </c>
      <c r="I223" s="13">
        <v>7</v>
      </c>
      <c r="J223" s="14">
        <v>8</v>
      </c>
      <c r="K223" s="14">
        <f t="shared" si="3"/>
        <v>56</v>
      </c>
    </row>
    <row r="224" spans="4:11">
      <c r="D224" s="11">
        <v>46142</v>
      </c>
      <c r="E224" s="12">
        <v>1599773</v>
      </c>
      <c r="F224" s="12" t="s">
        <v>13</v>
      </c>
      <c r="G224" s="13">
        <v>20394716</v>
      </c>
      <c r="H224" s="12" t="s">
        <v>59</v>
      </c>
      <c r="I224" s="13">
        <v>6</v>
      </c>
      <c r="J224" s="14">
        <v>8</v>
      </c>
      <c r="K224" s="14">
        <f t="shared" si="3"/>
        <v>48</v>
      </c>
    </row>
    <row r="225" spans="4:11">
      <c r="D225" s="11">
        <v>46142</v>
      </c>
      <c r="E225" s="12">
        <v>1599773</v>
      </c>
      <c r="F225" s="12" t="s">
        <v>13</v>
      </c>
      <c r="G225" s="13">
        <v>20395260</v>
      </c>
      <c r="H225" s="12" t="s">
        <v>61</v>
      </c>
      <c r="I225" s="13">
        <v>1</v>
      </c>
      <c r="J225" s="14">
        <v>8</v>
      </c>
      <c r="K225" s="14">
        <f t="shared" si="3"/>
        <v>8</v>
      </c>
    </row>
    <row r="226" spans="4:11">
      <c r="D226" s="11">
        <v>46142</v>
      </c>
      <c r="E226" s="12">
        <v>1599773</v>
      </c>
      <c r="F226" s="12" t="s">
        <v>13</v>
      </c>
      <c r="G226" s="13">
        <v>20395259</v>
      </c>
      <c r="H226" s="12" t="s">
        <v>62</v>
      </c>
      <c r="I226" s="13">
        <v>1</v>
      </c>
      <c r="J226" s="14">
        <v>13.5</v>
      </c>
      <c r="K226" s="14">
        <f t="shared" si="3"/>
        <v>13.5</v>
      </c>
    </row>
    <row r="227" spans="4:11">
      <c r="D227" s="11">
        <v>46142</v>
      </c>
      <c r="E227" s="12">
        <v>1599773</v>
      </c>
      <c r="F227" s="12" t="s">
        <v>13</v>
      </c>
      <c r="G227" s="13">
        <v>20393846</v>
      </c>
      <c r="H227" s="12" t="s">
        <v>63</v>
      </c>
      <c r="I227" s="13">
        <v>1</v>
      </c>
      <c r="J227" s="14">
        <v>8</v>
      </c>
      <c r="K227" s="14">
        <f t="shared" si="3"/>
        <v>8</v>
      </c>
    </row>
    <row r="228" spans="4:11">
      <c r="D228" s="11">
        <v>46142</v>
      </c>
      <c r="E228" s="12">
        <v>1599773</v>
      </c>
      <c r="F228" s="12" t="s">
        <v>13</v>
      </c>
      <c r="G228" s="13">
        <v>20393848</v>
      </c>
      <c r="H228" s="12" t="s">
        <v>65</v>
      </c>
      <c r="I228" s="13">
        <v>1</v>
      </c>
      <c r="J228" s="14">
        <v>8</v>
      </c>
      <c r="K228" s="14">
        <f t="shared" si="3"/>
        <v>8</v>
      </c>
    </row>
    <row r="229" spans="4:11">
      <c r="D229" s="11">
        <v>46142</v>
      </c>
      <c r="E229" s="12">
        <v>1599773</v>
      </c>
      <c r="F229" s="12" t="s">
        <v>13</v>
      </c>
      <c r="G229" s="13">
        <v>20397075</v>
      </c>
      <c r="H229" s="12" t="s">
        <v>90</v>
      </c>
      <c r="I229" s="13">
        <v>1</v>
      </c>
      <c r="J229" s="14">
        <v>8</v>
      </c>
      <c r="K229" s="14">
        <f t="shared" si="3"/>
        <v>8</v>
      </c>
    </row>
    <row r="230" spans="4:11">
      <c r="D230" s="11">
        <v>46142</v>
      </c>
      <c r="E230" s="12">
        <v>1599773</v>
      </c>
      <c r="F230" s="12" t="s">
        <v>13</v>
      </c>
      <c r="G230" s="13">
        <v>20395590</v>
      </c>
      <c r="H230" s="12" t="s">
        <v>83</v>
      </c>
      <c r="I230" s="13">
        <v>2</v>
      </c>
      <c r="J230" s="14">
        <v>8</v>
      </c>
      <c r="K230" s="14">
        <f t="shared" si="3"/>
        <v>16</v>
      </c>
    </row>
    <row r="231" spans="4:11">
      <c r="D231" s="11">
        <v>46142</v>
      </c>
      <c r="E231" s="12">
        <v>1599773</v>
      </c>
      <c r="F231" s="12" t="s">
        <v>13</v>
      </c>
      <c r="G231" s="13">
        <v>20393842</v>
      </c>
      <c r="H231" s="12" t="s">
        <v>67</v>
      </c>
      <c r="I231" s="13">
        <v>1</v>
      </c>
      <c r="J231" s="14">
        <v>8</v>
      </c>
      <c r="K231" s="14">
        <f t="shared" si="3"/>
        <v>8</v>
      </c>
    </row>
    <row r="232" spans="4:11">
      <c r="D232" s="11">
        <v>46142</v>
      </c>
      <c r="E232" s="12">
        <v>1599773</v>
      </c>
      <c r="F232" s="12" t="s">
        <v>13</v>
      </c>
      <c r="G232" s="13">
        <v>20392737</v>
      </c>
      <c r="H232" s="12" t="s">
        <v>68</v>
      </c>
      <c r="I232" s="13">
        <v>24</v>
      </c>
      <c r="J232" s="14">
        <v>8</v>
      </c>
      <c r="K232" s="14">
        <f t="shared" si="3"/>
        <v>192</v>
      </c>
    </row>
    <row r="233" spans="4:11">
      <c r="D233" s="11">
        <v>46142</v>
      </c>
      <c r="E233" s="12">
        <v>1599773</v>
      </c>
      <c r="F233" s="12" t="s">
        <v>13</v>
      </c>
      <c r="G233" s="13">
        <v>20393841</v>
      </c>
      <c r="H233" s="12" t="s">
        <v>69</v>
      </c>
      <c r="I233" s="13">
        <v>4</v>
      </c>
      <c r="J233" s="14">
        <v>8</v>
      </c>
      <c r="K233" s="14">
        <f t="shared" si="3"/>
        <v>32</v>
      </c>
    </row>
    <row r="234" spans="4:11">
      <c r="D234" s="11">
        <v>46142</v>
      </c>
      <c r="E234" s="12">
        <v>1599773</v>
      </c>
      <c r="F234" s="12" t="s">
        <v>13</v>
      </c>
      <c r="G234" s="13">
        <v>20398217</v>
      </c>
      <c r="H234" s="12" t="s">
        <v>71</v>
      </c>
      <c r="I234" s="13">
        <v>1</v>
      </c>
      <c r="J234" s="14">
        <v>8</v>
      </c>
      <c r="K234" s="14">
        <f t="shared" si="3"/>
        <v>8</v>
      </c>
    </row>
    <row r="235" ht="0.05" customHeight="1"/>
  </sheetData>
  <autoFilter xmlns:etc="http://www.wps.cn/officeDocument/2017/etCustomData" ref="A7:K234" etc:filterBottomFollowUsedRange="0">
    <extLst/>
  </autoFilter>
  <mergeCells count="5">
    <mergeCell ref="D8:H8"/>
    <mergeCell ref="C7:C234"/>
    <mergeCell ref="B4:H5"/>
    <mergeCell ref="A7:B2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12:57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21" sqref="K9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21</v>
      </c>
      <c r="J8" s="10"/>
      <c r="K8" s="10">
        <f>SUM(K9:K21)</f>
        <v>460</v>
      </c>
    </row>
    <row r="9" spans="1:11">
      <c r="D9" s="11">
        <v>46115</v>
      </c>
      <c r="E9" s="12">
        <v>1591921</v>
      </c>
      <c r="F9" s="12" t="s">
        <v>13</v>
      </c>
      <c r="G9" s="13">
        <v>20406515</v>
      </c>
      <c r="H9" s="12" t="s">
        <v>14</v>
      </c>
      <c r="I9" s="13">
        <v>2</v>
      </c>
      <c r="J9" s="14">
        <v>16</v>
      </c>
      <c r="K9" s="14">
        <f>J9*I9</f>
        <v>32</v>
      </c>
    </row>
    <row r="10" spans="1:11">
      <c r="D10" s="11">
        <v>46115</v>
      </c>
      <c r="E10" s="12">
        <v>1591921</v>
      </c>
      <c r="F10" s="12" t="s">
        <v>92</v>
      </c>
      <c r="G10" s="13">
        <v>20395983</v>
      </c>
      <c r="H10" s="12" t="s">
        <v>93</v>
      </c>
      <c r="I10" s="13">
        <v>1</v>
      </c>
      <c r="J10" s="14">
        <v>25</v>
      </c>
      <c r="K10" s="14">
        <f t="shared" ref="K10:K21" si="0">J10*I10</f>
        <v>25</v>
      </c>
    </row>
    <row r="11" spans="1:11">
      <c r="D11" s="11">
        <v>46120</v>
      </c>
      <c r="E11" s="12">
        <v>1592923</v>
      </c>
      <c r="F11" s="12" t="s">
        <v>92</v>
      </c>
      <c r="G11" s="13">
        <v>20395983</v>
      </c>
      <c r="H11" s="12" t="s">
        <v>93</v>
      </c>
      <c r="I11" s="13">
        <v>1</v>
      </c>
      <c r="J11" s="14">
        <v>25</v>
      </c>
      <c r="K11" s="14">
        <f t="shared" si="0"/>
        <v>25</v>
      </c>
    </row>
    <row r="12" spans="1:11">
      <c r="D12" s="11">
        <v>46125</v>
      </c>
      <c r="E12" s="12">
        <v>1594330</v>
      </c>
      <c r="F12" s="12" t="s">
        <v>92</v>
      </c>
      <c r="G12" s="13">
        <v>20395983</v>
      </c>
      <c r="H12" s="12" t="s">
        <v>93</v>
      </c>
      <c r="I12" s="13">
        <v>2</v>
      </c>
      <c r="J12" s="14">
        <v>25</v>
      </c>
      <c r="K12" s="14">
        <f t="shared" si="0"/>
        <v>50</v>
      </c>
    </row>
    <row r="13" spans="1:11">
      <c r="D13" s="11">
        <v>46125</v>
      </c>
      <c r="E13" s="12">
        <v>1594464</v>
      </c>
      <c r="F13" s="12" t="s">
        <v>13</v>
      </c>
      <c r="G13" s="13">
        <v>20406515</v>
      </c>
      <c r="H13" s="12" t="s">
        <v>14</v>
      </c>
      <c r="I13" s="13">
        <v>2</v>
      </c>
      <c r="J13" s="14">
        <v>16</v>
      </c>
      <c r="K13" s="14">
        <f t="shared" si="0"/>
        <v>32</v>
      </c>
    </row>
    <row r="14" spans="1:11">
      <c r="D14" s="11">
        <v>46129</v>
      </c>
      <c r="E14" s="12">
        <v>1595901</v>
      </c>
      <c r="F14" s="12" t="s">
        <v>92</v>
      </c>
      <c r="G14" s="13">
        <v>20395983</v>
      </c>
      <c r="H14" s="12" t="s">
        <v>93</v>
      </c>
      <c r="I14" s="13">
        <v>1</v>
      </c>
      <c r="J14" s="14">
        <v>25</v>
      </c>
      <c r="K14" s="14">
        <f t="shared" si="0"/>
        <v>25</v>
      </c>
    </row>
    <row r="15" spans="1:11">
      <c r="D15" s="11">
        <v>46132</v>
      </c>
      <c r="E15" s="12">
        <v>1596450</v>
      </c>
      <c r="F15" s="12" t="s">
        <v>13</v>
      </c>
      <c r="G15" s="13">
        <v>20406515</v>
      </c>
      <c r="H15" s="12" t="s">
        <v>14</v>
      </c>
      <c r="I15" s="13">
        <v>2</v>
      </c>
      <c r="J15" s="14">
        <v>16</v>
      </c>
      <c r="K15" s="14">
        <f t="shared" si="0"/>
        <v>32</v>
      </c>
    </row>
    <row r="16" spans="1:11">
      <c r="D16" s="11">
        <v>46132</v>
      </c>
      <c r="E16" s="12">
        <v>1596450</v>
      </c>
      <c r="F16" s="12" t="s">
        <v>92</v>
      </c>
      <c r="G16" s="13">
        <v>20395983</v>
      </c>
      <c r="H16" s="12" t="s">
        <v>93</v>
      </c>
      <c r="I16" s="13">
        <v>1</v>
      </c>
      <c r="J16" s="14">
        <v>25</v>
      </c>
      <c r="K16" s="14">
        <f t="shared" si="0"/>
        <v>25</v>
      </c>
    </row>
    <row r="17" spans="4:11">
      <c r="D17" s="11">
        <v>46136</v>
      </c>
      <c r="E17" s="12">
        <v>1597907</v>
      </c>
      <c r="F17" s="12" t="s">
        <v>92</v>
      </c>
      <c r="G17" s="13">
        <v>20422878</v>
      </c>
      <c r="H17" s="12" t="s">
        <v>94</v>
      </c>
      <c r="I17" s="13">
        <v>2</v>
      </c>
      <c r="J17" s="14">
        <v>30</v>
      </c>
      <c r="K17" s="14">
        <f t="shared" si="0"/>
        <v>60</v>
      </c>
    </row>
    <row r="18" spans="4:11">
      <c r="D18" s="11">
        <v>46139</v>
      </c>
      <c r="E18" s="12">
        <v>1598487</v>
      </c>
      <c r="F18" s="12" t="s">
        <v>13</v>
      </c>
      <c r="G18" s="13">
        <v>20406515</v>
      </c>
      <c r="H18" s="12" t="s">
        <v>14</v>
      </c>
      <c r="I18" s="13">
        <v>2</v>
      </c>
      <c r="J18" s="14">
        <v>16</v>
      </c>
      <c r="K18" s="14">
        <f t="shared" si="0"/>
        <v>32</v>
      </c>
    </row>
    <row r="19" spans="4:11">
      <c r="D19" s="11">
        <v>46139</v>
      </c>
      <c r="E19" s="12">
        <v>1598515</v>
      </c>
      <c r="F19" s="12" t="s">
        <v>92</v>
      </c>
      <c r="G19" s="13">
        <v>20422878</v>
      </c>
      <c r="H19" s="12" t="s">
        <v>94</v>
      </c>
      <c r="I19" s="13">
        <v>1</v>
      </c>
      <c r="J19" s="14">
        <v>30</v>
      </c>
      <c r="K19" s="14">
        <f t="shared" si="0"/>
        <v>30</v>
      </c>
    </row>
    <row r="20" spans="4:11">
      <c r="D20" s="11">
        <v>46142</v>
      </c>
      <c r="E20" s="12">
        <v>1599774</v>
      </c>
      <c r="F20" s="12" t="s">
        <v>13</v>
      </c>
      <c r="G20" s="13">
        <v>20406515</v>
      </c>
      <c r="H20" s="12" t="s">
        <v>14</v>
      </c>
      <c r="I20" s="13">
        <v>2</v>
      </c>
      <c r="J20" s="14">
        <v>16</v>
      </c>
      <c r="K20" s="14">
        <f t="shared" si="0"/>
        <v>32</v>
      </c>
    </row>
    <row r="21" spans="4:11">
      <c r="D21" s="11">
        <v>46142</v>
      </c>
      <c r="E21" s="12">
        <v>1599774</v>
      </c>
      <c r="F21" s="12" t="s">
        <v>92</v>
      </c>
      <c r="G21" s="13">
        <v>20422878</v>
      </c>
      <c r="H21" s="12" t="s">
        <v>94</v>
      </c>
      <c r="I21" s="13">
        <v>2</v>
      </c>
      <c r="J21" s="14">
        <v>30</v>
      </c>
      <c r="K21" s="14">
        <f t="shared" si="0"/>
        <v>60</v>
      </c>
    </row>
    <row r="22" ht="0.05" customHeight="1"/>
  </sheetData>
  <autoFilter xmlns:etc="http://www.wps.cn/officeDocument/2017/etCustomData" ref="A7:K21" etc:filterBottomFollowUsedRange="0">
    <extLst/>
  </autoFilter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12:57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9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151</v>
      </c>
      <c r="J8" s="10"/>
      <c r="K8" s="10">
        <v>7112.5</v>
      </c>
    </row>
    <row r="9" spans="1:11">
      <c r="D9" s="11">
        <v>46113</v>
      </c>
      <c r="E9" s="12">
        <v>1591161</v>
      </c>
      <c r="F9" s="12" t="s">
        <v>19</v>
      </c>
      <c r="G9" s="13">
        <v>20394144</v>
      </c>
      <c r="H9" s="12" t="s">
        <v>96</v>
      </c>
      <c r="I9" s="13">
        <v>1</v>
      </c>
      <c r="J9" s="14">
        <v>225.5</v>
      </c>
      <c r="K9" s="14">
        <f>J9*I9</f>
        <v>225.5</v>
      </c>
    </row>
    <row r="10" spans="1:11">
      <c r="D10" s="11">
        <v>46113</v>
      </c>
      <c r="E10" s="12">
        <v>1591161</v>
      </c>
      <c r="F10" s="12" t="s">
        <v>17</v>
      </c>
      <c r="G10" s="13">
        <v>20394191</v>
      </c>
      <c r="H10" s="12" t="s">
        <v>97</v>
      </c>
      <c r="I10" s="13">
        <v>1</v>
      </c>
      <c r="J10" s="14">
        <v>16.5</v>
      </c>
      <c r="K10" s="14">
        <f t="shared" ref="K10:K41" si="0">J10*I10</f>
        <v>16.5</v>
      </c>
    </row>
    <row r="11" spans="1:11">
      <c r="D11" s="11">
        <v>46113</v>
      </c>
      <c r="E11" s="12">
        <v>1591161</v>
      </c>
      <c r="F11" s="12" t="s">
        <v>17</v>
      </c>
      <c r="G11" s="13">
        <v>20418735</v>
      </c>
      <c r="H11" s="12" t="s">
        <v>98</v>
      </c>
      <c r="I11" s="13">
        <v>1</v>
      </c>
      <c r="J11" s="14">
        <v>33</v>
      </c>
      <c r="K11" s="14">
        <f t="shared" si="0"/>
        <v>33</v>
      </c>
    </row>
    <row r="12" spans="1:11">
      <c r="D12" s="11">
        <v>46115</v>
      </c>
      <c r="E12" s="12">
        <v>1591922</v>
      </c>
      <c r="F12" s="12" t="s">
        <v>19</v>
      </c>
      <c r="G12" s="13">
        <v>20417114</v>
      </c>
      <c r="H12" s="12" t="s">
        <v>99</v>
      </c>
      <c r="I12" s="13">
        <v>1</v>
      </c>
      <c r="J12" s="14">
        <v>302.5</v>
      </c>
      <c r="K12" s="14">
        <f t="shared" si="0"/>
        <v>302.5</v>
      </c>
    </row>
    <row r="13" spans="1:11">
      <c r="D13" s="11">
        <v>46115</v>
      </c>
      <c r="E13" s="12">
        <v>1591922</v>
      </c>
      <c r="F13" s="12" t="s">
        <v>19</v>
      </c>
      <c r="G13" s="13">
        <v>20394144</v>
      </c>
      <c r="H13" s="12" t="s">
        <v>96</v>
      </c>
      <c r="I13" s="13">
        <v>1</v>
      </c>
      <c r="J13" s="14">
        <v>225.5</v>
      </c>
      <c r="K13" s="14">
        <f t="shared" si="0"/>
        <v>225.5</v>
      </c>
    </row>
    <row r="14" spans="1:11">
      <c r="D14" s="11">
        <v>46115</v>
      </c>
      <c r="E14" s="12">
        <v>1591922</v>
      </c>
      <c r="F14" s="12" t="s">
        <v>13</v>
      </c>
      <c r="G14" s="13">
        <v>20394256</v>
      </c>
      <c r="H14" s="12" t="s">
        <v>100</v>
      </c>
      <c r="I14" s="13">
        <v>1</v>
      </c>
      <c r="J14" s="14">
        <v>11</v>
      </c>
      <c r="K14" s="14">
        <f t="shared" si="0"/>
        <v>11</v>
      </c>
    </row>
    <row r="15" spans="1:11">
      <c r="D15" s="11">
        <v>46115</v>
      </c>
      <c r="E15" s="12">
        <v>1591922</v>
      </c>
      <c r="F15" s="12" t="s">
        <v>101</v>
      </c>
      <c r="G15" s="13">
        <v>20394229</v>
      </c>
      <c r="H15" s="12" t="s">
        <v>102</v>
      </c>
      <c r="I15" s="13">
        <v>1</v>
      </c>
      <c r="J15" s="14">
        <v>49.5</v>
      </c>
      <c r="K15" s="14">
        <f t="shared" si="0"/>
        <v>49.5</v>
      </c>
    </row>
    <row r="16" spans="1:11">
      <c r="D16" s="11">
        <v>46115</v>
      </c>
      <c r="E16" s="12">
        <v>1591922</v>
      </c>
      <c r="F16" s="12" t="s">
        <v>17</v>
      </c>
      <c r="G16" s="13">
        <v>20394191</v>
      </c>
      <c r="H16" s="12" t="s">
        <v>97</v>
      </c>
      <c r="I16" s="13">
        <v>2</v>
      </c>
      <c r="J16" s="14">
        <v>16.5</v>
      </c>
      <c r="K16" s="14">
        <f t="shared" si="0"/>
        <v>33</v>
      </c>
    </row>
    <row r="17" spans="4:11">
      <c r="D17" s="11">
        <v>46115</v>
      </c>
      <c r="E17" s="12">
        <v>1591922</v>
      </c>
      <c r="F17" s="12" t="s">
        <v>17</v>
      </c>
      <c r="G17" s="13">
        <v>20399391</v>
      </c>
      <c r="H17" s="12" t="s">
        <v>103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46115</v>
      </c>
      <c r="E18" s="12">
        <v>1591922</v>
      </c>
      <c r="F18" s="12" t="s">
        <v>17</v>
      </c>
      <c r="G18" s="13">
        <v>20418735</v>
      </c>
      <c r="H18" s="12" t="s">
        <v>98</v>
      </c>
      <c r="I18" s="13">
        <v>3</v>
      </c>
      <c r="J18" s="14">
        <v>33</v>
      </c>
      <c r="K18" s="14">
        <f t="shared" si="0"/>
        <v>99</v>
      </c>
    </row>
    <row r="19" spans="4:11">
      <c r="D19" s="11">
        <v>46116</v>
      </c>
      <c r="E19" s="12">
        <v>1592098</v>
      </c>
      <c r="F19" s="12" t="s">
        <v>22</v>
      </c>
      <c r="G19" s="13">
        <v>20394195</v>
      </c>
      <c r="H19" s="12" t="s">
        <v>104</v>
      </c>
      <c r="I19" s="13">
        <v>1</v>
      </c>
      <c r="J19" s="14">
        <v>28</v>
      </c>
      <c r="K19" s="14">
        <f t="shared" si="0"/>
        <v>28</v>
      </c>
    </row>
    <row r="20" spans="4:11">
      <c r="D20" s="11">
        <v>46120</v>
      </c>
      <c r="E20" s="12">
        <v>1592924</v>
      </c>
      <c r="F20" s="12" t="s">
        <v>19</v>
      </c>
      <c r="G20" s="13">
        <v>20392732</v>
      </c>
      <c r="H20" s="12" t="s">
        <v>105</v>
      </c>
      <c r="I20" s="13">
        <v>1</v>
      </c>
      <c r="J20" s="14">
        <v>126.5</v>
      </c>
      <c r="K20" s="14">
        <f t="shared" si="0"/>
        <v>126.5</v>
      </c>
    </row>
    <row r="21" spans="4:11">
      <c r="D21" s="11">
        <v>46120</v>
      </c>
      <c r="E21" s="12">
        <v>1592924</v>
      </c>
      <c r="F21" s="12" t="s">
        <v>13</v>
      </c>
      <c r="G21" s="13">
        <v>20399392</v>
      </c>
      <c r="H21" s="12" t="s">
        <v>84</v>
      </c>
      <c r="I21" s="13">
        <v>1</v>
      </c>
      <c r="J21" s="14">
        <v>8</v>
      </c>
      <c r="K21" s="14">
        <f t="shared" si="0"/>
        <v>8</v>
      </c>
    </row>
    <row r="22" spans="4:11">
      <c r="D22" s="11">
        <v>46120</v>
      </c>
      <c r="E22" s="12">
        <v>1592924</v>
      </c>
      <c r="F22" s="12" t="s">
        <v>13</v>
      </c>
      <c r="G22" s="13">
        <v>20399393</v>
      </c>
      <c r="H22" s="12" t="s">
        <v>106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46120</v>
      </c>
      <c r="E23" s="12">
        <v>1592924</v>
      </c>
      <c r="F23" s="12" t="s">
        <v>101</v>
      </c>
      <c r="G23" s="13">
        <v>20394246</v>
      </c>
      <c r="H23" s="12" t="s">
        <v>107</v>
      </c>
      <c r="I23" s="13">
        <v>1</v>
      </c>
      <c r="J23" s="14">
        <v>44</v>
      </c>
      <c r="K23" s="14">
        <f t="shared" si="0"/>
        <v>44</v>
      </c>
    </row>
    <row r="24" spans="4:11">
      <c r="D24" s="11">
        <v>46120</v>
      </c>
      <c r="E24" s="12">
        <v>1592924</v>
      </c>
      <c r="F24" s="12" t="s">
        <v>101</v>
      </c>
      <c r="G24" s="13">
        <v>20394180</v>
      </c>
      <c r="H24" s="12" t="s">
        <v>108</v>
      </c>
      <c r="I24" s="13">
        <v>1</v>
      </c>
      <c r="J24" s="14">
        <v>115.5</v>
      </c>
      <c r="K24" s="14">
        <f t="shared" si="0"/>
        <v>115.5</v>
      </c>
    </row>
    <row r="25" spans="4:11">
      <c r="D25" s="11">
        <v>46120</v>
      </c>
      <c r="E25" s="12">
        <v>1592924</v>
      </c>
      <c r="F25" s="12" t="s">
        <v>101</v>
      </c>
      <c r="G25" s="13">
        <v>20394179</v>
      </c>
      <c r="H25" s="12" t="s">
        <v>109</v>
      </c>
      <c r="I25" s="13">
        <v>1</v>
      </c>
      <c r="J25" s="14">
        <v>33</v>
      </c>
      <c r="K25" s="14">
        <f t="shared" si="0"/>
        <v>33</v>
      </c>
    </row>
    <row r="26" spans="4:11">
      <c r="D26" s="11">
        <v>46120</v>
      </c>
      <c r="E26" s="12">
        <v>1592924</v>
      </c>
      <c r="F26" s="12" t="s">
        <v>17</v>
      </c>
      <c r="G26" s="13">
        <v>20399389</v>
      </c>
      <c r="H26" s="12" t="s">
        <v>110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46120</v>
      </c>
      <c r="E27" s="12">
        <v>1592924</v>
      </c>
      <c r="F27" s="12" t="s">
        <v>17</v>
      </c>
      <c r="G27" s="13">
        <v>20394191</v>
      </c>
      <c r="H27" s="12" t="s">
        <v>97</v>
      </c>
      <c r="I27" s="13">
        <v>1</v>
      </c>
      <c r="J27" s="14">
        <v>16.5</v>
      </c>
      <c r="K27" s="14">
        <f t="shared" si="0"/>
        <v>16.5</v>
      </c>
    </row>
    <row r="28" spans="4:11">
      <c r="D28" s="11">
        <v>46120</v>
      </c>
      <c r="E28" s="12">
        <v>1592924</v>
      </c>
      <c r="F28" s="12" t="s">
        <v>17</v>
      </c>
      <c r="G28" s="13">
        <v>20399390</v>
      </c>
      <c r="H28" s="12" t="s">
        <v>111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46120</v>
      </c>
      <c r="E29" s="12">
        <v>1592924</v>
      </c>
      <c r="F29" s="12" t="s">
        <v>17</v>
      </c>
      <c r="G29" s="13">
        <v>20394617</v>
      </c>
      <c r="H29" s="12" t="s">
        <v>112</v>
      </c>
      <c r="I29" s="13">
        <v>1</v>
      </c>
      <c r="J29" s="14">
        <v>33</v>
      </c>
      <c r="K29" s="14">
        <f t="shared" si="0"/>
        <v>33</v>
      </c>
    </row>
    <row r="30" spans="4:11">
      <c r="D30" s="11">
        <v>46120</v>
      </c>
      <c r="E30" s="12">
        <v>1592924</v>
      </c>
      <c r="F30" s="12" t="s">
        <v>37</v>
      </c>
      <c r="G30" s="13">
        <v>20395131</v>
      </c>
      <c r="H30" s="12" t="s">
        <v>113</v>
      </c>
      <c r="I30" s="13">
        <v>6</v>
      </c>
      <c r="J30" s="14">
        <v>4</v>
      </c>
      <c r="K30" s="14">
        <f t="shared" si="0"/>
        <v>24</v>
      </c>
    </row>
    <row r="31" spans="4:11">
      <c r="D31" s="11">
        <v>46120</v>
      </c>
      <c r="E31" s="12">
        <v>1592953</v>
      </c>
      <c r="F31" s="12" t="s">
        <v>114</v>
      </c>
      <c r="G31" s="13">
        <v>20324776</v>
      </c>
      <c r="H31" s="12" t="s">
        <v>115</v>
      </c>
      <c r="I31" s="13">
        <v>1</v>
      </c>
      <c r="J31" s="14">
        <v>187</v>
      </c>
      <c r="K31" s="14">
        <f t="shared" si="0"/>
        <v>187</v>
      </c>
    </row>
    <row r="32" spans="4:11">
      <c r="D32" s="11">
        <v>46125</v>
      </c>
      <c r="E32" s="12">
        <v>1594331</v>
      </c>
      <c r="F32" s="12" t="s">
        <v>19</v>
      </c>
      <c r="G32" s="13">
        <v>20392732</v>
      </c>
      <c r="H32" s="12" t="s">
        <v>105</v>
      </c>
      <c r="I32" s="13">
        <v>1</v>
      </c>
      <c r="J32" s="14">
        <v>126.5</v>
      </c>
      <c r="K32" s="14">
        <f t="shared" si="0"/>
        <v>126.5</v>
      </c>
    </row>
    <row r="33" spans="4:11">
      <c r="D33" s="11">
        <v>46125</v>
      </c>
      <c r="E33" s="12">
        <v>1594331</v>
      </c>
      <c r="F33" s="12" t="s">
        <v>19</v>
      </c>
      <c r="G33" s="13">
        <v>20394144</v>
      </c>
      <c r="H33" s="12" t="s">
        <v>96</v>
      </c>
      <c r="I33" s="13">
        <v>1</v>
      </c>
      <c r="J33" s="14">
        <v>225.5</v>
      </c>
      <c r="K33" s="14">
        <f t="shared" si="0"/>
        <v>225.5</v>
      </c>
    </row>
    <row r="34" spans="4:11">
      <c r="D34" s="11">
        <v>46125</v>
      </c>
      <c r="E34" s="12">
        <v>1594331</v>
      </c>
      <c r="F34" s="12" t="s">
        <v>101</v>
      </c>
      <c r="G34" s="13">
        <v>20393720</v>
      </c>
      <c r="H34" s="12" t="s">
        <v>116</v>
      </c>
      <c r="I34" s="13">
        <v>1</v>
      </c>
      <c r="J34" s="14">
        <v>49.5</v>
      </c>
      <c r="K34" s="14">
        <f t="shared" si="0"/>
        <v>49.5</v>
      </c>
    </row>
    <row r="35" spans="4:11">
      <c r="D35" s="11">
        <v>46125</v>
      </c>
      <c r="E35" s="12">
        <v>1594331</v>
      </c>
      <c r="F35" s="12" t="s">
        <v>101</v>
      </c>
      <c r="G35" s="13">
        <v>20394924</v>
      </c>
      <c r="H35" s="12" t="s">
        <v>117</v>
      </c>
      <c r="I35" s="13">
        <v>1</v>
      </c>
      <c r="J35" s="14">
        <v>60.5</v>
      </c>
      <c r="K35" s="14">
        <f t="shared" si="0"/>
        <v>60.5</v>
      </c>
    </row>
    <row r="36" spans="4:11">
      <c r="D36" s="11">
        <v>46125</v>
      </c>
      <c r="E36" s="12">
        <v>1594331</v>
      </c>
      <c r="F36" s="12" t="s">
        <v>17</v>
      </c>
      <c r="G36" s="13">
        <v>20394191</v>
      </c>
      <c r="H36" s="12" t="s">
        <v>97</v>
      </c>
      <c r="I36" s="13">
        <v>2</v>
      </c>
      <c r="J36" s="14">
        <v>16.5</v>
      </c>
      <c r="K36" s="14">
        <f t="shared" si="0"/>
        <v>33</v>
      </c>
    </row>
    <row r="37" spans="4:11">
      <c r="D37" s="11">
        <v>46125</v>
      </c>
      <c r="E37" s="12">
        <v>1594331</v>
      </c>
      <c r="F37" s="12" t="s">
        <v>17</v>
      </c>
      <c r="G37" s="13">
        <v>20394617</v>
      </c>
      <c r="H37" s="12" t="s">
        <v>112</v>
      </c>
      <c r="I37" s="13">
        <v>2</v>
      </c>
      <c r="J37" s="14">
        <v>33</v>
      </c>
      <c r="K37" s="14">
        <f t="shared" si="0"/>
        <v>66</v>
      </c>
    </row>
    <row r="38" customFormat="1" spans="4:11">
      <c r="D38" s="11">
        <v>46125</v>
      </c>
      <c r="E38" s="12">
        <v>1594465</v>
      </c>
      <c r="F38" s="12" t="s">
        <v>13</v>
      </c>
      <c r="G38" s="13">
        <v>20394725</v>
      </c>
      <c r="H38" s="12" t="s">
        <v>118</v>
      </c>
      <c r="I38" s="13">
        <v>5</v>
      </c>
      <c r="J38" s="14">
        <v>8</v>
      </c>
      <c r="K38" s="14">
        <f t="shared" si="0"/>
        <v>40</v>
      </c>
    </row>
    <row r="39" customFormat="1" spans="4:11">
      <c r="D39" s="11">
        <v>46125</v>
      </c>
      <c r="E39" s="12">
        <v>1594465</v>
      </c>
      <c r="F39" s="12" t="s">
        <v>13</v>
      </c>
      <c r="G39" s="13">
        <v>20394723</v>
      </c>
      <c r="H39" s="12" t="s">
        <v>119</v>
      </c>
      <c r="I39" s="13">
        <v>5</v>
      </c>
      <c r="J39" s="14">
        <v>8</v>
      </c>
      <c r="K39" s="14">
        <f t="shared" si="0"/>
        <v>40</v>
      </c>
    </row>
    <row r="40" customFormat="1" spans="4:11">
      <c r="D40" s="11">
        <v>46125</v>
      </c>
      <c r="E40" s="12">
        <v>1594465</v>
      </c>
      <c r="F40" s="12" t="s">
        <v>13</v>
      </c>
      <c r="G40" s="13">
        <v>20394724</v>
      </c>
      <c r="H40" s="12" t="s">
        <v>120</v>
      </c>
      <c r="I40" s="13">
        <v>5</v>
      </c>
      <c r="J40" s="14">
        <v>8</v>
      </c>
      <c r="K40" s="14">
        <f t="shared" si="0"/>
        <v>40</v>
      </c>
    </row>
    <row r="41" spans="4:11">
      <c r="D41" s="11">
        <v>46125</v>
      </c>
      <c r="E41" s="12">
        <v>1594465</v>
      </c>
      <c r="F41" s="12" t="s">
        <v>101</v>
      </c>
      <c r="G41" s="13">
        <v>20394189</v>
      </c>
      <c r="H41" s="12" t="s">
        <v>121</v>
      </c>
      <c r="I41" s="13">
        <v>1</v>
      </c>
      <c r="J41" s="14">
        <v>60.5</v>
      </c>
      <c r="K41" s="14">
        <f t="shared" si="0"/>
        <v>60.5</v>
      </c>
    </row>
    <row r="42" spans="4:11">
      <c r="D42" s="11">
        <v>46127</v>
      </c>
      <c r="E42" s="12">
        <v>1595090</v>
      </c>
      <c r="F42" s="12" t="s">
        <v>19</v>
      </c>
      <c r="G42" s="13">
        <v>20394142</v>
      </c>
      <c r="H42" s="12" t="s">
        <v>122</v>
      </c>
      <c r="I42" s="13">
        <v>1</v>
      </c>
      <c r="J42" s="14">
        <v>291.5</v>
      </c>
      <c r="K42" s="14">
        <f t="shared" ref="K42:K73" si="1">J42*I42</f>
        <v>291.5</v>
      </c>
    </row>
    <row r="43" spans="4:11">
      <c r="D43" s="11">
        <v>46127</v>
      </c>
      <c r="E43" s="12">
        <v>1595090</v>
      </c>
      <c r="F43" s="12" t="s">
        <v>19</v>
      </c>
      <c r="G43" s="13">
        <v>20392732</v>
      </c>
      <c r="H43" s="12" t="s">
        <v>105</v>
      </c>
      <c r="I43" s="13">
        <v>1</v>
      </c>
      <c r="J43" s="14">
        <v>126.5</v>
      </c>
      <c r="K43" s="14">
        <f t="shared" si="1"/>
        <v>126.5</v>
      </c>
    </row>
    <row r="44" spans="4:11">
      <c r="D44" s="11">
        <v>46127</v>
      </c>
      <c r="E44" s="12">
        <v>1595090</v>
      </c>
      <c r="F44" s="12" t="s">
        <v>19</v>
      </c>
      <c r="G44" s="13">
        <v>20394144</v>
      </c>
      <c r="H44" s="12" t="s">
        <v>96</v>
      </c>
      <c r="I44" s="13">
        <v>1</v>
      </c>
      <c r="J44" s="14">
        <v>225.5</v>
      </c>
      <c r="K44" s="14">
        <f t="shared" si="1"/>
        <v>225.5</v>
      </c>
    </row>
    <row r="45" spans="4:11">
      <c r="D45" s="11">
        <v>46127</v>
      </c>
      <c r="E45" s="12">
        <v>1595090</v>
      </c>
      <c r="F45" s="12" t="s">
        <v>13</v>
      </c>
      <c r="G45" s="13">
        <v>20394253</v>
      </c>
      <c r="H45" s="12" t="s">
        <v>123</v>
      </c>
      <c r="I45" s="13">
        <v>1</v>
      </c>
      <c r="J45" s="14">
        <v>16.5</v>
      </c>
      <c r="K45" s="14">
        <f t="shared" si="1"/>
        <v>16.5</v>
      </c>
    </row>
    <row r="46" spans="4:11">
      <c r="D46" s="11">
        <v>46127</v>
      </c>
      <c r="E46" s="12">
        <v>1595090</v>
      </c>
      <c r="F46" s="12" t="s">
        <v>101</v>
      </c>
      <c r="G46" s="13">
        <v>20394224</v>
      </c>
      <c r="H46" s="12" t="s">
        <v>124</v>
      </c>
      <c r="I46" s="13">
        <v>1</v>
      </c>
      <c r="J46" s="14">
        <v>33</v>
      </c>
      <c r="K46" s="14">
        <f t="shared" si="1"/>
        <v>33</v>
      </c>
    </row>
    <row r="47" spans="4:11">
      <c r="D47" s="11">
        <v>46127</v>
      </c>
      <c r="E47" s="12">
        <v>1595090</v>
      </c>
      <c r="F47" s="12" t="s">
        <v>101</v>
      </c>
      <c r="G47" s="13">
        <v>20394225</v>
      </c>
      <c r="H47" s="12" t="s">
        <v>125</v>
      </c>
      <c r="I47" s="13">
        <v>1</v>
      </c>
      <c r="J47" s="14">
        <v>49.5</v>
      </c>
      <c r="K47" s="14">
        <f t="shared" si="1"/>
        <v>49.5</v>
      </c>
    </row>
    <row r="48" spans="4:11">
      <c r="D48" s="11">
        <v>46127</v>
      </c>
      <c r="E48" s="12">
        <v>1595090</v>
      </c>
      <c r="F48" s="12" t="s">
        <v>17</v>
      </c>
      <c r="G48" s="13">
        <v>20394191</v>
      </c>
      <c r="H48" s="12" t="s">
        <v>97</v>
      </c>
      <c r="I48" s="13">
        <v>3</v>
      </c>
      <c r="J48" s="14">
        <v>16.5</v>
      </c>
      <c r="K48" s="14">
        <f t="shared" si="1"/>
        <v>49.5</v>
      </c>
    </row>
    <row r="49" spans="4:11">
      <c r="D49" s="11">
        <v>46127</v>
      </c>
      <c r="E49" s="12">
        <v>1595090</v>
      </c>
      <c r="F49" s="12" t="s">
        <v>17</v>
      </c>
      <c r="G49" s="13">
        <v>20417235</v>
      </c>
      <c r="H49" s="12" t="s">
        <v>126</v>
      </c>
      <c r="I49" s="13">
        <v>1</v>
      </c>
      <c r="J49" s="14">
        <v>38.5</v>
      </c>
      <c r="K49" s="14">
        <f t="shared" si="1"/>
        <v>38.5</v>
      </c>
    </row>
    <row r="50" spans="4:11">
      <c r="D50" s="11">
        <v>46127</v>
      </c>
      <c r="E50" s="12">
        <v>1595090</v>
      </c>
      <c r="F50" s="12" t="s">
        <v>17</v>
      </c>
      <c r="G50" s="13">
        <v>20399391</v>
      </c>
      <c r="H50" s="12" t="s">
        <v>103</v>
      </c>
      <c r="I50" s="13">
        <v>1</v>
      </c>
      <c r="J50" s="14">
        <v>16.5</v>
      </c>
      <c r="K50" s="14">
        <f t="shared" si="1"/>
        <v>16.5</v>
      </c>
    </row>
    <row r="51" spans="4:11">
      <c r="D51" s="11">
        <v>46127</v>
      </c>
      <c r="E51" s="12">
        <v>1595090</v>
      </c>
      <c r="F51" s="12" t="s">
        <v>17</v>
      </c>
      <c r="G51" s="13">
        <v>20418735</v>
      </c>
      <c r="H51" s="12" t="s">
        <v>98</v>
      </c>
      <c r="I51" s="13">
        <v>3</v>
      </c>
      <c r="J51" s="14">
        <v>33</v>
      </c>
      <c r="K51" s="14">
        <f t="shared" si="1"/>
        <v>99</v>
      </c>
    </row>
    <row r="52" spans="4:11">
      <c r="D52" s="11">
        <v>46127</v>
      </c>
      <c r="E52" s="12">
        <v>1595090</v>
      </c>
      <c r="F52" s="12" t="s">
        <v>37</v>
      </c>
      <c r="G52" s="13">
        <v>20395131</v>
      </c>
      <c r="H52" s="12" t="s">
        <v>113</v>
      </c>
      <c r="I52" s="13">
        <v>4</v>
      </c>
      <c r="J52" s="14">
        <v>4</v>
      </c>
      <c r="K52" s="14">
        <f t="shared" si="1"/>
        <v>16</v>
      </c>
    </row>
    <row r="53" spans="4:11">
      <c r="D53" s="11">
        <v>46127</v>
      </c>
      <c r="E53" s="12">
        <v>1595253</v>
      </c>
      <c r="F53" s="12" t="s">
        <v>22</v>
      </c>
      <c r="G53" s="13">
        <v>20350624</v>
      </c>
      <c r="H53" s="12" t="s">
        <v>127</v>
      </c>
      <c r="I53" s="13">
        <v>1</v>
      </c>
      <c r="J53" s="14">
        <v>35</v>
      </c>
      <c r="K53" s="14">
        <f t="shared" si="1"/>
        <v>35</v>
      </c>
    </row>
    <row r="54" spans="4:11">
      <c r="D54" s="11">
        <v>46129</v>
      </c>
      <c r="E54" s="12">
        <v>1595902</v>
      </c>
      <c r="F54" s="12" t="s">
        <v>101</v>
      </c>
      <c r="G54" s="13">
        <v>20394167</v>
      </c>
      <c r="H54" s="12" t="s">
        <v>128</v>
      </c>
      <c r="I54" s="13">
        <v>1</v>
      </c>
      <c r="J54" s="14">
        <v>154</v>
      </c>
      <c r="K54" s="14">
        <f t="shared" si="1"/>
        <v>154</v>
      </c>
    </row>
    <row r="55" spans="4:11">
      <c r="D55" s="11">
        <v>46129</v>
      </c>
      <c r="E55" s="12">
        <v>1595902</v>
      </c>
      <c r="F55" s="12" t="s">
        <v>17</v>
      </c>
      <c r="G55" s="13">
        <v>20394191</v>
      </c>
      <c r="H55" s="12" t="s">
        <v>97</v>
      </c>
      <c r="I55" s="13">
        <v>1</v>
      </c>
      <c r="J55" s="14">
        <v>16.5</v>
      </c>
      <c r="K55" s="14">
        <f t="shared" si="1"/>
        <v>16.5</v>
      </c>
    </row>
    <row r="56" spans="4:11">
      <c r="D56" s="11">
        <v>46129</v>
      </c>
      <c r="E56" s="12">
        <v>1595902</v>
      </c>
      <c r="F56" s="12" t="s">
        <v>17</v>
      </c>
      <c r="G56" s="13">
        <v>20418735</v>
      </c>
      <c r="H56" s="12" t="s">
        <v>98</v>
      </c>
      <c r="I56" s="13">
        <v>1</v>
      </c>
      <c r="J56" s="14">
        <v>33</v>
      </c>
      <c r="K56" s="14">
        <f t="shared" si="1"/>
        <v>33</v>
      </c>
    </row>
    <row r="57" spans="4:11">
      <c r="D57" s="11">
        <v>46129</v>
      </c>
      <c r="E57" s="12">
        <v>1595902</v>
      </c>
      <c r="F57" s="12" t="s">
        <v>37</v>
      </c>
      <c r="G57" s="13">
        <v>20393913</v>
      </c>
      <c r="H57" s="12" t="s">
        <v>86</v>
      </c>
      <c r="I57" s="13">
        <v>20</v>
      </c>
      <c r="J57" s="14">
        <v>2.5</v>
      </c>
      <c r="K57" s="14">
        <f t="shared" si="1"/>
        <v>50</v>
      </c>
    </row>
    <row r="58" spans="4:11">
      <c r="D58" s="11">
        <v>46130</v>
      </c>
      <c r="E58" s="12">
        <v>1596039</v>
      </c>
      <c r="F58" s="12" t="s">
        <v>22</v>
      </c>
      <c r="G58" s="13">
        <v>20337635</v>
      </c>
      <c r="H58" s="12" t="s">
        <v>129</v>
      </c>
      <c r="I58" s="13">
        <v>1</v>
      </c>
      <c r="J58" s="14">
        <v>35</v>
      </c>
      <c r="K58" s="14">
        <f t="shared" si="1"/>
        <v>35</v>
      </c>
    </row>
    <row r="59" spans="4:11">
      <c r="D59" s="11">
        <v>46130</v>
      </c>
      <c r="E59" s="12">
        <v>1596039</v>
      </c>
      <c r="F59" s="12" t="s">
        <v>22</v>
      </c>
      <c r="G59" s="13">
        <v>20322055</v>
      </c>
      <c r="H59" s="12" t="s">
        <v>24</v>
      </c>
      <c r="I59" s="13">
        <v>1</v>
      </c>
      <c r="J59" s="14">
        <v>35</v>
      </c>
      <c r="K59" s="14">
        <f t="shared" si="1"/>
        <v>35</v>
      </c>
    </row>
    <row r="60" spans="4:11">
      <c r="D60" s="11">
        <v>46130</v>
      </c>
      <c r="E60" s="12">
        <v>1596039</v>
      </c>
      <c r="F60" s="12" t="s">
        <v>130</v>
      </c>
      <c r="G60" s="13">
        <v>20322192</v>
      </c>
      <c r="H60" s="12" t="s">
        <v>131</v>
      </c>
      <c r="I60" s="13">
        <v>1</v>
      </c>
      <c r="J60" s="14">
        <v>165</v>
      </c>
      <c r="K60" s="14">
        <f t="shared" si="1"/>
        <v>165</v>
      </c>
    </row>
    <row r="61" spans="4:11">
      <c r="D61" s="11">
        <v>46130</v>
      </c>
      <c r="E61" s="12">
        <v>1596054</v>
      </c>
      <c r="F61" s="12" t="s">
        <v>43</v>
      </c>
      <c r="G61" s="13">
        <v>20337896</v>
      </c>
      <c r="H61" s="12" t="s">
        <v>132</v>
      </c>
      <c r="I61" s="13">
        <v>1</v>
      </c>
      <c r="J61" s="14">
        <v>35</v>
      </c>
      <c r="K61" s="14">
        <f t="shared" si="1"/>
        <v>35</v>
      </c>
    </row>
    <row r="62" spans="4:11">
      <c r="D62" s="11">
        <v>46134</v>
      </c>
      <c r="E62" s="12">
        <v>1597215</v>
      </c>
      <c r="F62" s="12" t="s">
        <v>19</v>
      </c>
      <c r="G62" s="13">
        <v>20392732</v>
      </c>
      <c r="H62" s="12" t="s">
        <v>105</v>
      </c>
      <c r="I62" s="13">
        <v>2</v>
      </c>
      <c r="J62" s="14">
        <v>126.5</v>
      </c>
      <c r="K62" s="14">
        <f t="shared" si="1"/>
        <v>253</v>
      </c>
    </row>
    <row r="63" spans="4:11">
      <c r="D63" s="11">
        <v>46134</v>
      </c>
      <c r="E63" s="12">
        <v>1597215</v>
      </c>
      <c r="F63" s="12" t="s">
        <v>19</v>
      </c>
      <c r="G63" s="13">
        <v>20417119</v>
      </c>
      <c r="H63" s="12" t="s">
        <v>133</v>
      </c>
      <c r="I63" s="13">
        <v>1</v>
      </c>
      <c r="J63" s="14">
        <v>44</v>
      </c>
      <c r="K63" s="14">
        <f t="shared" si="1"/>
        <v>44</v>
      </c>
    </row>
    <row r="64" spans="4:11">
      <c r="D64" s="11">
        <v>46134</v>
      </c>
      <c r="E64" s="12">
        <v>1597215</v>
      </c>
      <c r="F64" s="12" t="s">
        <v>101</v>
      </c>
      <c r="G64" s="13">
        <v>20394249</v>
      </c>
      <c r="H64" s="12" t="s">
        <v>134</v>
      </c>
      <c r="I64" s="13">
        <v>1</v>
      </c>
      <c r="J64" s="14">
        <v>297</v>
      </c>
      <c r="K64" s="14">
        <f t="shared" si="1"/>
        <v>297</v>
      </c>
    </row>
    <row r="65" spans="4:11">
      <c r="D65" s="11">
        <v>46134</v>
      </c>
      <c r="E65" s="12">
        <v>1597215</v>
      </c>
      <c r="F65" s="12" t="s">
        <v>101</v>
      </c>
      <c r="G65" s="13">
        <v>20394229</v>
      </c>
      <c r="H65" s="12" t="s">
        <v>102</v>
      </c>
      <c r="I65" s="13">
        <v>1</v>
      </c>
      <c r="J65" s="14">
        <v>49.5</v>
      </c>
      <c r="K65" s="14">
        <f t="shared" si="1"/>
        <v>49.5</v>
      </c>
    </row>
    <row r="66" spans="4:11">
      <c r="D66" s="11">
        <v>46134</v>
      </c>
      <c r="E66" s="12">
        <v>1597215</v>
      </c>
      <c r="F66" s="12" t="s">
        <v>17</v>
      </c>
      <c r="G66" s="13">
        <v>20394191</v>
      </c>
      <c r="H66" s="12" t="s">
        <v>97</v>
      </c>
      <c r="I66" s="13">
        <v>2</v>
      </c>
      <c r="J66" s="14">
        <v>16.5</v>
      </c>
      <c r="K66" s="14">
        <f t="shared" si="1"/>
        <v>33</v>
      </c>
    </row>
    <row r="67" spans="4:11">
      <c r="D67" s="11">
        <v>46134</v>
      </c>
      <c r="E67" s="12">
        <v>1597215</v>
      </c>
      <c r="F67" s="12" t="s">
        <v>17</v>
      </c>
      <c r="G67" s="13">
        <v>20418735</v>
      </c>
      <c r="H67" s="12" t="s">
        <v>98</v>
      </c>
      <c r="I67" s="13">
        <v>2</v>
      </c>
      <c r="J67" s="14">
        <v>33</v>
      </c>
      <c r="K67" s="14">
        <f t="shared" si="1"/>
        <v>66</v>
      </c>
    </row>
    <row r="68" spans="4:11">
      <c r="D68" s="11">
        <v>46136</v>
      </c>
      <c r="E68" s="12">
        <v>1597915</v>
      </c>
      <c r="F68" s="12" t="s">
        <v>13</v>
      </c>
      <c r="G68" s="13">
        <v>20399392</v>
      </c>
      <c r="H68" s="12" t="s">
        <v>84</v>
      </c>
      <c r="I68" s="13">
        <v>1</v>
      </c>
      <c r="J68" s="14">
        <v>8</v>
      </c>
      <c r="K68" s="14">
        <f t="shared" si="1"/>
        <v>8</v>
      </c>
    </row>
    <row r="69" spans="4:11">
      <c r="D69" s="11">
        <v>46136</v>
      </c>
      <c r="E69" s="12">
        <v>1597915</v>
      </c>
      <c r="F69" s="12" t="s">
        <v>101</v>
      </c>
      <c r="G69" s="13">
        <v>20393731</v>
      </c>
      <c r="H69" s="12" t="s">
        <v>135</v>
      </c>
      <c r="I69" s="13">
        <v>1</v>
      </c>
      <c r="J69" s="14">
        <v>88</v>
      </c>
      <c r="K69" s="14">
        <f t="shared" si="1"/>
        <v>88</v>
      </c>
    </row>
    <row r="70" spans="4:11">
      <c r="D70" s="11">
        <v>46136</v>
      </c>
      <c r="E70" s="12">
        <v>1597915</v>
      </c>
      <c r="F70" s="12" t="s">
        <v>17</v>
      </c>
      <c r="G70" s="13">
        <v>20394191</v>
      </c>
      <c r="H70" s="12" t="s">
        <v>97</v>
      </c>
      <c r="I70" s="13">
        <v>2</v>
      </c>
      <c r="J70" s="14">
        <v>16.5</v>
      </c>
      <c r="K70" s="14">
        <f t="shared" si="1"/>
        <v>33</v>
      </c>
    </row>
    <row r="71" spans="4:11">
      <c r="D71" s="11">
        <v>46136</v>
      </c>
      <c r="E71" s="12">
        <v>1597915</v>
      </c>
      <c r="F71" s="12" t="s">
        <v>17</v>
      </c>
      <c r="G71" s="13">
        <v>20393724</v>
      </c>
      <c r="H71" s="12" t="s">
        <v>136</v>
      </c>
      <c r="I71" s="13">
        <v>1</v>
      </c>
      <c r="J71" s="14">
        <v>49.5</v>
      </c>
      <c r="K71" s="14">
        <f t="shared" si="1"/>
        <v>49.5</v>
      </c>
    </row>
    <row r="72" spans="4:11">
      <c r="D72" s="11">
        <v>46136</v>
      </c>
      <c r="E72" s="12">
        <v>1597915</v>
      </c>
      <c r="F72" s="12" t="s">
        <v>17</v>
      </c>
      <c r="G72" s="13">
        <v>20418735</v>
      </c>
      <c r="H72" s="12" t="s">
        <v>98</v>
      </c>
      <c r="I72" s="13">
        <v>2</v>
      </c>
      <c r="J72" s="14">
        <v>33</v>
      </c>
      <c r="K72" s="14">
        <f t="shared" si="1"/>
        <v>66</v>
      </c>
    </row>
    <row r="73" spans="4:11">
      <c r="D73" s="11">
        <v>46136</v>
      </c>
      <c r="E73" s="12">
        <v>1597915</v>
      </c>
      <c r="F73" s="12" t="s">
        <v>17</v>
      </c>
      <c r="G73" s="13">
        <v>20402656</v>
      </c>
      <c r="H73" s="12" t="s">
        <v>137</v>
      </c>
      <c r="I73" s="13">
        <v>1</v>
      </c>
      <c r="J73" s="14">
        <v>16.5</v>
      </c>
      <c r="K73" s="14">
        <f t="shared" si="1"/>
        <v>16.5</v>
      </c>
    </row>
    <row r="74" spans="4:11">
      <c r="D74" s="11">
        <v>46136</v>
      </c>
      <c r="E74" s="12">
        <v>1597953</v>
      </c>
      <c r="F74" s="12" t="s">
        <v>19</v>
      </c>
      <c r="G74" s="13">
        <v>20394144</v>
      </c>
      <c r="H74" s="12" t="s">
        <v>96</v>
      </c>
      <c r="I74" s="13">
        <v>2</v>
      </c>
      <c r="J74" s="14">
        <v>225.5</v>
      </c>
      <c r="K74" s="14">
        <f t="shared" ref="K74:K91" si="2">J74*I74</f>
        <v>451</v>
      </c>
    </row>
    <row r="75" spans="4:11">
      <c r="D75" s="11">
        <v>46136</v>
      </c>
      <c r="E75" s="12">
        <v>1597965</v>
      </c>
      <c r="F75" s="12" t="s">
        <v>22</v>
      </c>
      <c r="G75" s="13">
        <v>20350624</v>
      </c>
      <c r="H75" s="12" t="s">
        <v>127</v>
      </c>
      <c r="I75" s="13">
        <v>1</v>
      </c>
      <c r="J75" s="14">
        <v>35</v>
      </c>
      <c r="K75" s="14">
        <f t="shared" si="2"/>
        <v>35</v>
      </c>
    </row>
    <row r="76" spans="4:11">
      <c r="D76" s="11">
        <v>46139</v>
      </c>
      <c r="E76" s="12">
        <v>1598486</v>
      </c>
      <c r="F76" s="12" t="s">
        <v>19</v>
      </c>
      <c r="G76" s="13">
        <v>20394144</v>
      </c>
      <c r="H76" s="12" t="s">
        <v>96</v>
      </c>
      <c r="I76" s="13">
        <v>1</v>
      </c>
      <c r="J76" s="14">
        <v>225.5</v>
      </c>
      <c r="K76" s="14">
        <f t="shared" si="2"/>
        <v>225.5</v>
      </c>
    </row>
    <row r="77" spans="4:11">
      <c r="D77" s="11">
        <v>46139</v>
      </c>
      <c r="E77" s="12">
        <v>1598486</v>
      </c>
      <c r="F77" s="12" t="s">
        <v>17</v>
      </c>
      <c r="G77" s="13">
        <v>20394191</v>
      </c>
      <c r="H77" s="12" t="s">
        <v>97</v>
      </c>
      <c r="I77" s="13">
        <v>1</v>
      </c>
      <c r="J77" s="14">
        <v>16.5</v>
      </c>
      <c r="K77" s="14">
        <f t="shared" si="2"/>
        <v>16.5</v>
      </c>
    </row>
    <row r="78" spans="4:11">
      <c r="D78" s="11">
        <v>46139</v>
      </c>
      <c r="E78" s="12">
        <v>1598486</v>
      </c>
      <c r="F78" s="12" t="s">
        <v>17</v>
      </c>
      <c r="G78" s="13">
        <v>20418735</v>
      </c>
      <c r="H78" s="12" t="s">
        <v>98</v>
      </c>
      <c r="I78" s="13">
        <v>1</v>
      </c>
      <c r="J78" s="14">
        <v>33</v>
      </c>
      <c r="K78" s="14">
        <f t="shared" si="2"/>
        <v>33</v>
      </c>
    </row>
    <row r="79" spans="4:11">
      <c r="D79" s="11">
        <v>46140</v>
      </c>
      <c r="E79" s="12">
        <v>1598823</v>
      </c>
      <c r="F79" s="12" t="s">
        <v>19</v>
      </c>
      <c r="G79" s="13">
        <v>20392732</v>
      </c>
      <c r="H79" s="12" t="s">
        <v>105</v>
      </c>
      <c r="I79" s="13">
        <v>3</v>
      </c>
      <c r="J79" s="14">
        <v>126.5</v>
      </c>
      <c r="K79" s="14">
        <f t="shared" si="2"/>
        <v>379.5</v>
      </c>
    </row>
    <row r="80" spans="4:11">
      <c r="D80" s="11">
        <v>46140</v>
      </c>
      <c r="E80" s="12">
        <v>1598823</v>
      </c>
      <c r="F80" s="12" t="s">
        <v>101</v>
      </c>
      <c r="G80" s="13">
        <v>20394167</v>
      </c>
      <c r="H80" s="12" t="s">
        <v>128</v>
      </c>
      <c r="I80" s="13">
        <v>1</v>
      </c>
      <c r="J80" s="14">
        <v>154</v>
      </c>
      <c r="K80" s="14">
        <f t="shared" si="2"/>
        <v>154</v>
      </c>
    </row>
    <row r="81" spans="4:11">
      <c r="D81" s="11">
        <v>46140</v>
      </c>
      <c r="E81" s="12">
        <v>1598823</v>
      </c>
      <c r="F81" s="12" t="s">
        <v>101</v>
      </c>
      <c r="G81" s="13">
        <v>20404747</v>
      </c>
      <c r="H81" s="12" t="s">
        <v>138</v>
      </c>
      <c r="I81" s="13">
        <v>1</v>
      </c>
      <c r="J81" s="14">
        <v>104.5</v>
      </c>
      <c r="K81" s="14">
        <f t="shared" si="2"/>
        <v>104.5</v>
      </c>
    </row>
    <row r="82" spans="4:11">
      <c r="D82" s="11">
        <v>46140</v>
      </c>
      <c r="E82" s="12">
        <v>1598823</v>
      </c>
      <c r="F82" s="12" t="s">
        <v>17</v>
      </c>
      <c r="G82" s="13">
        <v>20394191</v>
      </c>
      <c r="H82" s="12" t="s">
        <v>97</v>
      </c>
      <c r="I82" s="13">
        <v>4</v>
      </c>
      <c r="J82" s="14">
        <v>16.5</v>
      </c>
      <c r="K82" s="14">
        <f t="shared" si="2"/>
        <v>66</v>
      </c>
    </row>
    <row r="83" spans="4:11">
      <c r="D83" s="11">
        <v>46140</v>
      </c>
      <c r="E83" s="12">
        <v>1598823</v>
      </c>
      <c r="F83" s="12" t="s">
        <v>17</v>
      </c>
      <c r="G83" s="13">
        <v>20394617</v>
      </c>
      <c r="H83" s="12" t="s">
        <v>112</v>
      </c>
      <c r="I83" s="13">
        <v>4</v>
      </c>
      <c r="J83" s="14">
        <v>33</v>
      </c>
      <c r="K83" s="14">
        <f t="shared" si="2"/>
        <v>132</v>
      </c>
    </row>
    <row r="84" spans="4:11">
      <c r="D84" s="11">
        <v>46140</v>
      </c>
      <c r="E84" s="12">
        <v>1598823</v>
      </c>
      <c r="F84" s="12" t="s">
        <v>37</v>
      </c>
      <c r="G84" s="13">
        <v>20395131</v>
      </c>
      <c r="H84" s="12" t="s">
        <v>113</v>
      </c>
      <c r="I84" s="13">
        <v>7</v>
      </c>
      <c r="J84" s="14">
        <v>4</v>
      </c>
      <c r="K84" s="14">
        <f t="shared" si="2"/>
        <v>28</v>
      </c>
    </row>
    <row r="85" spans="4:11">
      <c r="D85" s="11">
        <v>46140</v>
      </c>
      <c r="E85" s="12">
        <v>1598948</v>
      </c>
      <c r="F85" s="12" t="s">
        <v>22</v>
      </c>
      <c r="G85" s="13">
        <v>20337635</v>
      </c>
      <c r="H85" s="12" t="s">
        <v>129</v>
      </c>
      <c r="I85" s="13">
        <v>1</v>
      </c>
      <c r="J85" s="14">
        <v>35</v>
      </c>
      <c r="K85" s="14">
        <f t="shared" si="2"/>
        <v>35</v>
      </c>
    </row>
    <row r="86" spans="4:11">
      <c r="D86" s="11">
        <v>46140</v>
      </c>
      <c r="E86" s="12">
        <v>1598948</v>
      </c>
      <c r="F86" s="12" t="s">
        <v>22</v>
      </c>
      <c r="G86" s="13">
        <v>20322055</v>
      </c>
      <c r="H86" s="12" t="s">
        <v>24</v>
      </c>
      <c r="I86" s="13">
        <v>1</v>
      </c>
      <c r="J86" s="14">
        <v>35</v>
      </c>
      <c r="K86" s="14">
        <f t="shared" si="2"/>
        <v>35</v>
      </c>
    </row>
    <row r="87" spans="4:11">
      <c r="D87" s="11">
        <v>46141</v>
      </c>
      <c r="E87" s="12">
        <v>1599092</v>
      </c>
      <c r="F87" s="12" t="s">
        <v>130</v>
      </c>
      <c r="G87" s="13">
        <v>20322192</v>
      </c>
      <c r="H87" s="12" t="s">
        <v>131</v>
      </c>
      <c r="I87" s="13">
        <v>1</v>
      </c>
      <c r="J87" s="14">
        <v>165</v>
      </c>
      <c r="K87" s="14">
        <f t="shared" si="2"/>
        <v>165</v>
      </c>
    </row>
    <row r="88" spans="4:11">
      <c r="D88" s="11">
        <v>46141</v>
      </c>
      <c r="E88" s="12">
        <v>1599111</v>
      </c>
      <c r="F88" s="12" t="s">
        <v>43</v>
      </c>
      <c r="G88" s="13">
        <v>20337896</v>
      </c>
      <c r="H88" s="12" t="s">
        <v>132</v>
      </c>
      <c r="I88" s="13">
        <v>1</v>
      </c>
      <c r="J88" s="14">
        <v>35</v>
      </c>
      <c r="K88" s="14">
        <f t="shared" si="2"/>
        <v>35</v>
      </c>
    </row>
    <row r="89" spans="4:11">
      <c r="D89" s="11">
        <v>46142</v>
      </c>
      <c r="E89" s="12">
        <v>1599775</v>
      </c>
      <c r="F89" s="12" t="s">
        <v>19</v>
      </c>
      <c r="G89" s="13">
        <v>20394144</v>
      </c>
      <c r="H89" s="12" t="s">
        <v>96</v>
      </c>
      <c r="I89" s="13">
        <v>1</v>
      </c>
      <c r="J89" s="14">
        <v>225.5</v>
      </c>
      <c r="K89" s="14">
        <f t="shared" si="2"/>
        <v>225.5</v>
      </c>
    </row>
    <row r="90" spans="4:11">
      <c r="D90" s="11">
        <v>46142</v>
      </c>
      <c r="E90" s="12">
        <v>1599775</v>
      </c>
      <c r="F90" s="12" t="s">
        <v>17</v>
      </c>
      <c r="G90" s="13">
        <v>20394191</v>
      </c>
      <c r="H90" s="12" t="s">
        <v>97</v>
      </c>
      <c r="I90" s="13">
        <v>1</v>
      </c>
      <c r="J90" s="14">
        <v>16.5</v>
      </c>
      <c r="K90" s="14">
        <f t="shared" si="2"/>
        <v>16.5</v>
      </c>
    </row>
    <row r="91" spans="4:11">
      <c r="D91" s="11">
        <v>46142</v>
      </c>
      <c r="E91" s="12">
        <v>1599775</v>
      </c>
      <c r="F91" s="12" t="s">
        <v>17</v>
      </c>
      <c r="G91" s="13">
        <v>20418735</v>
      </c>
      <c r="H91" s="12" t="s">
        <v>98</v>
      </c>
      <c r="I91" s="13">
        <v>1</v>
      </c>
      <c r="J91" s="14">
        <v>33</v>
      </c>
      <c r="K91" s="14">
        <f t="shared" si="2"/>
        <v>33</v>
      </c>
    </row>
  </sheetData>
  <autoFilter xmlns:etc="http://www.wps.cn/officeDocument/2017/etCustomData" ref="A7:K91" etc:filterBottomFollowUsedRange="0">
    <extLst/>
  </autoFilter>
  <mergeCells count="5">
    <mergeCell ref="D8:H8"/>
    <mergeCell ref="C7:C91"/>
    <mergeCell ref="B4:H5"/>
    <mergeCell ref="A7:B9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12:57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9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139</v>
      </c>
      <c r="E8" s="8" t="s">
        <v>2</v>
      </c>
      <c r="F8" s="8" t="s">
        <v>2</v>
      </c>
      <c r="G8" s="8" t="s">
        <v>2</v>
      </c>
      <c r="H8" s="8" t="s">
        <v>2</v>
      </c>
      <c r="I8" s="9">
        <v>694</v>
      </c>
      <c r="J8" s="10"/>
      <c r="K8" s="10">
        <v>4810.5</v>
      </c>
    </row>
    <row r="9" spans="1:11">
      <c r="D9" s="11">
        <v>46113</v>
      </c>
      <c r="E9" s="12">
        <v>1591162</v>
      </c>
      <c r="F9" s="12" t="s">
        <v>13</v>
      </c>
      <c r="G9" s="13">
        <v>20394713</v>
      </c>
      <c r="H9" s="12" t="s">
        <v>80</v>
      </c>
      <c r="I9" s="13">
        <v>1</v>
      </c>
      <c r="J9" s="14">
        <v>8</v>
      </c>
      <c r="K9" s="14">
        <v>8</v>
      </c>
    </row>
    <row r="10" spans="1:11">
      <c r="D10" s="11">
        <v>46113</v>
      </c>
      <c r="E10" s="12">
        <v>1591162</v>
      </c>
      <c r="F10" s="12" t="s">
        <v>13</v>
      </c>
      <c r="G10" s="13">
        <v>20393716</v>
      </c>
      <c r="H10" s="12" t="s">
        <v>85</v>
      </c>
      <c r="I10" s="13">
        <v>1</v>
      </c>
      <c r="J10" s="14">
        <v>8</v>
      </c>
      <c r="K10" s="14">
        <v>8</v>
      </c>
    </row>
    <row r="11" spans="1:11">
      <c r="D11" s="11">
        <v>46113</v>
      </c>
      <c r="E11" s="12">
        <v>1591162</v>
      </c>
      <c r="F11" s="12" t="s">
        <v>13</v>
      </c>
      <c r="G11" s="13">
        <v>20393714</v>
      </c>
      <c r="H11" s="12" t="s">
        <v>35</v>
      </c>
      <c r="I11" s="13">
        <v>24</v>
      </c>
      <c r="J11" s="14">
        <v>8</v>
      </c>
      <c r="K11" s="14">
        <v>192</v>
      </c>
    </row>
    <row r="12" spans="1:11">
      <c r="D12" s="11">
        <v>46113</v>
      </c>
      <c r="E12" s="12">
        <v>1591162</v>
      </c>
      <c r="F12" s="12" t="s">
        <v>13</v>
      </c>
      <c r="G12" s="13">
        <v>20393717</v>
      </c>
      <c r="H12" s="12" t="s">
        <v>70</v>
      </c>
      <c r="I12" s="13">
        <v>3</v>
      </c>
      <c r="J12" s="14">
        <v>8</v>
      </c>
      <c r="K12" s="14">
        <v>24</v>
      </c>
    </row>
    <row r="13" spans="1:11">
      <c r="D13" s="11">
        <v>46113</v>
      </c>
      <c r="E13" s="12">
        <v>1591162</v>
      </c>
      <c r="F13" s="12" t="s">
        <v>17</v>
      </c>
      <c r="G13" s="13">
        <v>20393715</v>
      </c>
      <c r="H13" s="12" t="s">
        <v>140</v>
      </c>
      <c r="I13" s="13">
        <v>2</v>
      </c>
      <c r="J13" s="14">
        <v>27.5</v>
      </c>
      <c r="K13" s="14">
        <v>55</v>
      </c>
    </row>
    <row r="14" spans="1:11">
      <c r="D14" s="11">
        <v>46113</v>
      </c>
      <c r="E14" s="12">
        <v>1591162</v>
      </c>
      <c r="F14" s="12" t="s">
        <v>37</v>
      </c>
      <c r="G14" s="13">
        <v>20401662</v>
      </c>
      <c r="H14" s="12" t="s">
        <v>141</v>
      </c>
      <c r="I14" s="13">
        <v>100</v>
      </c>
      <c r="J14" s="14">
        <v>2.5</v>
      </c>
      <c r="K14" s="14">
        <v>250</v>
      </c>
    </row>
    <row r="15" spans="1:11">
      <c r="D15" s="11">
        <v>46113</v>
      </c>
      <c r="E15" s="12">
        <v>1591182</v>
      </c>
      <c r="F15" s="12" t="s">
        <v>13</v>
      </c>
      <c r="G15" s="13">
        <v>20393714</v>
      </c>
      <c r="H15" s="12" t="s">
        <v>35</v>
      </c>
      <c r="I15" s="13">
        <v>1</v>
      </c>
      <c r="J15" s="14">
        <v>8</v>
      </c>
      <c r="K15" s="14">
        <v>8</v>
      </c>
    </row>
    <row r="16" spans="1:11">
      <c r="D16" s="11">
        <v>46115</v>
      </c>
      <c r="E16" s="12">
        <v>1591923</v>
      </c>
      <c r="F16" s="12" t="s">
        <v>13</v>
      </c>
      <c r="G16" s="13">
        <v>20394713</v>
      </c>
      <c r="H16" s="12" t="s">
        <v>80</v>
      </c>
      <c r="I16" s="13">
        <v>2</v>
      </c>
      <c r="J16" s="14">
        <v>8</v>
      </c>
      <c r="K16" s="14">
        <v>16</v>
      </c>
    </row>
    <row r="17" spans="4:11">
      <c r="D17" s="11">
        <v>46115</v>
      </c>
      <c r="E17" s="12">
        <v>1591923</v>
      </c>
      <c r="F17" s="12" t="s">
        <v>13</v>
      </c>
      <c r="G17" s="13">
        <v>20393901</v>
      </c>
      <c r="H17" s="12" t="s">
        <v>30</v>
      </c>
      <c r="I17" s="13">
        <v>2</v>
      </c>
      <c r="J17" s="14">
        <v>8</v>
      </c>
      <c r="K17" s="14">
        <v>16</v>
      </c>
    </row>
    <row r="18" spans="4:11">
      <c r="D18" s="11">
        <v>46115</v>
      </c>
      <c r="E18" s="12">
        <v>1591923</v>
      </c>
      <c r="F18" s="12" t="s">
        <v>13</v>
      </c>
      <c r="G18" s="13">
        <v>20393714</v>
      </c>
      <c r="H18" s="12" t="s">
        <v>35</v>
      </c>
      <c r="I18" s="13">
        <v>16</v>
      </c>
      <c r="J18" s="14">
        <v>8</v>
      </c>
      <c r="K18" s="14">
        <v>128</v>
      </c>
    </row>
    <row r="19" spans="4:11">
      <c r="D19" s="11">
        <v>46115</v>
      </c>
      <c r="E19" s="12">
        <v>1591923</v>
      </c>
      <c r="F19" s="12" t="s">
        <v>13</v>
      </c>
      <c r="G19" s="13">
        <v>20393717</v>
      </c>
      <c r="H19" s="12" t="s">
        <v>70</v>
      </c>
      <c r="I19" s="13">
        <v>1</v>
      </c>
      <c r="J19" s="14">
        <v>8</v>
      </c>
      <c r="K19" s="14">
        <v>8</v>
      </c>
    </row>
    <row r="20" spans="4:11">
      <c r="D20" s="11">
        <v>46115</v>
      </c>
      <c r="E20" s="12">
        <v>1591923</v>
      </c>
      <c r="F20" s="12" t="s">
        <v>17</v>
      </c>
      <c r="G20" s="13">
        <v>20393715</v>
      </c>
      <c r="H20" s="12" t="s">
        <v>140</v>
      </c>
      <c r="I20" s="13">
        <v>1</v>
      </c>
      <c r="J20" s="14">
        <v>27.5</v>
      </c>
      <c r="K20" s="14">
        <v>27.5</v>
      </c>
    </row>
    <row r="21" spans="4:11">
      <c r="D21" s="11">
        <v>46118</v>
      </c>
      <c r="E21" s="12">
        <v>1592349</v>
      </c>
      <c r="F21" s="12" t="s">
        <v>13</v>
      </c>
      <c r="G21" s="13">
        <v>20394713</v>
      </c>
      <c r="H21" s="12" t="s">
        <v>80</v>
      </c>
      <c r="I21" s="13">
        <v>1</v>
      </c>
      <c r="J21" s="14">
        <v>8</v>
      </c>
      <c r="K21" s="14">
        <v>8</v>
      </c>
    </row>
    <row r="22" spans="4:11">
      <c r="D22" s="11">
        <v>46118</v>
      </c>
      <c r="E22" s="12">
        <v>1592349</v>
      </c>
      <c r="F22" s="12" t="s">
        <v>13</v>
      </c>
      <c r="G22" s="13">
        <v>20393716</v>
      </c>
      <c r="H22" s="12" t="s">
        <v>85</v>
      </c>
      <c r="I22" s="13">
        <v>3</v>
      </c>
      <c r="J22" s="14">
        <v>8</v>
      </c>
      <c r="K22" s="14">
        <v>24</v>
      </c>
    </row>
    <row r="23" spans="4:11">
      <c r="D23" s="11">
        <v>46118</v>
      </c>
      <c r="E23" s="12">
        <v>1592349</v>
      </c>
      <c r="F23" s="12" t="s">
        <v>13</v>
      </c>
      <c r="G23" s="13">
        <v>20393714</v>
      </c>
      <c r="H23" s="12" t="s">
        <v>35</v>
      </c>
      <c r="I23" s="13">
        <v>22</v>
      </c>
      <c r="J23" s="14">
        <v>8</v>
      </c>
      <c r="K23" s="14">
        <v>176</v>
      </c>
    </row>
    <row r="24" spans="4:11">
      <c r="D24" s="11">
        <v>46118</v>
      </c>
      <c r="E24" s="12">
        <v>1592349</v>
      </c>
      <c r="F24" s="12" t="s">
        <v>13</v>
      </c>
      <c r="G24" s="13">
        <v>20393570</v>
      </c>
      <c r="H24" s="12" t="s">
        <v>142</v>
      </c>
      <c r="I24" s="13">
        <v>1</v>
      </c>
      <c r="J24" s="14">
        <v>16</v>
      </c>
      <c r="K24" s="14">
        <v>16</v>
      </c>
    </row>
    <row r="25" spans="4:11">
      <c r="D25" s="11">
        <v>46118</v>
      </c>
      <c r="E25" s="12">
        <v>1592349</v>
      </c>
      <c r="F25" s="12" t="s">
        <v>13</v>
      </c>
      <c r="G25" s="13">
        <v>20393717</v>
      </c>
      <c r="H25" s="12" t="s">
        <v>70</v>
      </c>
      <c r="I25" s="13">
        <v>3</v>
      </c>
      <c r="J25" s="14">
        <v>8</v>
      </c>
      <c r="K25" s="14">
        <v>24</v>
      </c>
    </row>
    <row r="26" spans="4:11">
      <c r="D26" s="11">
        <v>46118</v>
      </c>
      <c r="E26" s="12">
        <v>1592349</v>
      </c>
      <c r="F26" s="12" t="s">
        <v>17</v>
      </c>
      <c r="G26" s="13">
        <v>20394247</v>
      </c>
      <c r="H26" s="12" t="s">
        <v>143</v>
      </c>
      <c r="I26" s="13">
        <v>1</v>
      </c>
      <c r="J26" s="14">
        <v>16.5</v>
      </c>
      <c r="K26" s="14">
        <v>16.5</v>
      </c>
    </row>
    <row r="27" spans="4:11">
      <c r="D27" s="11">
        <v>46118</v>
      </c>
      <c r="E27" s="12">
        <v>1592349</v>
      </c>
      <c r="F27" s="12" t="s">
        <v>17</v>
      </c>
      <c r="G27" s="13">
        <v>20393715</v>
      </c>
      <c r="H27" s="12" t="s">
        <v>140</v>
      </c>
      <c r="I27" s="13">
        <v>4</v>
      </c>
      <c r="J27" s="14">
        <v>27.5</v>
      </c>
      <c r="K27" s="14">
        <v>110</v>
      </c>
    </row>
    <row r="28" spans="4:11">
      <c r="D28" s="11">
        <v>46119</v>
      </c>
      <c r="E28" s="12">
        <v>1592581</v>
      </c>
      <c r="F28" s="12" t="s">
        <v>13</v>
      </c>
      <c r="G28" s="13">
        <v>20394713</v>
      </c>
      <c r="H28" s="12" t="s">
        <v>80</v>
      </c>
      <c r="I28" s="13">
        <v>2</v>
      </c>
      <c r="J28" s="14">
        <v>8</v>
      </c>
      <c r="K28" s="14">
        <v>16</v>
      </c>
    </row>
    <row r="29" spans="4:11">
      <c r="D29" s="11">
        <v>46119</v>
      </c>
      <c r="E29" s="12">
        <v>1592581</v>
      </c>
      <c r="F29" s="12" t="s">
        <v>13</v>
      </c>
      <c r="G29" s="13">
        <v>20393716</v>
      </c>
      <c r="H29" s="12" t="s">
        <v>85</v>
      </c>
      <c r="I29" s="13">
        <v>1</v>
      </c>
      <c r="J29" s="14">
        <v>8</v>
      </c>
      <c r="K29" s="14">
        <v>8</v>
      </c>
    </row>
    <row r="30" spans="4:11">
      <c r="D30" s="11">
        <v>46119</v>
      </c>
      <c r="E30" s="12">
        <v>1592581</v>
      </c>
      <c r="F30" s="12" t="s">
        <v>13</v>
      </c>
      <c r="G30" s="13">
        <v>20393714</v>
      </c>
      <c r="H30" s="12" t="s">
        <v>35</v>
      </c>
      <c r="I30" s="13">
        <v>16</v>
      </c>
      <c r="J30" s="14">
        <v>8</v>
      </c>
      <c r="K30" s="14">
        <v>128</v>
      </c>
    </row>
    <row r="31" spans="4:11">
      <c r="D31" s="11">
        <v>46119</v>
      </c>
      <c r="E31" s="12">
        <v>1592581</v>
      </c>
      <c r="F31" s="12" t="s">
        <v>13</v>
      </c>
      <c r="G31" s="13">
        <v>20393911</v>
      </c>
      <c r="H31" s="12" t="s">
        <v>144</v>
      </c>
      <c r="I31" s="13">
        <v>1</v>
      </c>
      <c r="J31" s="14">
        <v>13</v>
      </c>
      <c r="K31" s="14">
        <v>13</v>
      </c>
    </row>
    <row r="32" spans="4:11">
      <c r="D32" s="11">
        <v>46119</v>
      </c>
      <c r="E32" s="12">
        <v>1592581</v>
      </c>
      <c r="F32" s="12" t="s">
        <v>13</v>
      </c>
      <c r="G32" s="13">
        <v>20393570</v>
      </c>
      <c r="H32" s="12" t="s">
        <v>142</v>
      </c>
      <c r="I32" s="13">
        <v>3</v>
      </c>
      <c r="J32" s="14">
        <v>16</v>
      </c>
      <c r="K32" s="14">
        <v>48</v>
      </c>
    </row>
    <row r="33" spans="4:11">
      <c r="D33" s="11">
        <v>46119</v>
      </c>
      <c r="E33" s="12">
        <v>1592581</v>
      </c>
      <c r="F33" s="12" t="s">
        <v>17</v>
      </c>
      <c r="G33" s="13">
        <v>20420344</v>
      </c>
      <c r="H33" s="12" t="s">
        <v>145</v>
      </c>
      <c r="I33" s="13">
        <v>1</v>
      </c>
      <c r="J33" s="14">
        <v>33</v>
      </c>
      <c r="K33" s="14">
        <v>33</v>
      </c>
    </row>
    <row r="34" spans="4:11">
      <c r="D34" s="11">
        <v>46120</v>
      </c>
      <c r="E34" s="12">
        <v>1592925</v>
      </c>
      <c r="F34" s="12" t="s">
        <v>13</v>
      </c>
      <c r="G34" s="13">
        <v>20393714</v>
      </c>
      <c r="H34" s="12" t="s">
        <v>35</v>
      </c>
      <c r="I34" s="13">
        <v>6</v>
      </c>
      <c r="J34" s="14">
        <v>8</v>
      </c>
      <c r="K34" s="14">
        <v>48</v>
      </c>
    </row>
    <row r="35" spans="4:11">
      <c r="D35" s="11">
        <v>46120</v>
      </c>
      <c r="E35" s="12">
        <v>1592925</v>
      </c>
      <c r="F35" s="12" t="s">
        <v>13</v>
      </c>
      <c r="G35" s="13">
        <v>20393570</v>
      </c>
      <c r="H35" s="12" t="s">
        <v>142</v>
      </c>
      <c r="I35" s="13">
        <v>1</v>
      </c>
      <c r="J35" s="14">
        <v>16</v>
      </c>
      <c r="K35" s="14">
        <v>16</v>
      </c>
    </row>
    <row r="36" spans="4:11">
      <c r="D36" s="11">
        <v>46120</v>
      </c>
      <c r="E36" s="12">
        <v>1592925</v>
      </c>
      <c r="F36" s="12" t="s">
        <v>13</v>
      </c>
      <c r="G36" s="13">
        <v>20393717</v>
      </c>
      <c r="H36" s="12" t="s">
        <v>70</v>
      </c>
      <c r="I36" s="13">
        <v>5</v>
      </c>
      <c r="J36" s="14">
        <v>8</v>
      </c>
      <c r="K36" s="14">
        <v>40</v>
      </c>
    </row>
    <row r="37" spans="4:11">
      <c r="D37" s="11">
        <v>46120</v>
      </c>
      <c r="E37" s="12">
        <v>1592925</v>
      </c>
      <c r="F37" s="12" t="s">
        <v>17</v>
      </c>
      <c r="G37" s="13">
        <v>20393715</v>
      </c>
      <c r="H37" s="12" t="s">
        <v>140</v>
      </c>
      <c r="I37" s="13">
        <v>1</v>
      </c>
      <c r="J37" s="14">
        <v>27.5</v>
      </c>
      <c r="K37" s="14">
        <v>27.5</v>
      </c>
    </row>
    <row r="38" spans="4:11">
      <c r="D38" s="11">
        <v>46120</v>
      </c>
      <c r="E38" s="12">
        <v>1592925</v>
      </c>
      <c r="F38" s="12" t="s">
        <v>17</v>
      </c>
      <c r="G38" s="13">
        <v>20393910</v>
      </c>
      <c r="H38" s="12" t="s">
        <v>146</v>
      </c>
      <c r="I38" s="13">
        <v>1</v>
      </c>
      <c r="J38" s="14">
        <v>16.5</v>
      </c>
      <c r="K38" s="14">
        <v>16.5</v>
      </c>
    </row>
    <row r="39" spans="4:11">
      <c r="D39" s="11">
        <v>46122</v>
      </c>
      <c r="E39" s="12">
        <v>1593770</v>
      </c>
      <c r="F39" s="12" t="s">
        <v>13</v>
      </c>
      <c r="G39" s="13">
        <v>20394713</v>
      </c>
      <c r="H39" s="12" t="s">
        <v>80</v>
      </c>
      <c r="I39" s="13">
        <v>2</v>
      </c>
      <c r="J39" s="14">
        <v>8</v>
      </c>
      <c r="K39" s="14">
        <v>16</v>
      </c>
    </row>
    <row r="40" spans="4:11">
      <c r="D40" s="11">
        <v>46122</v>
      </c>
      <c r="E40" s="12">
        <v>1593770</v>
      </c>
      <c r="F40" s="12" t="s">
        <v>13</v>
      </c>
      <c r="G40" s="13">
        <v>20393714</v>
      </c>
      <c r="H40" s="12" t="s">
        <v>35</v>
      </c>
      <c r="I40" s="13">
        <v>12</v>
      </c>
      <c r="J40" s="14">
        <v>8</v>
      </c>
      <c r="K40" s="14">
        <v>96</v>
      </c>
    </row>
    <row r="41" spans="4:11">
      <c r="D41" s="11">
        <v>46122</v>
      </c>
      <c r="E41" s="12">
        <v>1593770</v>
      </c>
      <c r="F41" s="12" t="s">
        <v>17</v>
      </c>
      <c r="G41" s="13">
        <v>20393715</v>
      </c>
      <c r="H41" s="12" t="s">
        <v>140</v>
      </c>
      <c r="I41" s="13">
        <v>2</v>
      </c>
      <c r="J41" s="14">
        <v>27.5</v>
      </c>
      <c r="K41" s="14">
        <v>55</v>
      </c>
    </row>
    <row r="42" spans="4:11">
      <c r="D42" s="11">
        <v>46125</v>
      </c>
      <c r="E42" s="12">
        <v>1594332</v>
      </c>
      <c r="F42" s="12" t="s">
        <v>13</v>
      </c>
      <c r="G42" s="13">
        <v>20393714</v>
      </c>
      <c r="H42" s="12" t="s">
        <v>35</v>
      </c>
      <c r="I42" s="13">
        <v>13</v>
      </c>
      <c r="J42" s="14">
        <v>8</v>
      </c>
      <c r="K42" s="14">
        <v>104</v>
      </c>
    </row>
    <row r="43" spans="4:11">
      <c r="D43" s="11">
        <v>46125</v>
      </c>
      <c r="E43" s="12">
        <v>1594332</v>
      </c>
      <c r="F43" s="12" t="s">
        <v>13</v>
      </c>
      <c r="G43" s="13">
        <v>20393717</v>
      </c>
      <c r="H43" s="12" t="s">
        <v>70</v>
      </c>
      <c r="I43" s="13">
        <v>3</v>
      </c>
      <c r="J43" s="14">
        <v>8</v>
      </c>
      <c r="K43" s="14">
        <v>24</v>
      </c>
    </row>
    <row r="44" spans="4:11">
      <c r="D44" s="11">
        <v>46125</v>
      </c>
      <c r="E44" s="12">
        <v>1594332</v>
      </c>
      <c r="F44" s="12" t="s">
        <v>17</v>
      </c>
      <c r="G44" s="13">
        <v>20393715</v>
      </c>
      <c r="H44" s="12" t="s">
        <v>140</v>
      </c>
      <c r="I44" s="13">
        <v>4</v>
      </c>
      <c r="J44" s="14">
        <v>27.5</v>
      </c>
      <c r="K44" s="14">
        <v>110</v>
      </c>
    </row>
    <row r="45" spans="4:11">
      <c r="D45" s="11">
        <v>46125</v>
      </c>
      <c r="E45" s="12">
        <v>1594332</v>
      </c>
      <c r="F45" s="12" t="s">
        <v>37</v>
      </c>
      <c r="G45" s="13">
        <v>20401662</v>
      </c>
      <c r="H45" s="12" t="s">
        <v>141</v>
      </c>
      <c r="I45" s="13">
        <v>100</v>
      </c>
      <c r="J45" s="14">
        <v>2.5</v>
      </c>
      <c r="K45" s="14">
        <v>250</v>
      </c>
    </row>
    <row r="46" spans="4:11">
      <c r="D46" s="11">
        <v>46125</v>
      </c>
      <c r="E46" s="12">
        <v>1594466</v>
      </c>
      <c r="F46" s="12" t="s">
        <v>13</v>
      </c>
      <c r="G46" s="13">
        <v>20393716</v>
      </c>
      <c r="H46" s="12" t="s">
        <v>85</v>
      </c>
      <c r="I46" s="13">
        <v>2</v>
      </c>
      <c r="J46" s="14">
        <v>8</v>
      </c>
      <c r="K46" s="14">
        <v>16</v>
      </c>
    </row>
    <row r="47" spans="4:11">
      <c r="D47" s="11">
        <v>46125</v>
      </c>
      <c r="E47" s="12">
        <v>1594466</v>
      </c>
      <c r="F47" s="12" t="s">
        <v>13</v>
      </c>
      <c r="G47" s="13">
        <v>20392853</v>
      </c>
      <c r="H47" s="12" t="s">
        <v>29</v>
      </c>
      <c r="I47" s="13">
        <v>1</v>
      </c>
      <c r="J47" s="14">
        <v>8</v>
      </c>
      <c r="K47" s="14">
        <v>8</v>
      </c>
    </row>
    <row r="48" spans="4:11">
      <c r="D48" s="11">
        <v>46125</v>
      </c>
      <c r="E48" s="12">
        <v>1594466</v>
      </c>
      <c r="F48" s="12" t="s">
        <v>13</v>
      </c>
      <c r="G48" s="13">
        <v>20393901</v>
      </c>
      <c r="H48" s="12" t="s">
        <v>30</v>
      </c>
      <c r="I48" s="13">
        <v>1</v>
      </c>
      <c r="J48" s="14">
        <v>8</v>
      </c>
      <c r="K48" s="14">
        <v>8</v>
      </c>
    </row>
    <row r="49" spans="4:11">
      <c r="D49" s="11">
        <v>46125</v>
      </c>
      <c r="E49" s="12">
        <v>1594466</v>
      </c>
      <c r="F49" s="12" t="s">
        <v>13</v>
      </c>
      <c r="G49" s="13">
        <v>20393714</v>
      </c>
      <c r="H49" s="12" t="s">
        <v>35</v>
      </c>
      <c r="I49" s="13">
        <v>1</v>
      </c>
      <c r="J49" s="14">
        <v>8</v>
      </c>
      <c r="K49" s="14">
        <v>8</v>
      </c>
    </row>
    <row r="50" spans="4:11">
      <c r="D50" s="11">
        <v>46125</v>
      </c>
      <c r="E50" s="12">
        <v>1594466</v>
      </c>
      <c r="F50" s="12" t="s">
        <v>13</v>
      </c>
      <c r="G50" s="13">
        <v>20393717</v>
      </c>
      <c r="H50" s="12" t="s">
        <v>70</v>
      </c>
      <c r="I50" s="13">
        <v>1</v>
      </c>
      <c r="J50" s="14">
        <v>8</v>
      </c>
      <c r="K50" s="14">
        <v>8</v>
      </c>
    </row>
    <row r="51" spans="4:11">
      <c r="D51" s="11">
        <v>46127</v>
      </c>
      <c r="E51" s="12">
        <v>1595091</v>
      </c>
      <c r="F51" s="12" t="s">
        <v>13</v>
      </c>
      <c r="G51" s="13">
        <v>20394713</v>
      </c>
      <c r="H51" s="12" t="s">
        <v>80</v>
      </c>
      <c r="I51" s="13">
        <v>1</v>
      </c>
      <c r="J51" s="14">
        <v>8</v>
      </c>
      <c r="K51" s="14">
        <v>8</v>
      </c>
    </row>
    <row r="52" spans="4:11">
      <c r="D52" s="11">
        <v>46127</v>
      </c>
      <c r="E52" s="12">
        <v>1595091</v>
      </c>
      <c r="F52" s="12" t="s">
        <v>13</v>
      </c>
      <c r="G52" s="13">
        <v>20393901</v>
      </c>
      <c r="H52" s="12" t="s">
        <v>30</v>
      </c>
      <c r="I52" s="13">
        <v>1</v>
      </c>
      <c r="J52" s="14">
        <v>8</v>
      </c>
      <c r="K52" s="14">
        <v>8</v>
      </c>
    </row>
    <row r="53" spans="4:11">
      <c r="D53" s="11">
        <v>46127</v>
      </c>
      <c r="E53" s="12">
        <v>1595091</v>
      </c>
      <c r="F53" s="12" t="s">
        <v>13</v>
      </c>
      <c r="G53" s="13">
        <v>20393714</v>
      </c>
      <c r="H53" s="12" t="s">
        <v>35</v>
      </c>
      <c r="I53" s="13">
        <v>23</v>
      </c>
      <c r="J53" s="14">
        <v>8</v>
      </c>
      <c r="K53" s="14">
        <v>184</v>
      </c>
    </row>
    <row r="54" spans="4:11">
      <c r="D54" s="11">
        <v>46129</v>
      </c>
      <c r="E54" s="12">
        <v>1595903</v>
      </c>
      <c r="F54" s="12" t="s">
        <v>13</v>
      </c>
      <c r="G54" s="13">
        <v>20405104</v>
      </c>
      <c r="H54" s="12" t="s">
        <v>147</v>
      </c>
      <c r="I54" s="13">
        <v>1</v>
      </c>
      <c r="J54" s="14">
        <v>13</v>
      </c>
      <c r="K54" s="14">
        <v>13</v>
      </c>
    </row>
    <row r="55" spans="4:11">
      <c r="D55" s="11">
        <v>46129</v>
      </c>
      <c r="E55" s="12">
        <v>1595903</v>
      </c>
      <c r="F55" s="12" t="s">
        <v>13</v>
      </c>
      <c r="G55" s="13">
        <v>20393901</v>
      </c>
      <c r="H55" s="12" t="s">
        <v>30</v>
      </c>
      <c r="I55" s="13">
        <v>2</v>
      </c>
      <c r="J55" s="14">
        <v>8</v>
      </c>
      <c r="K55" s="14">
        <v>16</v>
      </c>
    </row>
    <row r="56" spans="4:11">
      <c r="D56" s="11">
        <v>46129</v>
      </c>
      <c r="E56" s="12">
        <v>1595903</v>
      </c>
      <c r="F56" s="12" t="s">
        <v>13</v>
      </c>
      <c r="G56" s="13">
        <v>20393714</v>
      </c>
      <c r="H56" s="12" t="s">
        <v>35</v>
      </c>
      <c r="I56" s="13">
        <v>18</v>
      </c>
      <c r="J56" s="14">
        <v>8</v>
      </c>
      <c r="K56" s="14">
        <v>144</v>
      </c>
    </row>
    <row r="57" spans="4:11">
      <c r="D57" s="11">
        <v>46129</v>
      </c>
      <c r="E57" s="12">
        <v>1595903</v>
      </c>
      <c r="F57" s="12" t="s">
        <v>13</v>
      </c>
      <c r="G57" s="13">
        <v>20393570</v>
      </c>
      <c r="H57" s="12" t="s">
        <v>142</v>
      </c>
      <c r="I57" s="13">
        <v>4</v>
      </c>
      <c r="J57" s="14">
        <v>16</v>
      </c>
      <c r="K57" s="14">
        <v>64</v>
      </c>
    </row>
    <row r="58" spans="4:11">
      <c r="D58" s="11">
        <v>46129</v>
      </c>
      <c r="E58" s="12">
        <v>1595903</v>
      </c>
      <c r="F58" s="12" t="s">
        <v>13</v>
      </c>
      <c r="G58" s="13">
        <v>20393717</v>
      </c>
      <c r="H58" s="12" t="s">
        <v>70</v>
      </c>
      <c r="I58" s="13">
        <v>2</v>
      </c>
      <c r="J58" s="14">
        <v>8</v>
      </c>
      <c r="K58" s="14">
        <v>16</v>
      </c>
    </row>
    <row r="59" spans="4:11">
      <c r="D59" s="11">
        <v>46129</v>
      </c>
      <c r="E59" s="12">
        <v>1595903</v>
      </c>
      <c r="F59" s="12" t="s">
        <v>17</v>
      </c>
      <c r="G59" s="13">
        <v>20393903</v>
      </c>
      <c r="H59" s="12" t="s">
        <v>148</v>
      </c>
      <c r="I59" s="13">
        <v>1</v>
      </c>
      <c r="J59" s="14">
        <v>60.5</v>
      </c>
      <c r="K59" s="14">
        <v>60.5</v>
      </c>
    </row>
    <row r="60" spans="4:11">
      <c r="D60" s="11">
        <v>46129</v>
      </c>
      <c r="E60" s="12">
        <v>1595903</v>
      </c>
      <c r="F60" s="12" t="s">
        <v>17</v>
      </c>
      <c r="G60" s="13">
        <v>20393715</v>
      </c>
      <c r="H60" s="12" t="s">
        <v>140</v>
      </c>
      <c r="I60" s="13">
        <v>3</v>
      </c>
      <c r="J60" s="14">
        <v>27.5</v>
      </c>
      <c r="K60" s="14">
        <v>82.5</v>
      </c>
    </row>
    <row r="61" spans="4:11">
      <c r="D61" s="11">
        <v>46129</v>
      </c>
      <c r="E61" s="12">
        <v>1595903</v>
      </c>
      <c r="F61" s="12" t="s">
        <v>17</v>
      </c>
      <c r="G61" s="13">
        <v>20393910</v>
      </c>
      <c r="H61" s="12" t="s">
        <v>146</v>
      </c>
      <c r="I61" s="13">
        <v>1</v>
      </c>
      <c r="J61" s="14">
        <v>16.5</v>
      </c>
      <c r="K61" s="14">
        <v>16.5</v>
      </c>
    </row>
    <row r="62" spans="4:11">
      <c r="D62" s="11">
        <v>46132</v>
      </c>
      <c r="E62" s="12">
        <v>1596451</v>
      </c>
      <c r="F62" s="12" t="s">
        <v>13</v>
      </c>
      <c r="G62" s="13">
        <v>20394713</v>
      </c>
      <c r="H62" s="12" t="s">
        <v>80</v>
      </c>
      <c r="I62" s="13">
        <v>4</v>
      </c>
      <c r="J62" s="14">
        <v>8</v>
      </c>
      <c r="K62" s="14">
        <v>32</v>
      </c>
    </row>
    <row r="63" spans="4:11">
      <c r="D63" s="11">
        <v>46132</v>
      </c>
      <c r="E63" s="12">
        <v>1596451</v>
      </c>
      <c r="F63" s="12" t="s">
        <v>13</v>
      </c>
      <c r="G63" s="13">
        <v>20392853</v>
      </c>
      <c r="H63" s="12" t="s">
        <v>29</v>
      </c>
      <c r="I63" s="13">
        <v>1</v>
      </c>
      <c r="J63" s="14">
        <v>8</v>
      </c>
      <c r="K63" s="14">
        <v>8</v>
      </c>
    </row>
    <row r="64" spans="4:11">
      <c r="D64" s="11">
        <v>46132</v>
      </c>
      <c r="E64" s="12">
        <v>1596451</v>
      </c>
      <c r="F64" s="12" t="s">
        <v>13</v>
      </c>
      <c r="G64" s="13">
        <v>20393901</v>
      </c>
      <c r="H64" s="12" t="s">
        <v>30</v>
      </c>
      <c r="I64" s="13">
        <v>2</v>
      </c>
      <c r="J64" s="14">
        <v>8</v>
      </c>
      <c r="K64" s="14">
        <v>16</v>
      </c>
    </row>
    <row r="65" spans="4:11">
      <c r="D65" s="11">
        <v>46132</v>
      </c>
      <c r="E65" s="12">
        <v>1596451</v>
      </c>
      <c r="F65" s="12" t="s">
        <v>13</v>
      </c>
      <c r="G65" s="13">
        <v>20393714</v>
      </c>
      <c r="H65" s="12" t="s">
        <v>35</v>
      </c>
      <c r="I65" s="13">
        <v>13</v>
      </c>
      <c r="J65" s="14">
        <v>8</v>
      </c>
      <c r="K65" s="14">
        <v>104</v>
      </c>
    </row>
    <row r="66" spans="4:11">
      <c r="D66" s="11">
        <v>46132</v>
      </c>
      <c r="E66" s="12">
        <v>1596451</v>
      </c>
      <c r="F66" s="12" t="s">
        <v>13</v>
      </c>
      <c r="G66" s="13">
        <v>20393717</v>
      </c>
      <c r="H66" s="12" t="s">
        <v>70</v>
      </c>
      <c r="I66" s="13">
        <v>4</v>
      </c>
      <c r="J66" s="14">
        <v>8</v>
      </c>
      <c r="K66" s="14">
        <v>32</v>
      </c>
    </row>
    <row r="67" spans="4:11">
      <c r="D67" s="11">
        <v>46132</v>
      </c>
      <c r="E67" s="12">
        <v>1596451</v>
      </c>
      <c r="F67" s="12" t="s">
        <v>17</v>
      </c>
      <c r="G67" s="13">
        <v>20393715</v>
      </c>
      <c r="H67" s="12" t="s">
        <v>140</v>
      </c>
      <c r="I67" s="13">
        <v>3</v>
      </c>
      <c r="J67" s="14">
        <v>27.5</v>
      </c>
      <c r="K67" s="14">
        <v>82.5</v>
      </c>
    </row>
    <row r="68" spans="4:11">
      <c r="D68" s="11">
        <v>46132</v>
      </c>
      <c r="E68" s="12">
        <v>1596451</v>
      </c>
      <c r="F68" s="12" t="s">
        <v>17</v>
      </c>
      <c r="G68" s="13">
        <v>20409983</v>
      </c>
      <c r="H68" s="12" t="s">
        <v>149</v>
      </c>
      <c r="I68" s="13">
        <v>1</v>
      </c>
      <c r="J68" s="14">
        <v>33</v>
      </c>
      <c r="K68" s="14">
        <v>33</v>
      </c>
    </row>
    <row r="69" spans="4:11">
      <c r="D69" s="11">
        <v>46132</v>
      </c>
      <c r="E69" s="12">
        <v>1596480</v>
      </c>
      <c r="F69" s="12" t="s">
        <v>13</v>
      </c>
      <c r="G69" s="13">
        <v>20393717</v>
      </c>
      <c r="H69" s="12" t="s">
        <v>70</v>
      </c>
      <c r="I69" s="13">
        <v>1</v>
      </c>
      <c r="J69" s="14">
        <v>8</v>
      </c>
      <c r="K69" s="14">
        <v>8</v>
      </c>
    </row>
    <row r="70" spans="4:11">
      <c r="D70" s="11">
        <v>46133</v>
      </c>
      <c r="E70" s="12">
        <v>1596810</v>
      </c>
      <c r="F70" s="12" t="s">
        <v>13</v>
      </c>
      <c r="G70" s="13">
        <v>20405104</v>
      </c>
      <c r="H70" s="12" t="s">
        <v>147</v>
      </c>
      <c r="I70" s="13">
        <v>1</v>
      </c>
      <c r="J70" s="14">
        <v>13</v>
      </c>
      <c r="K70" s="14">
        <v>13</v>
      </c>
    </row>
    <row r="71" spans="4:11">
      <c r="D71" s="11">
        <v>46133</v>
      </c>
      <c r="E71" s="12">
        <v>1596810</v>
      </c>
      <c r="F71" s="12" t="s">
        <v>13</v>
      </c>
      <c r="G71" s="13">
        <v>20393901</v>
      </c>
      <c r="H71" s="12" t="s">
        <v>30</v>
      </c>
      <c r="I71" s="13">
        <v>1</v>
      </c>
      <c r="J71" s="14">
        <v>8</v>
      </c>
      <c r="K71" s="14">
        <v>8</v>
      </c>
    </row>
    <row r="72" spans="4:11">
      <c r="D72" s="11">
        <v>46133</v>
      </c>
      <c r="E72" s="12">
        <v>1596810</v>
      </c>
      <c r="F72" s="12" t="s">
        <v>13</v>
      </c>
      <c r="G72" s="13">
        <v>20393714</v>
      </c>
      <c r="H72" s="12" t="s">
        <v>35</v>
      </c>
      <c r="I72" s="13">
        <v>23</v>
      </c>
      <c r="J72" s="14">
        <v>8</v>
      </c>
      <c r="K72" s="14">
        <v>184</v>
      </c>
    </row>
    <row r="73" spans="4:11">
      <c r="D73" s="11">
        <v>46133</v>
      </c>
      <c r="E73" s="12">
        <v>1596810</v>
      </c>
      <c r="F73" s="12" t="s">
        <v>13</v>
      </c>
      <c r="G73" s="13">
        <v>20393570</v>
      </c>
      <c r="H73" s="12" t="s">
        <v>142</v>
      </c>
      <c r="I73" s="13">
        <v>3</v>
      </c>
      <c r="J73" s="14">
        <v>16</v>
      </c>
      <c r="K73" s="14">
        <v>48</v>
      </c>
    </row>
    <row r="74" spans="4:11">
      <c r="D74" s="11">
        <v>46133</v>
      </c>
      <c r="E74" s="12">
        <v>1596810</v>
      </c>
      <c r="F74" s="12" t="s">
        <v>13</v>
      </c>
      <c r="G74" s="13">
        <v>20393717</v>
      </c>
      <c r="H74" s="12" t="s">
        <v>70</v>
      </c>
      <c r="I74" s="13">
        <v>1</v>
      </c>
      <c r="J74" s="14">
        <v>8</v>
      </c>
      <c r="K74" s="14">
        <v>8</v>
      </c>
    </row>
    <row r="75" spans="4:11">
      <c r="D75" s="11">
        <v>46136</v>
      </c>
      <c r="E75" s="12">
        <v>1597954</v>
      </c>
      <c r="F75" s="12" t="s">
        <v>13</v>
      </c>
      <c r="G75" s="13">
        <v>20394713</v>
      </c>
      <c r="H75" s="12" t="s">
        <v>80</v>
      </c>
      <c r="I75" s="13">
        <v>1</v>
      </c>
      <c r="J75" s="14">
        <v>8</v>
      </c>
      <c r="K75" s="14">
        <v>8</v>
      </c>
    </row>
    <row r="76" spans="4:11">
      <c r="D76" s="11">
        <v>46136</v>
      </c>
      <c r="E76" s="12">
        <v>1597954</v>
      </c>
      <c r="F76" s="12" t="s">
        <v>13</v>
      </c>
      <c r="G76" s="13">
        <v>20393716</v>
      </c>
      <c r="H76" s="12" t="s">
        <v>85</v>
      </c>
      <c r="I76" s="13">
        <v>1</v>
      </c>
      <c r="J76" s="14">
        <v>8</v>
      </c>
      <c r="K76" s="14">
        <v>8</v>
      </c>
    </row>
    <row r="77" spans="4:11">
      <c r="D77" s="11">
        <v>46136</v>
      </c>
      <c r="E77" s="12">
        <v>1597954</v>
      </c>
      <c r="F77" s="12" t="s">
        <v>13</v>
      </c>
      <c r="G77" s="13">
        <v>20393901</v>
      </c>
      <c r="H77" s="12" t="s">
        <v>30</v>
      </c>
      <c r="I77" s="13">
        <v>3</v>
      </c>
      <c r="J77" s="14">
        <v>8</v>
      </c>
      <c r="K77" s="14">
        <v>24</v>
      </c>
    </row>
    <row r="78" spans="4:11">
      <c r="D78" s="11">
        <v>46136</v>
      </c>
      <c r="E78" s="12">
        <v>1597954</v>
      </c>
      <c r="F78" s="12" t="s">
        <v>13</v>
      </c>
      <c r="G78" s="13">
        <v>20393714</v>
      </c>
      <c r="H78" s="12" t="s">
        <v>35</v>
      </c>
      <c r="I78" s="13">
        <v>16</v>
      </c>
      <c r="J78" s="14">
        <v>8</v>
      </c>
      <c r="K78" s="14">
        <v>128</v>
      </c>
    </row>
    <row r="79" spans="4:11">
      <c r="D79" s="11">
        <v>46136</v>
      </c>
      <c r="E79" s="12">
        <v>1597954</v>
      </c>
      <c r="F79" s="12" t="s">
        <v>13</v>
      </c>
      <c r="G79" s="13">
        <v>20393717</v>
      </c>
      <c r="H79" s="12" t="s">
        <v>70</v>
      </c>
      <c r="I79" s="13">
        <v>5</v>
      </c>
      <c r="J79" s="14">
        <v>8</v>
      </c>
      <c r="K79" s="14">
        <v>40</v>
      </c>
    </row>
    <row r="80" spans="4:11">
      <c r="D80" s="11">
        <v>46136</v>
      </c>
      <c r="E80" s="12">
        <v>1597954</v>
      </c>
      <c r="F80" s="12" t="s">
        <v>17</v>
      </c>
      <c r="G80" s="13">
        <v>20393715</v>
      </c>
      <c r="H80" s="12" t="s">
        <v>140</v>
      </c>
      <c r="I80" s="13">
        <v>3</v>
      </c>
      <c r="J80" s="14">
        <v>27.5</v>
      </c>
      <c r="K80" s="14">
        <v>82.5</v>
      </c>
    </row>
    <row r="81" spans="4:11">
      <c r="D81" s="11">
        <v>46139</v>
      </c>
      <c r="E81" s="12">
        <v>1598481</v>
      </c>
      <c r="F81" s="12" t="s">
        <v>13</v>
      </c>
      <c r="G81" s="13">
        <v>20405104</v>
      </c>
      <c r="H81" s="12" t="s">
        <v>147</v>
      </c>
      <c r="I81" s="13">
        <v>1</v>
      </c>
      <c r="J81" s="14">
        <v>13</v>
      </c>
      <c r="K81" s="14">
        <v>13</v>
      </c>
    </row>
    <row r="82" spans="4:11">
      <c r="D82" s="11">
        <v>46139</v>
      </c>
      <c r="E82" s="12">
        <v>1598481</v>
      </c>
      <c r="F82" s="12" t="s">
        <v>13</v>
      </c>
      <c r="G82" s="13">
        <v>20394713</v>
      </c>
      <c r="H82" s="12" t="s">
        <v>80</v>
      </c>
      <c r="I82" s="13">
        <v>2</v>
      </c>
      <c r="J82" s="14">
        <v>8</v>
      </c>
      <c r="K82" s="14">
        <v>16</v>
      </c>
    </row>
    <row r="83" spans="4:11">
      <c r="D83" s="11">
        <v>46139</v>
      </c>
      <c r="E83" s="12">
        <v>1598481</v>
      </c>
      <c r="F83" s="12" t="s">
        <v>13</v>
      </c>
      <c r="G83" s="13">
        <v>20393716</v>
      </c>
      <c r="H83" s="12" t="s">
        <v>85</v>
      </c>
      <c r="I83" s="13">
        <v>2</v>
      </c>
      <c r="J83" s="14">
        <v>8</v>
      </c>
      <c r="K83" s="14">
        <v>16</v>
      </c>
    </row>
    <row r="84" spans="4:11">
      <c r="D84" s="11">
        <v>46139</v>
      </c>
      <c r="E84" s="12">
        <v>1598481</v>
      </c>
      <c r="F84" s="12" t="s">
        <v>13</v>
      </c>
      <c r="G84" s="13">
        <v>20393714</v>
      </c>
      <c r="H84" s="12" t="s">
        <v>35</v>
      </c>
      <c r="I84" s="13">
        <v>15</v>
      </c>
      <c r="J84" s="14">
        <v>8</v>
      </c>
      <c r="K84" s="14">
        <v>120</v>
      </c>
    </row>
    <row r="85" spans="4:11">
      <c r="D85" s="11">
        <v>46139</v>
      </c>
      <c r="E85" s="12">
        <v>1598481</v>
      </c>
      <c r="F85" s="12" t="s">
        <v>13</v>
      </c>
      <c r="G85" s="13">
        <v>20393570</v>
      </c>
      <c r="H85" s="12" t="s">
        <v>142</v>
      </c>
      <c r="I85" s="13">
        <v>3</v>
      </c>
      <c r="J85" s="14">
        <v>16</v>
      </c>
      <c r="K85" s="14">
        <v>48</v>
      </c>
    </row>
    <row r="86" spans="4:11">
      <c r="D86" s="11">
        <v>46139</v>
      </c>
      <c r="E86" s="12">
        <v>1598481</v>
      </c>
      <c r="F86" s="12" t="s">
        <v>13</v>
      </c>
      <c r="G86" s="13">
        <v>20393717</v>
      </c>
      <c r="H86" s="12" t="s">
        <v>70</v>
      </c>
      <c r="I86" s="13">
        <v>2</v>
      </c>
      <c r="J86" s="14">
        <v>8</v>
      </c>
      <c r="K86" s="14">
        <v>16</v>
      </c>
    </row>
    <row r="87" spans="4:11">
      <c r="D87" s="11">
        <v>46139</v>
      </c>
      <c r="E87" s="12">
        <v>1598481</v>
      </c>
      <c r="F87" s="12" t="s">
        <v>17</v>
      </c>
      <c r="G87" s="13">
        <v>20393715</v>
      </c>
      <c r="H87" s="12" t="s">
        <v>140</v>
      </c>
      <c r="I87" s="13">
        <v>5</v>
      </c>
      <c r="J87" s="14">
        <v>27.5</v>
      </c>
      <c r="K87" s="14">
        <v>137.5</v>
      </c>
    </row>
    <row r="88" spans="4:11">
      <c r="D88" s="11">
        <v>46139</v>
      </c>
      <c r="E88" s="12">
        <v>1598516</v>
      </c>
      <c r="F88" s="12" t="s">
        <v>37</v>
      </c>
      <c r="G88" s="13">
        <v>20401662</v>
      </c>
      <c r="H88" s="12" t="s">
        <v>141</v>
      </c>
      <c r="I88" s="13">
        <v>100</v>
      </c>
      <c r="J88" s="14">
        <v>2.5</v>
      </c>
      <c r="K88" s="14">
        <v>250</v>
      </c>
    </row>
    <row r="89" spans="4:11">
      <c r="D89" s="11">
        <v>46141</v>
      </c>
      <c r="E89" s="12">
        <v>1599325</v>
      </c>
      <c r="F89" s="12" t="s">
        <v>13</v>
      </c>
      <c r="G89" s="13">
        <v>20393716</v>
      </c>
      <c r="H89" s="12" t="s">
        <v>85</v>
      </c>
      <c r="I89" s="13">
        <v>2</v>
      </c>
      <c r="J89" s="14">
        <v>8</v>
      </c>
      <c r="K89" s="14">
        <v>16</v>
      </c>
    </row>
    <row r="90" spans="4:11">
      <c r="D90" s="11">
        <v>46141</v>
      </c>
      <c r="E90" s="12">
        <v>1599325</v>
      </c>
      <c r="F90" s="12" t="s">
        <v>13</v>
      </c>
      <c r="G90" s="13">
        <v>20393901</v>
      </c>
      <c r="H90" s="12" t="s">
        <v>30</v>
      </c>
      <c r="I90" s="13">
        <v>1</v>
      </c>
      <c r="J90" s="14">
        <v>8</v>
      </c>
      <c r="K90" s="14">
        <v>8</v>
      </c>
    </row>
    <row r="91" spans="4:11">
      <c r="D91" s="11">
        <v>46141</v>
      </c>
      <c r="E91" s="12">
        <v>1599325</v>
      </c>
      <c r="F91" s="12" t="s">
        <v>13</v>
      </c>
      <c r="G91" s="13">
        <v>20393714</v>
      </c>
      <c r="H91" s="12" t="s">
        <v>35</v>
      </c>
      <c r="I91" s="13">
        <v>24</v>
      </c>
      <c r="J91" s="14">
        <v>8</v>
      </c>
      <c r="K91" s="14">
        <v>192</v>
      </c>
    </row>
    <row r="92" spans="4:11">
      <c r="D92" s="11">
        <v>46141</v>
      </c>
      <c r="E92" s="12">
        <v>1599325</v>
      </c>
      <c r="F92" s="12" t="s">
        <v>13</v>
      </c>
      <c r="G92" s="13">
        <v>20393717</v>
      </c>
      <c r="H92" s="12" t="s">
        <v>70</v>
      </c>
      <c r="I92" s="13">
        <v>2</v>
      </c>
      <c r="J92" s="14">
        <v>8</v>
      </c>
      <c r="K92" s="14">
        <v>16</v>
      </c>
    </row>
    <row r="93" spans="4:11">
      <c r="D93" s="11">
        <v>46142</v>
      </c>
      <c r="E93" s="12">
        <v>1599776</v>
      </c>
      <c r="F93" s="12" t="s">
        <v>13</v>
      </c>
      <c r="G93" s="13">
        <v>20393901</v>
      </c>
      <c r="H93" s="12" t="s">
        <v>30</v>
      </c>
      <c r="I93" s="13">
        <v>1</v>
      </c>
      <c r="J93" s="14">
        <v>8</v>
      </c>
      <c r="K93" s="14">
        <v>8</v>
      </c>
    </row>
    <row r="94" spans="4:11">
      <c r="D94" s="11">
        <v>46142</v>
      </c>
      <c r="E94" s="12">
        <v>1599776</v>
      </c>
      <c r="F94" s="12" t="s">
        <v>13</v>
      </c>
      <c r="G94" s="13">
        <v>20393714</v>
      </c>
      <c r="H94" s="12" t="s">
        <v>35</v>
      </c>
      <c r="I94" s="13">
        <v>15</v>
      </c>
      <c r="J94" s="14">
        <v>8</v>
      </c>
      <c r="K94" s="14">
        <v>120</v>
      </c>
    </row>
    <row r="95" spans="4:11">
      <c r="D95" s="11">
        <v>46142</v>
      </c>
      <c r="E95" s="12">
        <v>1599776</v>
      </c>
      <c r="F95" s="12" t="s">
        <v>13</v>
      </c>
      <c r="G95" s="13">
        <v>20393570</v>
      </c>
      <c r="H95" s="12" t="s">
        <v>142</v>
      </c>
      <c r="I95" s="13">
        <v>1</v>
      </c>
      <c r="J95" s="14">
        <v>16</v>
      </c>
      <c r="K95" s="14">
        <v>16</v>
      </c>
    </row>
    <row r="96" spans="4:11">
      <c r="D96" s="11">
        <v>46142</v>
      </c>
      <c r="E96" s="12">
        <v>1599776</v>
      </c>
      <c r="F96" s="12" t="s">
        <v>17</v>
      </c>
      <c r="G96" s="13">
        <v>20393715</v>
      </c>
      <c r="H96" s="12" t="s">
        <v>140</v>
      </c>
      <c r="I96" s="13">
        <v>4</v>
      </c>
      <c r="J96" s="14">
        <v>27.5</v>
      </c>
      <c r="K96" s="14">
        <v>110</v>
      </c>
    </row>
    <row r="97" spans="4:11">
      <c r="D97" s="11">
        <v>46142</v>
      </c>
      <c r="E97" s="12">
        <v>1599776</v>
      </c>
      <c r="F97" s="12" t="s">
        <v>17</v>
      </c>
      <c r="G97" s="13">
        <v>20393910</v>
      </c>
      <c r="H97" s="12" t="s">
        <v>146</v>
      </c>
      <c r="I97" s="13">
        <v>1</v>
      </c>
      <c r="J97" s="14">
        <v>16.5</v>
      </c>
      <c r="K97" s="14">
        <v>16.5</v>
      </c>
    </row>
  </sheetData>
  <autoFilter xmlns:etc="http://www.wps.cn/officeDocument/2017/etCustomData" ref="A7:K97" etc:filterBottomFollowUsedRange="0">
    <extLst/>
  </autoFilter>
  <mergeCells count="5">
    <mergeCell ref="D8:H8"/>
    <mergeCell ref="C7:C97"/>
    <mergeCell ref="B4:H5"/>
    <mergeCell ref="A7:B9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12:57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282</v>
      </c>
      <c r="J8" s="10"/>
      <c r="K8" s="10">
        <v>2322</v>
      </c>
    </row>
    <row r="9" spans="1:11">
      <c r="D9" s="11">
        <v>46113</v>
      </c>
      <c r="E9" s="12">
        <v>1591163</v>
      </c>
      <c r="F9" s="12" t="s">
        <v>13</v>
      </c>
      <c r="G9" s="13">
        <v>20393545</v>
      </c>
      <c r="H9" s="12" t="s">
        <v>151</v>
      </c>
      <c r="I9" s="13">
        <v>1</v>
      </c>
      <c r="J9" s="14">
        <v>8</v>
      </c>
      <c r="K9" s="14">
        <v>8</v>
      </c>
    </row>
    <row r="10" spans="1:11">
      <c r="D10" s="11">
        <v>46113</v>
      </c>
      <c r="E10" s="12">
        <v>1591163</v>
      </c>
      <c r="F10" s="12" t="s">
        <v>13</v>
      </c>
      <c r="G10" s="13">
        <v>20393538</v>
      </c>
      <c r="H10" s="12" t="s">
        <v>152</v>
      </c>
      <c r="I10" s="13">
        <v>10</v>
      </c>
      <c r="J10" s="14">
        <v>8</v>
      </c>
      <c r="K10" s="14">
        <v>80</v>
      </c>
    </row>
    <row r="11" spans="1:11">
      <c r="D11" s="11">
        <v>46113</v>
      </c>
      <c r="E11" s="12">
        <v>1591163</v>
      </c>
      <c r="F11" s="12" t="s">
        <v>13</v>
      </c>
      <c r="G11" s="13">
        <v>20393550</v>
      </c>
      <c r="H11" s="12" t="s">
        <v>153</v>
      </c>
      <c r="I11" s="13">
        <v>1</v>
      </c>
      <c r="J11" s="14">
        <v>8</v>
      </c>
      <c r="K11" s="14">
        <v>8</v>
      </c>
    </row>
    <row r="12" spans="1:11">
      <c r="D12" s="11">
        <v>46113</v>
      </c>
      <c r="E12" s="12">
        <v>1591163</v>
      </c>
      <c r="F12" s="12" t="s">
        <v>13</v>
      </c>
      <c r="G12" s="13">
        <v>20393543</v>
      </c>
      <c r="H12" s="12" t="s">
        <v>154</v>
      </c>
      <c r="I12" s="13">
        <v>2</v>
      </c>
      <c r="J12" s="14">
        <v>8</v>
      </c>
      <c r="K12" s="14">
        <v>16</v>
      </c>
    </row>
    <row r="13" spans="1:11">
      <c r="D13" s="11">
        <v>46113</v>
      </c>
      <c r="E13" s="12">
        <v>1591163</v>
      </c>
      <c r="F13" s="12" t="s">
        <v>13</v>
      </c>
      <c r="G13" s="13">
        <v>20393575</v>
      </c>
      <c r="H13" s="12" t="s">
        <v>155</v>
      </c>
      <c r="I13" s="13">
        <v>1</v>
      </c>
      <c r="J13" s="14">
        <v>11</v>
      </c>
      <c r="K13" s="14">
        <v>11</v>
      </c>
    </row>
    <row r="14" spans="1:11">
      <c r="D14" s="11">
        <v>46113</v>
      </c>
      <c r="E14" s="12">
        <v>1591163</v>
      </c>
      <c r="F14" s="12" t="s">
        <v>13</v>
      </c>
      <c r="G14" s="13">
        <v>20393540</v>
      </c>
      <c r="H14" s="12" t="s">
        <v>156</v>
      </c>
      <c r="I14" s="13">
        <v>3</v>
      </c>
      <c r="J14" s="14">
        <v>11</v>
      </c>
      <c r="K14" s="14">
        <v>33</v>
      </c>
    </row>
    <row r="15" spans="1:11">
      <c r="D15" s="11">
        <v>46113</v>
      </c>
      <c r="E15" s="12">
        <v>1591163</v>
      </c>
      <c r="F15" s="12" t="s">
        <v>13</v>
      </c>
      <c r="G15" s="13">
        <v>20392733</v>
      </c>
      <c r="H15" s="12" t="s">
        <v>157</v>
      </c>
      <c r="I15" s="13">
        <v>1</v>
      </c>
      <c r="J15" s="14">
        <v>8</v>
      </c>
      <c r="K15" s="14">
        <v>8</v>
      </c>
    </row>
    <row r="16" spans="1:11">
      <c r="D16" s="11">
        <v>46115</v>
      </c>
      <c r="E16" s="12">
        <v>1591924</v>
      </c>
      <c r="F16" s="12" t="s">
        <v>13</v>
      </c>
      <c r="G16" s="13">
        <v>20392731</v>
      </c>
      <c r="H16" s="12" t="s">
        <v>158</v>
      </c>
      <c r="I16" s="13">
        <v>5</v>
      </c>
      <c r="J16" s="14">
        <v>8</v>
      </c>
      <c r="K16" s="14">
        <v>40</v>
      </c>
    </row>
    <row r="17" spans="4:11">
      <c r="D17" s="11">
        <v>46115</v>
      </c>
      <c r="E17" s="12">
        <v>1591924</v>
      </c>
      <c r="F17" s="12" t="s">
        <v>13</v>
      </c>
      <c r="G17" s="13">
        <v>20392733</v>
      </c>
      <c r="H17" s="12" t="s">
        <v>157</v>
      </c>
      <c r="I17" s="13">
        <v>7</v>
      </c>
      <c r="J17" s="14">
        <v>8</v>
      </c>
      <c r="K17" s="14">
        <v>56</v>
      </c>
    </row>
    <row r="18" spans="4:11">
      <c r="D18" s="11">
        <v>46119</v>
      </c>
      <c r="E18" s="12">
        <v>1592582</v>
      </c>
      <c r="F18" s="12" t="s">
        <v>13</v>
      </c>
      <c r="G18" s="13">
        <v>20392736</v>
      </c>
      <c r="H18" s="12" t="s">
        <v>159</v>
      </c>
      <c r="I18" s="13">
        <v>5</v>
      </c>
      <c r="J18" s="14">
        <v>8</v>
      </c>
      <c r="K18" s="14">
        <v>40</v>
      </c>
    </row>
    <row r="19" spans="4:11">
      <c r="D19" s="11">
        <v>46119</v>
      </c>
      <c r="E19" s="12">
        <v>1592582</v>
      </c>
      <c r="F19" s="12" t="s">
        <v>13</v>
      </c>
      <c r="G19" s="13">
        <v>20393545</v>
      </c>
      <c r="H19" s="12" t="s">
        <v>151</v>
      </c>
      <c r="I19" s="13">
        <v>1</v>
      </c>
      <c r="J19" s="14">
        <v>8</v>
      </c>
      <c r="K19" s="14">
        <v>8</v>
      </c>
    </row>
    <row r="20" spans="4:11">
      <c r="D20" s="11">
        <v>46119</v>
      </c>
      <c r="E20" s="12">
        <v>1592582</v>
      </c>
      <c r="F20" s="12" t="s">
        <v>13</v>
      </c>
      <c r="G20" s="13">
        <v>20393538</v>
      </c>
      <c r="H20" s="12" t="s">
        <v>152</v>
      </c>
      <c r="I20" s="13">
        <v>8</v>
      </c>
      <c r="J20" s="14">
        <v>8</v>
      </c>
      <c r="K20" s="14">
        <v>64</v>
      </c>
    </row>
    <row r="21" spans="4:11">
      <c r="D21" s="11">
        <v>46119</v>
      </c>
      <c r="E21" s="12">
        <v>1592582</v>
      </c>
      <c r="F21" s="12" t="s">
        <v>13</v>
      </c>
      <c r="G21" s="13">
        <v>20393543</v>
      </c>
      <c r="H21" s="12" t="s">
        <v>154</v>
      </c>
      <c r="I21" s="13">
        <v>4</v>
      </c>
      <c r="J21" s="14">
        <v>8</v>
      </c>
      <c r="K21" s="14">
        <v>32</v>
      </c>
    </row>
    <row r="22" spans="4:11">
      <c r="D22" s="11">
        <v>46119</v>
      </c>
      <c r="E22" s="12">
        <v>1592582</v>
      </c>
      <c r="F22" s="12" t="s">
        <v>13</v>
      </c>
      <c r="G22" s="13">
        <v>20393575</v>
      </c>
      <c r="H22" s="12" t="s">
        <v>155</v>
      </c>
      <c r="I22" s="13">
        <v>3</v>
      </c>
      <c r="J22" s="14">
        <v>11</v>
      </c>
      <c r="K22" s="14">
        <v>33</v>
      </c>
    </row>
    <row r="23" spans="4:11">
      <c r="D23" s="11">
        <v>46119</v>
      </c>
      <c r="E23" s="12">
        <v>1592582</v>
      </c>
      <c r="F23" s="12" t="s">
        <v>13</v>
      </c>
      <c r="G23" s="13">
        <v>20392733</v>
      </c>
      <c r="H23" s="12" t="s">
        <v>157</v>
      </c>
      <c r="I23" s="13">
        <v>2</v>
      </c>
      <c r="J23" s="14">
        <v>8</v>
      </c>
      <c r="K23" s="14">
        <v>16</v>
      </c>
    </row>
    <row r="24" spans="4:11">
      <c r="D24" s="11">
        <v>46119</v>
      </c>
      <c r="E24" s="12">
        <v>1592582</v>
      </c>
      <c r="F24" s="12" t="s">
        <v>13</v>
      </c>
      <c r="G24" s="13">
        <v>20393571</v>
      </c>
      <c r="H24" s="12" t="s">
        <v>160</v>
      </c>
      <c r="I24" s="13">
        <v>2</v>
      </c>
      <c r="J24" s="14">
        <v>8</v>
      </c>
      <c r="K24" s="14">
        <v>16</v>
      </c>
    </row>
    <row r="25" spans="4:11">
      <c r="D25" s="11">
        <v>46120</v>
      </c>
      <c r="E25" s="12">
        <v>1592926</v>
      </c>
      <c r="F25" s="12" t="s">
        <v>13</v>
      </c>
      <c r="G25" s="13">
        <v>20392736</v>
      </c>
      <c r="H25" s="12" t="s">
        <v>159</v>
      </c>
      <c r="I25" s="13">
        <v>5</v>
      </c>
      <c r="J25" s="14">
        <v>8</v>
      </c>
      <c r="K25" s="14">
        <v>40</v>
      </c>
    </row>
    <row r="26" spans="4:11">
      <c r="D26" s="11">
        <v>46120</v>
      </c>
      <c r="E26" s="12">
        <v>1592926</v>
      </c>
      <c r="F26" s="12" t="s">
        <v>13</v>
      </c>
      <c r="G26" s="13">
        <v>20393545</v>
      </c>
      <c r="H26" s="12" t="s">
        <v>151</v>
      </c>
      <c r="I26" s="13">
        <v>1</v>
      </c>
      <c r="J26" s="14">
        <v>8</v>
      </c>
      <c r="K26" s="14">
        <v>8</v>
      </c>
    </row>
    <row r="27" spans="4:11">
      <c r="D27" s="11">
        <v>46120</v>
      </c>
      <c r="E27" s="12">
        <v>1592926</v>
      </c>
      <c r="F27" s="12" t="s">
        <v>13</v>
      </c>
      <c r="G27" s="13">
        <v>20392731</v>
      </c>
      <c r="H27" s="12" t="s">
        <v>158</v>
      </c>
      <c r="I27" s="13">
        <v>3</v>
      </c>
      <c r="J27" s="14">
        <v>8</v>
      </c>
      <c r="K27" s="14">
        <v>24</v>
      </c>
    </row>
    <row r="28" spans="4:11">
      <c r="D28" s="11">
        <v>46120</v>
      </c>
      <c r="E28" s="12">
        <v>1592926</v>
      </c>
      <c r="F28" s="12" t="s">
        <v>13</v>
      </c>
      <c r="G28" s="13">
        <v>20393543</v>
      </c>
      <c r="H28" s="12" t="s">
        <v>154</v>
      </c>
      <c r="I28" s="13">
        <v>3</v>
      </c>
      <c r="J28" s="14">
        <v>8</v>
      </c>
      <c r="K28" s="14">
        <v>24</v>
      </c>
    </row>
    <row r="29" spans="4:11">
      <c r="D29" s="11">
        <v>46120</v>
      </c>
      <c r="E29" s="12">
        <v>1592926</v>
      </c>
      <c r="F29" s="12" t="s">
        <v>13</v>
      </c>
      <c r="G29" s="13">
        <v>20393575</v>
      </c>
      <c r="H29" s="12" t="s">
        <v>155</v>
      </c>
      <c r="I29" s="13">
        <v>2</v>
      </c>
      <c r="J29" s="14">
        <v>11</v>
      </c>
      <c r="K29" s="14">
        <v>22</v>
      </c>
    </row>
    <row r="30" spans="4:11">
      <c r="D30" s="11">
        <v>46120</v>
      </c>
      <c r="E30" s="12">
        <v>1592926</v>
      </c>
      <c r="F30" s="12" t="s">
        <v>13</v>
      </c>
      <c r="G30" s="13">
        <v>20392733</v>
      </c>
      <c r="H30" s="12" t="s">
        <v>157</v>
      </c>
      <c r="I30" s="13">
        <v>2</v>
      </c>
      <c r="J30" s="14">
        <v>8</v>
      </c>
      <c r="K30" s="14">
        <v>16</v>
      </c>
    </row>
    <row r="31" spans="4:11">
      <c r="D31" s="11">
        <v>46122</v>
      </c>
      <c r="E31" s="12">
        <v>1593771</v>
      </c>
      <c r="F31" s="12" t="s">
        <v>13</v>
      </c>
      <c r="G31" s="13">
        <v>20392736</v>
      </c>
      <c r="H31" s="12" t="s">
        <v>159</v>
      </c>
      <c r="I31" s="13">
        <v>4</v>
      </c>
      <c r="J31" s="14">
        <v>8</v>
      </c>
      <c r="K31" s="14">
        <v>32</v>
      </c>
    </row>
    <row r="32" spans="4:11">
      <c r="D32" s="11">
        <v>46122</v>
      </c>
      <c r="E32" s="12">
        <v>1593771</v>
      </c>
      <c r="F32" s="12" t="s">
        <v>13</v>
      </c>
      <c r="G32" s="13">
        <v>20393545</v>
      </c>
      <c r="H32" s="12" t="s">
        <v>151</v>
      </c>
      <c r="I32" s="13">
        <v>1</v>
      </c>
      <c r="J32" s="14">
        <v>8</v>
      </c>
      <c r="K32" s="14">
        <v>8</v>
      </c>
    </row>
    <row r="33" spans="4:11">
      <c r="D33" s="11">
        <v>46122</v>
      </c>
      <c r="E33" s="12">
        <v>1593771</v>
      </c>
      <c r="F33" s="12" t="s">
        <v>13</v>
      </c>
      <c r="G33" s="13">
        <v>20393538</v>
      </c>
      <c r="H33" s="12" t="s">
        <v>152</v>
      </c>
      <c r="I33" s="13">
        <v>11</v>
      </c>
      <c r="J33" s="14">
        <v>8</v>
      </c>
      <c r="K33" s="14">
        <v>88</v>
      </c>
    </row>
    <row r="34" spans="4:11">
      <c r="D34" s="11">
        <v>46122</v>
      </c>
      <c r="E34" s="12">
        <v>1593771</v>
      </c>
      <c r="F34" s="12" t="s">
        <v>13</v>
      </c>
      <c r="G34" s="13">
        <v>20393585</v>
      </c>
      <c r="H34" s="12" t="s">
        <v>161</v>
      </c>
      <c r="I34" s="13">
        <v>1</v>
      </c>
      <c r="J34" s="14">
        <v>8</v>
      </c>
      <c r="K34" s="14">
        <v>8</v>
      </c>
    </row>
    <row r="35" spans="4:11">
      <c r="D35" s="11">
        <v>46122</v>
      </c>
      <c r="E35" s="12">
        <v>1593771</v>
      </c>
      <c r="F35" s="12" t="s">
        <v>13</v>
      </c>
      <c r="G35" s="13">
        <v>20392733</v>
      </c>
      <c r="H35" s="12" t="s">
        <v>157</v>
      </c>
      <c r="I35" s="13">
        <v>2</v>
      </c>
      <c r="J35" s="14">
        <v>8</v>
      </c>
      <c r="K35" s="14">
        <v>16</v>
      </c>
    </row>
    <row r="36" spans="4:11">
      <c r="D36" s="11">
        <v>46125</v>
      </c>
      <c r="E36" s="12">
        <v>1594333</v>
      </c>
      <c r="F36" s="12" t="s">
        <v>13</v>
      </c>
      <c r="G36" s="13">
        <v>20392736</v>
      </c>
      <c r="H36" s="12" t="s">
        <v>159</v>
      </c>
      <c r="I36" s="13">
        <v>1</v>
      </c>
      <c r="J36" s="14">
        <v>8</v>
      </c>
      <c r="K36" s="14">
        <v>8</v>
      </c>
    </row>
    <row r="37" spans="4:11">
      <c r="D37" s="11">
        <v>46125</v>
      </c>
      <c r="E37" s="12">
        <v>1594333</v>
      </c>
      <c r="F37" s="12" t="s">
        <v>13</v>
      </c>
      <c r="G37" s="13">
        <v>20394713</v>
      </c>
      <c r="H37" s="12" t="s">
        <v>80</v>
      </c>
      <c r="I37" s="13">
        <v>1</v>
      </c>
      <c r="J37" s="14">
        <v>8</v>
      </c>
      <c r="K37" s="14">
        <v>8</v>
      </c>
    </row>
    <row r="38" spans="4:11">
      <c r="D38" s="11">
        <v>46125</v>
      </c>
      <c r="E38" s="12">
        <v>1594333</v>
      </c>
      <c r="F38" s="12" t="s">
        <v>13</v>
      </c>
      <c r="G38" s="13">
        <v>20393577</v>
      </c>
      <c r="H38" s="12" t="s">
        <v>162</v>
      </c>
      <c r="I38" s="13">
        <v>3</v>
      </c>
      <c r="J38" s="14">
        <v>8</v>
      </c>
      <c r="K38" s="14">
        <v>24</v>
      </c>
    </row>
    <row r="39" spans="4:11">
      <c r="D39" s="11">
        <v>46125</v>
      </c>
      <c r="E39" s="12">
        <v>1594333</v>
      </c>
      <c r="F39" s="12" t="s">
        <v>13</v>
      </c>
      <c r="G39" s="13">
        <v>20421318</v>
      </c>
      <c r="H39" s="12" t="s">
        <v>85</v>
      </c>
      <c r="I39" s="13">
        <v>2</v>
      </c>
      <c r="J39" s="14">
        <v>8</v>
      </c>
      <c r="K39" s="14">
        <v>16</v>
      </c>
    </row>
    <row r="40" spans="4:11">
      <c r="D40" s="11">
        <v>46125</v>
      </c>
      <c r="E40" s="12">
        <v>1594333</v>
      </c>
      <c r="F40" s="12" t="s">
        <v>13</v>
      </c>
      <c r="G40" s="13">
        <v>20393545</v>
      </c>
      <c r="H40" s="12" t="s">
        <v>151</v>
      </c>
      <c r="I40" s="13">
        <v>1</v>
      </c>
      <c r="J40" s="14">
        <v>8</v>
      </c>
      <c r="K40" s="14">
        <v>8</v>
      </c>
    </row>
    <row r="41" spans="4:11">
      <c r="D41" s="11">
        <v>46125</v>
      </c>
      <c r="E41" s="12">
        <v>1594333</v>
      </c>
      <c r="F41" s="12" t="s">
        <v>13</v>
      </c>
      <c r="G41" s="13">
        <v>20393576</v>
      </c>
      <c r="H41" s="12" t="s">
        <v>163</v>
      </c>
      <c r="I41" s="13">
        <v>4</v>
      </c>
      <c r="J41" s="14">
        <v>8</v>
      </c>
      <c r="K41" s="14">
        <v>32</v>
      </c>
    </row>
    <row r="42" spans="4:11">
      <c r="D42" s="11">
        <v>46125</v>
      </c>
      <c r="E42" s="12">
        <v>1594333</v>
      </c>
      <c r="F42" s="12" t="s">
        <v>13</v>
      </c>
      <c r="G42" s="13">
        <v>20393581</v>
      </c>
      <c r="H42" s="12" t="s">
        <v>164</v>
      </c>
      <c r="I42" s="13">
        <v>1</v>
      </c>
      <c r="J42" s="14">
        <v>8</v>
      </c>
      <c r="K42" s="14">
        <v>8</v>
      </c>
    </row>
    <row r="43" spans="4:11">
      <c r="D43" s="11">
        <v>46125</v>
      </c>
      <c r="E43" s="12">
        <v>1594333</v>
      </c>
      <c r="F43" s="12" t="s">
        <v>13</v>
      </c>
      <c r="G43" s="13">
        <v>20393538</v>
      </c>
      <c r="H43" s="12" t="s">
        <v>152</v>
      </c>
      <c r="I43" s="13">
        <v>5</v>
      </c>
      <c r="J43" s="14">
        <v>8</v>
      </c>
      <c r="K43" s="14">
        <v>40</v>
      </c>
    </row>
    <row r="44" spans="4:11">
      <c r="D44" s="11">
        <v>46125</v>
      </c>
      <c r="E44" s="12">
        <v>1594333</v>
      </c>
      <c r="F44" s="12" t="s">
        <v>13</v>
      </c>
      <c r="G44" s="13">
        <v>20393555</v>
      </c>
      <c r="H44" s="12" t="s">
        <v>165</v>
      </c>
      <c r="I44" s="13">
        <v>3</v>
      </c>
      <c r="J44" s="14">
        <v>8</v>
      </c>
      <c r="K44" s="14">
        <v>24</v>
      </c>
    </row>
    <row r="45" spans="4:11">
      <c r="D45" s="11">
        <v>46125</v>
      </c>
      <c r="E45" s="12">
        <v>1594333</v>
      </c>
      <c r="F45" s="12" t="s">
        <v>13</v>
      </c>
      <c r="G45" s="13">
        <v>20393550</v>
      </c>
      <c r="H45" s="12" t="s">
        <v>153</v>
      </c>
      <c r="I45" s="13">
        <v>1</v>
      </c>
      <c r="J45" s="14">
        <v>8</v>
      </c>
      <c r="K45" s="14">
        <v>8</v>
      </c>
    </row>
    <row r="46" spans="4:11">
      <c r="D46" s="11">
        <v>46125</v>
      </c>
      <c r="E46" s="12">
        <v>1594333</v>
      </c>
      <c r="F46" s="12" t="s">
        <v>13</v>
      </c>
      <c r="G46" s="13">
        <v>20393543</v>
      </c>
      <c r="H46" s="12" t="s">
        <v>154</v>
      </c>
      <c r="I46" s="13">
        <v>2</v>
      </c>
      <c r="J46" s="14">
        <v>8</v>
      </c>
      <c r="K46" s="14">
        <v>16</v>
      </c>
    </row>
    <row r="47" spans="4:11">
      <c r="D47" s="11">
        <v>46125</v>
      </c>
      <c r="E47" s="12">
        <v>1594333</v>
      </c>
      <c r="F47" s="12" t="s">
        <v>13</v>
      </c>
      <c r="G47" s="13">
        <v>20393572</v>
      </c>
      <c r="H47" s="12" t="s">
        <v>166</v>
      </c>
      <c r="I47" s="13">
        <v>1</v>
      </c>
      <c r="J47" s="14">
        <v>8</v>
      </c>
      <c r="K47" s="14">
        <v>8</v>
      </c>
    </row>
    <row r="48" spans="4:11">
      <c r="D48" s="11">
        <v>46125</v>
      </c>
      <c r="E48" s="12">
        <v>1594333</v>
      </c>
      <c r="F48" s="12" t="s">
        <v>13</v>
      </c>
      <c r="G48" s="13">
        <v>20397685</v>
      </c>
      <c r="H48" s="12" t="s">
        <v>167</v>
      </c>
      <c r="I48" s="13">
        <v>2</v>
      </c>
      <c r="J48" s="14">
        <v>8</v>
      </c>
      <c r="K48" s="14">
        <v>16</v>
      </c>
    </row>
    <row r="49" spans="4:11">
      <c r="D49" s="11">
        <v>46125</v>
      </c>
      <c r="E49" s="12">
        <v>1594333</v>
      </c>
      <c r="F49" s="12" t="s">
        <v>13</v>
      </c>
      <c r="G49" s="13">
        <v>20393575</v>
      </c>
      <c r="H49" s="12" t="s">
        <v>155</v>
      </c>
      <c r="I49" s="13">
        <v>2</v>
      </c>
      <c r="J49" s="14">
        <v>11</v>
      </c>
      <c r="K49" s="14">
        <v>22</v>
      </c>
    </row>
    <row r="50" spans="4:11">
      <c r="D50" s="11">
        <v>46125</v>
      </c>
      <c r="E50" s="12">
        <v>1594333</v>
      </c>
      <c r="F50" s="12" t="s">
        <v>13</v>
      </c>
      <c r="G50" s="13">
        <v>20392733</v>
      </c>
      <c r="H50" s="12" t="s">
        <v>157</v>
      </c>
      <c r="I50" s="13">
        <v>2</v>
      </c>
      <c r="J50" s="14">
        <v>8</v>
      </c>
      <c r="K50" s="14">
        <v>16</v>
      </c>
    </row>
    <row r="51" spans="4:11">
      <c r="D51" s="11">
        <v>46125</v>
      </c>
      <c r="E51" s="12">
        <v>1594333</v>
      </c>
      <c r="F51" s="12" t="s">
        <v>13</v>
      </c>
      <c r="G51" s="13">
        <v>20393557</v>
      </c>
      <c r="H51" s="12" t="s">
        <v>168</v>
      </c>
      <c r="I51" s="13">
        <v>2</v>
      </c>
      <c r="J51" s="14">
        <v>8</v>
      </c>
      <c r="K51" s="14">
        <v>16</v>
      </c>
    </row>
    <row r="52" spans="4:11">
      <c r="D52" s="11">
        <v>46125</v>
      </c>
      <c r="E52" s="12">
        <v>1594333</v>
      </c>
      <c r="F52" s="12" t="s">
        <v>13</v>
      </c>
      <c r="G52" s="13">
        <v>20393563</v>
      </c>
      <c r="H52" s="12" t="s">
        <v>169</v>
      </c>
      <c r="I52" s="13">
        <v>2</v>
      </c>
      <c r="J52" s="14">
        <v>8</v>
      </c>
      <c r="K52" s="14">
        <v>16</v>
      </c>
    </row>
    <row r="53" spans="4:11">
      <c r="D53" s="11">
        <v>46125</v>
      </c>
      <c r="E53" s="12">
        <v>1594333</v>
      </c>
      <c r="F53" s="12" t="s">
        <v>13</v>
      </c>
      <c r="G53" s="13">
        <v>20393564</v>
      </c>
      <c r="H53" s="12" t="s">
        <v>170</v>
      </c>
      <c r="I53" s="13">
        <v>2</v>
      </c>
      <c r="J53" s="14">
        <v>8</v>
      </c>
      <c r="K53" s="14">
        <v>16</v>
      </c>
    </row>
    <row r="54" spans="4:11">
      <c r="D54" s="11">
        <v>46125</v>
      </c>
      <c r="E54" s="12">
        <v>1594333</v>
      </c>
      <c r="F54" s="12" t="s">
        <v>13</v>
      </c>
      <c r="G54" s="13">
        <v>20421320</v>
      </c>
      <c r="H54" s="12" t="s">
        <v>171</v>
      </c>
      <c r="I54" s="13">
        <v>1</v>
      </c>
      <c r="J54" s="14">
        <v>8</v>
      </c>
      <c r="K54" s="14">
        <v>8</v>
      </c>
    </row>
    <row r="55" spans="4:11">
      <c r="D55" s="11">
        <v>46125</v>
      </c>
      <c r="E55" s="12">
        <v>1594333</v>
      </c>
      <c r="F55" s="12" t="s">
        <v>13</v>
      </c>
      <c r="G55" s="13">
        <v>20393560</v>
      </c>
      <c r="H55" s="12" t="s">
        <v>172</v>
      </c>
      <c r="I55" s="13">
        <v>1</v>
      </c>
      <c r="J55" s="14">
        <v>8</v>
      </c>
      <c r="K55" s="14">
        <v>8</v>
      </c>
    </row>
    <row r="56" spans="4:11">
      <c r="D56" s="11">
        <v>46125</v>
      </c>
      <c r="E56" s="12">
        <v>1594333</v>
      </c>
      <c r="F56" s="12" t="s">
        <v>13</v>
      </c>
      <c r="G56" s="13">
        <v>20421319</v>
      </c>
      <c r="H56" s="12" t="s">
        <v>173</v>
      </c>
      <c r="I56" s="13">
        <v>1</v>
      </c>
      <c r="J56" s="14">
        <v>8</v>
      </c>
      <c r="K56" s="14">
        <v>8</v>
      </c>
    </row>
    <row r="57" spans="4:11">
      <c r="D57" s="11">
        <v>46125</v>
      </c>
      <c r="E57" s="12">
        <v>1594333</v>
      </c>
      <c r="F57" s="12" t="s">
        <v>13</v>
      </c>
      <c r="G57" s="13">
        <v>20393568</v>
      </c>
      <c r="H57" s="12" t="s">
        <v>174</v>
      </c>
      <c r="I57" s="13">
        <v>1</v>
      </c>
      <c r="J57" s="14">
        <v>8</v>
      </c>
      <c r="K57" s="14">
        <v>8</v>
      </c>
    </row>
    <row r="58" spans="4:11">
      <c r="D58" s="11">
        <v>46125</v>
      </c>
      <c r="E58" s="12">
        <v>1594467</v>
      </c>
      <c r="F58" s="12" t="s">
        <v>13</v>
      </c>
      <c r="G58" s="13">
        <v>20392736</v>
      </c>
      <c r="H58" s="12" t="s">
        <v>159</v>
      </c>
      <c r="I58" s="13">
        <v>5</v>
      </c>
      <c r="J58" s="14">
        <v>8</v>
      </c>
      <c r="K58" s="14">
        <v>40</v>
      </c>
    </row>
    <row r="59" spans="4:11">
      <c r="D59" s="11">
        <v>46125</v>
      </c>
      <c r="E59" s="12">
        <v>1594467</v>
      </c>
      <c r="F59" s="12" t="s">
        <v>13</v>
      </c>
      <c r="G59" s="13">
        <v>20394713</v>
      </c>
      <c r="H59" s="12" t="s">
        <v>80</v>
      </c>
      <c r="I59" s="13">
        <v>1</v>
      </c>
      <c r="J59" s="14">
        <v>8</v>
      </c>
      <c r="K59" s="14">
        <v>8</v>
      </c>
    </row>
    <row r="60" spans="4:11">
      <c r="D60" s="11">
        <v>46127</v>
      </c>
      <c r="E60" s="12">
        <v>1595092</v>
      </c>
      <c r="F60" s="12" t="s">
        <v>13</v>
      </c>
      <c r="G60" s="13">
        <v>20392736</v>
      </c>
      <c r="H60" s="12" t="s">
        <v>159</v>
      </c>
      <c r="I60" s="13">
        <v>1</v>
      </c>
      <c r="J60" s="14">
        <v>8</v>
      </c>
      <c r="K60" s="14">
        <v>8</v>
      </c>
    </row>
    <row r="61" spans="4:11">
      <c r="D61" s="11">
        <v>46127</v>
      </c>
      <c r="E61" s="12">
        <v>1595092</v>
      </c>
      <c r="F61" s="12" t="s">
        <v>13</v>
      </c>
      <c r="G61" s="13">
        <v>20392731</v>
      </c>
      <c r="H61" s="12" t="s">
        <v>158</v>
      </c>
      <c r="I61" s="13">
        <v>6</v>
      </c>
      <c r="J61" s="14">
        <v>8</v>
      </c>
      <c r="K61" s="14">
        <v>48</v>
      </c>
    </row>
    <row r="62" spans="4:11">
      <c r="D62" s="11">
        <v>46127</v>
      </c>
      <c r="E62" s="12">
        <v>1595092</v>
      </c>
      <c r="F62" s="12" t="s">
        <v>13</v>
      </c>
      <c r="G62" s="13">
        <v>20393543</v>
      </c>
      <c r="H62" s="12" t="s">
        <v>154</v>
      </c>
      <c r="I62" s="13">
        <v>1</v>
      </c>
      <c r="J62" s="14">
        <v>8</v>
      </c>
      <c r="K62" s="14">
        <v>8</v>
      </c>
    </row>
    <row r="63" spans="4:11">
      <c r="D63" s="11">
        <v>46127</v>
      </c>
      <c r="E63" s="12">
        <v>1595092</v>
      </c>
      <c r="F63" s="12" t="s">
        <v>13</v>
      </c>
      <c r="G63" s="13">
        <v>20393575</v>
      </c>
      <c r="H63" s="12" t="s">
        <v>155</v>
      </c>
      <c r="I63" s="13">
        <v>1</v>
      </c>
      <c r="J63" s="14">
        <v>11</v>
      </c>
      <c r="K63" s="14">
        <v>11</v>
      </c>
    </row>
    <row r="64" spans="4:11">
      <c r="D64" s="11">
        <v>46127</v>
      </c>
      <c r="E64" s="12">
        <v>1595092</v>
      </c>
      <c r="F64" s="12" t="s">
        <v>13</v>
      </c>
      <c r="G64" s="13">
        <v>20392733</v>
      </c>
      <c r="H64" s="12" t="s">
        <v>157</v>
      </c>
      <c r="I64" s="13">
        <v>2</v>
      </c>
      <c r="J64" s="14">
        <v>8</v>
      </c>
      <c r="K64" s="14">
        <v>16</v>
      </c>
    </row>
    <row r="65" spans="4:11">
      <c r="D65" s="11">
        <v>46129</v>
      </c>
      <c r="E65" s="12">
        <v>1595904</v>
      </c>
      <c r="F65" s="12" t="s">
        <v>13</v>
      </c>
      <c r="G65" s="13">
        <v>20392736</v>
      </c>
      <c r="H65" s="12" t="s">
        <v>159</v>
      </c>
      <c r="I65" s="13">
        <v>2</v>
      </c>
      <c r="J65" s="14">
        <v>8</v>
      </c>
      <c r="K65" s="14">
        <v>16</v>
      </c>
    </row>
    <row r="66" spans="4:11">
      <c r="D66" s="11">
        <v>46129</v>
      </c>
      <c r="E66" s="12">
        <v>1595904</v>
      </c>
      <c r="F66" s="12" t="s">
        <v>13</v>
      </c>
      <c r="G66" s="13">
        <v>20395927</v>
      </c>
      <c r="H66" s="12" t="s">
        <v>175</v>
      </c>
      <c r="I66" s="13">
        <v>1</v>
      </c>
      <c r="J66" s="14">
        <v>8</v>
      </c>
      <c r="K66" s="14">
        <v>8</v>
      </c>
    </row>
    <row r="67" spans="4:11">
      <c r="D67" s="11">
        <v>46129</v>
      </c>
      <c r="E67" s="12">
        <v>1595904</v>
      </c>
      <c r="F67" s="12" t="s">
        <v>13</v>
      </c>
      <c r="G67" s="13">
        <v>20392731</v>
      </c>
      <c r="H67" s="12" t="s">
        <v>158</v>
      </c>
      <c r="I67" s="13">
        <v>10</v>
      </c>
      <c r="J67" s="14">
        <v>8</v>
      </c>
      <c r="K67" s="14">
        <v>80</v>
      </c>
    </row>
    <row r="68" spans="4:11">
      <c r="D68" s="11">
        <v>46129</v>
      </c>
      <c r="E68" s="12">
        <v>1595904</v>
      </c>
      <c r="F68" s="12" t="s">
        <v>13</v>
      </c>
      <c r="G68" s="13">
        <v>20393550</v>
      </c>
      <c r="H68" s="12" t="s">
        <v>153</v>
      </c>
      <c r="I68" s="13">
        <v>1</v>
      </c>
      <c r="J68" s="14">
        <v>8</v>
      </c>
      <c r="K68" s="14">
        <v>8</v>
      </c>
    </row>
    <row r="69" spans="4:11">
      <c r="D69" s="11">
        <v>46129</v>
      </c>
      <c r="E69" s="12">
        <v>1595904</v>
      </c>
      <c r="F69" s="12" t="s">
        <v>13</v>
      </c>
      <c r="G69" s="13">
        <v>20393543</v>
      </c>
      <c r="H69" s="12" t="s">
        <v>154</v>
      </c>
      <c r="I69" s="13">
        <v>6</v>
      </c>
      <c r="J69" s="14">
        <v>8</v>
      </c>
      <c r="K69" s="14">
        <v>48</v>
      </c>
    </row>
    <row r="70" spans="4:11">
      <c r="D70" s="11">
        <v>46129</v>
      </c>
      <c r="E70" s="12">
        <v>1595904</v>
      </c>
      <c r="F70" s="12" t="s">
        <v>13</v>
      </c>
      <c r="G70" s="13">
        <v>20393575</v>
      </c>
      <c r="H70" s="12" t="s">
        <v>155</v>
      </c>
      <c r="I70" s="13">
        <v>3</v>
      </c>
      <c r="J70" s="14">
        <v>11</v>
      </c>
      <c r="K70" s="14">
        <v>33</v>
      </c>
    </row>
    <row r="71" spans="4:11">
      <c r="D71" s="11">
        <v>46129</v>
      </c>
      <c r="E71" s="12">
        <v>1595904</v>
      </c>
      <c r="F71" s="12" t="s">
        <v>13</v>
      </c>
      <c r="G71" s="13">
        <v>20392733</v>
      </c>
      <c r="H71" s="12" t="s">
        <v>157</v>
      </c>
      <c r="I71" s="13">
        <v>2</v>
      </c>
      <c r="J71" s="14">
        <v>8</v>
      </c>
      <c r="K71" s="14">
        <v>16</v>
      </c>
    </row>
    <row r="72" spans="4:11">
      <c r="D72" s="11">
        <v>46129</v>
      </c>
      <c r="E72" s="12">
        <v>1595904</v>
      </c>
      <c r="F72" s="12" t="s">
        <v>13</v>
      </c>
      <c r="G72" s="13">
        <v>20393571</v>
      </c>
      <c r="H72" s="12" t="s">
        <v>160</v>
      </c>
      <c r="I72" s="13">
        <v>1</v>
      </c>
      <c r="J72" s="14">
        <v>8</v>
      </c>
      <c r="K72" s="14">
        <v>8</v>
      </c>
    </row>
    <row r="73" spans="4:11">
      <c r="D73" s="11">
        <v>46129</v>
      </c>
      <c r="E73" s="12">
        <v>1595905</v>
      </c>
      <c r="F73" s="12" t="s">
        <v>13</v>
      </c>
      <c r="G73" s="13">
        <v>20392733</v>
      </c>
      <c r="H73" s="12" t="s">
        <v>157</v>
      </c>
      <c r="I73" s="13">
        <v>1</v>
      </c>
      <c r="J73" s="14">
        <v>8</v>
      </c>
      <c r="K73" s="14">
        <v>8</v>
      </c>
    </row>
    <row r="74" spans="4:11">
      <c r="D74" s="11">
        <v>46132</v>
      </c>
      <c r="E74" s="12">
        <v>1596452</v>
      </c>
      <c r="F74" s="12" t="s">
        <v>13</v>
      </c>
      <c r="G74" s="13">
        <v>20392736</v>
      </c>
      <c r="H74" s="12" t="s">
        <v>159</v>
      </c>
      <c r="I74" s="13">
        <v>3</v>
      </c>
      <c r="J74" s="14">
        <v>8</v>
      </c>
      <c r="K74" s="14">
        <v>24</v>
      </c>
    </row>
    <row r="75" spans="4:11">
      <c r="D75" s="11">
        <v>46132</v>
      </c>
      <c r="E75" s="12">
        <v>1596452</v>
      </c>
      <c r="F75" s="12" t="s">
        <v>13</v>
      </c>
      <c r="G75" s="13">
        <v>20393545</v>
      </c>
      <c r="H75" s="12" t="s">
        <v>151</v>
      </c>
      <c r="I75" s="13">
        <v>1</v>
      </c>
      <c r="J75" s="14">
        <v>8</v>
      </c>
      <c r="K75" s="14">
        <v>8</v>
      </c>
    </row>
    <row r="76" spans="4:11">
      <c r="D76" s="11">
        <v>46132</v>
      </c>
      <c r="E76" s="12">
        <v>1596452</v>
      </c>
      <c r="F76" s="12" t="s">
        <v>13</v>
      </c>
      <c r="G76" s="13">
        <v>20393538</v>
      </c>
      <c r="H76" s="12" t="s">
        <v>152</v>
      </c>
      <c r="I76" s="13">
        <v>12</v>
      </c>
      <c r="J76" s="14">
        <v>8</v>
      </c>
      <c r="K76" s="14">
        <v>96</v>
      </c>
    </row>
    <row r="77" spans="4:11">
      <c r="D77" s="11">
        <v>46132</v>
      </c>
      <c r="E77" s="12">
        <v>1596452</v>
      </c>
      <c r="F77" s="12" t="s">
        <v>13</v>
      </c>
      <c r="G77" s="13">
        <v>20398755</v>
      </c>
      <c r="H77" s="12" t="s">
        <v>176</v>
      </c>
      <c r="I77" s="13">
        <v>1</v>
      </c>
      <c r="J77" s="14">
        <v>8</v>
      </c>
      <c r="K77" s="14">
        <v>8</v>
      </c>
    </row>
    <row r="78" spans="4:11">
      <c r="D78" s="11">
        <v>46132</v>
      </c>
      <c r="E78" s="12">
        <v>1596452</v>
      </c>
      <c r="F78" s="12" t="s">
        <v>13</v>
      </c>
      <c r="G78" s="13">
        <v>20393543</v>
      </c>
      <c r="H78" s="12" t="s">
        <v>154</v>
      </c>
      <c r="I78" s="13">
        <v>4</v>
      </c>
      <c r="J78" s="14">
        <v>8</v>
      </c>
      <c r="K78" s="14">
        <v>32</v>
      </c>
    </row>
    <row r="79" spans="4:11">
      <c r="D79" s="11">
        <v>46132</v>
      </c>
      <c r="E79" s="12">
        <v>1596452</v>
      </c>
      <c r="F79" s="12" t="s">
        <v>13</v>
      </c>
      <c r="G79" s="13">
        <v>20393575</v>
      </c>
      <c r="H79" s="12" t="s">
        <v>155</v>
      </c>
      <c r="I79" s="13">
        <v>1</v>
      </c>
      <c r="J79" s="14">
        <v>11</v>
      </c>
      <c r="K79" s="14">
        <v>11</v>
      </c>
    </row>
    <row r="80" spans="4:11">
      <c r="D80" s="11">
        <v>46132</v>
      </c>
      <c r="E80" s="12">
        <v>1596452</v>
      </c>
      <c r="F80" s="12" t="s">
        <v>13</v>
      </c>
      <c r="G80" s="13">
        <v>20392733</v>
      </c>
      <c r="H80" s="12" t="s">
        <v>157</v>
      </c>
      <c r="I80" s="13">
        <v>6</v>
      </c>
      <c r="J80" s="14">
        <v>8</v>
      </c>
      <c r="K80" s="14">
        <v>48</v>
      </c>
    </row>
    <row r="81" spans="4:11">
      <c r="D81" s="11">
        <v>46132</v>
      </c>
      <c r="E81" s="12">
        <v>1596452</v>
      </c>
      <c r="F81" s="12" t="s">
        <v>13</v>
      </c>
      <c r="G81" s="13">
        <v>20393571</v>
      </c>
      <c r="H81" s="12" t="s">
        <v>160</v>
      </c>
      <c r="I81" s="13">
        <v>1</v>
      </c>
      <c r="J81" s="14">
        <v>8</v>
      </c>
      <c r="K81" s="14">
        <v>8</v>
      </c>
    </row>
    <row r="82" spans="4:11">
      <c r="D82" s="11">
        <v>46134</v>
      </c>
      <c r="E82" s="12">
        <v>1597216</v>
      </c>
      <c r="F82" s="12" t="s">
        <v>13</v>
      </c>
      <c r="G82" s="13">
        <v>20392736</v>
      </c>
      <c r="H82" s="12" t="s">
        <v>159</v>
      </c>
      <c r="I82" s="13">
        <v>3</v>
      </c>
      <c r="J82" s="14">
        <v>8</v>
      </c>
      <c r="K82" s="14">
        <v>24</v>
      </c>
    </row>
    <row r="83" spans="4:11">
      <c r="D83" s="11">
        <v>46134</v>
      </c>
      <c r="E83" s="12">
        <v>1597216</v>
      </c>
      <c r="F83" s="12" t="s">
        <v>13</v>
      </c>
      <c r="G83" s="13">
        <v>20393538</v>
      </c>
      <c r="H83" s="12" t="s">
        <v>152</v>
      </c>
      <c r="I83" s="13">
        <v>5</v>
      </c>
      <c r="J83" s="14">
        <v>8</v>
      </c>
      <c r="K83" s="14">
        <v>40</v>
      </c>
    </row>
    <row r="84" spans="4:11">
      <c r="D84" s="11">
        <v>46134</v>
      </c>
      <c r="E84" s="12">
        <v>1597216</v>
      </c>
      <c r="F84" s="12" t="s">
        <v>13</v>
      </c>
      <c r="G84" s="13">
        <v>20393543</v>
      </c>
      <c r="H84" s="12" t="s">
        <v>154</v>
      </c>
      <c r="I84" s="13">
        <v>3</v>
      </c>
      <c r="J84" s="14">
        <v>8</v>
      </c>
      <c r="K84" s="14">
        <v>24</v>
      </c>
    </row>
    <row r="85" spans="4:11">
      <c r="D85" s="11">
        <v>46134</v>
      </c>
      <c r="E85" s="12">
        <v>1597216</v>
      </c>
      <c r="F85" s="12" t="s">
        <v>13</v>
      </c>
      <c r="G85" s="13">
        <v>20393575</v>
      </c>
      <c r="H85" s="12" t="s">
        <v>155</v>
      </c>
      <c r="I85" s="13">
        <v>2</v>
      </c>
      <c r="J85" s="14">
        <v>11</v>
      </c>
      <c r="K85" s="14">
        <v>22</v>
      </c>
    </row>
    <row r="86" spans="4:11">
      <c r="D86" s="11">
        <v>46136</v>
      </c>
      <c r="E86" s="12">
        <v>1597908</v>
      </c>
      <c r="F86" s="12" t="s">
        <v>13</v>
      </c>
      <c r="G86" s="13">
        <v>20392736</v>
      </c>
      <c r="H86" s="12" t="s">
        <v>159</v>
      </c>
      <c r="I86" s="13">
        <v>3</v>
      </c>
      <c r="J86" s="14">
        <v>8</v>
      </c>
      <c r="K86" s="14">
        <v>24</v>
      </c>
    </row>
    <row r="87" spans="4:11">
      <c r="D87" s="11">
        <v>46136</v>
      </c>
      <c r="E87" s="12">
        <v>1597908</v>
      </c>
      <c r="F87" s="12" t="s">
        <v>13</v>
      </c>
      <c r="G87" s="13">
        <v>20392731</v>
      </c>
      <c r="H87" s="12" t="s">
        <v>158</v>
      </c>
      <c r="I87" s="13">
        <v>7</v>
      </c>
      <c r="J87" s="14">
        <v>8</v>
      </c>
      <c r="K87" s="14">
        <v>56</v>
      </c>
    </row>
    <row r="88" spans="4:11">
      <c r="D88" s="11">
        <v>46136</v>
      </c>
      <c r="E88" s="12">
        <v>1597908</v>
      </c>
      <c r="F88" s="12" t="s">
        <v>13</v>
      </c>
      <c r="G88" s="13">
        <v>20393543</v>
      </c>
      <c r="H88" s="12" t="s">
        <v>154</v>
      </c>
      <c r="I88" s="13">
        <v>2</v>
      </c>
      <c r="J88" s="14">
        <v>8</v>
      </c>
      <c r="K88" s="14">
        <v>16</v>
      </c>
    </row>
    <row r="89" spans="4:11">
      <c r="D89" s="11">
        <v>46136</v>
      </c>
      <c r="E89" s="12">
        <v>1597908</v>
      </c>
      <c r="F89" s="12" t="s">
        <v>13</v>
      </c>
      <c r="G89" s="13">
        <v>20393575</v>
      </c>
      <c r="H89" s="12" t="s">
        <v>155</v>
      </c>
      <c r="I89" s="13">
        <v>2</v>
      </c>
      <c r="J89" s="14">
        <v>11</v>
      </c>
      <c r="K89" s="14">
        <v>22</v>
      </c>
    </row>
    <row r="90" spans="4:11">
      <c r="D90" s="11">
        <v>46136</v>
      </c>
      <c r="E90" s="12">
        <v>1597908</v>
      </c>
      <c r="F90" s="12" t="s">
        <v>13</v>
      </c>
      <c r="G90" s="13">
        <v>20392733</v>
      </c>
      <c r="H90" s="12" t="s">
        <v>157</v>
      </c>
      <c r="I90" s="13">
        <v>4</v>
      </c>
      <c r="J90" s="14">
        <v>8</v>
      </c>
      <c r="K90" s="14">
        <v>32</v>
      </c>
    </row>
    <row r="91" spans="4:11">
      <c r="D91" s="11">
        <v>46136</v>
      </c>
      <c r="E91" s="12">
        <v>1597908</v>
      </c>
      <c r="F91" s="12" t="s">
        <v>13</v>
      </c>
      <c r="G91" s="13">
        <v>20393584</v>
      </c>
      <c r="H91" s="12" t="s">
        <v>177</v>
      </c>
      <c r="I91" s="13">
        <v>1</v>
      </c>
      <c r="J91" s="14">
        <v>8</v>
      </c>
      <c r="K91" s="14">
        <v>8</v>
      </c>
    </row>
    <row r="92" spans="4:11">
      <c r="D92" s="11">
        <v>46139</v>
      </c>
      <c r="E92" s="12">
        <v>1598480</v>
      </c>
      <c r="F92" s="12" t="s">
        <v>13</v>
      </c>
      <c r="G92" s="13">
        <v>20392736</v>
      </c>
      <c r="H92" s="12" t="s">
        <v>159</v>
      </c>
      <c r="I92" s="13">
        <v>2</v>
      </c>
      <c r="J92" s="14">
        <v>8</v>
      </c>
      <c r="K92" s="14">
        <v>16</v>
      </c>
    </row>
    <row r="93" spans="4:11">
      <c r="D93" s="11">
        <v>46139</v>
      </c>
      <c r="E93" s="12">
        <v>1598480</v>
      </c>
      <c r="F93" s="12" t="s">
        <v>13</v>
      </c>
      <c r="G93" s="13">
        <v>20393538</v>
      </c>
      <c r="H93" s="12" t="s">
        <v>152</v>
      </c>
      <c r="I93" s="13">
        <v>11</v>
      </c>
      <c r="J93" s="14">
        <v>8</v>
      </c>
      <c r="K93" s="14">
        <v>88</v>
      </c>
    </row>
    <row r="94" spans="4:11">
      <c r="D94" s="11">
        <v>46139</v>
      </c>
      <c r="E94" s="12">
        <v>1598480</v>
      </c>
      <c r="F94" s="12" t="s">
        <v>13</v>
      </c>
      <c r="G94" s="13">
        <v>20398755</v>
      </c>
      <c r="H94" s="12" t="s">
        <v>176</v>
      </c>
      <c r="I94" s="13">
        <v>1</v>
      </c>
      <c r="J94" s="14">
        <v>8</v>
      </c>
      <c r="K94" s="14">
        <v>8</v>
      </c>
    </row>
    <row r="95" spans="4:11">
      <c r="D95" s="11">
        <v>46139</v>
      </c>
      <c r="E95" s="12">
        <v>1598480</v>
      </c>
      <c r="F95" s="12" t="s">
        <v>13</v>
      </c>
      <c r="G95" s="13">
        <v>20393550</v>
      </c>
      <c r="H95" s="12" t="s">
        <v>153</v>
      </c>
      <c r="I95" s="13">
        <v>1</v>
      </c>
      <c r="J95" s="14">
        <v>8</v>
      </c>
      <c r="K95" s="14">
        <v>8</v>
      </c>
    </row>
    <row r="96" spans="4:11">
      <c r="D96" s="11">
        <v>46139</v>
      </c>
      <c r="E96" s="12">
        <v>1598480</v>
      </c>
      <c r="F96" s="12" t="s">
        <v>13</v>
      </c>
      <c r="G96" s="13">
        <v>20393543</v>
      </c>
      <c r="H96" s="12" t="s">
        <v>154</v>
      </c>
      <c r="I96" s="13">
        <v>3</v>
      </c>
      <c r="J96" s="14">
        <v>8</v>
      </c>
      <c r="K96" s="14">
        <v>24</v>
      </c>
    </row>
    <row r="97" spans="4:11">
      <c r="D97" s="11">
        <v>46139</v>
      </c>
      <c r="E97" s="12">
        <v>1598480</v>
      </c>
      <c r="F97" s="12" t="s">
        <v>13</v>
      </c>
      <c r="G97" s="13">
        <v>20393575</v>
      </c>
      <c r="H97" s="12" t="s">
        <v>155</v>
      </c>
      <c r="I97" s="13">
        <v>2</v>
      </c>
      <c r="J97" s="14">
        <v>11</v>
      </c>
      <c r="K97" s="14">
        <v>22</v>
      </c>
    </row>
    <row r="98" spans="4:11">
      <c r="D98" s="11">
        <v>46139</v>
      </c>
      <c r="E98" s="12">
        <v>1598480</v>
      </c>
      <c r="F98" s="12" t="s">
        <v>13</v>
      </c>
      <c r="G98" s="13">
        <v>20392733</v>
      </c>
      <c r="H98" s="12" t="s">
        <v>157</v>
      </c>
      <c r="I98" s="13">
        <v>1</v>
      </c>
      <c r="J98" s="14">
        <v>8</v>
      </c>
      <c r="K98" s="14">
        <v>8</v>
      </c>
    </row>
    <row r="99" spans="4:11">
      <c r="D99" s="11">
        <v>46141</v>
      </c>
      <c r="E99" s="12">
        <v>1599326</v>
      </c>
      <c r="F99" s="12" t="s">
        <v>13</v>
      </c>
      <c r="G99" s="13">
        <v>20392736</v>
      </c>
      <c r="H99" s="12" t="s">
        <v>159</v>
      </c>
      <c r="I99" s="13">
        <v>2</v>
      </c>
      <c r="J99" s="14">
        <v>8</v>
      </c>
      <c r="K99" s="14">
        <v>16</v>
      </c>
    </row>
    <row r="100" spans="4:11">
      <c r="D100" s="11">
        <v>46141</v>
      </c>
      <c r="E100" s="12">
        <v>1599326</v>
      </c>
      <c r="F100" s="12" t="s">
        <v>13</v>
      </c>
      <c r="G100" s="13">
        <v>20395927</v>
      </c>
      <c r="H100" s="12" t="s">
        <v>175</v>
      </c>
      <c r="I100" s="13">
        <v>1</v>
      </c>
      <c r="J100" s="14">
        <v>8</v>
      </c>
      <c r="K100" s="14">
        <v>8</v>
      </c>
    </row>
    <row r="101" spans="4:11">
      <c r="D101" s="11">
        <v>46141</v>
      </c>
      <c r="E101" s="12">
        <v>1599326</v>
      </c>
      <c r="F101" s="12" t="s">
        <v>13</v>
      </c>
      <c r="G101" s="13">
        <v>20393545</v>
      </c>
      <c r="H101" s="12" t="s">
        <v>151</v>
      </c>
      <c r="I101" s="13">
        <v>1</v>
      </c>
      <c r="J101" s="14">
        <v>8</v>
      </c>
      <c r="K101" s="14">
        <v>8</v>
      </c>
    </row>
    <row r="102" spans="4:11">
      <c r="D102" s="11">
        <v>46141</v>
      </c>
      <c r="E102" s="12">
        <v>1599326</v>
      </c>
      <c r="F102" s="12" t="s">
        <v>13</v>
      </c>
      <c r="G102" s="13">
        <v>20392731</v>
      </c>
      <c r="H102" s="12" t="s">
        <v>158</v>
      </c>
      <c r="I102" s="13">
        <v>5</v>
      </c>
      <c r="J102" s="14">
        <v>8</v>
      </c>
      <c r="K102" s="14">
        <v>40</v>
      </c>
    </row>
    <row r="103" spans="4:11">
      <c r="D103" s="11">
        <v>46141</v>
      </c>
      <c r="E103" s="12">
        <v>1599326</v>
      </c>
      <c r="F103" s="12" t="s">
        <v>13</v>
      </c>
      <c r="G103" s="13">
        <v>20392733</v>
      </c>
      <c r="H103" s="12" t="s">
        <v>157</v>
      </c>
      <c r="I103" s="13">
        <v>2</v>
      </c>
      <c r="J103" s="14">
        <v>8</v>
      </c>
      <c r="K103" s="14">
        <v>16</v>
      </c>
    </row>
    <row r="104" spans="4:11">
      <c r="D104" s="11">
        <v>46141</v>
      </c>
      <c r="E104" s="12">
        <v>1599326</v>
      </c>
      <c r="F104" s="12" t="s">
        <v>13</v>
      </c>
      <c r="G104" s="13">
        <v>20393584</v>
      </c>
      <c r="H104" s="12" t="s">
        <v>177</v>
      </c>
      <c r="I104" s="13">
        <v>1</v>
      </c>
      <c r="J104" s="14">
        <v>8</v>
      </c>
      <c r="K104" s="14">
        <v>8</v>
      </c>
    </row>
    <row r="105" spans="4:11">
      <c r="D105" s="11">
        <v>46142</v>
      </c>
      <c r="E105" s="12">
        <v>1599777</v>
      </c>
      <c r="F105" s="12" t="s">
        <v>13</v>
      </c>
      <c r="G105" s="13">
        <v>20392736</v>
      </c>
      <c r="H105" s="12" t="s">
        <v>159</v>
      </c>
      <c r="I105" s="13">
        <v>1</v>
      </c>
      <c r="J105" s="14">
        <v>8</v>
      </c>
      <c r="K105" s="14">
        <v>8</v>
      </c>
    </row>
    <row r="106" spans="4:11">
      <c r="D106" s="11">
        <v>46142</v>
      </c>
      <c r="E106" s="12">
        <v>1599777</v>
      </c>
      <c r="F106" s="12" t="s">
        <v>13</v>
      </c>
      <c r="G106" s="13">
        <v>20393545</v>
      </c>
      <c r="H106" s="12" t="s">
        <v>151</v>
      </c>
      <c r="I106" s="13">
        <v>1</v>
      </c>
      <c r="J106" s="14">
        <v>8</v>
      </c>
      <c r="K106" s="14">
        <v>8</v>
      </c>
    </row>
    <row r="107" spans="4:11">
      <c r="D107" s="11">
        <v>46142</v>
      </c>
      <c r="E107" s="12">
        <v>1599777</v>
      </c>
      <c r="F107" s="12" t="s">
        <v>13</v>
      </c>
      <c r="G107" s="13">
        <v>20393538</v>
      </c>
      <c r="H107" s="12" t="s">
        <v>152</v>
      </c>
      <c r="I107" s="13">
        <v>7</v>
      </c>
      <c r="J107" s="14">
        <v>8</v>
      </c>
      <c r="K107" s="14">
        <v>56</v>
      </c>
    </row>
    <row r="108" spans="4:11">
      <c r="D108" s="11">
        <v>46142</v>
      </c>
      <c r="E108" s="12">
        <v>1599777</v>
      </c>
      <c r="F108" s="12" t="s">
        <v>13</v>
      </c>
      <c r="G108" s="13">
        <v>20392733</v>
      </c>
      <c r="H108" s="12" t="s">
        <v>157</v>
      </c>
      <c r="I108" s="13">
        <v>2</v>
      </c>
      <c r="J108" s="14">
        <v>8</v>
      </c>
      <c r="K108" s="14">
        <v>16</v>
      </c>
    </row>
    <row r="109" spans="4:11">
      <c r="D109" s="11">
        <v>46142</v>
      </c>
      <c r="E109" s="12">
        <v>1599777</v>
      </c>
      <c r="F109" s="12" t="s">
        <v>13</v>
      </c>
      <c r="G109" s="13">
        <v>20393571</v>
      </c>
      <c r="H109" s="12" t="s">
        <v>160</v>
      </c>
      <c r="I109" s="13">
        <v>1</v>
      </c>
      <c r="J109" s="14">
        <v>8</v>
      </c>
      <c r="K109" s="14">
        <v>8</v>
      </c>
    </row>
  </sheetData>
  <autoFilter xmlns:etc="http://www.wps.cn/officeDocument/2017/etCustomData" ref="A7:K109" etc:filterBottomFollowUsedRange="0">
    <extLst/>
  </autoFilter>
  <mergeCells count="5">
    <mergeCell ref="D8:H8"/>
    <mergeCell ref="C7:C109"/>
    <mergeCell ref="B4:H5"/>
    <mergeCell ref="A7:B10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12:57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178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175</v>
      </c>
    </row>
    <row r="9" spans="1:11">
      <c r="D9" s="11">
        <v>46127</v>
      </c>
      <c r="E9" s="12">
        <v>1595093</v>
      </c>
      <c r="F9" s="12" t="s">
        <v>13</v>
      </c>
      <c r="G9" s="13">
        <v>20399945</v>
      </c>
      <c r="H9" s="12" t="s">
        <v>179</v>
      </c>
      <c r="I9" s="13">
        <v>1</v>
      </c>
      <c r="J9" s="14">
        <v>8</v>
      </c>
      <c r="K9" s="14">
        <v>8</v>
      </c>
    </row>
    <row r="10" spans="1:11">
      <c r="D10" s="11">
        <v>46127</v>
      </c>
      <c r="E10" s="12">
        <v>1595093</v>
      </c>
      <c r="F10" s="12" t="s">
        <v>13</v>
      </c>
      <c r="G10" s="13">
        <v>20399949</v>
      </c>
      <c r="H10" s="12" t="s">
        <v>180</v>
      </c>
      <c r="I10" s="13">
        <v>1</v>
      </c>
      <c r="J10" s="14">
        <v>8</v>
      </c>
      <c r="K10" s="14">
        <v>8</v>
      </c>
    </row>
    <row r="11" spans="1:11">
      <c r="D11" s="11">
        <v>46127</v>
      </c>
      <c r="E11" s="12">
        <v>1595093</v>
      </c>
      <c r="F11" s="12" t="s">
        <v>101</v>
      </c>
      <c r="G11" s="13">
        <v>20399954</v>
      </c>
      <c r="H11" s="12" t="s">
        <v>181</v>
      </c>
      <c r="I11" s="13">
        <v>1</v>
      </c>
      <c r="J11" s="14">
        <v>104.5</v>
      </c>
      <c r="K11" s="14">
        <v>104.5</v>
      </c>
    </row>
    <row r="12" spans="1:11">
      <c r="D12" s="11">
        <v>46127</v>
      </c>
      <c r="E12" s="12">
        <v>1595093</v>
      </c>
      <c r="F12" s="12" t="s">
        <v>17</v>
      </c>
      <c r="G12" s="13">
        <v>20399955</v>
      </c>
      <c r="H12" s="12" t="s">
        <v>182</v>
      </c>
      <c r="I12" s="13">
        <v>1</v>
      </c>
      <c r="J12" s="14">
        <v>49.5</v>
      </c>
      <c r="K12" s="14">
        <v>49.5</v>
      </c>
    </row>
    <row r="13" spans="1:11">
      <c r="D13" s="11">
        <v>46127</v>
      </c>
      <c r="E13" s="12">
        <v>1595093</v>
      </c>
      <c r="F13" s="12" t="s">
        <v>37</v>
      </c>
      <c r="G13" s="13">
        <v>20401662</v>
      </c>
      <c r="H13" s="12" t="s">
        <v>141</v>
      </c>
      <c r="I13" s="13">
        <v>2</v>
      </c>
      <c r="J13" s="14">
        <v>2.5</v>
      </c>
      <c r="K13" s="14">
        <v>5</v>
      </c>
    </row>
  </sheetData>
  <autoFilter xmlns:etc="http://www.wps.cn/officeDocument/2017/etCustomData" ref="A7:K13" etc:filterBottomFollowUsedRange="0">
    <extLst/>
  </autoFilter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12:57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儿科</vt:lpstr>
      <vt:lpstr>妇病</vt:lpstr>
      <vt:lpstr>妇科（综合）</vt:lpstr>
      <vt:lpstr>妇门</vt:lpstr>
      <vt:lpstr>口腔科</vt:lpstr>
      <vt:lpstr>内科</vt:lpstr>
      <vt:lpstr>手术室</vt:lpstr>
      <vt:lpstr>外科</vt:lpstr>
      <vt:lpstr>五官科</vt:lpstr>
      <vt:lpstr>注射室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2026-05-07T04:58:00Z</dcterms:created>
  <dcterms:modified xsi:type="dcterms:W3CDTF">2026-05-13T01:22:28Z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1CC53F1AE38C41789ABB96F73880C524_13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