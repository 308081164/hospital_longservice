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产科" sheetId="1" r:id="rId1"/>
    <sheet name="内二科" sheetId="2" r:id="rId2"/>
    <sheet name="内五科" sheetId="3" r:id="rId3"/>
    <sheet name="内一科" sheetId="4" r:id="rId4"/>
    <sheet name="手术室" sheetId="5" r:id="rId5"/>
    <sheet name="透析科" sheetId="6" r:id="rId6"/>
    <sheet name="外科" sheetId="7" r:id="rId7"/>
    <sheet name="中西医结合" sheetId="8" r:id="rId8"/>
  </sheets>
  <definedNames>
    <definedName name="_xlnm._FilterDatabase" localSheetId="0" hidden="1">妇产科!$A$9:$K$22</definedName>
    <definedName name="_xlnm._FilterDatabase" localSheetId="4" hidden="1">手术室!$A$7:$K$31</definedName>
    <definedName name="_xlnm._FilterDatabase" localSheetId="6" hidden="1">外科!$A$7:$K$35</definedName>
    <definedName name="_xlnm.Print_Titles" localSheetId="0">妇产科!$1:$6</definedName>
    <definedName name="_xlnm.Print_Titles" localSheetId="1">内二科!$1:$6</definedName>
    <definedName name="_xlnm.Print_Titles" localSheetId="2">内五科!$1:$6</definedName>
    <definedName name="_xlnm.Print_Titles" localSheetId="3">内一科!$1:$6</definedName>
    <definedName name="_xlnm.Print_Titles" localSheetId="4">手术室!$1:$6</definedName>
    <definedName name="_xlnm.Print_Titles" localSheetId="5">透析科!$1:$6</definedName>
    <definedName name="_xlnm.Print_Titles" localSheetId="6">外科!$1:$6</definedName>
    <definedName name="_xlnm.Print_Titles" localSheetId="7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<sst xmlns="http://schemas.openxmlformats.org/spreadsheetml/2006/main" count="294" uniqueCount="60">
  <si>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</si>
  <si>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</si>
  <si>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</si>
  <si>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国药总医院第二院区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</si>
  <si>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</si>
  <si>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</si>
  <si>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</si>
  <si>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</si>
  <si>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</si>
  <si>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</si>
  <si>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</si>
  <si>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</si>
  <si>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</si>
  <si>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</si>
  <si>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病理包-2/Z1530</t>
  </si>
  <si>
    <t>止血钳-1/Z1029</t>
  </si>
  <si>
    <t>额外包(无纺布)</t>
  </si>
  <si>
    <t>取环包-6/W6050</t>
  </si>
  <si>
    <t>取环器-1/Z1535</t>
  </si>
  <si>
    <t>单包装包</t>
  </si>
  <si>
    <t>无菌缸-1/Z2530</t>
  </si>
  <si>
    <t>换药缸-1/Z2530</t>
  </si>
  <si>
    <t>扩棒-1/Z7530</t>
  </si>
  <si>
    <t>内二科</t>
  </si>
  <si>
    <t>开口器,舌钳子-2/Z1526</t>
  </si>
  <si>
    <t>内五科</t>
  </si>
  <si>
    <t>内一科</t>
  </si>
  <si>
    <t>手术室</t>
  </si>
  <si>
    <t>器械包</t>
  </si>
  <si>
    <t>肛门包</t>
  </si>
  <si>
    <t>门诊包</t>
  </si>
  <si>
    <t>克氏钳-1/z1029</t>
  </si>
  <si>
    <t>持物钳罐-2/W6050</t>
  </si>
  <si>
    <t>手科-11/W6050</t>
  </si>
  <si>
    <t>阑尾包</t>
  </si>
  <si>
    <t>胃肠包</t>
  </si>
  <si>
    <t>胃肠特殊包</t>
  </si>
  <si>
    <t>肠压板-1/Z1035</t>
  </si>
  <si>
    <t>缝合针-6/Z7520</t>
  </si>
  <si>
    <t>缝合针-8/Z7520</t>
  </si>
  <si>
    <t>针盒-1(带针)/W6050</t>
  </si>
  <si>
    <t>蚊式包</t>
  </si>
  <si>
    <t>腹腔镜器械-9件/W6050</t>
  </si>
  <si>
    <t>透析科</t>
  </si>
  <si>
    <t>开口器舌钳子压舌板-3/Z1526</t>
  </si>
  <si>
    <t>外科</t>
  </si>
  <si>
    <t>器械包(ZSD)</t>
  </si>
  <si>
    <t>缝合包</t>
  </si>
  <si>
    <t>止血钳-1剪刀-1/Z1526</t>
  </si>
  <si>
    <t>无菌缸-3/W7050</t>
  </si>
  <si>
    <t>敷料包</t>
  </si>
  <si>
    <t>棉球（棉布）</t>
  </si>
  <si>
    <t>纱条（棉布）</t>
  </si>
  <si>
    <t>剪刀-1止血钳-2/Z1530</t>
  </si>
  <si>
    <t>止血钳1持针器1钩镊1刀柄1/W6050</t>
  </si>
  <si>
    <t>无菌缸-4/W9050</t>
  </si>
  <si>
    <t>拉钩-2/Z1029</t>
  </si>
  <si>
    <t>刀柄1持针器1剪刀1止血钳1/W6050</t>
  </si>
  <si>
    <t>外科-器械包</t>
  </si>
  <si>
    <t>中西医结合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</si>
</sst>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47625</xdr:rowOff>
    </xdr:from>
    <xdr:to>
      <xdr:col>9</xdr:col>
      <xdr:colOff>823678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1</xdr:row>
      <xdr:rowOff>47625</xdr:rowOff>
    </xdr:from>
    <xdr:to>
      <xdr:col>9</xdr:col>
      <xdr:colOff>690328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731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66675</xdr:rowOff>
    </xdr:from>
    <xdr:to>
      <xdr:col>9</xdr:col>
      <xdr:colOff>814153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142240</xdr:colOff>
      <xdr:row>1</xdr:row>
      <xdr:rowOff>28575</xdr:rowOff>
    </xdr:from>
    <xdr:to>
      <xdr:col>9</xdr:col>
      <xdr:colOff>652228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350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9525</xdr:rowOff>
    </xdr:from>
    <xdr:to>
      <xdr:col>9</xdr:col>
      <xdr:colOff>795103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0</xdr:rowOff>
    </xdr:from>
    <xdr:to>
      <xdr:col>9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0</xdr:row>
      <xdr:rowOff>161925</xdr:rowOff>
    </xdr:from>
    <xdr:to>
      <xdr:col>9</xdr:col>
      <xdr:colOff>699853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9525</xdr:rowOff>
    </xdr:from>
    <xdr:to>
      <xdr:col>9</xdr:col>
      <xdr:colOff>842728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32" sqref="I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19</v>
      </c>
      <c r="J10" s="10"/>
      <c r="K10" s="10">
        <v>429.5</v>
      </c>
    </row>
    <row r="11" spans="2:11">
      <c r="D11" s="11">
        <v>46050</v>
      </c>
      <c r="E11" s="12">
        <v>1574307</v>
      </c>
      <c r="F11" s="12" t="s">
        <v>13</v>
      </c>
      <c r="G11" s="13">
        <v>20006167</v>
      </c>
      <c r="H11" s="12" t="s">
        <v>14</v>
      </c>
      <c r="I11" s="13">
        <v>1</v>
      </c>
      <c r="J11" s="14">
        <v>16.5</v>
      </c>
      <c r="K11" s="14">
        <v>16.5</v>
      </c>
    </row>
    <row r="12" spans="2:11">
      <c r="D12" s="11">
        <v>46050</v>
      </c>
      <c r="E12" s="12">
        <v>1574307</v>
      </c>
      <c r="F12" s="12" t="s">
        <v>13</v>
      </c>
      <c r="G12" s="13">
        <v>20012950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46050</v>
      </c>
      <c r="E13" s="12">
        <v>1574307</v>
      </c>
      <c r="F13" s="12" t="s">
        <v>16</v>
      </c>
      <c r="G13" s="13">
        <v>20311377</v>
      </c>
      <c r="H13" s="12" t="s">
        <v>17</v>
      </c>
      <c r="I13" s="13">
        <v>2</v>
      </c>
      <c r="J13" s="14">
        <v>33</v>
      </c>
      <c r="K13" s="14">
        <v>66</v>
      </c>
    </row>
    <row r="14" spans="2:11">
      <c r="D14" s="11">
        <v>46055</v>
      </c>
      <c r="E14" s="12">
        <v>1575532</v>
      </c>
      <c r="F14" s="12" t="s">
        <v>13</v>
      </c>
      <c r="G14" s="13">
        <v>20006138</v>
      </c>
      <c r="H14" s="12" t="s">
        <v>18</v>
      </c>
      <c r="I14" s="13">
        <v>1</v>
      </c>
      <c r="J14" s="14">
        <v>11</v>
      </c>
      <c r="K14" s="14">
        <v>11</v>
      </c>
    </row>
    <row r="15" spans="2:11">
      <c r="D15" s="11">
        <v>46055</v>
      </c>
      <c r="E15" s="12">
        <v>1575532</v>
      </c>
      <c r="F15" s="12" t="s">
        <v>13</v>
      </c>
      <c r="G15" s="13">
        <v>20012950</v>
      </c>
      <c r="H15" s="12" t="s">
        <v>15</v>
      </c>
      <c r="I15" s="13">
        <v>2</v>
      </c>
      <c r="J15" s="14">
        <v>8</v>
      </c>
      <c r="K15" s="14">
        <v>16</v>
      </c>
    </row>
    <row r="16" spans="2:11">
      <c r="D16" s="11">
        <v>46055</v>
      </c>
      <c r="E16" s="12">
        <v>1575560</v>
      </c>
      <c r="F16" s="12" t="s">
        <v>16</v>
      </c>
      <c r="G16" s="13">
        <v>20311377</v>
      </c>
      <c r="H16" s="12" t="s">
        <v>17</v>
      </c>
      <c r="I16" s="13">
        <v>3</v>
      </c>
      <c r="J16" s="14">
        <v>33</v>
      </c>
      <c r="K16" s="14">
        <v>99</v>
      </c>
    </row>
    <row r="17" spans="4:11">
      <c r="D17" s="11">
        <v>46057</v>
      </c>
      <c r="E17" s="12">
        <v>1576232</v>
      </c>
      <c r="F17" s="12" t="s">
        <v>19</v>
      </c>
      <c r="G17" s="13">
        <v>20006140</v>
      </c>
      <c r="H17" s="12" t="s">
        <v>20</v>
      </c>
      <c r="I17" s="13">
        <v>1</v>
      </c>
      <c r="J17" s="14">
        <v>16</v>
      </c>
      <c r="K17" s="14">
        <v>16</v>
      </c>
    </row>
    <row r="18" spans="4:11">
      <c r="D18" s="11">
        <v>46057</v>
      </c>
      <c r="E18" s="12">
        <v>1576232</v>
      </c>
      <c r="F18" s="12" t="s">
        <v>16</v>
      </c>
      <c r="G18" s="13">
        <v>20311377</v>
      </c>
      <c r="H18" s="12" t="s">
        <v>17</v>
      </c>
      <c r="I18" s="13">
        <v>2</v>
      </c>
      <c r="J18" s="14">
        <v>33</v>
      </c>
      <c r="K18" s="14">
        <v>66</v>
      </c>
    </row>
    <row r="19" spans="4:11">
      <c r="D19" s="11">
        <v>46066</v>
      </c>
      <c r="E19" s="12">
        <v>1578650</v>
      </c>
      <c r="F19" s="12" t="s">
        <v>19</v>
      </c>
      <c r="G19" s="13">
        <v>20009136</v>
      </c>
      <c r="H19" s="12" t="s">
        <v>21</v>
      </c>
      <c r="I19" s="13">
        <v>1</v>
      </c>
      <c r="J19" s="14">
        <v>16</v>
      </c>
      <c r="K19" s="14">
        <v>16</v>
      </c>
    </row>
    <row r="20" spans="4:11">
      <c r="D20" s="11">
        <v>46066</v>
      </c>
      <c r="E20" s="12">
        <v>1578650</v>
      </c>
      <c r="F20" s="12" t="s">
        <v>13</v>
      </c>
      <c r="G20" s="13">
        <v>20014787</v>
      </c>
      <c r="H20" s="12" t="s">
        <v>22</v>
      </c>
      <c r="I20" s="13">
        <v>1</v>
      </c>
      <c r="J20" s="14">
        <v>8</v>
      </c>
      <c r="K20" s="14">
        <v>8</v>
      </c>
    </row>
    <row r="21" spans="4:11">
      <c r="D21" s="11">
        <v>46066</v>
      </c>
      <c r="E21" s="12">
        <v>1578650</v>
      </c>
      <c r="F21" s="12" t="s">
        <v>13</v>
      </c>
      <c r="G21" s="13">
        <v>20012950</v>
      </c>
      <c r="H21" s="12" t="s">
        <v>15</v>
      </c>
      <c r="I21" s="13">
        <v>1</v>
      </c>
      <c r="J21" s="14">
        <v>8</v>
      </c>
      <c r="K21" s="14">
        <v>8</v>
      </c>
    </row>
    <row r="22" spans="4:11">
      <c r="D22" s="11">
        <v>46066</v>
      </c>
      <c r="E22" s="12">
        <v>1578650</v>
      </c>
      <c r="F22" s="12" t="s">
        <v>16</v>
      </c>
      <c r="G22" s="13">
        <v>20311377</v>
      </c>
      <c r="H22" s="12" t="s">
        <v>17</v>
      </c>
      <c r="I22" s="13">
        <v>3</v>
      </c>
      <c r="J22" s="14">
        <v>33</v>
      </c>
      <c r="K22" s="14">
        <v>99</v>
      </c>
    </row>
    <row r="23" ht="0.05" customHeight="1"/>
  </sheetData>
  <autoFilter xmlns:etc="http://www.wps.cn/officeDocument/2017/etCustomData" ref="A9:K22" etc:filterBottomFollowUsedRange="0">
    <extLst/>
  </autoFilter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37" sqref="H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24.5</v>
      </c>
    </row>
    <row r="9" spans="1:11">
      <c r="D9" s="11">
        <v>46078</v>
      </c>
      <c r="E9" s="12">
        <v>1580005</v>
      </c>
      <c r="F9" s="12" t="s">
        <v>13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spans="1:11">
      <c r="D10" s="11">
        <v>46078</v>
      </c>
      <c r="E10" s="12">
        <v>1580005</v>
      </c>
      <c r="F10" s="12" t="s">
        <v>13</v>
      </c>
      <c r="G10" s="13">
        <v>20012950</v>
      </c>
      <c r="H10" s="12" t="s">
        <v>15</v>
      </c>
      <c r="I10" s="13">
        <v>1</v>
      </c>
      <c r="J10" s="14">
        <v>8</v>
      </c>
      <c r="K10" s="14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0" sqref="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46078</v>
      </c>
      <c r="E9" s="12">
        <v>1580006</v>
      </c>
      <c r="F9" s="12" t="s">
        <v>13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9" sqref="O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46078</v>
      </c>
      <c r="E9" s="12">
        <v>1580007</v>
      </c>
      <c r="F9" s="12" t="s">
        <v>13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27</v>
      </c>
      <c r="J8" s="10"/>
      <c r="K8" s="10">
        <f>SUM(K9:K31)</f>
        <v>1335</v>
      </c>
    </row>
    <row r="9" spans="1:11">
      <c r="D9" s="11">
        <v>46050</v>
      </c>
      <c r="E9" s="12">
        <v>1574308</v>
      </c>
      <c r="F9" s="12" t="s">
        <v>28</v>
      </c>
      <c r="G9" s="13">
        <v>20006111</v>
      </c>
      <c r="H9" s="12" t="s">
        <v>29</v>
      </c>
      <c r="I9" s="13">
        <v>1</v>
      </c>
      <c r="J9" s="14">
        <v>104.5</v>
      </c>
      <c r="K9" s="14">
        <v>104.5</v>
      </c>
    </row>
    <row r="10" spans="1:11">
      <c r="D10" s="11">
        <v>46050</v>
      </c>
      <c r="E10" s="12">
        <v>1574308</v>
      </c>
      <c r="F10" s="12" t="s">
        <v>28</v>
      </c>
      <c r="G10" s="13">
        <v>20006104</v>
      </c>
      <c r="H10" s="12" t="s">
        <v>30</v>
      </c>
      <c r="I10" s="13">
        <v>1</v>
      </c>
      <c r="J10" s="14">
        <v>137.5</v>
      </c>
      <c r="K10" s="14">
        <v>137.5</v>
      </c>
    </row>
    <row r="11" spans="1:11">
      <c r="D11" s="11">
        <v>46050</v>
      </c>
      <c r="E11" s="12">
        <v>1574308</v>
      </c>
      <c r="F11" s="12" t="s">
        <v>13</v>
      </c>
      <c r="G11" s="13">
        <v>20384528</v>
      </c>
      <c r="H11" s="12" t="s">
        <v>31</v>
      </c>
      <c r="I11" s="13">
        <v>1</v>
      </c>
      <c r="J11" s="14">
        <v>8</v>
      </c>
      <c r="K11" s="14">
        <v>8</v>
      </c>
    </row>
    <row r="12" spans="1:11">
      <c r="D12" s="11">
        <v>46050</v>
      </c>
      <c r="E12" s="12">
        <v>1574308</v>
      </c>
      <c r="F12" s="12" t="s">
        <v>16</v>
      </c>
      <c r="G12" s="13">
        <v>20006482</v>
      </c>
      <c r="H12" s="12" t="s">
        <v>32</v>
      </c>
      <c r="I12" s="13">
        <v>2</v>
      </c>
      <c r="J12" s="14">
        <v>16.5</v>
      </c>
      <c r="K12" s="14">
        <v>33</v>
      </c>
    </row>
    <row r="13" spans="1:11">
      <c r="D13" s="11">
        <v>46050</v>
      </c>
      <c r="E13" s="12">
        <v>1574308</v>
      </c>
      <c r="F13" s="12" t="s">
        <v>16</v>
      </c>
      <c r="G13" s="13">
        <v>20006059</v>
      </c>
      <c r="H13" s="12" t="s">
        <v>33</v>
      </c>
      <c r="I13" s="13">
        <v>1</v>
      </c>
      <c r="J13" s="14">
        <v>60.5</v>
      </c>
      <c r="K13" s="14">
        <v>60.5</v>
      </c>
    </row>
    <row r="14" spans="1:11">
      <c r="D14" s="11">
        <v>46057</v>
      </c>
      <c r="E14" s="12">
        <v>1576233</v>
      </c>
      <c r="F14" s="12" t="s">
        <v>28</v>
      </c>
      <c r="G14" s="13">
        <v>20006111</v>
      </c>
      <c r="H14" s="12" t="s">
        <v>29</v>
      </c>
      <c r="I14" s="13">
        <v>1</v>
      </c>
      <c r="J14" s="14">
        <v>104.5</v>
      </c>
      <c r="K14" s="14">
        <v>104.5</v>
      </c>
    </row>
    <row r="15" spans="1:11">
      <c r="D15" s="11">
        <v>46057</v>
      </c>
      <c r="E15" s="12">
        <v>1576233</v>
      </c>
      <c r="F15" s="12" t="s">
        <v>28</v>
      </c>
      <c r="G15" s="13">
        <v>20006102</v>
      </c>
      <c r="H15" s="12" t="s">
        <v>34</v>
      </c>
      <c r="I15" s="13">
        <v>1</v>
      </c>
      <c r="J15" s="14">
        <v>159.5</v>
      </c>
      <c r="K15" s="14">
        <v>159.5</v>
      </c>
    </row>
    <row r="16" spans="1:11">
      <c r="D16" s="11">
        <v>46057</v>
      </c>
      <c r="E16" s="12">
        <v>1576233</v>
      </c>
      <c r="F16" s="12" t="s">
        <v>28</v>
      </c>
      <c r="G16" s="13">
        <v>20006103</v>
      </c>
      <c r="H16" s="12" t="s">
        <v>35</v>
      </c>
      <c r="I16" s="13">
        <v>1</v>
      </c>
      <c r="J16" s="14">
        <v>176</v>
      </c>
      <c r="K16" s="14">
        <v>176</v>
      </c>
    </row>
    <row r="17" spans="4:11">
      <c r="D17" s="11">
        <v>46057</v>
      </c>
      <c r="E17" s="12">
        <v>1576233</v>
      </c>
      <c r="F17" s="12" t="s">
        <v>28</v>
      </c>
      <c r="G17" s="13">
        <v>20006109</v>
      </c>
      <c r="H17" s="12" t="s">
        <v>36</v>
      </c>
      <c r="I17" s="13">
        <v>1</v>
      </c>
      <c r="J17" s="14">
        <v>60.5</v>
      </c>
      <c r="K17" s="14">
        <v>60.5</v>
      </c>
    </row>
    <row r="18" spans="4:11">
      <c r="D18" s="11">
        <v>46057</v>
      </c>
      <c r="E18" s="12">
        <v>1576233</v>
      </c>
      <c r="F18" s="12" t="s">
        <v>13</v>
      </c>
      <c r="G18" s="13">
        <v>20006117</v>
      </c>
      <c r="H18" s="12" t="s">
        <v>37</v>
      </c>
      <c r="I18" s="13">
        <v>1</v>
      </c>
      <c r="J18" s="14">
        <v>8</v>
      </c>
      <c r="K18" s="14">
        <v>8</v>
      </c>
    </row>
    <row r="19" spans="4:11">
      <c r="D19" s="11">
        <v>46057</v>
      </c>
      <c r="E19" s="12">
        <v>1576233</v>
      </c>
      <c r="F19" s="12" t="s">
        <v>13</v>
      </c>
      <c r="G19" s="13">
        <v>20411759</v>
      </c>
      <c r="H19" s="12" t="s">
        <v>38</v>
      </c>
      <c r="I19" s="13">
        <v>2</v>
      </c>
      <c r="J19" s="14">
        <v>8</v>
      </c>
      <c r="K19" s="14">
        <f>J19*I19</f>
        <v>16</v>
      </c>
    </row>
    <row r="20" spans="4:11">
      <c r="D20" s="11">
        <v>46057</v>
      </c>
      <c r="E20" s="12">
        <v>1576233</v>
      </c>
      <c r="F20" s="12" t="s">
        <v>13</v>
      </c>
      <c r="G20" s="13">
        <v>20411760</v>
      </c>
      <c r="H20" s="12" t="s">
        <v>39</v>
      </c>
      <c r="I20" s="13">
        <v>1</v>
      </c>
      <c r="J20" s="14">
        <v>8</v>
      </c>
      <c r="K20" s="14">
        <f>J20*I20</f>
        <v>8</v>
      </c>
    </row>
    <row r="21" spans="4:11">
      <c r="D21" s="11">
        <v>46057</v>
      </c>
      <c r="E21" s="12">
        <v>1576233</v>
      </c>
      <c r="F21" s="12" t="s">
        <v>16</v>
      </c>
      <c r="G21" s="13">
        <v>20006482</v>
      </c>
      <c r="H21" s="12" t="s">
        <v>32</v>
      </c>
      <c r="I21" s="13">
        <v>2</v>
      </c>
      <c r="J21" s="14">
        <v>16.5</v>
      </c>
      <c r="K21" s="14">
        <v>33</v>
      </c>
    </row>
    <row r="22" spans="4:11">
      <c r="D22" s="11">
        <v>46057</v>
      </c>
      <c r="E22" s="12">
        <v>1576233</v>
      </c>
      <c r="F22" s="12" t="s">
        <v>16</v>
      </c>
      <c r="G22" s="13">
        <v>20012341</v>
      </c>
      <c r="H22" s="12" t="s">
        <v>40</v>
      </c>
      <c r="I22" s="13">
        <v>1</v>
      </c>
      <c r="J22" s="14">
        <v>16.5</v>
      </c>
      <c r="K22" s="14">
        <v>16.5</v>
      </c>
    </row>
    <row r="23" spans="4:11">
      <c r="D23" s="11">
        <v>46059</v>
      </c>
      <c r="E23" s="12">
        <v>1576906</v>
      </c>
      <c r="F23" s="12" t="s">
        <v>28</v>
      </c>
      <c r="G23" s="13">
        <v>20006112</v>
      </c>
      <c r="H23" s="12" t="s">
        <v>41</v>
      </c>
      <c r="I23" s="13">
        <v>1</v>
      </c>
      <c r="J23" s="14">
        <v>104.5</v>
      </c>
      <c r="K23" s="14">
        <v>104.5</v>
      </c>
    </row>
    <row r="24" spans="4:11">
      <c r="D24" s="11">
        <v>46059</v>
      </c>
      <c r="E24" s="12">
        <v>1576906</v>
      </c>
      <c r="F24" s="12" t="s">
        <v>16</v>
      </c>
      <c r="G24" s="13">
        <v>20006482</v>
      </c>
      <c r="H24" s="12" t="s">
        <v>32</v>
      </c>
      <c r="I24" s="13">
        <v>1</v>
      </c>
      <c r="J24" s="14">
        <v>16.5</v>
      </c>
      <c r="K24" s="14">
        <v>16.5</v>
      </c>
    </row>
    <row r="25" spans="4:11">
      <c r="D25" s="11">
        <v>46059</v>
      </c>
      <c r="E25" s="12">
        <v>1576906</v>
      </c>
      <c r="F25" s="12" t="s">
        <v>16</v>
      </c>
      <c r="G25" s="13">
        <v>20012341</v>
      </c>
      <c r="H25" s="12" t="s">
        <v>40</v>
      </c>
      <c r="I25" s="13">
        <v>1</v>
      </c>
      <c r="J25" s="14">
        <v>16.5</v>
      </c>
      <c r="K25" s="14">
        <v>16.5</v>
      </c>
    </row>
    <row r="26" spans="4:11">
      <c r="D26" s="11">
        <v>46078</v>
      </c>
      <c r="E26" s="12">
        <v>1580008</v>
      </c>
      <c r="F26" s="12" t="s">
        <v>28</v>
      </c>
      <c r="G26" s="13">
        <v>20006112</v>
      </c>
      <c r="H26" s="12" t="s">
        <v>41</v>
      </c>
      <c r="I26" s="13">
        <v>1</v>
      </c>
      <c r="J26" s="14">
        <v>104.5</v>
      </c>
      <c r="K26" s="14">
        <v>104.5</v>
      </c>
    </row>
    <row r="27" spans="4:11">
      <c r="D27" s="11">
        <v>46078</v>
      </c>
      <c r="E27" s="12">
        <v>1580008</v>
      </c>
      <c r="F27" s="12" t="s">
        <v>13</v>
      </c>
      <c r="G27" s="13">
        <v>20411759</v>
      </c>
      <c r="H27" s="12" t="s">
        <v>38</v>
      </c>
      <c r="I27" s="13">
        <v>1</v>
      </c>
      <c r="J27" s="14">
        <v>8</v>
      </c>
      <c r="K27" s="14">
        <f>J27*I27</f>
        <v>8</v>
      </c>
    </row>
    <row r="28" spans="4:11">
      <c r="D28" s="11">
        <v>46078</v>
      </c>
      <c r="E28" s="12">
        <v>1580008</v>
      </c>
      <c r="F28" s="12" t="s">
        <v>16</v>
      </c>
      <c r="G28" s="13">
        <v>20006482</v>
      </c>
      <c r="H28" s="12" t="s">
        <v>32</v>
      </c>
      <c r="I28" s="13">
        <v>2</v>
      </c>
      <c r="J28" s="14">
        <v>16.5</v>
      </c>
      <c r="K28" s="14">
        <v>33</v>
      </c>
    </row>
    <row r="29" spans="4:11">
      <c r="D29" s="11">
        <v>46078</v>
      </c>
      <c r="E29" s="12">
        <v>1580008</v>
      </c>
      <c r="F29" s="12" t="s">
        <v>16</v>
      </c>
      <c r="G29" s="13">
        <v>20400567</v>
      </c>
      <c r="H29" s="12" t="s">
        <v>42</v>
      </c>
      <c r="I29" s="13">
        <v>1</v>
      </c>
      <c r="J29" s="14">
        <v>49.5</v>
      </c>
      <c r="K29" s="14">
        <v>49.5</v>
      </c>
    </row>
    <row r="30" spans="4:11">
      <c r="D30" s="11">
        <v>46078</v>
      </c>
      <c r="E30" s="12">
        <v>1580008</v>
      </c>
      <c r="F30" s="12" t="s">
        <v>16</v>
      </c>
      <c r="G30" s="13">
        <v>20006059</v>
      </c>
      <c r="H30" s="12" t="s">
        <v>33</v>
      </c>
      <c r="I30" s="13">
        <v>1</v>
      </c>
      <c r="J30" s="14">
        <v>60.5</v>
      </c>
      <c r="K30" s="14">
        <v>60.5</v>
      </c>
    </row>
    <row r="31" spans="4:11">
      <c r="D31" s="11">
        <v>46078</v>
      </c>
      <c r="E31" s="12">
        <v>1580008</v>
      </c>
      <c r="F31" s="12" t="s">
        <v>16</v>
      </c>
      <c r="G31" s="13">
        <v>20012341</v>
      </c>
      <c r="H31" s="12" t="s">
        <v>40</v>
      </c>
      <c r="I31" s="13">
        <v>1</v>
      </c>
      <c r="J31" s="14">
        <v>16.5</v>
      </c>
      <c r="K31" s="14">
        <v>16.5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46059</v>
      </c>
      <c r="E9" s="12">
        <v>1576907</v>
      </c>
      <c r="F9" s="12" t="s">
        <v>13</v>
      </c>
      <c r="G9" s="13">
        <v>20008705</v>
      </c>
      <c r="H9" s="12" t="s">
        <v>44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N16" sqref="N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987.5</v>
      </c>
    </row>
    <row r="9" spans="1:11">
      <c r="D9" s="11">
        <v>46048</v>
      </c>
      <c r="E9" s="12">
        <v>1573594</v>
      </c>
      <c r="F9" s="12" t="s">
        <v>46</v>
      </c>
      <c r="G9" s="13">
        <v>20012823</v>
      </c>
      <c r="H9" s="12" t="s">
        <v>47</v>
      </c>
      <c r="I9" s="13">
        <v>2</v>
      </c>
      <c r="J9" s="14">
        <v>38.5</v>
      </c>
      <c r="K9" s="14">
        <v>77</v>
      </c>
    </row>
    <row r="10" spans="1:11">
      <c r="D10" s="11">
        <v>46050</v>
      </c>
      <c r="E10" s="12">
        <v>1574309</v>
      </c>
      <c r="F10" s="12" t="s">
        <v>13</v>
      </c>
      <c r="G10" s="13">
        <v>20014137</v>
      </c>
      <c r="H10" s="12" t="s">
        <v>48</v>
      </c>
      <c r="I10" s="13">
        <v>1</v>
      </c>
      <c r="J10" s="14">
        <v>16.5</v>
      </c>
      <c r="K10" s="14">
        <v>16.5</v>
      </c>
    </row>
    <row r="11" spans="1:11">
      <c r="D11" s="11">
        <v>46050</v>
      </c>
      <c r="E11" s="12">
        <v>1574309</v>
      </c>
      <c r="F11" s="12" t="s">
        <v>46</v>
      </c>
      <c r="G11" s="13">
        <v>20012823</v>
      </c>
      <c r="H11" s="12" t="s">
        <v>47</v>
      </c>
      <c r="I11" s="13">
        <v>3</v>
      </c>
      <c r="J11" s="14">
        <v>38.5</v>
      </c>
      <c r="K11" s="14">
        <v>115.5</v>
      </c>
    </row>
    <row r="12" spans="1:11">
      <c r="D12" s="11">
        <v>46050</v>
      </c>
      <c r="E12" s="12">
        <v>1574309</v>
      </c>
      <c r="F12" s="12" t="s">
        <v>16</v>
      </c>
      <c r="G12" s="13">
        <v>20011832</v>
      </c>
      <c r="H12" s="12" t="s">
        <v>49</v>
      </c>
      <c r="I12" s="13">
        <v>1</v>
      </c>
      <c r="J12" s="14">
        <v>16.5</v>
      </c>
      <c r="K12" s="14">
        <v>16.5</v>
      </c>
    </row>
    <row r="13" spans="1:11">
      <c r="D13" s="11">
        <v>46052</v>
      </c>
      <c r="E13" s="12">
        <v>1575032</v>
      </c>
      <c r="F13" s="12" t="s">
        <v>50</v>
      </c>
      <c r="G13" s="13">
        <v>20009146</v>
      </c>
      <c r="H13" s="12" t="s">
        <v>51</v>
      </c>
      <c r="I13" s="13">
        <v>1</v>
      </c>
      <c r="J13" s="14">
        <v>2.5</v>
      </c>
      <c r="K13" s="14">
        <v>2.5</v>
      </c>
    </row>
    <row r="14" spans="1:11">
      <c r="D14" s="11">
        <v>46052</v>
      </c>
      <c r="E14" s="12">
        <v>1575032</v>
      </c>
      <c r="F14" s="12" t="s">
        <v>50</v>
      </c>
      <c r="G14" s="13">
        <v>20388872</v>
      </c>
      <c r="H14" s="12" t="s">
        <v>52</v>
      </c>
      <c r="I14" s="13">
        <v>1</v>
      </c>
      <c r="J14" s="14">
        <v>2.5</v>
      </c>
      <c r="K14" s="14">
        <v>2.5</v>
      </c>
    </row>
    <row r="15" spans="1:11">
      <c r="D15" s="11">
        <v>46052</v>
      </c>
      <c r="E15" s="12">
        <v>1575032</v>
      </c>
      <c r="F15" s="12" t="s">
        <v>46</v>
      </c>
      <c r="G15" s="13">
        <v>20012823</v>
      </c>
      <c r="H15" s="12" t="s">
        <v>47</v>
      </c>
      <c r="I15" s="13">
        <v>1</v>
      </c>
      <c r="J15" s="14">
        <v>38.5</v>
      </c>
      <c r="K15" s="14">
        <v>38.5</v>
      </c>
    </row>
    <row r="16" spans="1:11">
      <c r="D16" s="11">
        <v>46057</v>
      </c>
      <c r="E16" s="12">
        <v>1576234</v>
      </c>
      <c r="F16" s="12" t="s">
        <v>13</v>
      </c>
      <c r="G16" s="13">
        <v>20309568</v>
      </c>
      <c r="H16" s="12" t="s">
        <v>53</v>
      </c>
      <c r="I16" s="13">
        <v>1</v>
      </c>
      <c r="J16" s="14">
        <v>16.5</v>
      </c>
      <c r="K16" s="14">
        <v>16.5</v>
      </c>
    </row>
    <row r="17" spans="4:11">
      <c r="D17" s="11">
        <v>46057</v>
      </c>
      <c r="E17" s="12">
        <v>1576234</v>
      </c>
      <c r="F17" s="12" t="s">
        <v>13</v>
      </c>
      <c r="G17" s="13">
        <v>20014137</v>
      </c>
      <c r="H17" s="12" t="s">
        <v>48</v>
      </c>
      <c r="I17" s="13">
        <v>1</v>
      </c>
      <c r="J17" s="14">
        <v>16.5</v>
      </c>
      <c r="K17" s="14">
        <v>16.5</v>
      </c>
    </row>
    <row r="18" spans="4:11">
      <c r="D18" s="11">
        <v>46057</v>
      </c>
      <c r="E18" s="12">
        <v>1576234</v>
      </c>
      <c r="F18" s="12" t="s">
        <v>46</v>
      </c>
      <c r="G18" s="13">
        <v>20012823</v>
      </c>
      <c r="H18" s="12" t="s">
        <v>47</v>
      </c>
      <c r="I18" s="13">
        <v>4</v>
      </c>
      <c r="J18" s="14">
        <v>38.5</v>
      </c>
      <c r="K18" s="14">
        <v>154</v>
      </c>
    </row>
    <row r="19" spans="4:11">
      <c r="D19" s="11">
        <v>46057</v>
      </c>
      <c r="E19" s="12">
        <v>1576234</v>
      </c>
      <c r="F19" s="12" t="s">
        <v>16</v>
      </c>
      <c r="G19" s="13">
        <v>20324763</v>
      </c>
      <c r="H19" s="12" t="s">
        <v>54</v>
      </c>
      <c r="I19" s="13">
        <v>1</v>
      </c>
      <c r="J19" s="14">
        <v>22</v>
      </c>
      <c r="K19" s="14">
        <v>22</v>
      </c>
    </row>
    <row r="20" spans="4:11">
      <c r="D20" s="11">
        <v>46059</v>
      </c>
      <c r="E20" s="12">
        <v>1576908</v>
      </c>
      <c r="F20" s="12" t="s">
        <v>50</v>
      </c>
      <c r="G20" s="13">
        <v>20009146</v>
      </c>
      <c r="H20" s="12" t="s">
        <v>51</v>
      </c>
      <c r="I20" s="13">
        <v>1</v>
      </c>
      <c r="J20" s="14">
        <v>2.5</v>
      </c>
      <c r="K20" s="14">
        <v>2.5</v>
      </c>
    </row>
    <row r="21" spans="4:11">
      <c r="D21" s="11">
        <v>46059</v>
      </c>
      <c r="E21" s="12">
        <v>1576908</v>
      </c>
      <c r="F21" s="12" t="s">
        <v>50</v>
      </c>
      <c r="G21" s="13">
        <v>20388872</v>
      </c>
      <c r="H21" s="12" t="s">
        <v>52</v>
      </c>
      <c r="I21" s="13">
        <v>1</v>
      </c>
      <c r="J21" s="14">
        <v>2.5</v>
      </c>
      <c r="K21" s="14">
        <v>2.5</v>
      </c>
    </row>
    <row r="22" spans="4:11">
      <c r="D22" s="11">
        <v>46059</v>
      </c>
      <c r="E22" s="12">
        <v>1576908</v>
      </c>
      <c r="F22" s="12" t="s">
        <v>16</v>
      </c>
      <c r="G22" s="13">
        <v>20009220</v>
      </c>
      <c r="H22" s="12" t="s">
        <v>55</v>
      </c>
      <c r="I22" s="13">
        <v>1</v>
      </c>
      <c r="J22" s="14">
        <v>22</v>
      </c>
      <c r="K22" s="14">
        <v>22</v>
      </c>
    </row>
    <row r="23" spans="4:11">
      <c r="D23" s="11">
        <v>46064</v>
      </c>
      <c r="E23" s="12">
        <v>1578011</v>
      </c>
      <c r="F23" s="12" t="s">
        <v>13</v>
      </c>
      <c r="G23" s="13">
        <v>20012826</v>
      </c>
      <c r="H23" s="12" t="s">
        <v>56</v>
      </c>
      <c r="I23" s="13">
        <v>1</v>
      </c>
      <c r="J23" s="14">
        <v>13.5</v>
      </c>
      <c r="K23" s="14">
        <v>13.5</v>
      </c>
    </row>
    <row r="24" spans="4:11">
      <c r="D24" s="11">
        <v>46064</v>
      </c>
      <c r="E24" s="12">
        <v>1578011</v>
      </c>
      <c r="F24" s="12" t="s">
        <v>50</v>
      </c>
      <c r="G24" s="13">
        <v>20009146</v>
      </c>
      <c r="H24" s="12" t="s">
        <v>51</v>
      </c>
      <c r="I24" s="13">
        <v>1</v>
      </c>
      <c r="J24" s="14">
        <v>2.5</v>
      </c>
      <c r="K24" s="14">
        <v>2.5</v>
      </c>
    </row>
    <row r="25" spans="4:11">
      <c r="D25" s="11">
        <v>46064</v>
      </c>
      <c r="E25" s="12">
        <v>1578011</v>
      </c>
      <c r="F25" s="12" t="s">
        <v>50</v>
      </c>
      <c r="G25" s="13">
        <v>20388872</v>
      </c>
      <c r="H25" s="12" t="s">
        <v>52</v>
      </c>
      <c r="I25" s="13">
        <v>1</v>
      </c>
      <c r="J25" s="14">
        <v>2.5</v>
      </c>
      <c r="K25" s="14">
        <v>2.5</v>
      </c>
    </row>
    <row r="26" spans="4:11">
      <c r="D26" s="11">
        <v>46064</v>
      </c>
      <c r="E26" s="12">
        <v>1578011</v>
      </c>
      <c r="F26" s="12" t="s">
        <v>46</v>
      </c>
      <c r="G26" s="13">
        <v>20012823</v>
      </c>
      <c r="H26" s="12" t="s">
        <v>47</v>
      </c>
      <c r="I26" s="13">
        <v>2</v>
      </c>
      <c r="J26" s="14">
        <v>38.5</v>
      </c>
      <c r="K26" s="14">
        <v>77</v>
      </c>
    </row>
    <row r="27" spans="4:11">
      <c r="D27" s="11">
        <v>46064</v>
      </c>
      <c r="E27" s="12">
        <v>1578011</v>
      </c>
      <c r="F27" s="12" t="s">
        <v>16</v>
      </c>
      <c r="G27" s="13">
        <v>20334787</v>
      </c>
      <c r="H27" s="12" t="s">
        <v>57</v>
      </c>
      <c r="I27" s="13">
        <v>1</v>
      </c>
      <c r="J27" s="14">
        <v>22</v>
      </c>
      <c r="K27" s="14">
        <v>22</v>
      </c>
    </row>
    <row r="28" spans="4:11">
      <c r="D28" s="11">
        <v>46066</v>
      </c>
      <c r="E28" s="12">
        <v>1578651</v>
      </c>
      <c r="F28" s="12" t="s">
        <v>46</v>
      </c>
      <c r="G28" s="13">
        <v>20012121</v>
      </c>
      <c r="H28" s="12" t="s">
        <v>58</v>
      </c>
      <c r="I28" s="13">
        <v>1</v>
      </c>
      <c r="J28" s="14">
        <v>66</v>
      </c>
      <c r="K28" s="14">
        <v>66</v>
      </c>
    </row>
    <row r="29" spans="4:11">
      <c r="D29" s="11">
        <v>46078</v>
      </c>
      <c r="E29" s="12">
        <v>1580009</v>
      </c>
      <c r="F29" s="12" t="s">
        <v>13</v>
      </c>
      <c r="G29" s="13">
        <v>20007292</v>
      </c>
      <c r="H29" s="12" t="s">
        <v>24</v>
      </c>
      <c r="I29" s="13">
        <v>1</v>
      </c>
      <c r="J29" s="14">
        <v>16.5</v>
      </c>
      <c r="K29" s="14">
        <v>16.5</v>
      </c>
    </row>
    <row r="30" spans="4:11">
      <c r="D30" s="11">
        <v>46078</v>
      </c>
      <c r="E30" s="12">
        <v>1580009</v>
      </c>
      <c r="F30" s="12" t="s">
        <v>13</v>
      </c>
      <c r="G30" s="13">
        <v>20012950</v>
      </c>
      <c r="H30" s="12" t="s">
        <v>15</v>
      </c>
      <c r="I30" s="13">
        <v>1</v>
      </c>
      <c r="J30" s="14">
        <v>8</v>
      </c>
      <c r="K30" s="14">
        <v>8</v>
      </c>
    </row>
    <row r="31" spans="4:11">
      <c r="D31" s="11">
        <v>46078</v>
      </c>
      <c r="E31" s="12">
        <v>1580009</v>
      </c>
      <c r="F31" s="12" t="s">
        <v>50</v>
      </c>
      <c r="G31" s="13">
        <v>20009146</v>
      </c>
      <c r="H31" s="12" t="s">
        <v>51</v>
      </c>
      <c r="I31" s="13">
        <v>1</v>
      </c>
      <c r="J31" s="14">
        <v>2.5</v>
      </c>
      <c r="K31" s="14">
        <v>2.5</v>
      </c>
    </row>
    <row r="32" spans="4:11">
      <c r="D32" s="11">
        <v>46078</v>
      </c>
      <c r="E32" s="12">
        <v>1580009</v>
      </c>
      <c r="F32" s="12" t="s">
        <v>50</v>
      </c>
      <c r="G32" s="13">
        <v>20388872</v>
      </c>
      <c r="H32" s="12" t="s">
        <v>52</v>
      </c>
      <c r="I32" s="13">
        <v>1</v>
      </c>
      <c r="J32" s="14">
        <v>2.5</v>
      </c>
      <c r="K32" s="14">
        <v>2.5</v>
      </c>
    </row>
    <row r="33" spans="4:11">
      <c r="D33" s="11">
        <v>46078</v>
      </c>
      <c r="E33" s="12">
        <v>1580009</v>
      </c>
      <c r="F33" s="12" t="s">
        <v>46</v>
      </c>
      <c r="G33" s="13">
        <v>20012823</v>
      </c>
      <c r="H33" s="12" t="s">
        <v>47</v>
      </c>
      <c r="I33" s="13">
        <v>6</v>
      </c>
      <c r="J33" s="14">
        <v>38.5</v>
      </c>
      <c r="K33" s="14">
        <v>231</v>
      </c>
    </row>
    <row r="34" spans="4:11">
      <c r="D34" s="11">
        <v>46078</v>
      </c>
      <c r="E34" s="12">
        <v>1580009</v>
      </c>
      <c r="F34" s="12" t="s">
        <v>16</v>
      </c>
      <c r="G34" s="13">
        <v>20011832</v>
      </c>
      <c r="H34" s="12" t="s">
        <v>49</v>
      </c>
      <c r="I34" s="13">
        <v>1</v>
      </c>
      <c r="J34" s="14">
        <v>16.5</v>
      </c>
      <c r="K34" s="14">
        <v>16.5</v>
      </c>
    </row>
    <row r="35" spans="4:11">
      <c r="D35" s="11">
        <v>46078</v>
      </c>
      <c r="E35" s="12">
        <v>1580009</v>
      </c>
      <c r="F35" s="12" t="s">
        <v>16</v>
      </c>
      <c r="G35" s="13">
        <v>20009220</v>
      </c>
      <c r="H35" s="12" t="s">
        <v>55</v>
      </c>
      <c r="I35" s="13">
        <v>1</v>
      </c>
      <c r="J35" s="14">
        <v>22</v>
      </c>
      <c r="K35" s="14">
        <v>22</v>
      </c>
    </row>
    <row r="36" ht="0.05" customHeight="1"/>
  </sheetData>
  <autoFilter xmlns:etc="http://www.wps.cn/officeDocument/2017/etCustomData" ref="A7:K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7" sqref="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46078</v>
      </c>
      <c r="E9" s="12">
        <v>1580010</v>
      </c>
      <c r="F9" s="12" t="s">
        <v>13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10:24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妇产科</vt:lpstr>
      <vt:lpstr>内二科</vt:lpstr>
      <vt:lpstr>内五科</vt:lpstr>
      <vt:lpstr>内一科</vt:lpstr>
      <vt:lpstr>手术室</vt:lpstr>
      <vt:lpstr>透析科</vt:lpstr>
      <vt:lpstr>外科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2026-02-28T02:25:22Z</dcterms:created>
  <dcterms:modified xsi:type="dcterms:W3CDTF">2026-02-28T02:47:10Z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AAB7F688E10D4F62B2DBA67CF424E247_13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