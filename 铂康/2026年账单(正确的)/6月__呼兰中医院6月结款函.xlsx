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externalReferences>
    <externalReference r:id="rId2"/>
    <externalReference r:id="rId3"/>
  </externalReferences>
  <definedNames>
    <definedName name="_xlnm.Print_Area" localSheetId="0">Sheet1!$A$1:$H$30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<sst xmlns="http://schemas.openxmlformats.org/spreadsheetml/2006/main" count="33" uniqueCount="33">
  <si>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哈尔滨市呼兰区中医医院6月份结款通知函</t>
  </si>
  <si>
    <t>致：哈尔滨市呼兰区中医医院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</si>
  <si>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 6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6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</si>
  <si>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</si>
  <si>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</si>
  <si>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</si>
  <si>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</si>
  <si>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</si>
  <si>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>物流费用</t>
  </si>
  <si>
    <t>185元/次</t>
  </si>
  <si>
    <t>外科包</t>
  </si>
  <si>
    <t>249.5元*1个</t>
  </si>
  <si>
    <t>阑尾包</t>
  </si>
  <si>
    <t>288元*4个</t>
  </si>
  <si>
    <t>胸腔止血钳</t>
  </si>
  <si>
    <t>16.5元*0个</t>
  </si>
  <si>
    <t>器皿包</t>
  </si>
  <si>
    <t>22元* 0个</t>
  </si>
  <si>
    <t>碗盘</t>
  </si>
  <si>
    <t>22元*0 个</t>
  </si>
  <si>
    <t>合  计</t>
  </si>
  <si>
    <t>执行低消10000元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</si>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</sst>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352;&#26195;&#24198;\2026&#24180;&#36134;&#21333;\5&#26376;\&#21628;&#20848;&#20013;&#21307;&#38498;5&#26376;&#36134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20013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置室"/>
      <sheetName val="妇产科2楼"/>
      <sheetName val="手术室"/>
      <sheetName val="手术室（备包）"/>
      <sheetName val="眼科"/>
    </sheetNames>
    <sheetDataSet>
      <sheetData sheetId="0"/>
      <sheetData sheetId="1"/>
      <sheetData sheetId="2"/>
      <sheetData sheetId="3">
        <row r="9">
          <cell r="J9">
            <v>249.5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处置室"/>
      <sheetName val="妇产科2楼"/>
      <sheetName val="手术室"/>
      <sheetName val="手术室（备包）"/>
    </sheetNames>
    <sheetDataSet>
      <sheetData sheetId="0">
        <row r="10">
          <cell r="K10">
            <v>574.5</v>
          </cell>
        </row>
      </sheetData>
      <sheetData sheetId="1">
        <row r="8">
          <cell r="K8">
            <v>616</v>
          </cell>
        </row>
      </sheetData>
      <sheetData sheetId="2">
        <row r="8">
          <cell r="K8">
            <v>4261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topLeftCell="A5" workbookViewId="0">
      <selection activeCell="E17" sqref="E17:F17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11">
        <f>[2]处置室!$K$10+[2]妇产科2楼!$K$8+[2]手术室!$K$8</f>
        <v>5451.5</v>
      </c>
      <c r="F10" s="11"/>
      <c r="G10" s="10"/>
      <c r="H10" s="10"/>
    </row>
    <row r="11" s="1" customFormat="1" ht="24" customHeight="1" spans="1:8">
      <c r="B11" s="9">
        <v>2</v>
      </c>
      <c r="C11" s="9" t="s">
        <v>8</v>
      </c>
      <c r="D11" s="9"/>
      <c r="E11" s="12">
        <f>185*13</f>
        <v>2405</v>
      </c>
      <c r="F11" s="12"/>
      <c r="G11" s="10" t="s">
        <v>9</v>
      </c>
      <c r="H11" s="10"/>
    </row>
    <row r="12" s="1" customFormat="1" ht="24" customHeight="1" spans="1:8">
      <c r="B12" s="9">
        <v>3</v>
      </c>
      <c r="C12" s="13" t="s">
        <v>10</v>
      </c>
      <c r="D12" s="14"/>
      <c r="E12" s="13">
        <f>'[1]手术室（备包）'!$J$9</f>
        <v>249.5</v>
      </c>
      <c r="F12" s="14"/>
      <c r="G12" s="15" t="s">
        <v>11</v>
      </c>
      <c r="H12" s="16"/>
    </row>
    <row r="13" s="1" customFormat="1" ht="24" customHeight="1" spans="1:8">
      <c r="B13" s="9">
        <v>4</v>
      </c>
      <c r="C13" s="13" t="s">
        <v>12</v>
      </c>
      <c r="D13" s="14"/>
      <c r="E13" s="13">
        <f>288*4</f>
        <v>1152</v>
      </c>
      <c r="F13" s="14"/>
      <c r="G13" s="15" t="s">
        <v>13</v>
      </c>
      <c r="H13" s="16"/>
    </row>
    <row r="14" s="1" customFormat="1" ht="24" customHeight="1" spans="1:8">
      <c r="B14" s="9">
        <v>5</v>
      </c>
      <c r="C14" s="13" t="s">
        <v>14</v>
      </c>
      <c r="D14" s="14"/>
      <c r="E14" s="13"/>
      <c r="F14" s="14"/>
      <c r="G14" s="15" t="s">
        <v>15</v>
      </c>
      <c r="H14" s="16"/>
    </row>
    <row r="15" s="1" customFormat="1" ht="24" customHeight="1" spans="1:8">
      <c r="B15" s="9">
        <v>6</v>
      </c>
      <c r="C15" s="13" t="s">
        <v>16</v>
      </c>
      <c r="D15" s="14"/>
      <c r="E15" s="13"/>
      <c r="F15" s="14"/>
      <c r="G15" s="15" t="s">
        <v>17</v>
      </c>
      <c r="H15" s="16"/>
    </row>
    <row r="16" s="1" customFormat="1" ht="24" customHeight="1" spans="1:8">
      <c r="B16" s="9">
        <v>7</v>
      </c>
      <c r="C16" s="13" t="s">
        <v>18</v>
      </c>
      <c r="D16" s="14"/>
      <c r="E16" s="13"/>
      <c r="F16" s="14"/>
      <c r="G16" s="15" t="s">
        <v>19</v>
      </c>
      <c r="H16" s="16"/>
    </row>
    <row r="17" s="1" customFormat="1" ht="24" customHeight="1" spans="2:8">
      <c r="B17" s="10" t="s">
        <v>20</v>
      </c>
      <c r="C17" s="10"/>
      <c r="D17" s="10"/>
      <c r="E17" s="17">
        <v>10000</v>
      </c>
      <c r="F17" s="17"/>
      <c r="G17" s="9" t="s">
        <v>21</v>
      </c>
      <c r="H17" s="9"/>
    </row>
    <row r="18" s="1" customFormat="1" ht="24" customHeight="1" spans="2:8">
      <c r="B18" s="10" t="s">
        <v>22</v>
      </c>
      <c r="C18" s="10"/>
      <c r="D18" s="10"/>
      <c r="E18" s="18">
        <v>10000</v>
      </c>
      <c r="F18" s="18"/>
      <c r="G18" s="9"/>
      <c r="H18" s="9"/>
    </row>
    <row r="19" s="1" customFormat="1" ht="18.75" spans="2:8">
      <c r="B19" s="19"/>
      <c r="C19" s="19"/>
      <c r="D19" s="19"/>
      <c r="E19" s="19"/>
      <c r="F19" s="19"/>
      <c r="G19" s="20"/>
      <c r="H19" s="20"/>
    </row>
    <row r="20" s="1" customFormat="1" ht="24" customHeight="1" spans="2:8">
      <c r="B20" s="21" t="s">
        <v>23</v>
      </c>
      <c r="C20" s="21"/>
      <c r="D20" s="21"/>
      <c r="E20" s="21"/>
      <c r="F20" s="21"/>
      <c r="G20" s="21"/>
      <c r="H20" s="21"/>
    </row>
    <row r="21" s="1" customFormat="1" ht="45" customHeight="1" spans="2:8">
      <c r="B21" s="22" t="s">
        <v>24</v>
      </c>
      <c r="C21" s="22"/>
      <c r="D21" s="22"/>
      <c r="E21" s="22"/>
      <c r="F21" s="22"/>
      <c r="G21" s="22"/>
      <c r="H21" s="22"/>
    </row>
    <row r="22" s="1" customFormat="1" ht="24" customHeight="1" spans="2:8">
      <c r="B22" s="23" t="s">
        <v>25</v>
      </c>
      <c r="C22" s="23"/>
      <c r="D22" s="23"/>
      <c r="E22" s="23"/>
      <c r="F22" s="23"/>
      <c r="G22" s="23"/>
      <c r="H22" s="23"/>
    </row>
    <row r="23" s="1" customFormat="1" ht="24" customHeight="1" spans="2:8">
      <c r="B23" s="23" t="s">
        <v>26</v>
      </c>
      <c r="C23" s="23"/>
      <c r="D23" s="23"/>
      <c r="E23" s="23"/>
      <c r="F23" s="23"/>
      <c r="G23" s="23"/>
      <c r="H23" s="23"/>
    </row>
    <row r="24" s="1" customFormat="1" ht="24" customHeight="1" spans="2:8">
      <c r="B24" s="23" t="s">
        <v>27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23" t="s">
        <v>28</v>
      </c>
      <c r="C25" s="23"/>
      <c r="D25" s="23"/>
      <c r="E25" s="23"/>
      <c r="F25" s="23"/>
      <c r="G25" s="23"/>
      <c r="H25" s="23"/>
    </row>
    <row r="26" s="1" customFormat="1" ht="48" customHeight="1" spans="2:8">
      <c r="B26" s="24" t="s">
        <v>29</v>
      </c>
      <c r="C26" s="23"/>
      <c r="D26" s="23"/>
      <c r="E26" s="23"/>
      <c r="F26" s="23"/>
      <c r="G26" s="23"/>
      <c r="H26" s="23"/>
    </row>
    <row r="27" s="1" customFormat="1" ht="18.75" spans="2:8">
      <c r="B27" s="25" t="s">
        <v>30</v>
      </c>
      <c r="C27" s="25"/>
      <c r="D27" s="25"/>
      <c r="E27" s="25"/>
      <c r="F27" s="25"/>
      <c r="G27" s="25"/>
      <c r="H27" s="25"/>
    </row>
    <row r="28" s="1" customFormat="1" ht="18.75" spans="2:8">
      <c r="B28" s="20" t="s">
        <v>31</v>
      </c>
      <c r="C28" s="20"/>
      <c r="D28" s="20"/>
      <c r="E28" s="20"/>
      <c r="F28" s="20"/>
      <c r="G28" s="20"/>
      <c r="H28" s="20"/>
    </row>
    <row r="29" s="1" customFormat="1" ht="24" customHeight="1" spans="2:8">
      <c r="B29" s="26" t="s">
        <v>32</v>
      </c>
      <c r="C29" s="26"/>
      <c r="D29" s="26"/>
      <c r="E29" s="26"/>
      <c r="F29" s="26"/>
      <c r="G29" s="26"/>
      <c r="H29" s="26"/>
    </row>
    <row r="30" s="1" customFormat="1" ht="24" customHeight="1" spans="2:8">
      <c r="B30" s="27">
        <v>46203</v>
      </c>
      <c r="C30" s="27"/>
      <c r="D30" s="27"/>
      <c r="E30" s="27"/>
      <c r="F30" s="27"/>
      <c r="G30" s="27"/>
      <c r="H30" s="27"/>
    </row>
  </sheetData>
  <mergeCells count="44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2023-05-11T08:07:00Z</dcterms:created>
  <dcterms:modified xsi:type="dcterms:W3CDTF">2026-07-07T07:46:56Z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14FED8044F0547348EFB507D3975BE72_13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