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汇总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<sst xmlns="http://schemas.openxmlformats.org/spreadsheetml/2006/main" count="63" uniqueCount="61">
  <si>
    <t>黑龙江中医药大学附属第一医院各科室2026年2月1日-2026年2月28日灭菌价格汇总</t>
  </si>
  <si>
    <t>科室</t>
  </si>
  <si>
    <t>价格</t>
  </si>
  <si>
    <t>手术室(一区)</t>
  </si>
  <si>
    <t>产科</t>
  </si>
  <si>
    <t>手术室(二区)</t>
  </si>
  <si>
    <t>计划生育手术室</t>
  </si>
  <si>
    <t>妇一</t>
  </si>
  <si>
    <t>耳鼻喉病房</t>
  </si>
  <si>
    <t>妇二</t>
  </si>
  <si>
    <t>耳鼻喉门诊</t>
  </si>
  <si>
    <t>妇三</t>
  </si>
  <si>
    <t>妇科门诊</t>
  </si>
  <si>
    <t>骨一</t>
  </si>
  <si>
    <t>妇二门诊561</t>
  </si>
  <si>
    <t>骨二</t>
  </si>
  <si>
    <t>产科门诊236</t>
  </si>
  <si>
    <t>骨三</t>
  </si>
  <si>
    <t>内镜诊疗室</t>
  </si>
  <si>
    <t>骨四</t>
  </si>
  <si>
    <t>肛肠科</t>
  </si>
  <si>
    <t>外一</t>
  </si>
  <si>
    <t>供应室</t>
  </si>
  <si>
    <t>外二</t>
  </si>
  <si>
    <t>透析</t>
  </si>
  <si>
    <t>外三</t>
  </si>
  <si>
    <t>急诊</t>
  </si>
  <si>
    <t>外四</t>
  </si>
  <si>
    <t>口腔科</t>
  </si>
  <si>
    <t>肛肠门诊</t>
  </si>
  <si>
    <t>门诊手术室</t>
  </si>
  <si>
    <t>宫腔镜</t>
  </si>
  <si>
    <t>中医经典病房</t>
  </si>
  <si>
    <t>超声</t>
  </si>
  <si>
    <t>重症医学科</t>
  </si>
  <si>
    <t>眼科病房</t>
  </si>
  <si>
    <t>针灸一</t>
  </si>
  <si>
    <t>眼科手术室（一）</t>
  </si>
  <si>
    <t>针灸二</t>
  </si>
  <si>
    <t>眼科手术室（二）</t>
  </si>
  <si>
    <t>针灸三</t>
  </si>
  <si>
    <t>眼科门诊322</t>
  </si>
  <si>
    <t>针灸六</t>
  </si>
  <si>
    <t>眼科门诊357</t>
  </si>
  <si>
    <t>肾病一科</t>
  </si>
  <si>
    <t>介入科</t>
  </si>
  <si>
    <t>肾病二科</t>
  </si>
  <si>
    <t>周围血管一</t>
  </si>
  <si>
    <t>清洁区（手术室）</t>
  </si>
  <si>
    <t>周围血管二</t>
  </si>
  <si>
    <t>肿瘤一</t>
  </si>
  <si>
    <t>静配中心</t>
  </si>
  <si>
    <t>血液科</t>
  </si>
  <si>
    <t>消化一</t>
  </si>
  <si>
    <t>老年病病房</t>
  </si>
  <si>
    <t>消化二科</t>
  </si>
  <si>
    <t>发热门诊</t>
  </si>
  <si>
    <t>心内五</t>
  </si>
  <si>
    <t>物流费</t>
  </si>
  <si>
    <t>合计</t>
  </si>
  <si>
    <t>玖万壹仟捌佰捌拾陆元肆角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</si>
</sst>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12"/>
      <color theme="1" tint="0.05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 readingOrder="1"/>
    </xf>
    <xf numFmtId="176" fontId="4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176" fontId="5" fillId="0" borderId="2" xfId="0" applyNumberFormat="1" applyFont="1" applyFill="1" applyBorder="1" applyAlignment="1">
      <alignment horizontal="center" vertical="center" wrapText="1" readingOrder="1"/>
    </xf>
    <xf numFmtId="176" fontId="5" fillId="0" borderId="2" xfId="0" applyNumberFormat="1" applyFont="1" applyFill="1" applyBorder="1" applyAlignment="1">
      <alignment horizontal="center" vertical="top" wrapText="1" readingOrder="1"/>
    </xf>
    <xf numFmtId="176" fontId="5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5" fillId="0" borderId="3" xfId="0" applyNumberFormat="1" applyFont="1" applyFill="1" applyBorder="1" applyAlignment="1">
      <alignment horizontal="center" vertical="center" wrapText="1" readingOrder="1"/>
    </xf>
    <xf numFmtId="177" fontId="3" fillId="0" borderId="1" xfId="0" applyNumberFormat="1" applyFont="1" applyFill="1" applyBorder="1" applyAlignment="1">
      <alignment horizontal="center" vertical="center" wrapText="1" readingOrder="1"/>
    </xf>
    <xf numFmtId="176" fontId="3" fillId="0" borderId="1" xfId="0" applyNumberFormat="1" applyFont="1" applyFill="1" applyBorder="1" applyAlignment="1">
      <alignment horizontal="center" vertical="center" wrapText="1" readingOrder="1"/>
    </xf>
    <xf numFmtId="177" fontId="1" fillId="0" borderId="1" xfId="0" applyNumberFormat="1" applyFont="1" applyFill="1" applyBorder="1" applyAlignment="1">
      <alignment horizontal="center" vertical="center" wrapText="1" readingOrder="1"/>
    </xf>
    <xf numFmtId="177" fontId="3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1"/>
  <sheetViews>
    <sheetView tabSelected="1" view="pageBreakPreview" zoomScaleNormal="100" topLeftCell="A16" workbookViewId="0">
      <selection activeCell="E35" sqref="E35"/>
    </sheetView>
  </sheetViews>
  <sheetFormatPr defaultColWidth="9" defaultRowHeight="24" customHeight="1"/>
  <cols>
    <col min="1" max="1" width="1.69166666666667" style="1" customWidth="1"/>
    <col min="2" max="2" width="25.875" style="1" customWidth="1"/>
    <col min="3" max="3" width="17.2833333333333" style="1" customWidth="1"/>
    <col min="4" max="4" width="32.425" style="1" customWidth="1"/>
    <col min="5" max="5" width="18.85" style="1" customWidth="1"/>
    <col min="6" max="16384" width="9" style="1"/>
  </cols>
  <sheetData>
    <row r="1" s="1" customFormat="1" customHeight="1" spans="2:5">
      <c r="B1" s="2" t="s">
        <v>0</v>
      </c>
      <c r="C1" s="3"/>
      <c r="D1" s="3"/>
      <c r="E1" s="3"/>
    </row>
    <row r="2" s="1" customFormat="1" customHeight="1" spans="2:5">
      <c r="B2" s="2" t="s">
        <v>1</v>
      </c>
      <c r="C2" s="2" t="s">
        <v>2</v>
      </c>
      <c r="D2" s="2" t="s">
        <v>1</v>
      </c>
      <c r="E2" s="2" t="s">
        <v>2</v>
      </c>
    </row>
    <row r="3" s="1" customFormat="1" customHeight="1" spans="2:5">
      <c r="B3" s="4" t="s">
        <v>3</v>
      </c>
      <c r="C3" s="5">
        <v>24661.4</v>
      </c>
      <c r="D3" s="6" t="s">
        <v>4</v>
      </c>
      <c r="E3" s="7">
        <v>66</v>
      </c>
    </row>
    <row r="4" s="1" customFormat="1" customHeight="1" spans="2:5">
      <c r="B4" s="4" t="s">
        <v>5</v>
      </c>
      <c r="C4" s="7">
        <f>2387.2-22.4</f>
        <v>2364.8</v>
      </c>
      <c r="D4" s="6" t="s">
        <v>6</v>
      </c>
      <c r="E4" s="7">
        <v>1164</v>
      </c>
    </row>
    <row r="5" s="1" customFormat="1" customHeight="1" spans="2:5">
      <c r="B5" s="4" t="s">
        <v>7</v>
      </c>
      <c r="C5" s="8">
        <v>1507.2</v>
      </c>
      <c r="D5" s="6" t="s">
        <v>8</v>
      </c>
      <c r="E5" s="7">
        <v>7227.6</v>
      </c>
    </row>
    <row r="6" s="1" customFormat="1" customHeight="1" spans="2:5">
      <c r="B6" s="4" t="s">
        <v>9</v>
      </c>
      <c r="C6" s="7">
        <v>2184.4</v>
      </c>
      <c r="D6" s="6" t="s">
        <v>10</v>
      </c>
      <c r="E6" s="7">
        <v>20785.2</v>
      </c>
    </row>
    <row r="7" s="1" customFormat="1" customHeight="1" spans="2:5">
      <c r="B7" s="4" t="s">
        <v>11</v>
      </c>
      <c r="C7" s="7">
        <v>1520.4</v>
      </c>
      <c r="D7" s="6" t="s">
        <v>12</v>
      </c>
      <c r="E7" s="7">
        <v>359.2</v>
      </c>
    </row>
    <row r="8" s="1" customFormat="1" customHeight="1" spans="2:5">
      <c r="B8" s="4" t="s">
        <v>13</v>
      </c>
      <c r="C8" s="9"/>
      <c r="D8" s="10" t="s">
        <v>14</v>
      </c>
      <c r="E8" s="7">
        <v>406</v>
      </c>
    </row>
    <row r="9" s="1" customFormat="1" customHeight="1" spans="2:5">
      <c r="B9" s="4" t="s">
        <v>15</v>
      </c>
      <c r="C9" s="9"/>
      <c r="D9" s="6" t="s">
        <v>16</v>
      </c>
      <c r="E9" s="7">
        <v>166.4</v>
      </c>
    </row>
    <row r="10" s="1" customFormat="1" customHeight="1" spans="2:5">
      <c r="B10" s="4" t="s">
        <v>17</v>
      </c>
      <c r="C10" s="7">
        <v>123.2</v>
      </c>
      <c r="D10" s="6" t="s">
        <v>18</v>
      </c>
      <c r="E10" s="8">
        <v>9.6</v>
      </c>
    </row>
    <row r="11" s="1" customFormat="1" customHeight="1" spans="2:5">
      <c r="B11" s="11" t="s">
        <v>19</v>
      </c>
      <c r="C11" s="9"/>
      <c r="D11" s="6" t="s">
        <v>20</v>
      </c>
      <c r="E11" s="9">
        <v>7518.8</v>
      </c>
    </row>
    <row r="12" s="1" customFormat="1" customHeight="1" spans="2:5">
      <c r="B12" s="11" t="s">
        <v>21</v>
      </c>
      <c r="C12" s="8">
        <v>140.8</v>
      </c>
      <c r="D12" s="6" t="s">
        <v>22</v>
      </c>
      <c r="E12" s="12"/>
    </row>
    <row r="13" s="1" customFormat="1" customHeight="1" spans="2:5">
      <c r="B13" s="4" t="s">
        <v>23</v>
      </c>
      <c r="C13" s="7">
        <v>1639.2</v>
      </c>
      <c r="D13" s="6" t="s">
        <v>24</v>
      </c>
      <c r="E13" s="7">
        <v>678.4</v>
      </c>
    </row>
    <row r="14" s="1" customFormat="1" customHeight="1" spans="2:5">
      <c r="B14" s="4" t="s">
        <v>25</v>
      </c>
      <c r="C14" s="7">
        <v>84.8</v>
      </c>
      <c r="D14" s="6" t="s">
        <v>26</v>
      </c>
      <c r="E14" s="7">
        <v>422.4</v>
      </c>
    </row>
    <row r="15" s="1" customFormat="1" customHeight="1" spans="2:5">
      <c r="B15" s="4" t="s">
        <v>27</v>
      </c>
      <c r="C15" s="8">
        <v>25.6</v>
      </c>
      <c r="D15" s="6" t="s">
        <v>28</v>
      </c>
      <c r="E15" s="7">
        <v>1629.2</v>
      </c>
    </row>
    <row r="16" s="1" customFormat="1" customHeight="1" spans="2:5">
      <c r="B16" s="4" t="s">
        <v>29</v>
      </c>
      <c r="C16" s="12">
        <v>637.2</v>
      </c>
      <c r="D16" s="6" t="s">
        <v>30</v>
      </c>
      <c r="E16" s="7">
        <v>1074.8</v>
      </c>
    </row>
    <row r="17" s="1" customFormat="1" customHeight="1" spans="2:10">
      <c r="B17" s="4" t="s">
        <v>31</v>
      </c>
      <c r="C17" s="7">
        <f>7082.4-52.8</f>
        <v>7029.6</v>
      </c>
      <c r="D17" s="6" t="s">
        <v>32</v>
      </c>
      <c r="E17" s="9"/>
    </row>
    <row r="18" s="1" customFormat="1" customHeight="1" spans="2:10">
      <c r="B18" s="4" t="s">
        <v>33</v>
      </c>
      <c r="C18" s="9"/>
      <c r="D18" s="10" t="s">
        <v>34</v>
      </c>
      <c r="E18" s="7">
        <f>1139.6-28</f>
        <v>1111.6</v>
      </c>
    </row>
    <row r="19" s="1" customFormat="1" customHeight="1" spans="2:10">
      <c r="B19" s="4" t="s">
        <v>35</v>
      </c>
      <c r="C19" s="8">
        <v>606.4</v>
      </c>
      <c r="D19" s="6" t="s">
        <v>36</v>
      </c>
      <c r="E19" s="9"/>
    </row>
    <row r="20" s="1" customFormat="1" customHeight="1" spans="2:10">
      <c r="B20" s="4" t="s">
        <v>37</v>
      </c>
      <c r="C20" s="8">
        <v>448.8</v>
      </c>
      <c r="D20" s="6" t="s">
        <v>38</v>
      </c>
      <c r="E20" s="8">
        <v>24</v>
      </c>
    </row>
    <row r="21" s="1" customFormat="1" customHeight="1" spans="2:10">
      <c r="B21" s="4" t="s">
        <v>39</v>
      </c>
      <c r="C21" s="8">
        <v>420.8</v>
      </c>
      <c r="D21" s="10" t="s">
        <v>40</v>
      </c>
      <c r="E21" s="9"/>
    </row>
    <row r="22" s="1" customFormat="1" customHeight="1" spans="2:10">
      <c r="B22" s="4" t="s">
        <v>41</v>
      </c>
      <c r="C22" s="8">
        <v>612.4</v>
      </c>
      <c r="D22" s="10" t="s">
        <v>42</v>
      </c>
      <c r="E22" s="9"/>
    </row>
    <row r="23" s="1" customFormat="1" customHeight="1" spans="2:10">
      <c r="B23" s="11" t="s">
        <v>43</v>
      </c>
      <c r="C23" s="8">
        <v>438</v>
      </c>
      <c r="D23" s="6" t="s">
        <v>44</v>
      </c>
      <c r="E23" s="7">
        <v>276.8</v>
      </c>
    </row>
    <row r="24" s="1" customFormat="1" customHeight="1" spans="2:10">
      <c r="B24" s="4" t="s">
        <v>45</v>
      </c>
      <c r="C24" s="7">
        <v>211.6</v>
      </c>
      <c r="D24" s="6" t="s">
        <v>46</v>
      </c>
      <c r="E24" s="9"/>
    </row>
    <row r="25" s="1" customFormat="1" customHeight="1" spans="2:10">
      <c r="B25" s="11" t="s">
        <v>47</v>
      </c>
      <c r="C25" s="8">
        <v>538.8</v>
      </c>
      <c r="D25" s="6" t="s">
        <v>48</v>
      </c>
      <c r="E25" s="8">
        <v>1484</v>
      </c>
    </row>
    <row r="26" s="1" customFormat="1" customHeight="1" spans="2:10">
      <c r="B26" s="4" t="s">
        <v>49</v>
      </c>
      <c r="C26" s="8">
        <v>183.2</v>
      </c>
      <c r="D26" s="6" t="s">
        <v>50</v>
      </c>
      <c r="E26" s="9"/>
    </row>
    <row r="27" s="1" customFormat="1" customHeight="1" spans="2:10">
      <c r="B27" s="4" t="s">
        <v>51</v>
      </c>
      <c r="C27" s="7">
        <v>80</v>
      </c>
      <c r="D27" s="13" t="s">
        <v>52</v>
      </c>
      <c r="E27" s="8">
        <v>38.4</v>
      </c>
      <c r="J27" s="1">
        <v>45458.6</v>
      </c>
    </row>
    <row r="28" s="1" customFormat="1" customHeight="1" spans="2:10">
      <c r="B28" s="4" t="s">
        <v>53</v>
      </c>
      <c r="C28" s="14"/>
      <c r="D28" s="13" t="s">
        <v>54</v>
      </c>
      <c r="E28" s="7">
        <v>15.2</v>
      </c>
      <c r="J28" s="1">
        <v>44472.8</v>
      </c>
    </row>
    <row r="29" s="1" customFormat="1" customHeight="1" spans="2:10">
      <c r="B29" s="4" t="s">
        <v>55</v>
      </c>
      <c r="C29" s="14"/>
      <c r="D29" s="13" t="s">
        <v>56</v>
      </c>
      <c r="E29" s="7">
        <v>15.2</v>
      </c>
      <c r="J29" s="1">
        <f>J27+J28</f>
        <v>89931.4</v>
      </c>
    </row>
    <row r="30" s="1" customFormat="1" customHeight="1" spans="2:10">
      <c r="B30" s="15" t="s">
        <v>57</v>
      </c>
      <c r="C30" s="9"/>
      <c r="D30" s="13" t="s">
        <v>58</v>
      </c>
      <c r="E30" s="14">
        <v>1935</v>
      </c>
      <c r="J30" s="1">
        <v>1935</v>
      </c>
    </row>
    <row r="31" s="1" customFormat="1" customHeight="1" spans="2:10">
      <c r="B31" s="2" t="s">
        <v>59</v>
      </c>
      <c r="C31" s="14">
        <v>91866.4</v>
      </c>
      <c r="D31" s="13" t="s">
        <v>60</v>
      </c>
      <c r="E31" s="16"/>
      <c r="J31" s="1">
        <f>J29+J30</f>
        <v>91866.4</v>
      </c>
    </row>
  </sheetData>
  <mergeCells count="2">
    <mergeCell ref="B1:E1"/>
    <mergeCell ref="D31:E31"/>
  </mergeCells>
  <pageMargins left="0.25" right="0.25" top="0.75" bottom="0.75" header="0.298611111111111" footer="0.298611111111111"/>
  <pageSetup paperSize="9" scale="9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2023-12-13T02:57:00Z</dcterms:created>
  <dcterms:modified xsi:type="dcterms:W3CDTF">2026-03-02T06:32:53Z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85B9DF51D0DC405CBC14B07D4F8404C4_13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