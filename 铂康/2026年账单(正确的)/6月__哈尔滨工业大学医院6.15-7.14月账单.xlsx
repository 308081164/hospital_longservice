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firstSheet="15" activeTab="25"/>
  </bookViews>
  <sheets>
    <sheet name="妇科门诊" sheetId="1" r:id="rId1"/>
    <sheet name="急诊科" sheetId="2" r:id="rId2"/>
    <sheet name="口腔科（4楼陈斌）" sheetId="3" r:id="rId3"/>
    <sheet name="口腔科（4楼韩宗凯）" sheetId="4" r:id="rId4"/>
    <sheet name="口腔科（4楼姜杨杨）" sheetId="5" r:id="rId5"/>
    <sheet name="口腔科（4楼金华）" sheetId="6" r:id="rId6"/>
    <sheet name="口腔科（4楼宋雪婧）" sheetId="7" r:id="rId7"/>
    <sheet name="口腔科（4楼于金彪）" sheetId="8" r:id="rId8"/>
    <sheet name="口腔科（5楼白雪）" sheetId="9" r:id="rId9"/>
    <sheet name="口腔科（5楼刘冰）" sheetId="10" r:id="rId10"/>
    <sheet name="口腔科（5楼刘升臣）" sheetId="11" r:id="rId11"/>
    <sheet name="口腔科（5楼穆美玲）" sheetId="12" r:id="rId12"/>
    <sheet name="口腔科（5楼姚金辉）" sheetId="13" r:id="rId13"/>
    <sheet name="口腔科（5楼张冬青）" sheetId="14" r:id="rId14"/>
    <sheet name="口腔科（5楼钟志奇）" sheetId="15" r:id="rId15"/>
    <sheet name="口腔科（5楼朱晓丽）" sheetId="16" r:id="rId16"/>
    <sheet name="口腔科（公共二）" sheetId="17" r:id="rId17"/>
    <sheet name="口腔科（公共一）" sheetId="18" r:id="rId18"/>
    <sheet name="口腔科（种植诊室）" sheetId="19" r:id="rId19"/>
    <sheet name="内三" sheetId="20" r:id="rId20"/>
    <sheet name="内一科" sheetId="21" r:id="rId21"/>
    <sheet name="手术室" sheetId="22" r:id="rId22"/>
    <sheet name="外科病房" sheetId="23" r:id="rId23"/>
    <sheet name="五官科" sheetId="24" r:id="rId24"/>
    <sheet name="中医皮肤" sheetId="25" r:id="rId25"/>
    <sheet name="加急" sheetId="26" r:id="rId26"/>
  </sheets>
  <definedNames>
    <definedName name="_xlnm._FilterDatabase" localSheetId="3" hidden="1">'口腔科（4楼韩宗凯）'!$J$1:$J$73</definedName>
    <definedName name="_xlnm._FilterDatabase" localSheetId="5" hidden="1">'口腔科（4楼金华）'!$J$1:$J$79</definedName>
    <definedName name="_xlnm._FilterDatabase" localSheetId="7" hidden="1">'口腔科（4楼于金彪）'!$A$7:$K$43</definedName>
    <definedName name="_xlnm._FilterDatabase" localSheetId="18" hidden="1">'口腔科（种植诊室）'!$A$7:$K$44</definedName>
    <definedName name="_xlnm._FilterDatabase" localSheetId="21" hidden="1">手术室!$A$7:$K$172</definedName>
    <definedName name="_xlnm._FilterDatabase" localSheetId="23" hidden="1">五官科!$J$1:$J$96</definedName>
    <definedName name="_xlnm.Print_Titles" localSheetId="0">妇科门诊!$1:$6</definedName>
    <definedName name="_xlnm.Print_Titles" localSheetId="1">急诊科!$1:$6</definedName>
    <definedName name="_xlnm.Print_Titles" localSheetId="2">'口腔科（4楼陈斌）'!$1:$6</definedName>
    <definedName name="_xlnm.Print_Titles" localSheetId="3">'口腔科（4楼韩宗凯）'!$1:$6</definedName>
    <definedName name="_xlnm.Print_Titles" localSheetId="4">'口腔科（4楼姜杨杨）'!$1:$6</definedName>
    <definedName name="_xlnm.Print_Titles" localSheetId="5">'口腔科（4楼金华）'!$1:$6</definedName>
    <definedName name="_xlnm.Print_Titles" localSheetId="6">'口腔科（4楼宋雪婧）'!$1:$6</definedName>
    <definedName name="_xlnm.Print_Titles" localSheetId="7">'口腔科（4楼于金彪）'!$1:$6</definedName>
    <definedName name="_xlnm.Print_Titles" localSheetId="8">'口腔科（5楼白雪）'!$1:$6</definedName>
    <definedName name="_xlnm.Print_Titles" localSheetId="9">'口腔科（5楼刘冰）'!$1:$6</definedName>
    <definedName name="_xlnm.Print_Titles" localSheetId="10">'口腔科（5楼刘升臣）'!$1:$6</definedName>
    <definedName name="_xlnm.Print_Titles" localSheetId="11">'口腔科（5楼穆美玲）'!$1:$6</definedName>
    <definedName name="_xlnm.Print_Titles" localSheetId="12">'口腔科（5楼姚金辉）'!$1:$6</definedName>
    <definedName name="_xlnm.Print_Titles" localSheetId="13">'口腔科（5楼张冬青）'!$1:$6</definedName>
    <definedName name="_xlnm.Print_Titles" localSheetId="14">'口腔科（5楼钟志奇）'!$1:$6</definedName>
    <definedName name="_xlnm.Print_Titles" localSheetId="15">'口腔科（5楼朱晓丽）'!$1:$6</definedName>
    <definedName name="_xlnm.Print_Titles" localSheetId="16">'口腔科（公共二）'!$1:$6</definedName>
    <definedName name="_xlnm.Print_Titles" localSheetId="17">'口腔科（公共一）'!$1:$6</definedName>
    <definedName name="_xlnm.Print_Titles" localSheetId="18">'口腔科（种植诊室）'!$1:$6</definedName>
    <definedName name="_xlnm.Print_Titles" localSheetId="19">内三!$1:$6</definedName>
    <definedName name="_xlnm.Print_Titles" localSheetId="20">内一科!$1:$6</definedName>
    <definedName name="_xlnm.Print_Titles" localSheetId="21">手术室!$1:$6</definedName>
    <definedName name="_xlnm.Print_Titles" localSheetId="22">外科病房!$1:$6</definedName>
    <definedName name="_xlnm.Print_Titles" localSheetId="23">五官科!$1:$6</definedName>
    <definedName name="_xlnm.Print_Titles" localSheetId="24">中医皮肤!$1:$6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<sst xmlns="http://schemas.openxmlformats.org/spreadsheetml/2006/main" count="2819" uniqueCount="227">
  <si>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</si>
  <si>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2026/6/15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2026/7/14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</si>
  <si>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</si>
  <si>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哈尔滨工业大学医院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</si>
  <si>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</si>
  <si>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</si>
  <si>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</si>
  <si>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</si>
  <si>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</si>
  <si>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</si>
  <si>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</si>
  <si>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</si>
  <si>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妇科门诊</t>
  </si>
  <si>
    <t>额外包(无纺布)</t>
  </si>
  <si>
    <t>卵圆钳-10/W6050</t>
  </si>
  <si>
    <t>其他钳子-10/W6050</t>
  </si>
  <si>
    <t>敷料包(纸塑袋)</t>
  </si>
  <si>
    <t>棉球（不带线）</t>
  </si>
  <si>
    <t>急诊科</t>
  </si>
  <si>
    <t>器械包</t>
  </si>
  <si>
    <t>缝合包</t>
  </si>
  <si>
    <t>额外包(纸塑袋)</t>
  </si>
  <si>
    <t>剪刀-1/Z1029</t>
  </si>
  <si>
    <t>止血钳-1/Z1029</t>
  </si>
  <si>
    <t>纱布/Z1020</t>
  </si>
  <si>
    <t>指甲钳-1/Z1029</t>
  </si>
  <si>
    <t>刮勺-1/z7534</t>
  </si>
  <si>
    <t>拔甲钳-1/Z1026</t>
  </si>
  <si>
    <t>口腔科（4楼陈斌）</t>
  </si>
  <si>
    <t>杆-1（标签别遮挡色圈！）/Z7526</t>
  </si>
  <si>
    <t>吸唾管-1/Z7534</t>
  </si>
  <si>
    <t>手机-1件/z7526</t>
  </si>
  <si>
    <t>测量尺-1/z7526</t>
  </si>
  <si>
    <t>机扩针架1针3/Z1020</t>
  </si>
  <si>
    <t>口腔科（4楼韩宗凯）</t>
  </si>
  <si>
    <t>反光板-1/保Z1526</t>
  </si>
  <si>
    <t>拉钩-1/Z1029</t>
  </si>
  <si>
    <t>拉钩-2/Z1029</t>
  </si>
  <si>
    <t>车针架1针10/Z1026</t>
  </si>
  <si>
    <t>马达-1/Z7520</t>
  </si>
  <si>
    <t>机扩手机-1/Z7526</t>
  </si>
  <si>
    <t>口镜-1/保/Z7526</t>
  </si>
  <si>
    <t>橡皮障夹子-1/Z7520</t>
  </si>
  <si>
    <t>橡皮障钳子-1/Z1526</t>
  </si>
  <si>
    <t>橡皮障架-1/W6050</t>
  </si>
  <si>
    <t>针架1针6/Z1020</t>
  </si>
  <si>
    <t>钳子-1/Z1526</t>
  </si>
  <si>
    <t>机扩针架1针10/Z1020</t>
  </si>
  <si>
    <t>口腔科（4楼姜杨杨）</t>
  </si>
  <si>
    <t>托盘-1/Z1526</t>
  </si>
  <si>
    <t>车针-10/z7520</t>
  </si>
  <si>
    <t>注射器-1/Z1026</t>
  </si>
  <si>
    <t>铁片-1/Z1530</t>
  </si>
  <si>
    <t>去冠器头-1/Z7520</t>
  </si>
  <si>
    <t>小剪刀-1/Z7526</t>
  </si>
  <si>
    <t>领面架-1/W7050</t>
  </si>
  <si>
    <t>拔牙钳-1/Z1029</t>
  </si>
  <si>
    <t>口腔科（4楼金华）</t>
  </si>
  <si>
    <t>车针-1/z7520</t>
  </si>
  <si>
    <t>裂针-1件/z7520</t>
  </si>
  <si>
    <t>针-1/z7520</t>
  </si>
  <si>
    <t>机扩针架1针4/Z1020</t>
  </si>
  <si>
    <t>机扩针架1针5/Z1020</t>
  </si>
  <si>
    <t>开口器-1/z1526</t>
  </si>
  <si>
    <t>镊子缸-1件/Z2044</t>
  </si>
  <si>
    <t>成型片夹-1/Z7520</t>
  </si>
  <si>
    <t>口腔科（4楼宋雪婧）</t>
  </si>
  <si>
    <t>机扩针架1针6/Z1020</t>
  </si>
  <si>
    <t>口腔科（4楼于金彪）</t>
  </si>
  <si>
    <t>车针架1针5/Z1026</t>
  </si>
  <si>
    <t>机扩针架1针2/Z1020</t>
  </si>
  <si>
    <t>口腔科（5楼白雪）</t>
  </si>
  <si>
    <t>口腔科（5楼刘冰）</t>
  </si>
  <si>
    <t>拔牙挺-1/Z7526</t>
  </si>
  <si>
    <t>口腔科（5楼刘升臣）</t>
  </si>
  <si>
    <t>口腔科（5楼穆美玲）</t>
  </si>
  <si>
    <t>口腔科（5楼姚金辉）</t>
  </si>
  <si>
    <t>口腔科（5楼张冬青）</t>
  </si>
  <si>
    <t>机扩针架1针1/Z1020</t>
  </si>
  <si>
    <t>口腔科（5楼钟志奇）</t>
  </si>
  <si>
    <t>口腔科（5楼朱晓丽）</t>
  </si>
  <si>
    <t>口腔科（公共二）</t>
  </si>
  <si>
    <t>三枪头-1/Z7520</t>
  </si>
  <si>
    <t>口腔科（公共一）</t>
  </si>
  <si>
    <t>毛巾-2（卷状）/Z2032</t>
  </si>
  <si>
    <t>手术包大-9件</t>
  </si>
  <si>
    <t>持针器-1/Z1026</t>
  </si>
  <si>
    <t>唇钩-1/Z7520</t>
  </si>
  <si>
    <t>手术包小-3件/W6050</t>
  </si>
  <si>
    <t>剥离子-1/Z7534</t>
  </si>
  <si>
    <t>金冠剪-1/Z1026</t>
  </si>
  <si>
    <t>碗-1/Z2530</t>
  </si>
  <si>
    <t>镊子-1/Z7530</t>
  </si>
  <si>
    <t>口腔科（种植诊室）</t>
  </si>
  <si>
    <t>单包装包</t>
  </si>
  <si>
    <t>ITI种植盒-31件 盒1/w7050</t>
  </si>
  <si>
    <t>三角尺-1/Z1026</t>
  </si>
  <si>
    <t>器械包(ZSD)</t>
  </si>
  <si>
    <t>种植手术包</t>
  </si>
  <si>
    <t>锤子-1/W6050</t>
  </si>
  <si>
    <t>骨挤压器-3件/W6050</t>
  </si>
  <si>
    <t>菠萝钻-1/Z7520</t>
  </si>
  <si>
    <t>种植盒-23件 盒1/w6050</t>
  </si>
  <si>
    <t>骨碗-1/Z1526</t>
  </si>
  <si>
    <t>种植手机-1件/z7526</t>
  </si>
  <si>
    <t>DT种植盒-31件 盒1/w6050</t>
  </si>
  <si>
    <t>导板工具盒-23件盒1/W6050</t>
  </si>
  <si>
    <t>去骨钻-1/Z7520</t>
  </si>
  <si>
    <t>内三</t>
  </si>
  <si>
    <t>气管切开-23</t>
  </si>
  <si>
    <t>换药碗-1/z2032</t>
  </si>
  <si>
    <t>气管套管-3/Z1020</t>
  </si>
  <si>
    <t>压舌板--1/Z7526</t>
  </si>
  <si>
    <t>内一科</t>
  </si>
  <si>
    <t>开口器-1/Z1526</t>
  </si>
  <si>
    <t>舌钳子-1/Z1526</t>
  </si>
  <si>
    <t>手术室</t>
  </si>
  <si>
    <t>清创包</t>
  </si>
  <si>
    <t>持物钳罐-2/Z2044</t>
  </si>
  <si>
    <t>肛门特器-4/W6050</t>
  </si>
  <si>
    <t>弯盘3麻杯2/W6050</t>
  </si>
  <si>
    <t>擦手巾/Z3044</t>
  </si>
  <si>
    <t>大纱垫/Z3032</t>
  </si>
  <si>
    <t>纱布/Z2032</t>
  </si>
  <si>
    <t>腹腔镜器械</t>
  </si>
  <si>
    <t>包皮包</t>
  </si>
  <si>
    <t>剖探包</t>
  </si>
  <si>
    <t>体表包</t>
  </si>
  <si>
    <t>肛门镜-2/Z2032</t>
  </si>
  <si>
    <t>S拉钩-3/W7050</t>
  </si>
  <si>
    <t>大盆1，小盆2/W7050</t>
  </si>
  <si>
    <t>擦手巾/Z2032</t>
  </si>
  <si>
    <t>压线布/Z1535</t>
  </si>
  <si>
    <t>美容器械-6件/W6050</t>
  </si>
  <si>
    <t>美容器械-7件/W6050</t>
  </si>
  <si>
    <t>器械包(低温等离子)</t>
  </si>
  <si>
    <t>胃肠阑尾</t>
  </si>
  <si>
    <t>单包装包(老肯低温)</t>
  </si>
  <si>
    <t>4K镜头30度-1/Z2060</t>
  </si>
  <si>
    <t>小盆-2/Z2530</t>
  </si>
  <si>
    <t>手科包-8件/W6050</t>
  </si>
  <si>
    <t>蚊式10巾钳子1/W6050</t>
  </si>
  <si>
    <t>悬吊拉钩-16件（有筐）</t>
  </si>
  <si>
    <t>0.8克氏针-10/Z7530</t>
  </si>
  <si>
    <t>0.8克氏针-4件/Z7530</t>
  </si>
  <si>
    <t>1.2克氏针-10件/Z7537</t>
  </si>
  <si>
    <t>艾利斯-4/Z1530</t>
  </si>
  <si>
    <t>持针器-2/Z1526</t>
  </si>
  <si>
    <t>肛门镜-1/Z1535</t>
  </si>
  <si>
    <t>肛门探针-1/Z7526</t>
  </si>
  <si>
    <t>宫颈钳-2/Z1535</t>
  </si>
  <si>
    <t>骨锉-1/Z7530</t>
  </si>
  <si>
    <t>间盘拉钩-1/Z2044</t>
  </si>
  <si>
    <t>克氏针-6/Z7530</t>
  </si>
  <si>
    <t>三爪复位器-1/Z1526</t>
  </si>
  <si>
    <t>胃钳-1/Z1535</t>
  </si>
  <si>
    <t>咬骨剪-1/Z1535</t>
  </si>
  <si>
    <t>直扣钳-2/Z1535</t>
  </si>
  <si>
    <t>鞍钩-2/W7050</t>
  </si>
  <si>
    <t>胆道器械-11/W6050</t>
  </si>
  <si>
    <t>间盘器械-3/W6050</t>
  </si>
  <si>
    <t>器械-9筐1/W6050</t>
  </si>
  <si>
    <t>阴道拉钩-2/W6050</t>
  </si>
  <si>
    <t>扎丝-3/W6050</t>
  </si>
  <si>
    <t>折弯器-2/W6050</t>
  </si>
  <si>
    <t>爪钩包-2/W6050</t>
  </si>
  <si>
    <t>爪钩包-7/W7050</t>
  </si>
  <si>
    <t>额外包(低温等离子)</t>
  </si>
  <si>
    <t>剪刀(低温)-1/Z2060</t>
  </si>
  <si>
    <t>胆囊包18件（盒1）</t>
  </si>
  <si>
    <t>软性活检钳-1/Z1545</t>
  </si>
  <si>
    <t>微克夹钳-1/Z2060</t>
  </si>
  <si>
    <t>组件-1/Z1560</t>
  </si>
  <si>
    <t>组件-3/Z1026</t>
  </si>
  <si>
    <t>测深尺-1/Z7537</t>
  </si>
  <si>
    <t>穿刺器-3件/Z1026</t>
  </si>
  <si>
    <t>骨科螺丝刀-2/Z1535</t>
  </si>
  <si>
    <t>克扣钳-1/Z1029</t>
  </si>
  <si>
    <t>丝攻-2/Z1526</t>
  </si>
  <si>
    <t>电钻-4/W7050</t>
  </si>
  <si>
    <t>口腔加件-7筐1/W6050</t>
  </si>
  <si>
    <t>凿子-2/W6050</t>
  </si>
  <si>
    <t>甲状腺拉钩-1/W6050</t>
  </si>
  <si>
    <t>换药碗-2/z2032</t>
  </si>
  <si>
    <t>大咬骨剪-1/W9050</t>
  </si>
  <si>
    <t>咬骨钳-1/W6050</t>
  </si>
  <si>
    <t>驱血带-1/Z2030</t>
  </si>
  <si>
    <t>外科病房</t>
  </si>
  <si>
    <t>缝合包-6/W6050</t>
  </si>
  <si>
    <t>可视镜片-1/Z2045</t>
  </si>
  <si>
    <t>五官科</t>
  </si>
  <si>
    <t>穿刺针-2/Z1020</t>
  </si>
  <si>
    <t>睑板腺夹-1/Z7520</t>
  </si>
  <si>
    <t>睑板腺镊-1/Z7520</t>
  </si>
  <si>
    <t>枪状镊-2/Z1029</t>
  </si>
  <si>
    <t>泪道探针-1/Z7520</t>
  </si>
  <si>
    <t>喉异物钳-1/Z1535</t>
  </si>
  <si>
    <t>纤维鼻镜-1/双/Z1550</t>
  </si>
  <si>
    <t>纤维喉镜-1/双/Z1550</t>
  </si>
  <si>
    <t>泪点扩张器-1/z7520</t>
  </si>
  <si>
    <t>显微镊子--1/Z7526</t>
  </si>
  <si>
    <t>中医皮肤</t>
  </si>
  <si>
    <t>剪刀，止血钳-2件/Z1530</t>
  </si>
  <si>
    <t>镊子-1/Z7526</t>
  </si>
  <si>
    <t>蚊式-1/Z7520</t>
  </si>
  <si>
    <t>小钩镊-1/Z7520</t>
  </si>
  <si>
    <t>小剪子-1/Z7520</t>
  </si>
  <si>
    <t>手术包</t>
  </si>
  <si>
    <t>开口器1压舌板1舌钳子1/Z1526</t>
  </si>
  <si>
    <t>持针器-1/Z1020</t>
  </si>
  <si>
    <t>哈尔滨工业大学医院2026年6月加急灭菌费合计1745元，加急物流费合计750元，总计金额2495元。</t>
  </si>
  <si>
    <t>哈尔滨工业大学医院2026年6月16日加急灭菌费193+193*25%=241.25元，物流费150元，合计391.25元</t>
  </si>
  <si>
    <t>合计</t>
  </si>
  <si>
    <t>哈尔滨工业大学医院2026年6月17日加急灭菌费328+328*25%=410元，物流费150元，合计560元</t>
  </si>
  <si>
    <t>哈尔滨工业大学医院2026年7月6日加急灭菌费221+221*25%=276.25元，物流费150元，合计426.25元</t>
  </si>
  <si>
    <t>灯把-1/Z2040</t>
  </si>
  <si>
    <t>哈尔滨工业大学医院2026年7月10日加急灭菌费417+417*25%=521.25元，物流费150元，合计671.25元</t>
  </si>
  <si>
    <t>肠钳子-1/Z2060</t>
  </si>
  <si>
    <t>分离钳-1/Z2060</t>
  </si>
  <si>
    <t>阑尾钳-1/Z2060</t>
  </si>
  <si>
    <t>鼠齿钳-1/Z2060</t>
  </si>
  <si>
    <t>双极钳-1/Z2060</t>
  </si>
  <si>
    <t>胃钳-1/Z2060</t>
  </si>
  <si>
    <t>直角钳-1/Z2060</t>
  </si>
  <si>
    <t>胆囊包10件（盒1）</t>
  </si>
  <si>
    <t>哈尔滨工业大学医院2026年7月11日加急灭菌费237+237*25%=296.25元，物流费150元，合计446.25元</t>
  </si>
  <si>
    <t>电凝钩 导线-2/Z3044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</si>
</sst>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yyyy/m/d"/>
    <numFmt numFmtId="177" formatCode="[$-10804]0.00;\(0.00\)"/>
  </numFmts>
  <fonts count="30">
    <font>
      <sz val="11"/>
      <name val="宋体"/>
      <charset val="134"/>
      <scheme val="minor"/>
    </font>
    <font>
      <b/>
      <sz val="12"/>
      <name val="宋体"/>
      <charset val="134"/>
      <scheme val="minor"/>
    </font>
    <font>
      <sz val="12"/>
      <name val="宋体"/>
      <charset val="134"/>
      <scheme val="minor"/>
    </font>
    <font>
      <sz val="10"/>
      <name val="宋体"/>
      <charset val="134"/>
    </font>
    <font>
      <sz val="10"/>
      <color rgb="FF000000"/>
      <name val="Droid Sans Fallback"/>
      <charset val="134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21" fillId="7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9" fillId="0" borderId="0"/>
  </cellStyleXfs>
  <cellXfs count="27">
    <xf numFmtId="0" fontId="0" fillId="0" borderId="0" xfId="0" applyFont="1" applyFill="1" applyBorder="1" applyAlignment="1"/>
    <xf numFmtId="0" fontId="1" fillId="0" borderId="0" xfId="0" applyFont="1" applyFill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center" vertical="top" wrapText="1" readingOrder="1"/>
    </xf>
    <xf numFmtId="176" fontId="4" fillId="0" borderId="1" xfId="0" applyNumberFormat="1" applyFont="1" applyFill="1" applyBorder="1" applyAlignment="1">
      <alignment vertical="top" wrapText="1" readingOrder="1"/>
    </xf>
    <xf numFmtId="0" fontId="4" fillId="0" borderId="1" xfId="0" applyNumberFormat="1" applyFont="1" applyFill="1" applyBorder="1" applyAlignment="1">
      <alignment vertical="top" wrapText="1" readingOrder="1"/>
    </xf>
    <xf numFmtId="0" fontId="4" fillId="0" borderId="1" xfId="0" applyNumberFormat="1" applyFont="1" applyFill="1" applyBorder="1" applyAlignment="1">
      <alignment horizontal="center" vertical="top" wrapText="1" readingOrder="1"/>
    </xf>
    <xf numFmtId="177" fontId="4" fillId="0" borderId="1" xfId="0" applyNumberFormat="1" applyFont="1" applyFill="1" applyBorder="1" applyAlignment="1">
      <alignment horizontal="center" vertical="top" wrapText="1" readingOrder="1"/>
    </xf>
    <xf numFmtId="0" fontId="0" fillId="0" borderId="1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5" fillId="0" borderId="0" xfId="0" applyNumberFormat="1" applyFont="1" applyFill="1" applyBorder="1" applyAlignment="1">
      <alignment horizontal="left" vertical="top" wrapText="1" readingOrder="1"/>
    </xf>
    <xf numFmtId="0" fontId="6" fillId="0" borderId="0" xfId="0" applyNumberFormat="1" applyFont="1" applyFill="1" applyBorder="1" applyAlignment="1">
      <alignment vertical="top" wrapText="1" readingOrder="1"/>
    </xf>
    <xf numFmtId="0" fontId="4" fillId="0" borderId="0" xfId="0" applyNumberFormat="1" applyFont="1" applyFill="1" applyBorder="1" applyAlignment="1">
      <alignment vertical="top" wrapText="1" readingOrder="1"/>
    </xf>
    <xf numFmtId="0" fontId="0" fillId="0" borderId="2" xfId="0" applyNumberFormat="1" applyFont="1" applyFill="1" applyBorder="1" applyAlignment="1">
      <alignment vertical="top" wrapText="1"/>
    </xf>
    <xf numFmtId="0" fontId="4" fillId="0" borderId="2" xfId="0" applyNumberFormat="1" applyFont="1" applyFill="1" applyBorder="1" applyAlignment="1">
      <alignment vertical="top" wrapText="1" readingOrder="1"/>
    </xf>
    <xf numFmtId="0" fontId="4" fillId="0" borderId="3" xfId="0" applyNumberFormat="1" applyFont="1" applyFill="1" applyBorder="1" applyAlignment="1">
      <alignment horizontal="center" vertical="top" wrapText="1" readingOrder="1"/>
    </xf>
    <xf numFmtId="0" fontId="7" fillId="2" borderId="4" xfId="0" applyNumberFormat="1" applyFont="1" applyFill="1" applyBorder="1" applyAlignment="1">
      <alignment vertical="top" wrapText="1" readingOrder="1"/>
    </xf>
    <xf numFmtId="0" fontId="0" fillId="0" borderId="5" xfId="0" applyNumberFormat="1" applyFont="1" applyFill="1" applyBorder="1" applyAlignment="1">
      <alignment vertical="top" wrapText="1"/>
    </xf>
    <xf numFmtId="0" fontId="7" fillId="2" borderId="4" xfId="0" applyNumberFormat="1" applyFont="1" applyFill="1" applyBorder="1" applyAlignment="1">
      <alignment horizontal="center" vertical="top" wrapText="1" readingOrder="1"/>
    </xf>
    <xf numFmtId="177" fontId="7" fillId="2" borderId="4" xfId="0" applyNumberFormat="1" applyFont="1" applyFill="1" applyBorder="1" applyAlignment="1">
      <alignment horizontal="center" vertical="top" wrapText="1" readingOrder="1"/>
    </xf>
    <xf numFmtId="176" fontId="4" fillId="0" borderId="4" xfId="0" applyNumberFormat="1" applyFont="1" applyFill="1" applyBorder="1" applyAlignment="1">
      <alignment vertical="top" wrapText="1" readingOrder="1"/>
    </xf>
    <xf numFmtId="0" fontId="4" fillId="0" borderId="4" xfId="0" applyNumberFormat="1" applyFont="1" applyFill="1" applyBorder="1" applyAlignment="1">
      <alignment vertical="top" wrapText="1" readingOrder="1"/>
    </xf>
    <xf numFmtId="0" fontId="4" fillId="0" borderId="4" xfId="0" applyNumberFormat="1" applyFont="1" applyFill="1" applyBorder="1" applyAlignment="1">
      <alignment horizontal="center" vertical="top" wrapText="1" readingOrder="1"/>
    </xf>
    <xf numFmtId="177" fontId="4" fillId="0" borderId="4" xfId="0" applyNumberFormat="1" applyFont="1" applyFill="1" applyBorder="1" applyAlignment="1">
      <alignment horizontal="center" vertical="top" wrapText="1" readingOrder="1"/>
    </xf>
    <xf numFmtId="0" fontId="8" fillId="3" borderId="4" xfId="0" applyNumberFormat="1" applyFont="1" applyFill="1" applyBorder="1" applyAlignment="1">
      <alignment vertical="top" wrapText="1" readingOrder="1"/>
    </xf>
    <xf numFmtId="0" fontId="8" fillId="3" borderId="4" xfId="0" applyNumberFormat="1" applyFont="1" applyFill="1" applyBorder="1" applyAlignment="1">
      <alignment horizontal="center" vertical="top" wrapText="1" readingOrder="1"/>
    </xf>
    <xf numFmtId="177" fontId="8" fillId="3" borderId="4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9" Type="http://schemas.openxmlformats.org/officeDocument/2006/relationships/styles" Target="styles.xml"/><Relationship Id="rId28" Type="http://schemas.openxmlformats.org/officeDocument/2006/relationships/sharedStrings" Target="sharedStrings.xml"/><Relationship Id="rId27" Type="http://schemas.openxmlformats.org/officeDocument/2006/relationships/theme" Target="theme/theme1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561340</xdr:colOff>
      <xdr:row>1</xdr:row>
      <xdr:rowOff>66675</xdr:rowOff>
    </xdr:from>
    <xdr:to>
      <xdr:col>10</xdr:col>
      <xdr:colOff>141053</xdr:colOff>
      <xdr:row>4</xdr:row>
      <xdr:rowOff>64135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254115" y="23812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1</xdr:row>
      <xdr:rowOff>0</xdr:rowOff>
    </xdr:from>
    <xdr:to>
      <xdr:col>10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64845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1</xdr:row>
      <xdr:rowOff>0</xdr:rowOff>
    </xdr:from>
    <xdr:to>
      <xdr:col>10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64845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1</xdr:row>
      <xdr:rowOff>0</xdr:rowOff>
    </xdr:from>
    <xdr:to>
      <xdr:col>10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64845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1</xdr:row>
      <xdr:rowOff>0</xdr:rowOff>
    </xdr:from>
    <xdr:to>
      <xdr:col>10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64845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1</xdr:row>
      <xdr:rowOff>0</xdr:rowOff>
    </xdr:from>
    <xdr:to>
      <xdr:col>10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64845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1</xdr:row>
      <xdr:rowOff>0</xdr:rowOff>
    </xdr:from>
    <xdr:to>
      <xdr:col>10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64845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1</xdr:row>
      <xdr:rowOff>0</xdr:rowOff>
    </xdr:from>
    <xdr:to>
      <xdr:col>10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64845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1</xdr:row>
      <xdr:rowOff>0</xdr:rowOff>
    </xdr:from>
    <xdr:to>
      <xdr:col>10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0118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1</xdr:row>
      <xdr:rowOff>0</xdr:rowOff>
    </xdr:from>
    <xdr:to>
      <xdr:col>10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0118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1</xdr:row>
      <xdr:rowOff>0</xdr:rowOff>
    </xdr:from>
    <xdr:to>
      <xdr:col>10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0118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1</xdr:row>
      <xdr:rowOff>0</xdr:rowOff>
    </xdr:from>
    <xdr:to>
      <xdr:col>10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0118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1</xdr:row>
      <xdr:rowOff>0</xdr:rowOff>
    </xdr:from>
    <xdr:to>
      <xdr:col>10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0118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1</xdr:row>
      <xdr:rowOff>0</xdr:rowOff>
    </xdr:from>
    <xdr:to>
      <xdr:col>10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0118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1</xdr:row>
      <xdr:rowOff>0</xdr:rowOff>
    </xdr:from>
    <xdr:to>
      <xdr:col>10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62305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1</xdr:row>
      <xdr:rowOff>0</xdr:rowOff>
    </xdr:from>
    <xdr:to>
      <xdr:col>10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8690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1</xdr:row>
      <xdr:rowOff>0</xdr:rowOff>
    </xdr:from>
    <xdr:to>
      <xdr:col>10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8690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1</xdr:row>
      <xdr:rowOff>0</xdr:rowOff>
    </xdr:from>
    <xdr:to>
      <xdr:col>10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0435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1</xdr:row>
      <xdr:rowOff>0</xdr:rowOff>
    </xdr:from>
    <xdr:to>
      <xdr:col>10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8690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1</xdr:row>
      <xdr:rowOff>0</xdr:rowOff>
    </xdr:from>
    <xdr:to>
      <xdr:col>10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3417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1</xdr:row>
      <xdr:rowOff>0</xdr:rowOff>
    </xdr:from>
    <xdr:to>
      <xdr:col>10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2942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1</xdr:row>
      <xdr:rowOff>0</xdr:rowOff>
    </xdr:from>
    <xdr:to>
      <xdr:col>10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8690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1</xdr:row>
      <xdr:rowOff>0</xdr:rowOff>
    </xdr:from>
    <xdr:to>
      <xdr:col>10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8690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1</xdr:row>
      <xdr:rowOff>0</xdr:rowOff>
    </xdr:from>
    <xdr:to>
      <xdr:col>10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8690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1</xdr:row>
      <xdr:rowOff>0</xdr:rowOff>
    </xdr:from>
    <xdr:to>
      <xdr:col>10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29755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"/>
  <sheetViews>
    <sheetView showGridLines="0" view="pageBreakPreview" zoomScaleNormal="100" workbookViewId="0">
      <pane ySplit="6" topLeftCell="A7" activePane="bottomLeft" state="frozen"/>
      <selection/>
      <selection pane="bottomLeft" activeCell="K11" sqref="K11:K3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125" customWidth="1"/>
  </cols>
  <sheetData>
    <row r="1" spans="2:11">
      <c r="C1" s="10" t="s">
        <v>0</v>
      </c>
    </row>
    <row r="2" ht="23.05" customHeight="1"/>
    <row r="3" ht="2" customHeight="1"/>
    <row r="4" ht="15.2" customHeight="1" spans="2:11">
      <c r="B4" s="11" t="s">
        <v>1</v>
      </c>
    </row>
    <row r="6" ht="2.95" customHeight="1"/>
    <row r="7" ht="3.95" customHeight="1" spans="2:11">
      <c r="B7" s="13" t="s">
        <v>2</v>
      </c>
      <c r="C7" s="13" t="s">
        <v>2</v>
      </c>
      <c r="D7" s="13" t="s">
        <v>2</v>
      </c>
      <c r="E7" s="13" t="s">
        <v>2</v>
      </c>
      <c r="F7" s="13" t="s">
        <v>2</v>
      </c>
      <c r="G7" s="13" t="s">
        <v>2</v>
      </c>
      <c r="H7" s="13" t="s">
        <v>2</v>
      </c>
      <c r="I7" s="13" t="s">
        <v>2</v>
      </c>
      <c r="J7" s="13" t="s">
        <v>2</v>
      </c>
      <c r="K7" s="13" t="s">
        <v>2</v>
      </c>
    </row>
    <row r="8" ht="15" spans="2:11">
      <c r="C8" s="12" t="s">
        <v>2</v>
      </c>
      <c r="D8" s="24" t="s">
        <v>3</v>
      </c>
      <c r="E8" s="17" t="s">
        <v>2</v>
      </c>
      <c r="F8" s="17" t="s">
        <v>2</v>
      </c>
      <c r="G8" s="17" t="s">
        <v>2</v>
      </c>
      <c r="H8" s="17" t="s">
        <v>2</v>
      </c>
      <c r="I8" s="25"/>
      <c r="J8" s="26"/>
      <c r="K8" s="26"/>
    </row>
    <row r="9" spans="2:11">
      <c r="C9" s="12" t="s">
        <v>2</v>
      </c>
      <c r="D9" s="22" t="s">
        <v>4</v>
      </c>
      <c r="E9" s="22" t="s">
        <v>5</v>
      </c>
      <c r="F9" s="22" t="s">
        <v>6</v>
      </c>
      <c r="G9" s="22" t="s">
        <v>7</v>
      </c>
      <c r="H9" s="22" t="s">
        <v>8</v>
      </c>
      <c r="I9" s="22" t="s">
        <v>9</v>
      </c>
      <c r="J9" s="22" t="s">
        <v>10</v>
      </c>
      <c r="K9" s="22" t="s">
        <v>11</v>
      </c>
    </row>
    <row r="10" ht="14.25" spans="2:11">
      <c r="D10" s="16" t="s">
        <v>12</v>
      </c>
      <c r="E10" s="17" t="s">
        <v>2</v>
      </c>
      <c r="F10" s="17" t="s">
        <v>2</v>
      </c>
      <c r="G10" s="17" t="s">
        <v>2</v>
      </c>
      <c r="H10" s="17" t="s">
        <v>2</v>
      </c>
      <c r="I10" s="18">
        <v>66</v>
      </c>
      <c r="J10" s="19"/>
      <c r="K10" s="19">
        <v>2055</v>
      </c>
    </row>
    <row r="11" spans="2:11">
      <c r="D11" s="20">
        <v>46188</v>
      </c>
      <c r="E11" s="21">
        <v>1612268</v>
      </c>
      <c r="F11" s="21" t="s">
        <v>13</v>
      </c>
      <c r="G11" s="22">
        <v>20005834</v>
      </c>
      <c r="H11" s="21" t="s">
        <v>14</v>
      </c>
      <c r="I11" s="22">
        <v>4</v>
      </c>
      <c r="J11" s="23">
        <v>55</v>
      </c>
      <c r="K11" s="23">
        <v>220</v>
      </c>
    </row>
    <row r="12" spans="2:11">
      <c r="D12" s="20">
        <v>46190</v>
      </c>
      <c r="E12" s="21">
        <v>1613092</v>
      </c>
      <c r="F12" s="21" t="s">
        <v>13</v>
      </c>
      <c r="G12" s="22">
        <v>20005834</v>
      </c>
      <c r="H12" s="21" t="s">
        <v>14</v>
      </c>
      <c r="I12" s="22">
        <v>2</v>
      </c>
      <c r="J12" s="23">
        <v>55</v>
      </c>
      <c r="K12" s="23">
        <v>110</v>
      </c>
    </row>
    <row r="13" spans="2:11">
      <c r="D13" s="20">
        <v>46190</v>
      </c>
      <c r="E13" s="21">
        <v>1613092</v>
      </c>
      <c r="F13" s="21" t="s">
        <v>13</v>
      </c>
      <c r="G13" s="22">
        <v>20005835</v>
      </c>
      <c r="H13" s="21" t="s">
        <v>15</v>
      </c>
      <c r="I13" s="22">
        <v>1</v>
      </c>
      <c r="J13" s="23">
        <v>55</v>
      </c>
      <c r="K13" s="23">
        <v>55</v>
      </c>
    </row>
    <row r="14" spans="2:11">
      <c r="D14" s="20">
        <v>46191</v>
      </c>
      <c r="E14" s="21">
        <v>1613445</v>
      </c>
      <c r="F14" s="21" t="s">
        <v>13</v>
      </c>
      <c r="G14" s="22">
        <v>20005834</v>
      </c>
      <c r="H14" s="21" t="s">
        <v>14</v>
      </c>
      <c r="I14" s="22">
        <v>1</v>
      </c>
      <c r="J14" s="23">
        <v>55</v>
      </c>
      <c r="K14" s="23">
        <v>55</v>
      </c>
    </row>
    <row r="15" spans="2:11">
      <c r="D15" s="20">
        <v>46195</v>
      </c>
      <c r="E15" s="21">
        <v>1614023</v>
      </c>
      <c r="F15" s="21" t="s">
        <v>13</v>
      </c>
      <c r="G15" s="22">
        <v>20005834</v>
      </c>
      <c r="H15" s="21" t="s">
        <v>14</v>
      </c>
      <c r="I15" s="22">
        <v>2</v>
      </c>
      <c r="J15" s="23">
        <v>55</v>
      </c>
      <c r="K15" s="23">
        <v>110</v>
      </c>
    </row>
    <row r="16" spans="2:11">
      <c r="D16" s="20">
        <v>46197</v>
      </c>
      <c r="E16" s="21">
        <v>1614902</v>
      </c>
      <c r="F16" s="21" t="s">
        <v>13</v>
      </c>
      <c r="G16" s="22">
        <v>20005834</v>
      </c>
      <c r="H16" s="21" t="s">
        <v>14</v>
      </c>
      <c r="I16" s="22">
        <v>2</v>
      </c>
      <c r="J16" s="23">
        <v>55</v>
      </c>
      <c r="K16" s="23">
        <v>110</v>
      </c>
    </row>
    <row r="17" spans="4:11">
      <c r="D17" s="20">
        <v>46197</v>
      </c>
      <c r="E17" s="21">
        <v>1614902</v>
      </c>
      <c r="F17" s="21" t="s">
        <v>13</v>
      </c>
      <c r="G17" s="22">
        <v>20005835</v>
      </c>
      <c r="H17" s="21" t="s">
        <v>15</v>
      </c>
      <c r="I17" s="22">
        <v>2</v>
      </c>
      <c r="J17" s="23">
        <v>55</v>
      </c>
      <c r="K17" s="23">
        <v>110</v>
      </c>
    </row>
    <row r="18" spans="4:11">
      <c r="D18" s="20">
        <v>46198</v>
      </c>
      <c r="E18" s="21">
        <v>1615156</v>
      </c>
      <c r="F18" s="21" t="s">
        <v>13</v>
      </c>
      <c r="G18" s="22">
        <v>20005835</v>
      </c>
      <c r="H18" s="21" t="s">
        <v>15</v>
      </c>
      <c r="I18" s="22">
        <v>2</v>
      </c>
      <c r="J18" s="23">
        <v>55</v>
      </c>
      <c r="K18" s="23">
        <v>110</v>
      </c>
    </row>
    <row r="19" spans="4:11">
      <c r="D19" s="20">
        <v>46202</v>
      </c>
      <c r="E19" s="21">
        <v>1616012</v>
      </c>
      <c r="F19" s="21" t="s">
        <v>13</v>
      </c>
      <c r="G19" s="22">
        <v>20005835</v>
      </c>
      <c r="H19" s="21" t="s">
        <v>15</v>
      </c>
      <c r="I19" s="22">
        <v>4</v>
      </c>
      <c r="J19" s="23">
        <v>55</v>
      </c>
      <c r="K19" s="23">
        <v>220</v>
      </c>
    </row>
    <row r="20" spans="4:11">
      <c r="D20" s="20">
        <v>46203</v>
      </c>
      <c r="E20" s="21">
        <v>1616388</v>
      </c>
      <c r="F20" s="21" t="s">
        <v>13</v>
      </c>
      <c r="G20" s="22">
        <v>20005834</v>
      </c>
      <c r="H20" s="21" t="s">
        <v>14</v>
      </c>
      <c r="I20" s="22">
        <v>1</v>
      </c>
      <c r="J20" s="23">
        <v>55</v>
      </c>
      <c r="K20" s="23">
        <v>55</v>
      </c>
    </row>
    <row r="21" spans="4:11">
      <c r="D21" s="20">
        <v>46203</v>
      </c>
      <c r="E21" s="21">
        <v>1616388</v>
      </c>
      <c r="F21" s="21" t="s">
        <v>13</v>
      </c>
      <c r="G21" s="22">
        <v>20005835</v>
      </c>
      <c r="H21" s="21" t="s">
        <v>15</v>
      </c>
      <c r="I21" s="22">
        <v>1</v>
      </c>
      <c r="J21" s="23">
        <v>55</v>
      </c>
      <c r="K21" s="23">
        <v>55</v>
      </c>
    </row>
    <row r="22" spans="4:11">
      <c r="D22" s="20">
        <v>46205</v>
      </c>
      <c r="E22" s="21">
        <v>1617106</v>
      </c>
      <c r="F22" s="21" t="s">
        <v>13</v>
      </c>
      <c r="G22" s="22">
        <v>20005834</v>
      </c>
      <c r="H22" s="21" t="s">
        <v>14</v>
      </c>
      <c r="I22" s="22">
        <v>2</v>
      </c>
      <c r="J22" s="23">
        <v>55</v>
      </c>
      <c r="K22" s="23">
        <v>110</v>
      </c>
    </row>
    <row r="23" spans="4:11">
      <c r="D23" s="20">
        <v>46205</v>
      </c>
      <c r="E23" s="21">
        <v>1617106</v>
      </c>
      <c r="F23" s="21" t="s">
        <v>13</v>
      </c>
      <c r="G23" s="22">
        <v>20005835</v>
      </c>
      <c r="H23" s="21" t="s">
        <v>15</v>
      </c>
      <c r="I23" s="22">
        <v>1</v>
      </c>
      <c r="J23" s="23">
        <v>55</v>
      </c>
      <c r="K23" s="23">
        <v>55</v>
      </c>
    </row>
    <row r="24" spans="4:11">
      <c r="D24" s="20">
        <v>46205</v>
      </c>
      <c r="E24" s="21">
        <v>1617106</v>
      </c>
      <c r="F24" s="21" t="s">
        <v>16</v>
      </c>
      <c r="G24" s="22">
        <v>20008023</v>
      </c>
      <c r="H24" s="21" t="s">
        <v>17</v>
      </c>
      <c r="I24" s="22">
        <v>30</v>
      </c>
      <c r="J24" s="23">
        <v>2.5</v>
      </c>
      <c r="K24" s="23">
        <v>75</v>
      </c>
    </row>
    <row r="25" spans="4:11">
      <c r="D25" s="20">
        <v>46206</v>
      </c>
      <c r="E25" s="21">
        <v>1617196</v>
      </c>
      <c r="F25" s="21" t="s">
        <v>13</v>
      </c>
      <c r="G25" s="22">
        <v>20005834</v>
      </c>
      <c r="H25" s="21" t="s">
        <v>14</v>
      </c>
      <c r="I25" s="22">
        <v>2</v>
      </c>
      <c r="J25" s="23">
        <v>55</v>
      </c>
      <c r="K25" s="23">
        <v>110</v>
      </c>
    </row>
    <row r="26" spans="4:11">
      <c r="D26" s="20">
        <v>46209</v>
      </c>
      <c r="E26" s="21">
        <v>1617962</v>
      </c>
      <c r="F26" s="21" t="s">
        <v>13</v>
      </c>
      <c r="G26" s="22">
        <v>20005834</v>
      </c>
      <c r="H26" s="21" t="s">
        <v>14</v>
      </c>
      <c r="I26" s="22">
        <v>2</v>
      </c>
      <c r="J26" s="23">
        <v>55</v>
      </c>
      <c r="K26" s="23">
        <v>110</v>
      </c>
    </row>
    <row r="27" spans="4:11">
      <c r="D27" s="20">
        <v>46209</v>
      </c>
      <c r="E27" s="21">
        <v>1617962</v>
      </c>
      <c r="F27" s="21" t="s">
        <v>13</v>
      </c>
      <c r="G27" s="22">
        <v>20005835</v>
      </c>
      <c r="H27" s="21" t="s">
        <v>15</v>
      </c>
      <c r="I27" s="22">
        <v>1</v>
      </c>
      <c r="J27" s="23">
        <v>55</v>
      </c>
      <c r="K27" s="23">
        <v>55</v>
      </c>
    </row>
    <row r="28" spans="4:11">
      <c r="D28" s="20">
        <v>46212</v>
      </c>
      <c r="E28" s="21">
        <v>1619113</v>
      </c>
      <c r="F28" s="21" t="s">
        <v>13</v>
      </c>
      <c r="G28" s="22">
        <v>20005834</v>
      </c>
      <c r="H28" s="21" t="s">
        <v>14</v>
      </c>
      <c r="I28" s="22">
        <v>2</v>
      </c>
      <c r="J28" s="23">
        <v>55</v>
      </c>
      <c r="K28" s="23">
        <v>110</v>
      </c>
    </row>
    <row r="29" spans="4:11">
      <c r="D29" s="20">
        <v>46212</v>
      </c>
      <c r="E29" s="21">
        <v>1619113</v>
      </c>
      <c r="F29" s="21" t="s">
        <v>13</v>
      </c>
      <c r="G29" s="22">
        <v>20005835</v>
      </c>
      <c r="H29" s="21" t="s">
        <v>15</v>
      </c>
      <c r="I29" s="22">
        <v>2</v>
      </c>
      <c r="J29" s="23">
        <v>55</v>
      </c>
      <c r="K29" s="23">
        <v>110</v>
      </c>
    </row>
    <row r="30" spans="4:11">
      <c r="D30" s="20">
        <v>46216</v>
      </c>
      <c r="E30" s="21">
        <v>1619999</v>
      </c>
      <c r="F30" s="21" t="s">
        <v>13</v>
      </c>
      <c r="G30" s="22">
        <v>20005835</v>
      </c>
      <c r="H30" s="21" t="s">
        <v>15</v>
      </c>
      <c r="I30" s="22">
        <v>2</v>
      </c>
      <c r="J30" s="23">
        <v>55</v>
      </c>
      <c r="K30" s="23">
        <v>110</v>
      </c>
    </row>
  </sheetData>
  <mergeCells count="6">
    <mergeCell ref="D8:H8"/>
    <mergeCell ref="D10:H10"/>
    <mergeCell ref="C9:C30"/>
    <mergeCell ref="B4:H5"/>
    <mergeCell ref="A8:B3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8:31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5"/>
  <sheetViews>
    <sheetView showGridLines="0" view="pageBreakPreview" zoomScaleNormal="100" workbookViewId="0">
      <pane ySplit="6" topLeftCell="A10" activePane="bottomLeft" state="frozen"/>
      <selection/>
      <selection pane="bottomLeft" activeCell="K9" sqref="K9:K4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0.625" customWidth="1"/>
    <col min="9" max="9" width="11" customWidth="1"/>
    <col min="10" max="10" width="12.2083333333333" customWidth="1"/>
    <col min="11" max="11" width="10.875" customWidth="1"/>
    <col min="12" max="12" width="12.625"/>
  </cols>
  <sheetData>
    <row r="1" spans="1:11">
      <c r="C1" s="10" t="s">
        <v>0</v>
      </c>
    </row>
    <row r="2" ht="23.05" customHeight="1"/>
    <row r="3" ht="2" customHeight="1"/>
    <row r="4" ht="15.2" customHeight="1" spans="1:11">
      <c r="B4" s="11" t="s">
        <v>1</v>
      </c>
    </row>
    <row r="6" ht="2.95" customHeight="1"/>
    <row r="7" spans="1:11">
      <c r="A7" s="12" t="s">
        <v>2</v>
      </c>
      <c r="B7" s="13" t="s">
        <v>2</v>
      </c>
      <c r="C7" s="14" t="s">
        <v>2</v>
      </c>
      <c r="D7" s="15" t="s">
        <v>4</v>
      </c>
      <c r="E7" s="15" t="s">
        <v>5</v>
      </c>
      <c r="F7" s="15" t="s">
        <v>6</v>
      </c>
      <c r="G7" s="15" t="s">
        <v>7</v>
      </c>
      <c r="H7" s="15" t="s">
        <v>8</v>
      </c>
      <c r="I7" s="15" t="s">
        <v>9</v>
      </c>
      <c r="J7" s="15" t="s">
        <v>10</v>
      </c>
      <c r="K7" s="15" t="s">
        <v>11</v>
      </c>
    </row>
    <row r="8" ht="14.25" spans="1:11">
      <c r="D8" s="16" t="s">
        <v>18</v>
      </c>
      <c r="E8" s="17" t="s">
        <v>2</v>
      </c>
      <c r="F8" s="17" t="s">
        <v>2</v>
      </c>
      <c r="G8" s="17" t="s">
        <v>2</v>
      </c>
      <c r="H8" s="17" t="s">
        <v>2</v>
      </c>
      <c r="I8" s="18">
        <v>249</v>
      </c>
      <c r="J8" s="19"/>
      <c r="K8" s="19">
        <v>2257.5</v>
      </c>
    </row>
    <row r="9" spans="1:11">
      <c r="D9" s="20">
        <v>46188</v>
      </c>
      <c r="E9" s="21">
        <v>1612269</v>
      </c>
      <c r="F9" s="21" t="s">
        <v>19</v>
      </c>
      <c r="G9" s="22">
        <v>20005202</v>
      </c>
      <c r="H9" s="21" t="s">
        <v>20</v>
      </c>
      <c r="I9" s="22">
        <v>4</v>
      </c>
      <c r="J9" s="23">
        <v>33</v>
      </c>
      <c r="K9" s="23">
        <v>132</v>
      </c>
    </row>
    <row r="10" spans="1:11">
      <c r="D10" s="20">
        <v>46188</v>
      </c>
      <c r="E10" s="21">
        <v>1612269</v>
      </c>
      <c r="F10" s="21" t="s">
        <v>21</v>
      </c>
      <c r="G10" s="22">
        <v>20324084</v>
      </c>
      <c r="H10" s="21" t="s">
        <v>22</v>
      </c>
      <c r="I10" s="22">
        <v>5</v>
      </c>
      <c r="J10" s="23">
        <v>8</v>
      </c>
      <c r="K10" s="23">
        <v>40</v>
      </c>
    </row>
    <row r="11" spans="1:11">
      <c r="D11" s="20">
        <v>46188</v>
      </c>
      <c r="E11" s="21">
        <v>1612269</v>
      </c>
      <c r="F11" s="21" t="s">
        <v>21</v>
      </c>
      <c r="G11" s="22">
        <v>20005930</v>
      </c>
      <c r="H11" s="21" t="s">
        <v>23</v>
      </c>
      <c r="I11" s="22">
        <v>5</v>
      </c>
      <c r="J11" s="23">
        <v>8</v>
      </c>
      <c r="K11" s="23">
        <v>40</v>
      </c>
    </row>
    <row r="12" spans="1:11">
      <c r="D12" s="20">
        <v>46188</v>
      </c>
      <c r="E12" s="21">
        <v>1612269</v>
      </c>
      <c r="F12" s="21" t="s">
        <v>16</v>
      </c>
      <c r="G12" s="22">
        <v>20383630</v>
      </c>
      <c r="H12" s="21" t="s">
        <v>24</v>
      </c>
      <c r="I12" s="22">
        <v>63</v>
      </c>
      <c r="J12" s="23">
        <v>2.5</v>
      </c>
      <c r="K12" s="23">
        <v>157.5</v>
      </c>
    </row>
    <row r="13" spans="1:11">
      <c r="D13" s="20">
        <v>46190</v>
      </c>
      <c r="E13" s="21">
        <v>1613093</v>
      </c>
      <c r="F13" s="21" t="s">
        <v>19</v>
      </c>
      <c r="G13" s="22">
        <v>20005202</v>
      </c>
      <c r="H13" s="21" t="s">
        <v>20</v>
      </c>
      <c r="I13" s="22">
        <v>4</v>
      </c>
      <c r="J13" s="23">
        <v>33</v>
      </c>
      <c r="K13" s="23">
        <v>132</v>
      </c>
    </row>
    <row r="14" spans="1:11">
      <c r="D14" s="20">
        <v>46190</v>
      </c>
      <c r="E14" s="21">
        <v>1613093</v>
      </c>
      <c r="F14" s="21" t="s">
        <v>21</v>
      </c>
      <c r="G14" s="22">
        <v>20324084</v>
      </c>
      <c r="H14" s="21" t="s">
        <v>22</v>
      </c>
      <c r="I14" s="22">
        <v>3</v>
      </c>
      <c r="J14" s="23">
        <v>8</v>
      </c>
      <c r="K14" s="23">
        <v>24</v>
      </c>
    </row>
    <row r="15" spans="1:11">
      <c r="D15" s="20">
        <v>46190</v>
      </c>
      <c r="E15" s="21">
        <v>1613093</v>
      </c>
      <c r="F15" s="21" t="s">
        <v>21</v>
      </c>
      <c r="G15" s="22">
        <v>20005930</v>
      </c>
      <c r="H15" s="21" t="s">
        <v>23</v>
      </c>
      <c r="I15" s="22">
        <v>2</v>
      </c>
      <c r="J15" s="23">
        <v>8</v>
      </c>
      <c r="K15" s="23">
        <v>16</v>
      </c>
    </row>
    <row r="16" spans="1:11">
      <c r="D16" s="20">
        <v>46191</v>
      </c>
      <c r="E16" s="21">
        <v>1613446</v>
      </c>
      <c r="F16" s="21" t="s">
        <v>19</v>
      </c>
      <c r="G16" s="22">
        <v>20005202</v>
      </c>
      <c r="H16" s="21" t="s">
        <v>20</v>
      </c>
      <c r="I16" s="22">
        <v>1</v>
      </c>
      <c r="J16" s="23">
        <v>33</v>
      </c>
      <c r="K16" s="23">
        <v>33</v>
      </c>
    </row>
    <row r="17" spans="4:11">
      <c r="D17" s="20">
        <v>46191</v>
      </c>
      <c r="E17" s="21">
        <v>1613446</v>
      </c>
      <c r="F17" s="21" t="s">
        <v>21</v>
      </c>
      <c r="G17" s="22">
        <v>20324084</v>
      </c>
      <c r="H17" s="21" t="s">
        <v>22</v>
      </c>
      <c r="I17" s="22">
        <v>1</v>
      </c>
      <c r="J17" s="23">
        <v>8</v>
      </c>
      <c r="K17" s="23">
        <v>8</v>
      </c>
    </row>
    <row r="18" spans="4:11">
      <c r="D18" s="20">
        <v>46191</v>
      </c>
      <c r="E18" s="21">
        <v>1613446</v>
      </c>
      <c r="F18" s="21" t="s">
        <v>21</v>
      </c>
      <c r="G18" s="22">
        <v>20005930</v>
      </c>
      <c r="H18" s="21" t="s">
        <v>23</v>
      </c>
      <c r="I18" s="22">
        <v>3</v>
      </c>
      <c r="J18" s="23">
        <v>8</v>
      </c>
      <c r="K18" s="23">
        <v>24</v>
      </c>
    </row>
    <row r="19" spans="4:11">
      <c r="D19" s="20">
        <v>46195</v>
      </c>
      <c r="E19" s="21">
        <v>1614024</v>
      </c>
      <c r="F19" s="21" t="s">
        <v>21</v>
      </c>
      <c r="G19" s="22">
        <v>20324084</v>
      </c>
      <c r="H19" s="21" t="s">
        <v>22</v>
      </c>
      <c r="I19" s="22">
        <v>4</v>
      </c>
      <c r="J19" s="23">
        <v>8</v>
      </c>
      <c r="K19" s="23">
        <v>32</v>
      </c>
    </row>
    <row r="20" spans="4:11">
      <c r="D20" s="20">
        <v>46195</v>
      </c>
      <c r="E20" s="21">
        <v>1614024</v>
      </c>
      <c r="F20" s="21" t="s">
        <v>21</v>
      </c>
      <c r="G20" s="22">
        <v>20005930</v>
      </c>
      <c r="H20" s="21" t="s">
        <v>23</v>
      </c>
      <c r="I20" s="22">
        <v>5</v>
      </c>
      <c r="J20" s="23">
        <v>8</v>
      </c>
      <c r="K20" s="23">
        <v>40</v>
      </c>
    </row>
    <row r="21" spans="4:11">
      <c r="D21" s="20">
        <v>46195</v>
      </c>
      <c r="E21" s="21">
        <v>1614024</v>
      </c>
      <c r="F21" s="21" t="s">
        <v>21</v>
      </c>
      <c r="G21" s="22">
        <v>20011022</v>
      </c>
      <c r="H21" s="21" t="s">
        <v>25</v>
      </c>
      <c r="I21" s="22">
        <v>1</v>
      </c>
      <c r="J21" s="23">
        <v>8</v>
      </c>
      <c r="K21" s="23">
        <v>8</v>
      </c>
    </row>
    <row r="22" spans="4:11">
      <c r="D22" s="20">
        <v>46195</v>
      </c>
      <c r="E22" s="21">
        <v>1614124</v>
      </c>
      <c r="F22" s="21" t="s">
        <v>19</v>
      </c>
      <c r="G22" s="22">
        <v>20005202</v>
      </c>
      <c r="H22" s="21" t="s">
        <v>20</v>
      </c>
      <c r="I22" s="22">
        <v>8</v>
      </c>
      <c r="J22" s="23">
        <v>33</v>
      </c>
      <c r="K22" s="23">
        <v>264</v>
      </c>
    </row>
    <row r="23" spans="4:11">
      <c r="D23" s="20">
        <v>46198</v>
      </c>
      <c r="E23" s="21">
        <v>1615155</v>
      </c>
      <c r="F23" s="21" t="s">
        <v>19</v>
      </c>
      <c r="G23" s="22">
        <v>20005202</v>
      </c>
      <c r="H23" s="21" t="s">
        <v>20</v>
      </c>
      <c r="I23" s="22">
        <v>1</v>
      </c>
      <c r="J23" s="23">
        <v>33</v>
      </c>
      <c r="K23" s="23">
        <v>33</v>
      </c>
    </row>
    <row r="24" spans="4:11">
      <c r="D24" s="20">
        <v>46198</v>
      </c>
      <c r="E24" s="21">
        <v>1615155</v>
      </c>
      <c r="F24" s="21" t="s">
        <v>21</v>
      </c>
      <c r="G24" s="22">
        <v>20005930</v>
      </c>
      <c r="H24" s="21" t="s">
        <v>23</v>
      </c>
      <c r="I24" s="22">
        <v>1</v>
      </c>
      <c r="J24" s="23">
        <v>8</v>
      </c>
      <c r="K24" s="23">
        <v>8</v>
      </c>
    </row>
    <row r="25" spans="4:11">
      <c r="D25" s="20">
        <v>46202</v>
      </c>
      <c r="E25" s="21">
        <v>1616011</v>
      </c>
      <c r="F25" s="21" t="s">
        <v>19</v>
      </c>
      <c r="G25" s="22">
        <v>20005202</v>
      </c>
      <c r="H25" s="21" t="s">
        <v>20</v>
      </c>
      <c r="I25" s="22">
        <v>5</v>
      </c>
      <c r="J25" s="23">
        <v>33</v>
      </c>
      <c r="K25" s="23">
        <v>165</v>
      </c>
    </row>
    <row r="26" spans="4:11">
      <c r="D26" s="20">
        <v>46202</v>
      </c>
      <c r="E26" s="21">
        <v>1616011</v>
      </c>
      <c r="F26" s="21" t="s">
        <v>21</v>
      </c>
      <c r="G26" s="22">
        <v>20324084</v>
      </c>
      <c r="H26" s="21" t="s">
        <v>22</v>
      </c>
      <c r="I26" s="22">
        <v>6</v>
      </c>
      <c r="J26" s="23">
        <v>8</v>
      </c>
      <c r="K26" s="23">
        <v>48</v>
      </c>
    </row>
    <row r="27" spans="4:11">
      <c r="D27" s="20">
        <v>46202</v>
      </c>
      <c r="E27" s="21">
        <v>1616011</v>
      </c>
      <c r="F27" s="21" t="s">
        <v>21</v>
      </c>
      <c r="G27" s="22">
        <v>20005930</v>
      </c>
      <c r="H27" s="21" t="s">
        <v>23</v>
      </c>
      <c r="I27" s="22">
        <v>3</v>
      </c>
      <c r="J27" s="23">
        <v>8</v>
      </c>
      <c r="K27" s="23">
        <v>24</v>
      </c>
    </row>
    <row r="28" spans="4:11">
      <c r="D28" s="20">
        <v>46202</v>
      </c>
      <c r="E28" s="21">
        <v>1616029</v>
      </c>
      <c r="F28" s="21" t="s">
        <v>16</v>
      </c>
      <c r="G28" s="22">
        <v>20383630</v>
      </c>
      <c r="H28" s="21" t="s">
        <v>24</v>
      </c>
      <c r="I28" s="22">
        <v>26</v>
      </c>
      <c r="J28" s="23">
        <v>2.5</v>
      </c>
      <c r="K28" s="23">
        <v>65</v>
      </c>
    </row>
    <row r="29" spans="4:11">
      <c r="D29" s="20">
        <v>46205</v>
      </c>
      <c r="E29" s="21">
        <v>1617107</v>
      </c>
      <c r="F29" s="21" t="s">
        <v>19</v>
      </c>
      <c r="G29" s="22">
        <v>20005202</v>
      </c>
      <c r="H29" s="21" t="s">
        <v>20</v>
      </c>
      <c r="I29" s="22">
        <v>2</v>
      </c>
      <c r="J29" s="23">
        <v>33</v>
      </c>
      <c r="K29" s="23">
        <v>66</v>
      </c>
    </row>
    <row r="30" spans="4:11">
      <c r="D30" s="20">
        <v>46205</v>
      </c>
      <c r="E30" s="21">
        <v>1617107</v>
      </c>
      <c r="F30" s="21" t="s">
        <v>21</v>
      </c>
      <c r="G30" s="22">
        <v>20006047</v>
      </c>
      <c r="H30" s="21" t="s">
        <v>26</v>
      </c>
      <c r="I30" s="22">
        <v>1</v>
      </c>
      <c r="J30" s="23">
        <v>8</v>
      </c>
      <c r="K30" s="23">
        <v>8</v>
      </c>
    </row>
    <row r="31" spans="4:11">
      <c r="D31" s="20">
        <v>46205</v>
      </c>
      <c r="E31" s="21">
        <v>1617107</v>
      </c>
      <c r="F31" s="21" t="s">
        <v>21</v>
      </c>
      <c r="G31" s="22">
        <v>20324084</v>
      </c>
      <c r="H31" s="21" t="s">
        <v>22</v>
      </c>
      <c r="I31" s="22">
        <v>3</v>
      </c>
      <c r="J31" s="23">
        <v>8</v>
      </c>
      <c r="K31" s="23">
        <v>24</v>
      </c>
    </row>
    <row r="32" spans="4:11">
      <c r="D32" s="20">
        <v>46209</v>
      </c>
      <c r="E32" s="21">
        <v>1617963</v>
      </c>
      <c r="F32" s="21" t="s">
        <v>19</v>
      </c>
      <c r="G32" s="22">
        <v>20005202</v>
      </c>
      <c r="H32" s="21" t="s">
        <v>20</v>
      </c>
      <c r="I32" s="22">
        <v>5</v>
      </c>
      <c r="J32" s="23">
        <v>33</v>
      </c>
      <c r="K32" s="23">
        <v>165</v>
      </c>
    </row>
    <row r="33" spans="4:11">
      <c r="D33" s="20">
        <v>46209</v>
      </c>
      <c r="E33" s="21">
        <v>1617963</v>
      </c>
      <c r="F33" s="21" t="s">
        <v>21</v>
      </c>
      <c r="G33" s="22">
        <v>20324084</v>
      </c>
      <c r="H33" s="21" t="s">
        <v>22</v>
      </c>
      <c r="I33" s="22">
        <v>7</v>
      </c>
      <c r="J33" s="23">
        <v>8</v>
      </c>
      <c r="K33" s="23">
        <v>56</v>
      </c>
    </row>
    <row r="34" spans="4:11">
      <c r="D34" s="20">
        <v>46209</v>
      </c>
      <c r="E34" s="21">
        <v>1617963</v>
      </c>
      <c r="F34" s="21" t="s">
        <v>21</v>
      </c>
      <c r="G34" s="22">
        <v>20005930</v>
      </c>
      <c r="H34" s="21" t="s">
        <v>23</v>
      </c>
      <c r="I34" s="22">
        <v>6</v>
      </c>
      <c r="J34" s="23">
        <v>8</v>
      </c>
      <c r="K34" s="23">
        <v>48</v>
      </c>
    </row>
    <row r="35" spans="4:11">
      <c r="D35" s="20">
        <v>46212</v>
      </c>
      <c r="E35" s="21">
        <v>1619110</v>
      </c>
      <c r="F35" s="21" t="s">
        <v>19</v>
      </c>
      <c r="G35" s="22">
        <v>20005202</v>
      </c>
      <c r="H35" s="21" t="s">
        <v>20</v>
      </c>
      <c r="I35" s="22">
        <v>4</v>
      </c>
      <c r="J35" s="23">
        <v>33</v>
      </c>
      <c r="K35" s="23">
        <v>132</v>
      </c>
    </row>
    <row r="36" spans="4:11">
      <c r="D36" s="20">
        <v>46212</v>
      </c>
      <c r="E36" s="21">
        <v>1619110</v>
      </c>
      <c r="F36" s="21" t="s">
        <v>21</v>
      </c>
      <c r="G36" s="22">
        <v>20006047</v>
      </c>
      <c r="H36" s="21" t="s">
        <v>26</v>
      </c>
      <c r="I36" s="22">
        <v>1</v>
      </c>
      <c r="J36" s="23">
        <v>8</v>
      </c>
      <c r="K36" s="23">
        <v>8</v>
      </c>
    </row>
    <row r="37" spans="4:11">
      <c r="D37" s="20">
        <v>46212</v>
      </c>
      <c r="E37" s="21">
        <v>1619110</v>
      </c>
      <c r="F37" s="21" t="s">
        <v>21</v>
      </c>
      <c r="G37" s="22">
        <v>20324084</v>
      </c>
      <c r="H37" s="21" t="s">
        <v>22</v>
      </c>
      <c r="I37" s="22">
        <v>2</v>
      </c>
      <c r="J37" s="23">
        <v>8</v>
      </c>
      <c r="K37" s="23">
        <v>16</v>
      </c>
    </row>
    <row r="38" spans="4:11">
      <c r="D38" s="20">
        <v>46212</v>
      </c>
      <c r="E38" s="21">
        <v>1619110</v>
      </c>
      <c r="F38" s="21" t="s">
        <v>21</v>
      </c>
      <c r="G38" s="22">
        <v>20005930</v>
      </c>
      <c r="H38" s="21" t="s">
        <v>23</v>
      </c>
      <c r="I38" s="22">
        <v>4</v>
      </c>
      <c r="J38" s="23">
        <v>8</v>
      </c>
      <c r="K38" s="23">
        <v>32</v>
      </c>
    </row>
    <row r="39" spans="4:11">
      <c r="D39" s="20">
        <v>46213</v>
      </c>
      <c r="E39" s="21">
        <v>1619569</v>
      </c>
      <c r="F39" s="21" t="s">
        <v>16</v>
      </c>
      <c r="G39" s="22">
        <v>20383630</v>
      </c>
      <c r="H39" s="21" t="s">
        <v>24</v>
      </c>
      <c r="I39" s="22">
        <v>40</v>
      </c>
      <c r="J39" s="23">
        <v>2.5</v>
      </c>
      <c r="K39" s="23">
        <v>100</v>
      </c>
    </row>
    <row r="40" spans="4:11">
      <c r="D40" s="20">
        <v>46216</v>
      </c>
      <c r="E40" s="21">
        <v>1619998</v>
      </c>
      <c r="F40" s="21" t="s">
        <v>19</v>
      </c>
      <c r="G40" s="22">
        <v>20005202</v>
      </c>
      <c r="H40" s="21" t="s">
        <v>20</v>
      </c>
      <c r="I40" s="22">
        <v>5</v>
      </c>
      <c r="J40" s="23">
        <v>33</v>
      </c>
      <c r="K40" s="23">
        <v>165</v>
      </c>
    </row>
    <row r="41" spans="4:11">
      <c r="D41" s="20">
        <v>46216</v>
      </c>
      <c r="E41" s="21">
        <v>1619998</v>
      </c>
      <c r="F41" s="21" t="s">
        <v>21</v>
      </c>
      <c r="G41" s="22">
        <v>20355615</v>
      </c>
      <c r="H41" s="21" t="s">
        <v>27</v>
      </c>
      <c r="I41" s="22">
        <v>1</v>
      </c>
      <c r="J41" s="23">
        <v>8</v>
      </c>
      <c r="K41" s="23">
        <v>8</v>
      </c>
    </row>
    <row r="42" spans="4:11">
      <c r="D42" s="20">
        <v>46216</v>
      </c>
      <c r="E42" s="21">
        <v>1619998</v>
      </c>
      <c r="F42" s="21" t="s">
        <v>21</v>
      </c>
      <c r="G42" s="22">
        <v>20006047</v>
      </c>
      <c r="H42" s="21" t="s">
        <v>26</v>
      </c>
      <c r="I42" s="22">
        <v>2</v>
      </c>
      <c r="J42" s="23">
        <v>8</v>
      </c>
      <c r="K42" s="23">
        <v>16</v>
      </c>
    </row>
    <row r="43" spans="4:11">
      <c r="D43" s="20">
        <v>46216</v>
      </c>
      <c r="E43" s="21">
        <v>1619998</v>
      </c>
      <c r="F43" s="21" t="s">
        <v>21</v>
      </c>
      <c r="G43" s="22">
        <v>20324084</v>
      </c>
      <c r="H43" s="21" t="s">
        <v>22</v>
      </c>
      <c r="I43" s="22">
        <v>9</v>
      </c>
      <c r="J43" s="23">
        <v>8</v>
      </c>
      <c r="K43" s="23">
        <v>72</v>
      </c>
    </row>
    <row r="44" spans="4:11">
      <c r="D44" s="20">
        <v>46216</v>
      </c>
      <c r="E44" s="21">
        <v>1619998</v>
      </c>
      <c r="F44" s="21" t="s">
        <v>21</v>
      </c>
      <c r="G44" s="22">
        <v>20005930</v>
      </c>
      <c r="H44" s="21" t="s">
        <v>23</v>
      </c>
      <c r="I44" s="22">
        <v>6</v>
      </c>
      <c r="J44" s="23">
        <v>8</v>
      </c>
      <c r="K44" s="23">
        <v>48</v>
      </c>
    </row>
    <row r="45" ht="0.05" customHeight="1"/>
  </sheetData>
  <mergeCells count="5">
    <mergeCell ref="D8:H8"/>
    <mergeCell ref="C7:C44"/>
    <mergeCell ref="B4:H5"/>
    <mergeCell ref="A7:B4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8:31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0.625" customWidth="1"/>
    <col min="9" max="9" width="11" customWidth="1"/>
    <col min="10" max="10" width="12.2083333333333" customWidth="1"/>
    <col min="11" max="11" width="10.875" customWidth="1"/>
  </cols>
  <sheetData>
    <row r="1" spans="1:11">
      <c r="C1" s="10" t="s">
        <v>0</v>
      </c>
    </row>
    <row r="2" ht="23.05" customHeight="1"/>
    <row r="3" ht="2" customHeight="1"/>
    <row r="4" ht="15.2" customHeight="1" spans="1:11">
      <c r="B4" s="11" t="s">
        <v>1</v>
      </c>
    </row>
    <row r="6" ht="2.95" customHeight="1"/>
    <row r="7" spans="1:11">
      <c r="A7" s="12" t="s">
        <v>2</v>
      </c>
      <c r="B7" s="13" t="s">
        <v>2</v>
      </c>
      <c r="C7" s="14" t="s">
        <v>2</v>
      </c>
      <c r="D7" s="15" t="s">
        <v>4</v>
      </c>
      <c r="E7" s="15" t="s">
        <v>5</v>
      </c>
      <c r="F7" s="15" t="s">
        <v>6</v>
      </c>
      <c r="G7" s="15" t="s">
        <v>7</v>
      </c>
      <c r="H7" s="15" t="s">
        <v>8</v>
      </c>
      <c r="I7" s="15" t="s">
        <v>9</v>
      </c>
      <c r="J7" s="15" t="s">
        <v>10</v>
      </c>
      <c r="K7" s="15" t="s">
        <v>11</v>
      </c>
    </row>
    <row r="8" ht="14.25" spans="1:11">
      <c r="D8" s="16" t="s">
        <v>28</v>
      </c>
      <c r="E8" s="17" t="s">
        <v>2</v>
      </c>
      <c r="F8" s="17" t="s">
        <v>2</v>
      </c>
      <c r="G8" s="17" t="s">
        <v>2</v>
      </c>
      <c r="H8" s="17" t="s">
        <v>2</v>
      </c>
      <c r="I8" s="18">
        <v>20</v>
      </c>
      <c r="J8" s="19"/>
      <c r="K8" s="19">
        <v>171</v>
      </c>
    </row>
    <row r="9" ht="25.5" spans="1:11">
      <c r="D9" s="20">
        <v>46210</v>
      </c>
      <c r="E9" s="21">
        <v>1618262</v>
      </c>
      <c r="F9" s="21" t="s">
        <v>21</v>
      </c>
      <c r="G9" s="22">
        <v>20313588</v>
      </c>
      <c r="H9" s="21" t="s">
        <v>29</v>
      </c>
      <c r="I9" s="22">
        <v>3</v>
      </c>
      <c r="J9" s="23">
        <v>8</v>
      </c>
      <c r="K9" s="23">
        <v>24</v>
      </c>
    </row>
    <row r="10" spans="1:11">
      <c r="D10" s="20">
        <v>46210</v>
      </c>
      <c r="E10" s="21">
        <v>1618262</v>
      </c>
      <c r="F10" s="21" t="s">
        <v>21</v>
      </c>
      <c r="G10" s="22">
        <v>20303839</v>
      </c>
      <c r="H10" s="21" t="s">
        <v>30</v>
      </c>
      <c r="I10" s="22">
        <v>1</v>
      </c>
      <c r="J10" s="23">
        <v>8</v>
      </c>
      <c r="K10" s="23">
        <v>8</v>
      </c>
    </row>
    <row r="11" ht="25.5" spans="1:11">
      <c r="D11" s="20">
        <v>46212</v>
      </c>
      <c r="E11" s="21">
        <v>1618872</v>
      </c>
      <c r="F11" s="21" t="s">
        <v>21</v>
      </c>
      <c r="G11" s="22">
        <v>20313588</v>
      </c>
      <c r="H11" s="21" t="s">
        <v>29</v>
      </c>
      <c r="I11" s="22">
        <v>6</v>
      </c>
      <c r="J11" s="23">
        <v>8</v>
      </c>
      <c r="K11" s="23">
        <v>48</v>
      </c>
    </row>
    <row r="12" spans="1:11">
      <c r="D12" s="20">
        <v>46212</v>
      </c>
      <c r="E12" s="21">
        <v>1618872</v>
      </c>
      <c r="F12" s="21" t="s">
        <v>21</v>
      </c>
      <c r="G12" s="22">
        <v>20377357</v>
      </c>
      <c r="H12" s="21" t="s">
        <v>31</v>
      </c>
      <c r="I12" s="22">
        <v>2</v>
      </c>
      <c r="J12" s="23">
        <v>8</v>
      </c>
      <c r="K12" s="23">
        <v>16</v>
      </c>
    </row>
    <row r="13" spans="1:11">
      <c r="D13" s="20">
        <v>46212</v>
      </c>
      <c r="E13" s="21">
        <v>1618872</v>
      </c>
      <c r="F13" s="21" t="s">
        <v>21</v>
      </c>
      <c r="G13" s="22">
        <v>20303839</v>
      </c>
      <c r="H13" s="21" t="s">
        <v>30</v>
      </c>
      <c r="I13" s="22">
        <v>1</v>
      </c>
      <c r="J13" s="23">
        <v>8</v>
      </c>
      <c r="K13" s="23">
        <v>8</v>
      </c>
    </row>
    <row r="14" spans="1:11">
      <c r="D14" s="20">
        <v>46212</v>
      </c>
      <c r="E14" s="21">
        <v>1618989</v>
      </c>
      <c r="F14" s="21" t="s">
        <v>21</v>
      </c>
      <c r="G14" s="22">
        <v>20376624</v>
      </c>
      <c r="H14" s="21" t="s">
        <v>32</v>
      </c>
      <c r="I14" s="22">
        <v>1</v>
      </c>
      <c r="J14" s="23">
        <v>8</v>
      </c>
      <c r="K14" s="23">
        <v>8</v>
      </c>
    </row>
    <row r="15" ht="25.5" spans="1:11">
      <c r="D15" s="20">
        <v>46212</v>
      </c>
      <c r="E15" s="21">
        <v>1618989</v>
      </c>
      <c r="F15" s="21" t="s">
        <v>21</v>
      </c>
      <c r="G15" s="22">
        <v>20313588</v>
      </c>
      <c r="H15" s="21" t="s">
        <v>29</v>
      </c>
      <c r="I15" s="22">
        <v>1</v>
      </c>
      <c r="J15" s="23">
        <v>8</v>
      </c>
      <c r="K15" s="23">
        <v>8</v>
      </c>
    </row>
    <row r="16" spans="1:11">
      <c r="D16" s="20">
        <v>46212</v>
      </c>
      <c r="E16" s="21">
        <v>1618989</v>
      </c>
      <c r="F16" s="21" t="s">
        <v>21</v>
      </c>
      <c r="G16" s="22">
        <v>20376863</v>
      </c>
      <c r="H16" s="21" t="s">
        <v>33</v>
      </c>
      <c r="I16" s="22">
        <v>2</v>
      </c>
      <c r="J16" s="23">
        <v>13.5</v>
      </c>
      <c r="K16" s="23">
        <v>27</v>
      </c>
    </row>
    <row r="17" spans="4:11">
      <c r="D17" s="20">
        <v>46212</v>
      </c>
      <c r="E17" s="21">
        <v>1618989</v>
      </c>
      <c r="F17" s="21" t="s">
        <v>21</v>
      </c>
      <c r="G17" s="22">
        <v>20377357</v>
      </c>
      <c r="H17" s="21" t="s">
        <v>31</v>
      </c>
      <c r="I17" s="22">
        <v>3</v>
      </c>
      <c r="J17" s="23">
        <v>8</v>
      </c>
      <c r="K17" s="23">
        <v>24</v>
      </c>
    </row>
    <row r="18" ht="0.05" customHeight="1"/>
  </sheetData>
  <mergeCells count="5">
    <mergeCell ref="D8:H8"/>
    <mergeCell ref="C7:C17"/>
    <mergeCell ref="B4:H5"/>
    <mergeCell ref="A7:B1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8:31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4"/>
  <sheetViews>
    <sheetView showGridLines="0" view="pageBreakPreview" zoomScaleNormal="100" workbookViewId="0">
      <pane ySplit="6" topLeftCell="A41" activePane="bottomLeft" state="frozen"/>
      <selection/>
      <selection pane="bottomLeft" activeCell="K9" sqref="K9:K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0.625" customWidth="1"/>
    <col min="9" max="9" width="11" customWidth="1"/>
    <col min="10" max="10" width="12.2083333333333" customWidth="1"/>
    <col min="11" max="11" width="10.875" customWidth="1"/>
  </cols>
  <sheetData>
    <row r="1" spans="1:11">
      <c r="C1" s="10" t="s">
        <v>0</v>
      </c>
    </row>
    <row r="2" ht="23.05" customHeight="1"/>
    <row r="3" ht="2" customHeight="1"/>
    <row r="4" ht="15.2" customHeight="1" spans="1:11">
      <c r="B4" s="11" t="s">
        <v>1</v>
      </c>
    </row>
    <row r="6" ht="2.95" customHeight="1"/>
    <row r="7" spans="1:11">
      <c r="A7" s="12" t="s">
        <v>2</v>
      </c>
      <c r="B7" s="13" t="s">
        <v>2</v>
      </c>
      <c r="C7" s="14" t="s">
        <v>2</v>
      </c>
      <c r="D7" s="15" t="s">
        <v>4</v>
      </c>
      <c r="E7" s="15" t="s">
        <v>5</v>
      </c>
      <c r="F7" s="15" t="s">
        <v>6</v>
      </c>
      <c r="G7" s="15" t="s">
        <v>7</v>
      </c>
      <c r="H7" s="15" t="s">
        <v>8</v>
      </c>
      <c r="I7" s="15" t="s">
        <v>9</v>
      </c>
      <c r="J7" s="15" t="s">
        <v>10</v>
      </c>
      <c r="K7" s="15" t="s">
        <v>11</v>
      </c>
    </row>
    <row r="8" ht="14.25" spans="1:11">
      <c r="D8" s="16" t="s">
        <v>34</v>
      </c>
      <c r="E8" s="17" t="s">
        <v>2</v>
      </c>
      <c r="F8" s="17" t="s">
        <v>2</v>
      </c>
      <c r="G8" s="17" t="s">
        <v>2</v>
      </c>
      <c r="H8" s="17" t="s">
        <v>2</v>
      </c>
      <c r="I8" s="18">
        <v>101</v>
      </c>
      <c r="J8" s="19"/>
      <c r="K8" s="19">
        <v>1049</v>
      </c>
    </row>
    <row r="9" spans="1:11">
      <c r="D9" s="20">
        <v>46190</v>
      </c>
      <c r="E9" s="21">
        <v>1612927</v>
      </c>
      <c r="F9" s="21" t="s">
        <v>21</v>
      </c>
      <c r="G9" s="22">
        <v>20394943</v>
      </c>
      <c r="H9" s="21" t="s">
        <v>35</v>
      </c>
      <c r="I9" s="22">
        <v>2</v>
      </c>
      <c r="J9" s="23">
        <v>11</v>
      </c>
      <c r="K9" s="23">
        <v>22</v>
      </c>
    </row>
    <row r="10" spans="1:11">
      <c r="D10" s="20">
        <v>46190</v>
      </c>
      <c r="E10" s="21">
        <v>1612927</v>
      </c>
      <c r="F10" s="21" t="s">
        <v>21</v>
      </c>
      <c r="G10" s="22">
        <v>20396337</v>
      </c>
      <c r="H10" s="21" t="s">
        <v>36</v>
      </c>
      <c r="I10" s="22">
        <v>2</v>
      </c>
      <c r="J10" s="23">
        <v>8</v>
      </c>
      <c r="K10" s="23">
        <v>16</v>
      </c>
    </row>
    <row r="11" spans="1:11">
      <c r="D11" s="20">
        <v>46190</v>
      </c>
      <c r="E11" s="21">
        <v>1612927</v>
      </c>
      <c r="F11" s="21" t="s">
        <v>21</v>
      </c>
      <c r="G11" s="22">
        <v>20395495</v>
      </c>
      <c r="H11" s="21" t="s">
        <v>37</v>
      </c>
      <c r="I11" s="22">
        <v>1</v>
      </c>
      <c r="J11" s="23">
        <v>13.5</v>
      </c>
      <c r="K11" s="23">
        <v>13.5</v>
      </c>
    </row>
    <row r="12" spans="1:11">
      <c r="D12" s="20">
        <v>46190</v>
      </c>
      <c r="E12" s="21">
        <v>1612927</v>
      </c>
      <c r="F12" s="21" t="s">
        <v>21</v>
      </c>
      <c r="G12" s="22">
        <v>20377357</v>
      </c>
      <c r="H12" s="21" t="s">
        <v>31</v>
      </c>
      <c r="I12" s="22">
        <v>1</v>
      </c>
      <c r="J12" s="23">
        <v>8</v>
      </c>
      <c r="K12" s="23">
        <v>8</v>
      </c>
    </row>
    <row r="13" spans="1:11">
      <c r="D13" s="20">
        <v>46190</v>
      </c>
      <c r="E13" s="21">
        <v>1612966</v>
      </c>
      <c r="F13" s="21" t="s">
        <v>21</v>
      </c>
      <c r="G13" s="22">
        <v>20401317</v>
      </c>
      <c r="H13" s="21" t="s">
        <v>38</v>
      </c>
      <c r="I13" s="22">
        <v>1</v>
      </c>
      <c r="J13" s="23">
        <v>16.5</v>
      </c>
      <c r="K13" s="23">
        <v>16.5</v>
      </c>
    </row>
    <row r="14" spans="1:11">
      <c r="D14" s="20">
        <v>46192</v>
      </c>
      <c r="E14" s="21">
        <v>1613581</v>
      </c>
      <c r="F14" s="21" t="s">
        <v>21</v>
      </c>
      <c r="G14" s="22">
        <v>20376624</v>
      </c>
      <c r="H14" s="21" t="s">
        <v>32</v>
      </c>
      <c r="I14" s="22">
        <v>1</v>
      </c>
      <c r="J14" s="23">
        <v>8</v>
      </c>
      <c r="K14" s="23">
        <v>8</v>
      </c>
    </row>
    <row r="15" spans="1:11">
      <c r="D15" s="20">
        <v>46192</v>
      </c>
      <c r="E15" s="21">
        <v>1613581</v>
      </c>
      <c r="F15" s="21" t="s">
        <v>21</v>
      </c>
      <c r="G15" s="22">
        <v>20394943</v>
      </c>
      <c r="H15" s="21" t="s">
        <v>35</v>
      </c>
      <c r="I15" s="22">
        <v>3</v>
      </c>
      <c r="J15" s="23">
        <v>11</v>
      </c>
      <c r="K15" s="23">
        <v>33</v>
      </c>
    </row>
    <row r="16" spans="1:11">
      <c r="D16" s="20">
        <v>46192</v>
      </c>
      <c r="E16" s="21">
        <v>1613581</v>
      </c>
      <c r="F16" s="21" t="s">
        <v>21</v>
      </c>
      <c r="G16" s="22">
        <v>20396337</v>
      </c>
      <c r="H16" s="21" t="s">
        <v>36</v>
      </c>
      <c r="I16" s="22">
        <v>4</v>
      </c>
      <c r="J16" s="23">
        <v>8</v>
      </c>
      <c r="K16" s="23">
        <v>32</v>
      </c>
    </row>
    <row r="17" spans="4:11">
      <c r="D17" s="20">
        <v>46192</v>
      </c>
      <c r="E17" s="21">
        <v>1613581</v>
      </c>
      <c r="F17" s="21" t="s">
        <v>21</v>
      </c>
      <c r="G17" s="22">
        <v>20395495</v>
      </c>
      <c r="H17" s="21" t="s">
        <v>37</v>
      </c>
      <c r="I17" s="22">
        <v>3</v>
      </c>
      <c r="J17" s="23">
        <v>13.5</v>
      </c>
      <c r="K17" s="23">
        <v>40.5</v>
      </c>
    </row>
    <row r="18" spans="4:11">
      <c r="D18" s="20">
        <v>46196</v>
      </c>
      <c r="E18" s="21">
        <v>1614308</v>
      </c>
      <c r="F18" s="21" t="s">
        <v>21</v>
      </c>
      <c r="G18" s="22">
        <v>20394943</v>
      </c>
      <c r="H18" s="21" t="s">
        <v>35</v>
      </c>
      <c r="I18" s="22">
        <v>2</v>
      </c>
      <c r="J18" s="23">
        <v>11</v>
      </c>
      <c r="K18" s="23">
        <v>22</v>
      </c>
    </row>
    <row r="19" spans="4:11">
      <c r="D19" s="20">
        <v>46196</v>
      </c>
      <c r="E19" s="21">
        <v>1614308</v>
      </c>
      <c r="F19" s="21" t="s">
        <v>21</v>
      </c>
      <c r="G19" s="22">
        <v>20396337</v>
      </c>
      <c r="H19" s="21" t="s">
        <v>36</v>
      </c>
      <c r="I19" s="22">
        <v>2</v>
      </c>
      <c r="J19" s="23">
        <v>8</v>
      </c>
      <c r="K19" s="23">
        <v>16</v>
      </c>
    </row>
    <row r="20" spans="4:11">
      <c r="D20" s="20">
        <v>46196</v>
      </c>
      <c r="E20" s="21">
        <v>1614308</v>
      </c>
      <c r="F20" s="21" t="s">
        <v>21</v>
      </c>
      <c r="G20" s="22">
        <v>20395495</v>
      </c>
      <c r="H20" s="21" t="s">
        <v>37</v>
      </c>
      <c r="I20" s="22">
        <v>2</v>
      </c>
      <c r="J20" s="23">
        <v>13.5</v>
      </c>
      <c r="K20" s="23">
        <v>27</v>
      </c>
    </row>
    <row r="21" spans="4:11">
      <c r="D21" s="20">
        <v>46196</v>
      </c>
      <c r="E21" s="21">
        <v>1614308</v>
      </c>
      <c r="F21" s="21" t="s">
        <v>21</v>
      </c>
      <c r="G21" s="22">
        <v>20396335</v>
      </c>
      <c r="H21" s="21" t="s">
        <v>39</v>
      </c>
      <c r="I21" s="22">
        <v>1</v>
      </c>
      <c r="J21" s="23">
        <v>8</v>
      </c>
      <c r="K21" s="23">
        <v>8</v>
      </c>
    </row>
    <row r="22" spans="4:11">
      <c r="D22" s="20">
        <v>46196</v>
      </c>
      <c r="E22" s="21">
        <v>1614308</v>
      </c>
      <c r="F22" s="21" t="s">
        <v>21</v>
      </c>
      <c r="G22" s="22">
        <v>20377357</v>
      </c>
      <c r="H22" s="21" t="s">
        <v>31</v>
      </c>
      <c r="I22" s="22">
        <v>1</v>
      </c>
      <c r="J22" s="23">
        <v>8</v>
      </c>
      <c r="K22" s="23">
        <v>8</v>
      </c>
    </row>
    <row r="23" spans="4:11">
      <c r="D23" s="20">
        <v>46197</v>
      </c>
      <c r="E23" s="21">
        <v>1614557</v>
      </c>
      <c r="F23" s="21" t="s">
        <v>21</v>
      </c>
      <c r="G23" s="22">
        <v>20376624</v>
      </c>
      <c r="H23" s="21" t="s">
        <v>32</v>
      </c>
      <c r="I23" s="22">
        <v>1</v>
      </c>
      <c r="J23" s="23">
        <v>8</v>
      </c>
      <c r="K23" s="23">
        <v>8</v>
      </c>
    </row>
    <row r="24" spans="4:11">
      <c r="D24" s="20">
        <v>46197</v>
      </c>
      <c r="E24" s="21">
        <v>1614557</v>
      </c>
      <c r="F24" s="21" t="s">
        <v>21</v>
      </c>
      <c r="G24" s="22">
        <v>20401317</v>
      </c>
      <c r="H24" s="21" t="s">
        <v>38</v>
      </c>
      <c r="I24" s="22">
        <v>1</v>
      </c>
      <c r="J24" s="23">
        <v>16.5</v>
      </c>
      <c r="K24" s="23">
        <v>16.5</v>
      </c>
    </row>
    <row r="25" spans="4:11">
      <c r="D25" s="20">
        <v>46197</v>
      </c>
      <c r="E25" s="21">
        <v>1614557</v>
      </c>
      <c r="F25" s="21" t="s">
        <v>21</v>
      </c>
      <c r="G25" s="22">
        <v>20394943</v>
      </c>
      <c r="H25" s="21" t="s">
        <v>35</v>
      </c>
      <c r="I25" s="22">
        <v>1</v>
      </c>
      <c r="J25" s="23">
        <v>11</v>
      </c>
      <c r="K25" s="23">
        <v>11</v>
      </c>
    </row>
    <row r="26" ht="25.5" spans="4:11">
      <c r="D26" s="20">
        <v>46197</v>
      </c>
      <c r="E26" s="21">
        <v>1614557</v>
      </c>
      <c r="F26" s="21" t="s">
        <v>21</v>
      </c>
      <c r="G26" s="22">
        <v>20313588</v>
      </c>
      <c r="H26" s="21" t="s">
        <v>29</v>
      </c>
      <c r="I26" s="22">
        <v>6</v>
      </c>
      <c r="J26" s="23">
        <v>8</v>
      </c>
      <c r="K26" s="23">
        <v>48</v>
      </c>
    </row>
    <row r="27" spans="4:11">
      <c r="D27" s="20">
        <v>46197</v>
      </c>
      <c r="E27" s="21">
        <v>1614557</v>
      </c>
      <c r="F27" s="21" t="s">
        <v>21</v>
      </c>
      <c r="G27" s="22">
        <v>20395864</v>
      </c>
      <c r="H27" s="21" t="s">
        <v>40</v>
      </c>
      <c r="I27" s="22">
        <v>1</v>
      </c>
      <c r="J27" s="23">
        <v>8</v>
      </c>
      <c r="K27" s="23">
        <v>8</v>
      </c>
    </row>
    <row r="28" spans="4:11">
      <c r="D28" s="20">
        <v>46197</v>
      </c>
      <c r="E28" s="21">
        <v>1614557</v>
      </c>
      <c r="F28" s="21" t="s">
        <v>21</v>
      </c>
      <c r="G28" s="22">
        <v>20395836</v>
      </c>
      <c r="H28" s="21" t="s">
        <v>41</v>
      </c>
      <c r="I28" s="22">
        <v>1</v>
      </c>
      <c r="J28" s="23">
        <v>8</v>
      </c>
      <c r="K28" s="23">
        <v>8</v>
      </c>
    </row>
    <row r="29" spans="4:11">
      <c r="D29" s="20">
        <v>46197</v>
      </c>
      <c r="E29" s="21">
        <v>1614557</v>
      </c>
      <c r="F29" s="21" t="s">
        <v>21</v>
      </c>
      <c r="G29" s="22">
        <v>20395495</v>
      </c>
      <c r="H29" s="21" t="s">
        <v>37</v>
      </c>
      <c r="I29" s="22">
        <v>1</v>
      </c>
      <c r="J29" s="23">
        <v>13.5</v>
      </c>
      <c r="K29" s="23">
        <v>13.5</v>
      </c>
    </row>
    <row r="30" spans="4:11">
      <c r="D30" s="20">
        <v>46197</v>
      </c>
      <c r="E30" s="21">
        <v>1614557</v>
      </c>
      <c r="F30" s="21" t="s">
        <v>21</v>
      </c>
      <c r="G30" s="22">
        <v>20396335</v>
      </c>
      <c r="H30" s="21" t="s">
        <v>39</v>
      </c>
      <c r="I30" s="22">
        <v>1</v>
      </c>
      <c r="J30" s="23">
        <v>8</v>
      </c>
      <c r="K30" s="23">
        <v>8</v>
      </c>
    </row>
    <row r="31" spans="4:11">
      <c r="D31" s="20">
        <v>46197</v>
      </c>
      <c r="E31" s="21">
        <v>1614557</v>
      </c>
      <c r="F31" s="21" t="s">
        <v>21</v>
      </c>
      <c r="G31" s="22">
        <v>20395865</v>
      </c>
      <c r="H31" s="21" t="s">
        <v>42</v>
      </c>
      <c r="I31" s="22">
        <v>2</v>
      </c>
      <c r="J31" s="23">
        <v>8</v>
      </c>
      <c r="K31" s="23">
        <v>16</v>
      </c>
    </row>
    <row r="32" spans="4:11">
      <c r="D32" s="20">
        <v>46197</v>
      </c>
      <c r="E32" s="21">
        <v>1614557</v>
      </c>
      <c r="F32" s="21" t="s">
        <v>21</v>
      </c>
      <c r="G32" s="22">
        <v>20395867</v>
      </c>
      <c r="H32" s="21" t="s">
        <v>43</v>
      </c>
      <c r="I32" s="22">
        <v>1</v>
      </c>
      <c r="J32" s="23">
        <v>11</v>
      </c>
      <c r="K32" s="23">
        <v>11</v>
      </c>
    </row>
    <row r="33" spans="4:11">
      <c r="D33" s="20">
        <v>46197</v>
      </c>
      <c r="E33" s="21">
        <v>1614557</v>
      </c>
      <c r="F33" s="21" t="s">
        <v>13</v>
      </c>
      <c r="G33" s="22">
        <v>20395868</v>
      </c>
      <c r="H33" s="21" t="s">
        <v>44</v>
      </c>
      <c r="I33" s="22">
        <v>1</v>
      </c>
      <c r="J33" s="23">
        <v>16.5</v>
      </c>
      <c r="K33" s="23">
        <v>16.5</v>
      </c>
    </row>
    <row r="34" spans="4:11">
      <c r="D34" s="20">
        <v>46199</v>
      </c>
      <c r="E34" s="21">
        <v>1615568</v>
      </c>
      <c r="F34" s="21" t="s">
        <v>21</v>
      </c>
      <c r="G34" s="22">
        <v>20394943</v>
      </c>
      <c r="H34" s="21" t="s">
        <v>35</v>
      </c>
      <c r="I34" s="22">
        <v>1</v>
      </c>
      <c r="J34" s="23">
        <v>11</v>
      </c>
      <c r="K34" s="23">
        <v>11</v>
      </c>
    </row>
    <row r="35" spans="4:11">
      <c r="D35" s="20">
        <v>46199</v>
      </c>
      <c r="E35" s="21">
        <v>1615568</v>
      </c>
      <c r="F35" s="21" t="s">
        <v>21</v>
      </c>
      <c r="G35" s="22">
        <v>20396337</v>
      </c>
      <c r="H35" s="21" t="s">
        <v>36</v>
      </c>
      <c r="I35" s="22">
        <v>1</v>
      </c>
      <c r="J35" s="23">
        <v>8</v>
      </c>
      <c r="K35" s="23">
        <v>8</v>
      </c>
    </row>
    <row r="36" spans="4:11">
      <c r="D36" s="20">
        <v>46199</v>
      </c>
      <c r="E36" s="21">
        <v>1615568</v>
      </c>
      <c r="F36" s="21" t="s">
        <v>21</v>
      </c>
      <c r="G36" s="22">
        <v>20395495</v>
      </c>
      <c r="H36" s="21" t="s">
        <v>37</v>
      </c>
      <c r="I36" s="22">
        <v>3</v>
      </c>
      <c r="J36" s="23">
        <v>13.5</v>
      </c>
      <c r="K36" s="23">
        <v>40.5</v>
      </c>
    </row>
    <row r="37" spans="4:11">
      <c r="D37" s="20">
        <v>46206</v>
      </c>
      <c r="E37" s="21">
        <v>1617383</v>
      </c>
      <c r="F37" s="21" t="s">
        <v>21</v>
      </c>
      <c r="G37" s="22">
        <v>20394943</v>
      </c>
      <c r="H37" s="21" t="s">
        <v>35</v>
      </c>
      <c r="I37" s="22">
        <v>1</v>
      </c>
      <c r="J37" s="23">
        <v>11</v>
      </c>
      <c r="K37" s="23">
        <v>11</v>
      </c>
    </row>
    <row r="38" spans="4:11">
      <c r="D38" s="20">
        <v>46206</v>
      </c>
      <c r="E38" s="21">
        <v>1617383</v>
      </c>
      <c r="F38" s="21" t="s">
        <v>21</v>
      </c>
      <c r="G38" s="22">
        <v>20396337</v>
      </c>
      <c r="H38" s="21" t="s">
        <v>36</v>
      </c>
      <c r="I38" s="22">
        <v>2</v>
      </c>
      <c r="J38" s="23">
        <v>8</v>
      </c>
      <c r="K38" s="23">
        <v>16</v>
      </c>
    </row>
    <row r="39" spans="4:11">
      <c r="D39" s="20">
        <v>46206</v>
      </c>
      <c r="E39" s="21">
        <v>1617383</v>
      </c>
      <c r="F39" s="21" t="s">
        <v>21</v>
      </c>
      <c r="G39" s="22">
        <v>20395495</v>
      </c>
      <c r="H39" s="21" t="s">
        <v>37</v>
      </c>
      <c r="I39" s="22">
        <v>1</v>
      </c>
      <c r="J39" s="23">
        <v>13.5</v>
      </c>
      <c r="K39" s="23">
        <v>13.5</v>
      </c>
    </row>
    <row r="40" spans="4:11">
      <c r="D40" s="20">
        <v>46206</v>
      </c>
      <c r="E40" s="21">
        <v>1617601</v>
      </c>
      <c r="F40" s="21" t="s">
        <v>21</v>
      </c>
      <c r="G40" s="22">
        <v>20394943</v>
      </c>
      <c r="H40" s="21" t="s">
        <v>35</v>
      </c>
      <c r="I40" s="22">
        <v>2</v>
      </c>
      <c r="J40" s="23">
        <v>11</v>
      </c>
      <c r="K40" s="23">
        <v>22</v>
      </c>
    </row>
    <row r="41" spans="4:11">
      <c r="D41" s="20">
        <v>46206</v>
      </c>
      <c r="E41" s="21">
        <v>1617601</v>
      </c>
      <c r="F41" s="21" t="s">
        <v>21</v>
      </c>
      <c r="G41" s="22">
        <v>20396337</v>
      </c>
      <c r="H41" s="21" t="s">
        <v>36</v>
      </c>
      <c r="I41" s="22">
        <v>3</v>
      </c>
      <c r="J41" s="23">
        <v>8</v>
      </c>
      <c r="K41" s="23">
        <v>24</v>
      </c>
    </row>
    <row r="42" spans="4:11">
      <c r="D42" s="20">
        <v>46206</v>
      </c>
      <c r="E42" s="21">
        <v>1617601</v>
      </c>
      <c r="F42" s="21" t="s">
        <v>21</v>
      </c>
      <c r="G42" s="22">
        <v>20395495</v>
      </c>
      <c r="H42" s="21" t="s">
        <v>37</v>
      </c>
      <c r="I42" s="22">
        <v>4</v>
      </c>
      <c r="J42" s="23">
        <v>13.5</v>
      </c>
      <c r="K42" s="23">
        <v>54</v>
      </c>
    </row>
    <row r="43" spans="4:11">
      <c r="D43" s="20">
        <v>46206</v>
      </c>
      <c r="E43" s="21">
        <v>1617601</v>
      </c>
      <c r="F43" s="21" t="s">
        <v>13</v>
      </c>
      <c r="G43" s="22">
        <v>20395868</v>
      </c>
      <c r="H43" s="21" t="s">
        <v>44</v>
      </c>
      <c r="I43" s="22">
        <v>1</v>
      </c>
      <c r="J43" s="23">
        <v>16.5</v>
      </c>
      <c r="K43" s="23">
        <v>16.5</v>
      </c>
    </row>
    <row r="44" spans="4:11">
      <c r="D44" s="20">
        <v>46210</v>
      </c>
      <c r="E44" s="21">
        <v>1618263</v>
      </c>
      <c r="F44" s="21" t="s">
        <v>21</v>
      </c>
      <c r="G44" s="22">
        <v>20376624</v>
      </c>
      <c r="H44" s="21" t="s">
        <v>32</v>
      </c>
      <c r="I44" s="22">
        <v>1</v>
      </c>
      <c r="J44" s="23">
        <v>8</v>
      </c>
      <c r="K44" s="23">
        <v>8</v>
      </c>
    </row>
    <row r="45" spans="4:11">
      <c r="D45" s="20">
        <v>46210</v>
      </c>
      <c r="E45" s="21">
        <v>1618263</v>
      </c>
      <c r="F45" s="21" t="s">
        <v>21</v>
      </c>
      <c r="G45" s="22">
        <v>20394943</v>
      </c>
      <c r="H45" s="21" t="s">
        <v>35</v>
      </c>
      <c r="I45" s="22">
        <v>1</v>
      </c>
      <c r="J45" s="23">
        <v>11</v>
      </c>
      <c r="K45" s="23">
        <v>11</v>
      </c>
    </row>
    <row r="46" spans="4:11">
      <c r="D46" s="20">
        <v>46210</v>
      </c>
      <c r="E46" s="21">
        <v>1618263</v>
      </c>
      <c r="F46" s="21" t="s">
        <v>21</v>
      </c>
      <c r="G46" s="22">
        <v>20396337</v>
      </c>
      <c r="H46" s="21" t="s">
        <v>36</v>
      </c>
      <c r="I46" s="22">
        <v>1</v>
      </c>
      <c r="J46" s="23">
        <v>8</v>
      </c>
      <c r="K46" s="23">
        <v>8</v>
      </c>
    </row>
    <row r="47" spans="4:11">
      <c r="D47" s="20">
        <v>46210</v>
      </c>
      <c r="E47" s="21">
        <v>1618263</v>
      </c>
      <c r="F47" s="21" t="s">
        <v>21</v>
      </c>
      <c r="G47" s="22">
        <v>20395495</v>
      </c>
      <c r="H47" s="21" t="s">
        <v>37</v>
      </c>
      <c r="I47" s="22">
        <v>1</v>
      </c>
      <c r="J47" s="23">
        <v>13.5</v>
      </c>
      <c r="K47" s="23">
        <v>13.5</v>
      </c>
    </row>
    <row r="48" spans="4:11">
      <c r="D48" s="20">
        <v>46210</v>
      </c>
      <c r="E48" s="21">
        <v>1618263</v>
      </c>
      <c r="F48" s="21" t="s">
        <v>21</v>
      </c>
      <c r="G48" s="22">
        <v>20377357</v>
      </c>
      <c r="H48" s="21" t="s">
        <v>31</v>
      </c>
      <c r="I48" s="22">
        <v>1</v>
      </c>
      <c r="J48" s="23">
        <v>8</v>
      </c>
      <c r="K48" s="23">
        <v>8</v>
      </c>
    </row>
    <row r="49" spans="4:11">
      <c r="D49" s="20">
        <v>46210</v>
      </c>
      <c r="E49" s="21">
        <v>1618263</v>
      </c>
      <c r="F49" s="21" t="s">
        <v>21</v>
      </c>
      <c r="G49" s="22">
        <v>20397461</v>
      </c>
      <c r="H49" s="21" t="s">
        <v>45</v>
      </c>
      <c r="I49" s="22">
        <v>1</v>
      </c>
      <c r="J49" s="23">
        <v>16.5</v>
      </c>
      <c r="K49" s="23">
        <v>16.5</v>
      </c>
    </row>
    <row r="50" spans="4:11">
      <c r="D50" s="20">
        <v>46211</v>
      </c>
      <c r="E50" s="21">
        <v>1618645</v>
      </c>
      <c r="F50" s="21" t="s">
        <v>21</v>
      </c>
      <c r="G50" s="22">
        <v>20394943</v>
      </c>
      <c r="H50" s="21" t="s">
        <v>35</v>
      </c>
      <c r="I50" s="22">
        <v>1</v>
      </c>
      <c r="J50" s="23">
        <v>11</v>
      </c>
      <c r="K50" s="23">
        <v>11</v>
      </c>
    </row>
    <row r="51" spans="4:11">
      <c r="D51" s="20">
        <v>46211</v>
      </c>
      <c r="E51" s="21">
        <v>1618645</v>
      </c>
      <c r="F51" s="21" t="s">
        <v>21</v>
      </c>
      <c r="G51" s="22">
        <v>20396337</v>
      </c>
      <c r="H51" s="21" t="s">
        <v>36</v>
      </c>
      <c r="I51" s="22">
        <v>2</v>
      </c>
      <c r="J51" s="23">
        <v>8</v>
      </c>
      <c r="K51" s="23">
        <v>16</v>
      </c>
    </row>
    <row r="52" spans="4:11">
      <c r="D52" s="20">
        <v>46211</v>
      </c>
      <c r="E52" s="21">
        <v>1618645</v>
      </c>
      <c r="F52" s="21" t="s">
        <v>21</v>
      </c>
      <c r="G52" s="22">
        <v>20395495</v>
      </c>
      <c r="H52" s="21" t="s">
        <v>37</v>
      </c>
      <c r="I52" s="22">
        <v>1</v>
      </c>
      <c r="J52" s="23">
        <v>13.5</v>
      </c>
      <c r="K52" s="23">
        <v>13.5</v>
      </c>
    </row>
    <row r="53" spans="4:11">
      <c r="D53" s="20">
        <v>46211</v>
      </c>
      <c r="E53" s="21">
        <v>1618645</v>
      </c>
      <c r="F53" s="21" t="s">
        <v>21</v>
      </c>
      <c r="G53" s="22">
        <v>20396335</v>
      </c>
      <c r="H53" s="21" t="s">
        <v>39</v>
      </c>
      <c r="I53" s="22">
        <v>1</v>
      </c>
      <c r="J53" s="23">
        <v>8</v>
      </c>
      <c r="K53" s="23">
        <v>8</v>
      </c>
    </row>
    <row r="54" spans="4:11">
      <c r="D54" s="20">
        <v>46211</v>
      </c>
      <c r="E54" s="21">
        <v>1618645</v>
      </c>
      <c r="F54" s="21" t="s">
        <v>21</v>
      </c>
      <c r="G54" s="22">
        <v>20377357</v>
      </c>
      <c r="H54" s="21" t="s">
        <v>31</v>
      </c>
      <c r="I54" s="22">
        <v>1</v>
      </c>
      <c r="J54" s="23">
        <v>8</v>
      </c>
      <c r="K54" s="23">
        <v>8</v>
      </c>
    </row>
    <row r="55" spans="4:11">
      <c r="D55" s="20">
        <v>46212</v>
      </c>
      <c r="E55" s="21">
        <v>1618873</v>
      </c>
      <c r="F55" s="21" t="s">
        <v>21</v>
      </c>
      <c r="G55" s="22">
        <v>20394943</v>
      </c>
      <c r="H55" s="21" t="s">
        <v>35</v>
      </c>
      <c r="I55" s="22">
        <v>1</v>
      </c>
      <c r="J55" s="23">
        <v>11</v>
      </c>
      <c r="K55" s="23">
        <v>11</v>
      </c>
    </row>
    <row r="56" ht="25.5" spans="4:11">
      <c r="D56" s="20">
        <v>46212</v>
      </c>
      <c r="E56" s="21">
        <v>1618873</v>
      </c>
      <c r="F56" s="21" t="s">
        <v>21</v>
      </c>
      <c r="G56" s="22">
        <v>20313588</v>
      </c>
      <c r="H56" s="21" t="s">
        <v>29</v>
      </c>
      <c r="I56" s="22">
        <v>1</v>
      </c>
      <c r="J56" s="23">
        <v>8</v>
      </c>
      <c r="K56" s="23">
        <v>8</v>
      </c>
    </row>
    <row r="57" spans="4:11">
      <c r="D57" s="20">
        <v>46212</v>
      </c>
      <c r="E57" s="21">
        <v>1618873</v>
      </c>
      <c r="F57" s="21" t="s">
        <v>21</v>
      </c>
      <c r="G57" s="22">
        <v>20396337</v>
      </c>
      <c r="H57" s="21" t="s">
        <v>36</v>
      </c>
      <c r="I57" s="22">
        <v>1</v>
      </c>
      <c r="J57" s="23">
        <v>8</v>
      </c>
      <c r="K57" s="23">
        <v>8</v>
      </c>
    </row>
    <row r="58" spans="4:11">
      <c r="D58" s="20">
        <v>46212</v>
      </c>
      <c r="E58" s="21">
        <v>1618873</v>
      </c>
      <c r="F58" s="21" t="s">
        <v>21</v>
      </c>
      <c r="G58" s="22">
        <v>20395495</v>
      </c>
      <c r="H58" s="21" t="s">
        <v>37</v>
      </c>
      <c r="I58" s="22">
        <v>2</v>
      </c>
      <c r="J58" s="23">
        <v>13.5</v>
      </c>
      <c r="K58" s="23">
        <v>27</v>
      </c>
    </row>
    <row r="59" spans="4:11">
      <c r="D59" s="20">
        <v>46212</v>
      </c>
      <c r="E59" s="21">
        <v>1618873</v>
      </c>
      <c r="F59" s="21" t="s">
        <v>21</v>
      </c>
      <c r="G59" s="22">
        <v>20396335</v>
      </c>
      <c r="H59" s="21" t="s">
        <v>39</v>
      </c>
      <c r="I59" s="22">
        <v>1</v>
      </c>
      <c r="J59" s="23">
        <v>8</v>
      </c>
      <c r="K59" s="23">
        <v>8</v>
      </c>
    </row>
    <row r="60" spans="4:11">
      <c r="D60" s="20">
        <v>46212</v>
      </c>
      <c r="E60" s="21">
        <v>1618873</v>
      </c>
      <c r="F60" s="21" t="s">
        <v>21</v>
      </c>
      <c r="G60" s="22">
        <v>20396339</v>
      </c>
      <c r="H60" s="21" t="s">
        <v>46</v>
      </c>
      <c r="I60" s="22">
        <v>2</v>
      </c>
      <c r="J60" s="23">
        <v>11</v>
      </c>
      <c r="K60" s="23">
        <v>22</v>
      </c>
    </row>
    <row r="61" spans="4:11">
      <c r="D61" s="20">
        <v>46212</v>
      </c>
      <c r="E61" s="21">
        <v>1618873</v>
      </c>
      <c r="F61" s="21" t="s">
        <v>21</v>
      </c>
      <c r="G61" s="22">
        <v>20377357</v>
      </c>
      <c r="H61" s="21" t="s">
        <v>31</v>
      </c>
      <c r="I61" s="22">
        <v>1</v>
      </c>
      <c r="J61" s="23">
        <v>8</v>
      </c>
      <c r="K61" s="23">
        <v>8</v>
      </c>
    </row>
    <row r="62" spans="4:11">
      <c r="D62" s="20">
        <v>46212</v>
      </c>
      <c r="E62" s="21">
        <v>1618990</v>
      </c>
      <c r="F62" s="21" t="s">
        <v>21</v>
      </c>
      <c r="G62" s="22">
        <v>20401317</v>
      </c>
      <c r="H62" s="21" t="s">
        <v>38</v>
      </c>
      <c r="I62" s="22">
        <v>1</v>
      </c>
      <c r="J62" s="23">
        <v>16.5</v>
      </c>
      <c r="K62" s="23">
        <v>16.5</v>
      </c>
    </row>
    <row r="63" ht="25.5" spans="4:11">
      <c r="D63" s="20">
        <v>46212</v>
      </c>
      <c r="E63" s="21">
        <v>1618990</v>
      </c>
      <c r="F63" s="21" t="s">
        <v>21</v>
      </c>
      <c r="G63" s="22">
        <v>20313588</v>
      </c>
      <c r="H63" s="21" t="s">
        <v>29</v>
      </c>
      <c r="I63" s="22">
        <v>2</v>
      </c>
      <c r="J63" s="23">
        <v>8</v>
      </c>
      <c r="K63" s="23">
        <v>16</v>
      </c>
    </row>
    <row r="64" spans="4:11">
      <c r="D64" s="20">
        <v>46212</v>
      </c>
      <c r="E64" s="21">
        <v>1618990</v>
      </c>
      <c r="F64" s="21" t="s">
        <v>21</v>
      </c>
      <c r="G64" s="22">
        <v>20396335</v>
      </c>
      <c r="H64" s="21" t="s">
        <v>39</v>
      </c>
      <c r="I64" s="22">
        <v>1</v>
      </c>
      <c r="J64" s="23">
        <v>8</v>
      </c>
      <c r="K64" s="23">
        <v>8</v>
      </c>
    </row>
    <row r="65" spans="4:11">
      <c r="D65" s="20">
        <v>46212</v>
      </c>
      <c r="E65" s="21">
        <v>1618990</v>
      </c>
      <c r="F65" s="21" t="s">
        <v>21</v>
      </c>
      <c r="G65" s="22">
        <v>20377357</v>
      </c>
      <c r="H65" s="21" t="s">
        <v>31</v>
      </c>
      <c r="I65" s="22">
        <v>1</v>
      </c>
      <c r="J65" s="23">
        <v>8</v>
      </c>
      <c r="K65" s="23">
        <v>8</v>
      </c>
    </row>
    <row r="66" spans="4:11">
      <c r="D66" s="20">
        <v>46213</v>
      </c>
      <c r="E66" s="21">
        <v>1619281</v>
      </c>
      <c r="F66" s="21" t="s">
        <v>21</v>
      </c>
      <c r="G66" s="22">
        <v>20394943</v>
      </c>
      <c r="H66" s="21" t="s">
        <v>35</v>
      </c>
      <c r="I66" s="22">
        <v>2</v>
      </c>
      <c r="J66" s="23">
        <v>11</v>
      </c>
      <c r="K66" s="23">
        <v>22</v>
      </c>
    </row>
    <row r="67" ht="25.5" spans="4:11">
      <c r="D67" s="20">
        <v>46213</v>
      </c>
      <c r="E67" s="21">
        <v>1619281</v>
      </c>
      <c r="F67" s="21" t="s">
        <v>21</v>
      </c>
      <c r="G67" s="22">
        <v>20313588</v>
      </c>
      <c r="H67" s="21" t="s">
        <v>29</v>
      </c>
      <c r="I67" s="22">
        <v>1</v>
      </c>
      <c r="J67" s="23">
        <v>8</v>
      </c>
      <c r="K67" s="23">
        <v>8</v>
      </c>
    </row>
    <row r="68" spans="4:11">
      <c r="D68" s="20">
        <v>46213</v>
      </c>
      <c r="E68" s="21">
        <v>1619281</v>
      </c>
      <c r="F68" s="21" t="s">
        <v>21</v>
      </c>
      <c r="G68" s="22">
        <v>20402556</v>
      </c>
      <c r="H68" s="21" t="s">
        <v>47</v>
      </c>
      <c r="I68" s="22">
        <v>1</v>
      </c>
      <c r="J68" s="23">
        <v>16.5</v>
      </c>
      <c r="K68" s="23">
        <v>16.5</v>
      </c>
    </row>
    <row r="69" spans="4:11">
      <c r="D69" s="20">
        <v>46213</v>
      </c>
      <c r="E69" s="21">
        <v>1619281</v>
      </c>
      <c r="F69" s="21" t="s">
        <v>21</v>
      </c>
      <c r="G69" s="22">
        <v>20396337</v>
      </c>
      <c r="H69" s="21" t="s">
        <v>36</v>
      </c>
      <c r="I69" s="22">
        <v>3</v>
      </c>
      <c r="J69" s="23">
        <v>8</v>
      </c>
      <c r="K69" s="23">
        <v>24</v>
      </c>
    </row>
    <row r="70" spans="4:11">
      <c r="D70" s="20">
        <v>46213</v>
      </c>
      <c r="E70" s="21">
        <v>1619281</v>
      </c>
      <c r="F70" s="21" t="s">
        <v>21</v>
      </c>
      <c r="G70" s="22">
        <v>20395495</v>
      </c>
      <c r="H70" s="21" t="s">
        <v>37</v>
      </c>
      <c r="I70" s="22">
        <v>2</v>
      </c>
      <c r="J70" s="23">
        <v>13.5</v>
      </c>
      <c r="K70" s="23">
        <v>27</v>
      </c>
    </row>
    <row r="71" spans="4:11">
      <c r="D71" s="20">
        <v>46213</v>
      </c>
      <c r="E71" s="21">
        <v>1619281</v>
      </c>
      <c r="F71" s="21" t="s">
        <v>21</v>
      </c>
      <c r="G71" s="22">
        <v>20396335</v>
      </c>
      <c r="H71" s="21" t="s">
        <v>39</v>
      </c>
      <c r="I71" s="22">
        <v>1</v>
      </c>
      <c r="J71" s="23">
        <v>8</v>
      </c>
      <c r="K71" s="23">
        <v>8</v>
      </c>
    </row>
    <row r="72" spans="4:11">
      <c r="D72" s="20">
        <v>46213</v>
      </c>
      <c r="E72" s="21">
        <v>1619281</v>
      </c>
      <c r="F72" s="21" t="s">
        <v>21</v>
      </c>
      <c r="G72" s="22">
        <v>20396339</v>
      </c>
      <c r="H72" s="21" t="s">
        <v>46</v>
      </c>
      <c r="I72" s="22">
        <v>2</v>
      </c>
      <c r="J72" s="23">
        <v>11</v>
      </c>
      <c r="K72" s="23">
        <v>22</v>
      </c>
    </row>
    <row r="73" spans="4:11">
      <c r="D73" s="20">
        <v>46213</v>
      </c>
      <c r="E73" s="21">
        <v>1619281</v>
      </c>
      <c r="F73" s="21" t="s">
        <v>21</v>
      </c>
      <c r="G73" s="22">
        <v>20377357</v>
      </c>
      <c r="H73" s="21" t="s">
        <v>31</v>
      </c>
      <c r="I73" s="22">
        <v>1</v>
      </c>
      <c r="J73" s="23">
        <v>8</v>
      </c>
      <c r="K73" s="23">
        <v>8</v>
      </c>
    </row>
    <row r="74" ht="0.05" customHeight="1"/>
  </sheetData>
  <autoFilter xmlns:etc="http://www.wps.cn/officeDocument/2017/etCustomData" ref="J1:J73" etc:filterBottomFollowUsedRange="0">
    <extLst/>
  </autoFilter>
  <mergeCells count="5">
    <mergeCell ref="D8:H8"/>
    <mergeCell ref="C7:C73"/>
    <mergeCell ref="B4:H5"/>
    <mergeCell ref="A7:B7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8:31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4"/>
  <sheetViews>
    <sheetView showGridLines="0" view="pageBreakPreview" zoomScaleNormal="100" workbookViewId="0">
      <pane ySplit="6" topLeftCell="A63" activePane="bottomLeft" state="frozen"/>
      <selection/>
      <selection pane="bottomLeft" activeCell="K9" sqref="K9:K9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0.625" customWidth="1"/>
    <col min="9" max="9" width="11" customWidth="1"/>
    <col min="10" max="10" width="12.2083333333333" customWidth="1"/>
    <col min="11" max="11" width="10.875" customWidth="1"/>
  </cols>
  <sheetData>
    <row r="1" spans="1:11">
      <c r="C1" s="10" t="s">
        <v>0</v>
      </c>
    </row>
    <row r="2" ht="23.05" customHeight="1"/>
    <row r="3" ht="2" customHeight="1"/>
    <row r="4" ht="15.2" customHeight="1" spans="1:11">
      <c r="B4" s="11" t="s">
        <v>1</v>
      </c>
    </row>
    <row r="6" ht="2.95" customHeight="1"/>
    <row r="7" spans="1:11">
      <c r="A7" s="12" t="s">
        <v>2</v>
      </c>
      <c r="B7" s="13" t="s">
        <v>2</v>
      </c>
      <c r="C7" s="14" t="s">
        <v>2</v>
      </c>
      <c r="D7" s="15" t="s">
        <v>4</v>
      </c>
      <c r="E7" s="15" t="s">
        <v>5</v>
      </c>
      <c r="F7" s="15" t="s">
        <v>6</v>
      </c>
      <c r="G7" s="15" t="s">
        <v>7</v>
      </c>
      <c r="H7" s="15" t="s">
        <v>8</v>
      </c>
      <c r="I7" s="15" t="s">
        <v>9</v>
      </c>
      <c r="J7" s="15" t="s">
        <v>10</v>
      </c>
      <c r="K7" s="15" t="s">
        <v>11</v>
      </c>
    </row>
    <row r="8" ht="14.25" spans="1:11">
      <c r="D8" s="16" t="s">
        <v>48</v>
      </c>
      <c r="E8" s="17" t="s">
        <v>2</v>
      </c>
      <c r="F8" s="17" t="s">
        <v>2</v>
      </c>
      <c r="G8" s="17" t="s">
        <v>2</v>
      </c>
      <c r="H8" s="17" t="s">
        <v>2</v>
      </c>
      <c r="I8" s="18">
        <v>421</v>
      </c>
      <c r="J8" s="19"/>
      <c r="K8" s="19">
        <v>4112.5</v>
      </c>
    </row>
    <row r="9" spans="1:11">
      <c r="D9" s="20">
        <v>46189</v>
      </c>
      <c r="E9" s="21">
        <v>1612444</v>
      </c>
      <c r="F9" s="21" t="s">
        <v>21</v>
      </c>
      <c r="G9" s="22">
        <v>20312027</v>
      </c>
      <c r="H9" s="21" t="s">
        <v>49</v>
      </c>
      <c r="I9" s="22">
        <v>16</v>
      </c>
      <c r="J9" s="23">
        <v>11</v>
      </c>
      <c r="K9" s="23">
        <v>176</v>
      </c>
    </row>
    <row r="10" ht="25.5" spans="1:11">
      <c r="D10" s="20">
        <v>46190</v>
      </c>
      <c r="E10" s="21">
        <v>1612775</v>
      </c>
      <c r="F10" s="21" t="s">
        <v>21</v>
      </c>
      <c r="G10" s="22">
        <v>20313588</v>
      </c>
      <c r="H10" s="21" t="s">
        <v>29</v>
      </c>
      <c r="I10" s="22">
        <v>2</v>
      </c>
      <c r="J10" s="23">
        <v>8</v>
      </c>
      <c r="K10" s="23">
        <v>16</v>
      </c>
    </row>
    <row r="11" spans="1:11">
      <c r="D11" s="20">
        <v>46190</v>
      </c>
      <c r="E11" s="21">
        <v>1612775</v>
      </c>
      <c r="F11" s="21" t="s">
        <v>21</v>
      </c>
      <c r="G11" s="22">
        <v>20377357</v>
      </c>
      <c r="H11" s="21" t="s">
        <v>31</v>
      </c>
      <c r="I11" s="22">
        <v>5</v>
      </c>
      <c r="J11" s="23">
        <v>8</v>
      </c>
      <c r="K11" s="23">
        <v>40</v>
      </c>
    </row>
    <row r="12" spans="1:11">
      <c r="D12" s="20">
        <v>46190</v>
      </c>
      <c r="E12" s="21">
        <v>1612775</v>
      </c>
      <c r="F12" s="21" t="s">
        <v>21</v>
      </c>
      <c r="G12" s="22">
        <v>20312027</v>
      </c>
      <c r="H12" s="21" t="s">
        <v>49</v>
      </c>
      <c r="I12" s="22">
        <v>14</v>
      </c>
      <c r="J12" s="23">
        <v>11</v>
      </c>
      <c r="K12" s="23">
        <v>154</v>
      </c>
    </row>
    <row r="13" spans="1:11">
      <c r="D13" s="20">
        <v>46190</v>
      </c>
      <c r="E13" s="21">
        <v>1612928</v>
      </c>
      <c r="F13" s="21" t="s">
        <v>21</v>
      </c>
      <c r="G13" s="22">
        <v>20406253</v>
      </c>
      <c r="H13" s="21" t="s">
        <v>50</v>
      </c>
      <c r="I13" s="22">
        <v>2</v>
      </c>
      <c r="J13" s="23">
        <v>13.5</v>
      </c>
      <c r="K13" s="23">
        <v>27</v>
      </c>
    </row>
    <row r="14" ht="25.5" spans="1:11">
      <c r="D14" s="20">
        <v>46190</v>
      </c>
      <c r="E14" s="21">
        <v>1612928</v>
      </c>
      <c r="F14" s="21" t="s">
        <v>21</v>
      </c>
      <c r="G14" s="22">
        <v>20313588</v>
      </c>
      <c r="H14" s="21" t="s">
        <v>29</v>
      </c>
      <c r="I14" s="22">
        <v>3</v>
      </c>
      <c r="J14" s="23">
        <v>8</v>
      </c>
      <c r="K14" s="23">
        <v>24</v>
      </c>
    </row>
    <row r="15" spans="1:11">
      <c r="D15" s="20">
        <v>46190</v>
      </c>
      <c r="E15" s="21">
        <v>1612928</v>
      </c>
      <c r="F15" s="21" t="s">
        <v>21</v>
      </c>
      <c r="G15" s="22">
        <v>20324084</v>
      </c>
      <c r="H15" s="21" t="s">
        <v>22</v>
      </c>
      <c r="I15" s="22">
        <v>1</v>
      </c>
      <c r="J15" s="23">
        <v>8</v>
      </c>
      <c r="K15" s="23">
        <v>8</v>
      </c>
    </row>
    <row r="16" spans="1:11">
      <c r="D16" s="20">
        <v>46190</v>
      </c>
      <c r="E16" s="21">
        <v>1612928</v>
      </c>
      <c r="F16" s="21" t="s">
        <v>21</v>
      </c>
      <c r="G16" s="22">
        <v>20377357</v>
      </c>
      <c r="H16" s="21" t="s">
        <v>31</v>
      </c>
      <c r="I16" s="22">
        <v>7</v>
      </c>
      <c r="J16" s="23">
        <v>8</v>
      </c>
      <c r="K16" s="23">
        <v>56</v>
      </c>
    </row>
    <row r="17" spans="4:11">
      <c r="D17" s="20">
        <v>46190</v>
      </c>
      <c r="E17" s="21">
        <v>1612928</v>
      </c>
      <c r="F17" s="21" t="s">
        <v>21</v>
      </c>
      <c r="G17" s="22">
        <v>20005849</v>
      </c>
      <c r="H17" s="21" t="s">
        <v>51</v>
      </c>
      <c r="I17" s="22">
        <v>2</v>
      </c>
      <c r="J17" s="23">
        <v>8</v>
      </c>
      <c r="K17" s="23">
        <v>16</v>
      </c>
    </row>
    <row r="18" spans="4:11">
      <c r="D18" s="20">
        <v>46191</v>
      </c>
      <c r="E18" s="21">
        <v>1613216</v>
      </c>
      <c r="F18" s="21" t="s">
        <v>21</v>
      </c>
      <c r="G18" s="22">
        <v>20312027</v>
      </c>
      <c r="H18" s="21" t="s">
        <v>49</v>
      </c>
      <c r="I18" s="22">
        <v>7</v>
      </c>
      <c r="J18" s="23">
        <v>11</v>
      </c>
      <c r="K18" s="23">
        <v>77</v>
      </c>
    </row>
    <row r="19" spans="4:11">
      <c r="D19" s="20">
        <v>46191</v>
      </c>
      <c r="E19" s="21">
        <v>1613324</v>
      </c>
      <c r="F19" s="21" t="s">
        <v>21</v>
      </c>
      <c r="G19" s="22">
        <v>20406253</v>
      </c>
      <c r="H19" s="21" t="s">
        <v>50</v>
      </c>
      <c r="I19" s="22">
        <v>1</v>
      </c>
      <c r="J19" s="23">
        <v>13.5</v>
      </c>
      <c r="K19" s="23">
        <v>13.5</v>
      </c>
    </row>
    <row r="20" ht="25.5" spans="4:11">
      <c r="D20" s="20">
        <v>46191</v>
      </c>
      <c r="E20" s="21">
        <v>1613324</v>
      </c>
      <c r="F20" s="21" t="s">
        <v>21</v>
      </c>
      <c r="G20" s="22">
        <v>20313588</v>
      </c>
      <c r="H20" s="21" t="s">
        <v>29</v>
      </c>
      <c r="I20" s="22">
        <v>1</v>
      </c>
      <c r="J20" s="23">
        <v>8</v>
      </c>
      <c r="K20" s="23">
        <v>8</v>
      </c>
    </row>
    <row r="21" spans="4:11">
      <c r="D21" s="20">
        <v>46191</v>
      </c>
      <c r="E21" s="21">
        <v>1613324</v>
      </c>
      <c r="F21" s="21" t="s">
        <v>21</v>
      </c>
      <c r="G21" s="22">
        <v>20324084</v>
      </c>
      <c r="H21" s="21" t="s">
        <v>22</v>
      </c>
      <c r="I21" s="22">
        <v>2</v>
      </c>
      <c r="J21" s="23">
        <v>8</v>
      </c>
      <c r="K21" s="23">
        <v>16</v>
      </c>
    </row>
    <row r="22" spans="4:11">
      <c r="D22" s="20">
        <v>46191</v>
      </c>
      <c r="E22" s="21">
        <v>1613324</v>
      </c>
      <c r="F22" s="21" t="s">
        <v>21</v>
      </c>
      <c r="G22" s="22">
        <v>20396339</v>
      </c>
      <c r="H22" s="21" t="s">
        <v>46</v>
      </c>
      <c r="I22" s="22">
        <v>1</v>
      </c>
      <c r="J22" s="23">
        <v>11</v>
      </c>
      <c r="K22" s="23">
        <v>11</v>
      </c>
    </row>
    <row r="23" spans="4:11">
      <c r="D23" s="20">
        <v>46191</v>
      </c>
      <c r="E23" s="21">
        <v>1613324</v>
      </c>
      <c r="F23" s="21" t="s">
        <v>21</v>
      </c>
      <c r="G23" s="22">
        <v>20377357</v>
      </c>
      <c r="H23" s="21" t="s">
        <v>31</v>
      </c>
      <c r="I23" s="22">
        <v>5</v>
      </c>
      <c r="J23" s="23">
        <v>8</v>
      </c>
      <c r="K23" s="23">
        <v>40</v>
      </c>
    </row>
    <row r="24" spans="4:11">
      <c r="D24" s="20">
        <v>46192</v>
      </c>
      <c r="E24" s="21">
        <v>1613582</v>
      </c>
      <c r="F24" s="21" t="s">
        <v>21</v>
      </c>
      <c r="G24" s="22">
        <v>20312027</v>
      </c>
      <c r="H24" s="21" t="s">
        <v>49</v>
      </c>
      <c r="I24" s="22">
        <v>10</v>
      </c>
      <c r="J24" s="23">
        <v>11</v>
      </c>
      <c r="K24" s="23">
        <v>110</v>
      </c>
    </row>
    <row r="25" spans="4:11">
      <c r="D25" s="20">
        <v>46195</v>
      </c>
      <c r="E25" s="21">
        <v>1614177</v>
      </c>
      <c r="F25" s="21" t="s">
        <v>21</v>
      </c>
      <c r="G25" s="22">
        <v>20312027</v>
      </c>
      <c r="H25" s="21" t="s">
        <v>49</v>
      </c>
      <c r="I25" s="22">
        <v>5</v>
      </c>
      <c r="J25" s="23">
        <v>11</v>
      </c>
      <c r="K25" s="23">
        <v>55</v>
      </c>
    </row>
    <row r="26" ht="25.5" spans="4:11">
      <c r="D26" s="20">
        <v>46196</v>
      </c>
      <c r="E26" s="21">
        <v>1614309</v>
      </c>
      <c r="F26" s="21" t="s">
        <v>21</v>
      </c>
      <c r="G26" s="22">
        <v>20313588</v>
      </c>
      <c r="H26" s="21" t="s">
        <v>29</v>
      </c>
      <c r="I26" s="22">
        <v>5</v>
      </c>
      <c r="J26" s="23">
        <v>8</v>
      </c>
      <c r="K26" s="23">
        <v>40</v>
      </c>
    </row>
    <row r="27" spans="4:11">
      <c r="D27" s="20">
        <v>46196</v>
      </c>
      <c r="E27" s="21">
        <v>1614309</v>
      </c>
      <c r="F27" s="21" t="s">
        <v>21</v>
      </c>
      <c r="G27" s="22">
        <v>20377357</v>
      </c>
      <c r="H27" s="21" t="s">
        <v>31</v>
      </c>
      <c r="I27" s="22">
        <v>7</v>
      </c>
      <c r="J27" s="23">
        <v>8</v>
      </c>
      <c r="K27" s="23">
        <v>56</v>
      </c>
    </row>
    <row r="28" ht="25.5" spans="4:11">
      <c r="D28" s="20">
        <v>46197</v>
      </c>
      <c r="E28" s="21">
        <v>1614558</v>
      </c>
      <c r="F28" s="21" t="s">
        <v>21</v>
      </c>
      <c r="G28" s="22">
        <v>20313588</v>
      </c>
      <c r="H28" s="21" t="s">
        <v>29</v>
      </c>
      <c r="I28" s="22">
        <v>7</v>
      </c>
      <c r="J28" s="23">
        <v>8</v>
      </c>
      <c r="K28" s="23">
        <v>56</v>
      </c>
    </row>
    <row r="29" spans="4:11">
      <c r="D29" s="20">
        <v>46197</v>
      </c>
      <c r="E29" s="21">
        <v>1614558</v>
      </c>
      <c r="F29" s="21" t="s">
        <v>21</v>
      </c>
      <c r="G29" s="22">
        <v>20398525</v>
      </c>
      <c r="H29" s="21" t="s">
        <v>52</v>
      </c>
      <c r="I29" s="22">
        <v>1</v>
      </c>
      <c r="J29" s="23">
        <v>11</v>
      </c>
      <c r="K29" s="23">
        <v>11</v>
      </c>
    </row>
    <row r="30" spans="4:11">
      <c r="D30" s="20">
        <v>46197</v>
      </c>
      <c r="E30" s="21">
        <v>1614558</v>
      </c>
      <c r="F30" s="21" t="s">
        <v>21</v>
      </c>
      <c r="G30" s="22">
        <v>20312027</v>
      </c>
      <c r="H30" s="21" t="s">
        <v>49</v>
      </c>
      <c r="I30" s="22">
        <v>13</v>
      </c>
      <c r="J30" s="23">
        <v>11</v>
      </c>
      <c r="K30" s="23">
        <v>143</v>
      </c>
    </row>
    <row r="31" ht="25.5" spans="4:11">
      <c r="D31" s="20">
        <v>46197</v>
      </c>
      <c r="E31" s="21">
        <v>1614651</v>
      </c>
      <c r="F31" s="21" t="s">
        <v>21</v>
      </c>
      <c r="G31" s="22">
        <v>20313588</v>
      </c>
      <c r="H31" s="21" t="s">
        <v>29</v>
      </c>
      <c r="I31" s="22">
        <v>3</v>
      </c>
      <c r="J31" s="23">
        <v>8</v>
      </c>
      <c r="K31" s="23">
        <v>24</v>
      </c>
    </row>
    <row r="32" spans="4:11">
      <c r="D32" s="20">
        <v>46197</v>
      </c>
      <c r="E32" s="21">
        <v>1614651</v>
      </c>
      <c r="F32" s="21" t="s">
        <v>21</v>
      </c>
      <c r="G32" s="22">
        <v>20347963</v>
      </c>
      <c r="H32" s="21" t="s">
        <v>53</v>
      </c>
      <c r="I32" s="22">
        <v>5</v>
      </c>
      <c r="J32" s="23">
        <v>8</v>
      </c>
      <c r="K32" s="23">
        <v>40</v>
      </c>
    </row>
    <row r="33" spans="4:11">
      <c r="D33" s="20">
        <v>46197</v>
      </c>
      <c r="E33" s="21">
        <v>1614651</v>
      </c>
      <c r="F33" s="21" t="s">
        <v>21</v>
      </c>
      <c r="G33" s="22">
        <v>20377357</v>
      </c>
      <c r="H33" s="21" t="s">
        <v>31</v>
      </c>
      <c r="I33" s="22">
        <v>4</v>
      </c>
      <c r="J33" s="23">
        <v>8</v>
      </c>
      <c r="K33" s="23">
        <v>32</v>
      </c>
    </row>
    <row r="34" spans="4:11">
      <c r="D34" s="20">
        <v>46197</v>
      </c>
      <c r="E34" s="21">
        <v>1614651</v>
      </c>
      <c r="F34" s="21" t="s">
        <v>21</v>
      </c>
      <c r="G34" s="22">
        <v>20312027</v>
      </c>
      <c r="H34" s="21" t="s">
        <v>49</v>
      </c>
      <c r="I34" s="22">
        <v>2</v>
      </c>
      <c r="J34" s="23">
        <v>11</v>
      </c>
      <c r="K34" s="23">
        <v>22</v>
      </c>
    </row>
    <row r="35" spans="4:11">
      <c r="D35" s="20">
        <v>46197</v>
      </c>
      <c r="E35" s="21">
        <v>1614651</v>
      </c>
      <c r="F35" s="21" t="s">
        <v>21</v>
      </c>
      <c r="G35" s="22">
        <v>20314990</v>
      </c>
      <c r="H35" s="21" t="s">
        <v>54</v>
      </c>
      <c r="I35" s="22">
        <v>1</v>
      </c>
      <c r="J35" s="23">
        <v>8</v>
      </c>
      <c r="K35" s="23">
        <v>8</v>
      </c>
    </row>
    <row r="36" spans="4:11">
      <c r="D36" s="20">
        <v>46197</v>
      </c>
      <c r="E36" s="21">
        <v>1614651</v>
      </c>
      <c r="F36" s="21" t="s">
        <v>13</v>
      </c>
      <c r="G36" s="22">
        <v>20430863</v>
      </c>
      <c r="H36" s="21" t="s">
        <v>55</v>
      </c>
      <c r="I36" s="22">
        <v>1</v>
      </c>
      <c r="J36" s="23">
        <v>16.5</v>
      </c>
      <c r="K36" s="23">
        <v>16.5</v>
      </c>
    </row>
    <row r="37" spans="4:11">
      <c r="D37" s="20">
        <v>46197</v>
      </c>
      <c r="E37" s="21">
        <v>1614903</v>
      </c>
      <c r="F37" s="21" t="s">
        <v>21</v>
      </c>
      <c r="G37" s="22">
        <v>20005207</v>
      </c>
      <c r="H37" s="21" t="s">
        <v>56</v>
      </c>
      <c r="I37" s="22">
        <v>1</v>
      </c>
      <c r="J37" s="23">
        <v>8</v>
      </c>
      <c r="K37" s="23">
        <v>8</v>
      </c>
    </row>
    <row r="38" ht="25.5" spans="4:11">
      <c r="D38" s="20">
        <v>46197</v>
      </c>
      <c r="E38" s="21">
        <v>1614903</v>
      </c>
      <c r="F38" s="21" t="s">
        <v>21</v>
      </c>
      <c r="G38" s="22">
        <v>20313588</v>
      </c>
      <c r="H38" s="21" t="s">
        <v>29</v>
      </c>
      <c r="I38" s="22">
        <v>1</v>
      </c>
      <c r="J38" s="23">
        <v>8</v>
      </c>
      <c r="K38" s="23">
        <v>8</v>
      </c>
    </row>
    <row r="39" spans="4:11">
      <c r="D39" s="20">
        <v>46197</v>
      </c>
      <c r="E39" s="21">
        <v>1614903</v>
      </c>
      <c r="F39" s="21" t="s">
        <v>21</v>
      </c>
      <c r="G39" s="22">
        <v>20377357</v>
      </c>
      <c r="H39" s="21" t="s">
        <v>31</v>
      </c>
      <c r="I39" s="22">
        <v>8</v>
      </c>
      <c r="J39" s="23">
        <v>8</v>
      </c>
      <c r="K39" s="23">
        <v>64</v>
      </c>
    </row>
    <row r="40" spans="4:11">
      <c r="D40" s="20">
        <v>46197</v>
      </c>
      <c r="E40" s="21">
        <v>1614903</v>
      </c>
      <c r="F40" s="21" t="s">
        <v>21</v>
      </c>
      <c r="G40" s="22">
        <v>20312027</v>
      </c>
      <c r="H40" s="21" t="s">
        <v>49</v>
      </c>
      <c r="I40" s="22">
        <v>1</v>
      </c>
      <c r="J40" s="23">
        <v>11</v>
      </c>
      <c r="K40" s="23">
        <v>11</v>
      </c>
    </row>
    <row r="41" ht="25.5" spans="4:11">
      <c r="D41" s="20">
        <v>46198</v>
      </c>
      <c r="E41" s="21">
        <v>1615067</v>
      </c>
      <c r="F41" s="21" t="s">
        <v>21</v>
      </c>
      <c r="G41" s="22">
        <v>20313588</v>
      </c>
      <c r="H41" s="21" t="s">
        <v>29</v>
      </c>
      <c r="I41" s="22">
        <v>1</v>
      </c>
      <c r="J41" s="23">
        <v>8</v>
      </c>
      <c r="K41" s="23">
        <v>8</v>
      </c>
    </row>
    <row r="42" spans="4:11">
      <c r="D42" s="20">
        <v>46198</v>
      </c>
      <c r="E42" s="21">
        <v>1615067</v>
      </c>
      <c r="F42" s="21" t="s">
        <v>21</v>
      </c>
      <c r="G42" s="22">
        <v>20377357</v>
      </c>
      <c r="H42" s="21" t="s">
        <v>31</v>
      </c>
      <c r="I42" s="22">
        <v>4</v>
      </c>
      <c r="J42" s="23">
        <v>8</v>
      </c>
      <c r="K42" s="23">
        <v>32</v>
      </c>
    </row>
    <row r="43" spans="4:11">
      <c r="D43" s="20">
        <v>46198</v>
      </c>
      <c r="E43" s="21">
        <v>1615067</v>
      </c>
      <c r="F43" s="21" t="s">
        <v>21</v>
      </c>
      <c r="G43" s="22">
        <v>20312027</v>
      </c>
      <c r="H43" s="21" t="s">
        <v>49</v>
      </c>
      <c r="I43" s="22">
        <v>1</v>
      </c>
      <c r="J43" s="23">
        <v>11</v>
      </c>
      <c r="K43" s="23">
        <v>11</v>
      </c>
    </row>
    <row r="44" spans="4:11">
      <c r="D44" s="20">
        <v>46198</v>
      </c>
      <c r="E44" s="21">
        <v>1615075</v>
      </c>
      <c r="F44" s="21" t="s">
        <v>21</v>
      </c>
      <c r="G44" s="22">
        <v>20377357</v>
      </c>
      <c r="H44" s="21" t="s">
        <v>31</v>
      </c>
      <c r="I44" s="22">
        <v>1</v>
      </c>
      <c r="J44" s="23">
        <v>8</v>
      </c>
      <c r="K44" s="23">
        <v>8</v>
      </c>
    </row>
    <row r="45" spans="4:11">
      <c r="D45" s="20">
        <v>46198</v>
      </c>
      <c r="E45" s="21">
        <v>1615279</v>
      </c>
      <c r="F45" s="21" t="s">
        <v>21</v>
      </c>
      <c r="G45" s="22">
        <v>20312027</v>
      </c>
      <c r="H45" s="21" t="s">
        <v>49</v>
      </c>
      <c r="I45" s="22">
        <v>16</v>
      </c>
      <c r="J45" s="23">
        <v>11</v>
      </c>
      <c r="K45" s="23">
        <v>176</v>
      </c>
    </row>
    <row r="46" spans="4:11">
      <c r="D46" s="20">
        <v>46199</v>
      </c>
      <c r="E46" s="21">
        <v>1615580</v>
      </c>
      <c r="F46" s="21" t="s">
        <v>21</v>
      </c>
      <c r="G46" s="22">
        <v>20312027</v>
      </c>
      <c r="H46" s="21" t="s">
        <v>49</v>
      </c>
      <c r="I46" s="22">
        <v>15</v>
      </c>
      <c r="J46" s="23">
        <v>11</v>
      </c>
      <c r="K46" s="23">
        <v>165</v>
      </c>
    </row>
    <row r="47" spans="4:11">
      <c r="D47" s="20">
        <v>46202</v>
      </c>
      <c r="E47" s="21">
        <v>1616103</v>
      </c>
      <c r="F47" s="21" t="s">
        <v>21</v>
      </c>
      <c r="G47" s="22">
        <v>20312027</v>
      </c>
      <c r="H47" s="21" t="s">
        <v>49</v>
      </c>
      <c r="I47" s="22">
        <v>2</v>
      </c>
      <c r="J47" s="23">
        <v>11</v>
      </c>
      <c r="K47" s="23">
        <v>22</v>
      </c>
    </row>
    <row r="48" ht="25.5" spans="4:11">
      <c r="D48" s="20">
        <v>46203</v>
      </c>
      <c r="E48" s="21">
        <v>1616244</v>
      </c>
      <c r="F48" s="21" t="s">
        <v>21</v>
      </c>
      <c r="G48" s="22">
        <v>20313588</v>
      </c>
      <c r="H48" s="21" t="s">
        <v>29</v>
      </c>
      <c r="I48" s="22">
        <v>4</v>
      </c>
      <c r="J48" s="23">
        <v>8</v>
      </c>
      <c r="K48" s="23">
        <v>32</v>
      </c>
    </row>
    <row r="49" spans="4:11">
      <c r="D49" s="20">
        <v>46203</v>
      </c>
      <c r="E49" s="21">
        <v>1616244</v>
      </c>
      <c r="F49" s="21" t="s">
        <v>21</v>
      </c>
      <c r="G49" s="22">
        <v>20312027</v>
      </c>
      <c r="H49" s="21" t="s">
        <v>49</v>
      </c>
      <c r="I49" s="22">
        <v>1</v>
      </c>
      <c r="J49" s="23">
        <v>11</v>
      </c>
      <c r="K49" s="23">
        <v>11</v>
      </c>
    </row>
    <row r="50" spans="4:11">
      <c r="D50" s="20">
        <v>46204</v>
      </c>
      <c r="E50" s="21">
        <v>1616477</v>
      </c>
      <c r="F50" s="21" t="s">
        <v>21</v>
      </c>
      <c r="G50" s="22">
        <v>20312027</v>
      </c>
      <c r="H50" s="21" t="s">
        <v>49</v>
      </c>
      <c r="I50" s="22">
        <v>13</v>
      </c>
      <c r="J50" s="23">
        <v>11</v>
      </c>
      <c r="K50" s="23">
        <v>143</v>
      </c>
    </row>
    <row r="51" spans="4:11">
      <c r="D51" s="20">
        <v>46205</v>
      </c>
      <c r="E51" s="21">
        <v>1616874</v>
      </c>
      <c r="F51" s="21" t="s">
        <v>21</v>
      </c>
      <c r="G51" s="22">
        <v>20312027</v>
      </c>
      <c r="H51" s="21" t="s">
        <v>49</v>
      </c>
      <c r="I51" s="22">
        <v>23</v>
      </c>
      <c r="J51" s="23">
        <v>11</v>
      </c>
      <c r="K51" s="23">
        <v>253</v>
      </c>
    </row>
    <row r="52" spans="4:11">
      <c r="D52" s="20">
        <v>46205</v>
      </c>
      <c r="E52" s="21">
        <v>1616966</v>
      </c>
      <c r="F52" s="21" t="s">
        <v>21</v>
      </c>
      <c r="G52" s="22">
        <v>20312027</v>
      </c>
      <c r="H52" s="21" t="s">
        <v>49</v>
      </c>
      <c r="I52" s="22">
        <v>12</v>
      </c>
      <c r="J52" s="23">
        <v>11</v>
      </c>
      <c r="K52" s="23">
        <v>132</v>
      </c>
    </row>
    <row r="53" spans="4:11">
      <c r="D53" s="20">
        <v>46206</v>
      </c>
      <c r="E53" s="21">
        <v>1617274</v>
      </c>
      <c r="F53" s="21" t="s">
        <v>21</v>
      </c>
      <c r="G53" s="22">
        <v>20312027</v>
      </c>
      <c r="H53" s="21" t="s">
        <v>49</v>
      </c>
      <c r="I53" s="22">
        <v>3</v>
      </c>
      <c r="J53" s="23">
        <v>11</v>
      </c>
      <c r="K53" s="23">
        <v>33</v>
      </c>
    </row>
    <row r="54" ht="25.5" spans="4:11">
      <c r="D54" s="20">
        <v>46206</v>
      </c>
      <c r="E54" s="21">
        <v>1617384</v>
      </c>
      <c r="F54" s="21" t="s">
        <v>21</v>
      </c>
      <c r="G54" s="22">
        <v>20313588</v>
      </c>
      <c r="H54" s="21" t="s">
        <v>29</v>
      </c>
      <c r="I54" s="22">
        <v>4</v>
      </c>
      <c r="J54" s="23">
        <v>8</v>
      </c>
      <c r="K54" s="23">
        <v>32</v>
      </c>
    </row>
    <row r="55" spans="4:11">
      <c r="D55" s="20">
        <v>46206</v>
      </c>
      <c r="E55" s="21">
        <v>1617384</v>
      </c>
      <c r="F55" s="21" t="s">
        <v>21</v>
      </c>
      <c r="G55" s="22">
        <v>20396337</v>
      </c>
      <c r="H55" s="21" t="s">
        <v>36</v>
      </c>
      <c r="I55" s="22">
        <v>1</v>
      </c>
      <c r="J55" s="23">
        <v>8</v>
      </c>
      <c r="K55" s="23">
        <v>8</v>
      </c>
    </row>
    <row r="56" spans="4:11">
      <c r="D56" s="20">
        <v>46206</v>
      </c>
      <c r="E56" s="21">
        <v>1617384</v>
      </c>
      <c r="F56" s="21" t="s">
        <v>21</v>
      </c>
      <c r="G56" s="22">
        <v>20395495</v>
      </c>
      <c r="H56" s="21" t="s">
        <v>37</v>
      </c>
      <c r="I56" s="22">
        <v>1</v>
      </c>
      <c r="J56" s="23">
        <v>13.5</v>
      </c>
      <c r="K56" s="23">
        <v>13.5</v>
      </c>
    </row>
    <row r="57" spans="4:11">
      <c r="D57" s="20">
        <v>46206</v>
      </c>
      <c r="E57" s="21">
        <v>1617384</v>
      </c>
      <c r="F57" s="21" t="s">
        <v>21</v>
      </c>
      <c r="G57" s="22">
        <v>20377357</v>
      </c>
      <c r="H57" s="21" t="s">
        <v>31</v>
      </c>
      <c r="I57" s="22">
        <v>9</v>
      </c>
      <c r="J57" s="23">
        <v>8</v>
      </c>
      <c r="K57" s="23">
        <v>72</v>
      </c>
    </row>
    <row r="58" spans="4:11">
      <c r="D58" s="20">
        <v>46206</v>
      </c>
      <c r="E58" s="21">
        <v>1617384</v>
      </c>
      <c r="F58" s="21" t="s">
        <v>21</v>
      </c>
      <c r="G58" s="22">
        <v>20312027</v>
      </c>
      <c r="H58" s="21" t="s">
        <v>49</v>
      </c>
      <c r="I58" s="22">
        <v>6</v>
      </c>
      <c r="J58" s="23">
        <v>11</v>
      </c>
      <c r="K58" s="23">
        <v>66</v>
      </c>
    </row>
    <row r="59" ht="25.5" spans="4:11">
      <c r="D59" s="20">
        <v>46206</v>
      </c>
      <c r="E59" s="21">
        <v>1617600</v>
      </c>
      <c r="F59" s="21" t="s">
        <v>21</v>
      </c>
      <c r="G59" s="22">
        <v>20313588</v>
      </c>
      <c r="H59" s="21" t="s">
        <v>29</v>
      </c>
      <c r="I59" s="22">
        <v>6</v>
      </c>
      <c r="J59" s="23">
        <v>8</v>
      </c>
      <c r="K59" s="23">
        <v>48</v>
      </c>
    </row>
    <row r="60" spans="4:11">
      <c r="D60" s="20">
        <v>46206</v>
      </c>
      <c r="E60" s="21">
        <v>1617600</v>
      </c>
      <c r="F60" s="21" t="s">
        <v>21</v>
      </c>
      <c r="G60" s="22">
        <v>20377357</v>
      </c>
      <c r="H60" s="21" t="s">
        <v>31</v>
      </c>
      <c r="I60" s="22">
        <v>8</v>
      </c>
      <c r="J60" s="23">
        <v>8</v>
      </c>
      <c r="K60" s="23">
        <v>64</v>
      </c>
    </row>
    <row r="61" spans="4:11">
      <c r="D61" s="20">
        <v>46206</v>
      </c>
      <c r="E61" s="21">
        <v>1617600</v>
      </c>
      <c r="F61" s="21" t="s">
        <v>21</v>
      </c>
      <c r="G61" s="22">
        <v>20312027</v>
      </c>
      <c r="H61" s="21" t="s">
        <v>49</v>
      </c>
      <c r="I61" s="22">
        <v>15</v>
      </c>
      <c r="J61" s="23">
        <v>11</v>
      </c>
      <c r="K61" s="23">
        <v>165</v>
      </c>
    </row>
    <row r="62" spans="4:11">
      <c r="D62" s="20">
        <v>46210</v>
      </c>
      <c r="E62" s="21">
        <v>1618074</v>
      </c>
      <c r="F62" s="21" t="s">
        <v>21</v>
      </c>
      <c r="G62" s="22">
        <v>20312027</v>
      </c>
      <c r="H62" s="21" t="s">
        <v>49</v>
      </c>
      <c r="I62" s="22">
        <v>16</v>
      </c>
      <c r="J62" s="23">
        <v>11</v>
      </c>
      <c r="K62" s="23">
        <v>176</v>
      </c>
    </row>
    <row r="63" ht="25.5" spans="4:11">
      <c r="D63" s="20">
        <v>46210</v>
      </c>
      <c r="E63" s="21">
        <v>1618264</v>
      </c>
      <c r="F63" s="21" t="s">
        <v>21</v>
      </c>
      <c r="G63" s="22">
        <v>20313588</v>
      </c>
      <c r="H63" s="21" t="s">
        <v>29</v>
      </c>
      <c r="I63" s="22">
        <v>6</v>
      </c>
      <c r="J63" s="23">
        <v>8</v>
      </c>
      <c r="K63" s="23">
        <v>48</v>
      </c>
    </row>
    <row r="64" spans="4:11">
      <c r="D64" s="20">
        <v>46210</v>
      </c>
      <c r="E64" s="21">
        <v>1618264</v>
      </c>
      <c r="F64" s="21" t="s">
        <v>21</v>
      </c>
      <c r="G64" s="22">
        <v>20377357</v>
      </c>
      <c r="H64" s="21" t="s">
        <v>31</v>
      </c>
      <c r="I64" s="22">
        <v>6</v>
      </c>
      <c r="J64" s="23">
        <v>8</v>
      </c>
      <c r="K64" s="23">
        <v>48</v>
      </c>
    </row>
    <row r="65" spans="4:11">
      <c r="D65" s="20">
        <v>46210</v>
      </c>
      <c r="E65" s="21">
        <v>1618264</v>
      </c>
      <c r="F65" s="21" t="s">
        <v>21</v>
      </c>
      <c r="G65" s="22">
        <v>20312027</v>
      </c>
      <c r="H65" s="21" t="s">
        <v>49</v>
      </c>
      <c r="I65" s="22">
        <v>6</v>
      </c>
      <c r="J65" s="23">
        <v>11</v>
      </c>
      <c r="K65" s="23">
        <v>66</v>
      </c>
    </row>
    <row r="66" spans="4:11">
      <c r="D66" s="20">
        <v>46211</v>
      </c>
      <c r="E66" s="21">
        <v>1618512</v>
      </c>
      <c r="F66" s="21" t="s">
        <v>21</v>
      </c>
      <c r="G66" s="22">
        <v>20312027</v>
      </c>
      <c r="H66" s="21" t="s">
        <v>49</v>
      </c>
      <c r="I66" s="22">
        <v>7</v>
      </c>
      <c r="J66" s="23">
        <v>11</v>
      </c>
      <c r="K66" s="23">
        <v>77</v>
      </c>
    </row>
    <row r="67" ht="25.5" spans="4:11">
      <c r="D67" s="20">
        <v>46211</v>
      </c>
      <c r="E67" s="21">
        <v>1618646</v>
      </c>
      <c r="F67" s="21" t="s">
        <v>21</v>
      </c>
      <c r="G67" s="22">
        <v>20313588</v>
      </c>
      <c r="H67" s="21" t="s">
        <v>29</v>
      </c>
      <c r="I67" s="22">
        <v>1</v>
      </c>
      <c r="J67" s="23">
        <v>8</v>
      </c>
      <c r="K67" s="23">
        <v>8</v>
      </c>
    </row>
    <row r="68" spans="4:11">
      <c r="D68" s="20">
        <v>46211</v>
      </c>
      <c r="E68" s="21">
        <v>1618646</v>
      </c>
      <c r="F68" s="21" t="s">
        <v>21</v>
      </c>
      <c r="G68" s="22">
        <v>20377357</v>
      </c>
      <c r="H68" s="21" t="s">
        <v>31</v>
      </c>
      <c r="I68" s="22">
        <v>3</v>
      </c>
      <c r="J68" s="23">
        <v>8</v>
      </c>
      <c r="K68" s="23">
        <v>24</v>
      </c>
    </row>
    <row r="69" spans="4:11">
      <c r="D69" s="20">
        <v>46211</v>
      </c>
      <c r="E69" s="21">
        <v>1618646</v>
      </c>
      <c r="F69" s="21" t="s">
        <v>21</v>
      </c>
      <c r="G69" s="22">
        <v>20312027</v>
      </c>
      <c r="H69" s="21" t="s">
        <v>49</v>
      </c>
      <c r="I69" s="22">
        <v>1</v>
      </c>
      <c r="J69" s="23">
        <v>11</v>
      </c>
      <c r="K69" s="23">
        <v>11</v>
      </c>
    </row>
    <row r="70" ht="25.5" spans="4:11">
      <c r="D70" s="20">
        <v>46212</v>
      </c>
      <c r="E70" s="21">
        <v>1618874</v>
      </c>
      <c r="F70" s="21" t="s">
        <v>21</v>
      </c>
      <c r="G70" s="22">
        <v>20313588</v>
      </c>
      <c r="H70" s="21" t="s">
        <v>29</v>
      </c>
      <c r="I70" s="22">
        <v>3</v>
      </c>
      <c r="J70" s="23">
        <v>8</v>
      </c>
      <c r="K70" s="23">
        <v>24</v>
      </c>
    </row>
    <row r="71" spans="4:11">
      <c r="D71" s="20">
        <v>46212</v>
      </c>
      <c r="E71" s="21">
        <v>1618874</v>
      </c>
      <c r="F71" s="21" t="s">
        <v>21</v>
      </c>
      <c r="G71" s="22">
        <v>20324084</v>
      </c>
      <c r="H71" s="21" t="s">
        <v>22</v>
      </c>
      <c r="I71" s="22">
        <v>1</v>
      </c>
      <c r="J71" s="23">
        <v>8</v>
      </c>
      <c r="K71" s="23">
        <v>8</v>
      </c>
    </row>
    <row r="72" spans="4:11">
      <c r="D72" s="20">
        <v>46212</v>
      </c>
      <c r="E72" s="21">
        <v>1618874</v>
      </c>
      <c r="F72" s="21" t="s">
        <v>21</v>
      </c>
      <c r="G72" s="22">
        <v>20377357</v>
      </c>
      <c r="H72" s="21" t="s">
        <v>31</v>
      </c>
      <c r="I72" s="22">
        <v>6</v>
      </c>
      <c r="J72" s="23">
        <v>8</v>
      </c>
      <c r="K72" s="23">
        <v>48</v>
      </c>
    </row>
    <row r="73" spans="4:11">
      <c r="D73" s="20">
        <v>46212</v>
      </c>
      <c r="E73" s="21">
        <v>1618874</v>
      </c>
      <c r="F73" s="21" t="s">
        <v>21</v>
      </c>
      <c r="G73" s="22">
        <v>20312027</v>
      </c>
      <c r="H73" s="21" t="s">
        <v>49</v>
      </c>
      <c r="I73" s="22">
        <v>7</v>
      </c>
      <c r="J73" s="23">
        <v>11</v>
      </c>
      <c r="K73" s="23">
        <v>77</v>
      </c>
    </row>
    <row r="74" spans="4:11">
      <c r="D74" s="20">
        <v>46212</v>
      </c>
      <c r="E74" s="21">
        <v>1618874</v>
      </c>
      <c r="F74" s="21" t="s">
        <v>21</v>
      </c>
      <c r="G74" s="22">
        <v>20005849</v>
      </c>
      <c r="H74" s="21" t="s">
        <v>51</v>
      </c>
      <c r="I74" s="22">
        <v>1</v>
      </c>
      <c r="J74" s="23">
        <v>8</v>
      </c>
      <c r="K74" s="23">
        <v>8</v>
      </c>
    </row>
    <row r="75" ht="25.5" spans="4:11">
      <c r="D75" s="20">
        <v>46213</v>
      </c>
      <c r="E75" s="21">
        <v>1619278</v>
      </c>
      <c r="F75" s="21" t="s">
        <v>21</v>
      </c>
      <c r="G75" s="22">
        <v>20313588</v>
      </c>
      <c r="H75" s="21" t="s">
        <v>29</v>
      </c>
      <c r="I75" s="22">
        <v>6</v>
      </c>
      <c r="J75" s="23">
        <v>8</v>
      </c>
      <c r="K75" s="23">
        <v>48</v>
      </c>
    </row>
    <row r="76" spans="4:11">
      <c r="D76" s="20">
        <v>46213</v>
      </c>
      <c r="E76" s="21">
        <v>1619278</v>
      </c>
      <c r="F76" s="21" t="s">
        <v>21</v>
      </c>
      <c r="G76" s="22">
        <v>20377357</v>
      </c>
      <c r="H76" s="21" t="s">
        <v>31</v>
      </c>
      <c r="I76" s="22">
        <v>3</v>
      </c>
      <c r="J76" s="23">
        <v>8</v>
      </c>
      <c r="K76" s="23">
        <v>24</v>
      </c>
    </row>
    <row r="77" spans="4:11">
      <c r="D77" s="20">
        <v>46213</v>
      </c>
      <c r="E77" s="21">
        <v>1619278</v>
      </c>
      <c r="F77" s="21" t="s">
        <v>21</v>
      </c>
      <c r="G77" s="22">
        <v>20312027</v>
      </c>
      <c r="H77" s="21" t="s">
        <v>49</v>
      </c>
      <c r="I77" s="22">
        <v>5</v>
      </c>
      <c r="J77" s="23">
        <v>11</v>
      </c>
      <c r="K77" s="23">
        <v>55</v>
      </c>
    </row>
    <row r="78" spans="4:11">
      <c r="D78" s="20">
        <v>46213</v>
      </c>
      <c r="E78" s="21">
        <v>1619382</v>
      </c>
      <c r="F78" s="21" t="s">
        <v>21</v>
      </c>
      <c r="G78" s="22">
        <v>20324084</v>
      </c>
      <c r="H78" s="21" t="s">
        <v>22</v>
      </c>
      <c r="I78" s="22">
        <v>1</v>
      </c>
      <c r="J78" s="23">
        <v>8</v>
      </c>
      <c r="K78" s="23">
        <v>8</v>
      </c>
    </row>
    <row r="79" spans="4:11">
      <c r="D79" s="20">
        <v>46213</v>
      </c>
      <c r="E79" s="21">
        <v>1619382</v>
      </c>
      <c r="F79" s="21" t="s">
        <v>21</v>
      </c>
      <c r="G79" s="22">
        <v>20347963</v>
      </c>
      <c r="H79" s="21" t="s">
        <v>53</v>
      </c>
      <c r="I79" s="22">
        <v>1</v>
      </c>
      <c r="J79" s="23">
        <v>8</v>
      </c>
      <c r="K79" s="23">
        <v>8</v>
      </c>
    </row>
    <row r="80" spans="4:11">
      <c r="D80" s="20">
        <v>46213</v>
      </c>
      <c r="E80" s="21">
        <v>1619382</v>
      </c>
      <c r="F80" s="21" t="s">
        <v>21</v>
      </c>
      <c r="G80" s="22">
        <v>20377357</v>
      </c>
      <c r="H80" s="21" t="s">
        <v>31</v>
      </c>
      <c r="I80" s="22">
        <v>6</v>
      </c>
      <c r="J80" s="23">
        <v>8</v>
      </c>
      <c r="K80" s="23">
        <v>48</v>
      </c>
    </row>
    <row r="81" spans="4:11">
      <c r="D81" s="20">
        <v>46213</v>
      </c>
      <c r="E81" s="21">
        <v>1619382</v>
      </c>
      <c r="F81" s="21" t="s">
        <v>21</v>
      </c>
      <c r="G81" s="22">
        <v>20312027</v>
      </c>
      <c r="H81" s="21" t="s">
        <v>49</v>
      </c>
      <c r="I81" s="22">
        <v>4</v>
      </c>
      <c r="J81" s="23">
        <v>11</v>
      </c>
      <c r="K81" s="23">
        <v>44</v>
      </c>
    </row>
    <row r="82" ht="25.5" spans="4:11">
      <c r="D82" s="20">
        <v>46213</v>
      </c>
      <c r="E82" s="21">
        <v>1619570</v>
      </c>
      <c r="F82" s="21" t="s">
        <v>21</v>
      </c>
      <c r="G82" s="22">
        <v>20313588</v>
      </c>
      <c r="H82" s="21" t="s">
        <v>29</v>
      </c>
      <c r="I82" s="22">
        <v>4</v>
      </c>
      <c r="J82" s="23">
        <v>8</v>
      </c>
      <c r="K82" s="23">
        <v>32</v>
      </c>
    </row>
    <row r="83" spans="4:11">
      <c r="D83" s="20">
        <v>46213</v>
      </c>
      <c r="E83" s="21">
        <v>1619570</v>
      </c>
      <c r="F83" s="21" t="s">
        <v>21</v>
      </c>
      <c r="G83" s="22">
        <v>20324084</v>
      </c>
      <c r="H83" s="21" t="s">
        <v>22</v>
      </c>
      <c r="I83" s="22">
        <v>2</v>
      </c>
      <c r="J83" s="23">
        <v>8</v>
      </c>
      <c r="K83" s="23">
        <v>16</v>
      </c>
    </row>
    <row r="84" spans="4:11">
      <c r="D84" s="20">
        <v>46213</v>
      </c>
      <c r="E84" s="21">
        <v>1619570</v>
      </c>
      <c r="F84" s="21" t="s">
        <v>21</v>
      </c>
      <c r="G84" s="22">
        <v>20347963</v>
      </c>
      <c r="H84" s="21" t="s">
        <v>53</v>
      </c>
      <c r="I84" s="22">
        <v>1</v>
      </c>
      <c r="J84" s="23">
        <v>8</v>
      </c>
      <c r="K84" s="23">
        <v>8</v>
      </c>
    </row>
    <row r="85" spans="4:11">
      <c r="D85" s="20">
        <v>46213</v>
      </c>
      <c r="E85" s="21">
        <v>1619570</v>
      </c>
      <c r="F85" s="21" t="s">
        <v>21</v>
      </c>
      <c r="G85" s="22">
        <v>20377357</v>
      </c>
      <c r="H85" s="21" t="s">
        <v>31</v>
      </c>
      <c r="I85" s="22">
        <v>6</v>
      </c>
      <c r="J85" s="23">
        <v>8</v>
      </c>
      <c r="K85" s="23">
        <v>48</v>
      </c>
    </row>
    <row r="86" spans="4:11">
      <c r="D86" s="20">
        <v>46213</v>
      </c>
      <c r="E86" s="21">
        <v>1619570</v>
      </c>
      <c r="F86" s="21" t="s">
        <v>21</v>
      </c>
      <c r="G86" s="22">
        <v>20312027</v>
      </c>
      <c r="H86" s="21" t="s">
        <v>49</v>
      </c>
      <c r="I86" s="22">
        <v>3</v>
      </c>
      <c r="J86" s="23">
        <v>11</v>
      </c>
      <c r="K86" s="23">
        <v>33</v>
      </c>
    </row>
    <row r="87" spans="4:11">
      <c r="D87" s="20">
        <v>46217</v>
      </c>
      <c r="E87" s="21">
        <v>1620139</v>
      </c>
      <c r="F87" s="21" t="s">
        <v>21</v>
      </c>
      <c r="G87" s="22">
        <v>20312027</v>
      </c>
      <c r="H87" s="21" t="s">
        <v>49</v>
      </c>
      <c r="I87" s="22">
        <v>9</v>
      </c>
      <c r="J87" s="23">
        <v>11</v>
      </c>
      <c r="K87" s="23">
        <v>99</v>
      </c>
    </row>
    <row r="88" ht="25.5" spans="4:11">
      <c r="D88" s="20">
        <v>46217</v>
      </c>
      <c r="E88" s="21">
        <v>1620256</v>
      </c>
      <c r="F88" s="21" t="s">
        <v>21</v>
      </c>
      <c r="G88" s="22">
        <v>20313588</v>
      </c>
      <c r="H88" s="21" t="s">
        <v>29</v>
      </c>
      <c r="I88" s="22">
        <v>3</v>
      </c>
      <c r="J88" s="23">
        <v>8</v>
      </c>
      <c r="K88" s="23">
        <v>24</v>
      </c>
    </row>
    <row r="89" spans="4:11">
      <c r="D89" s="20">
        <v>46217</v>
      </c>
      <c r="E89" s="21">
        <v>1620256</v>
      </c>
      <c r="F89" s="21" t="s">
        <v>21</v>
      </c>
      <c r="G89" s="22">
        <v>20324084</v>
      </c>
      <c r="H89" s="21" t="s">
        <v>22</v>
      </c>
      <c r="I89" s="22">
        <v>2</v>
      </c>
      <c r="J89" s="23">
        <v>8</v>
      </c>
      <c r="K89" s="23">
        <v>16</v>
      </c>
    </row>
    <row r="90" spans="4:11">
      <c r="D90" s="20">
        <v>46217</v>
      </c>
      <c r="E90" s="21">
        <v>1620256</v>
      </c>
      <c r="F90" s="21" t="s">
        <v>21</v>
      </c>
      <c r="G90" s="22">
        <v>20396339</v>
      </c>
      <c r="H90" s="21" t="s">
        <v>46</v>
      </c>
      <c r="I90" s="22">
        <v>2</v>
      </c>
      <c r="J90" s="23">
        <v>11</v>
      </c>
      <c r="K90" s="23">
        <v>22</v>
      </c>
    </row>
    <row r="91" spans="4:11">
      <c r="D91" s="20">
        <v>46217</v>
      </c>
      <c r="E91" s="21">
        <v>1620256</v>
      </c>
      <c r="F91" s="21" t="s">
        <v>21</v>
      </c>
      <c r="G91" s="22">
        <v>20347963</v>
      </c>
      <c r="H91" s="21" t="s">
        <v>53</v>
      </c>
      <c r="I91" s="22">
        <v>1</v>
      </c>
      <c r="J91" s="23">
        <v>8</v>
      </c>
      <c r="K91" s="23">
        <v>8</v>
      </c>
    </row>
    <row r="92" spans="4:11">
      <c r="D92" s="20">
        <v>46217</v>
      </c>
      <c r="E92" s="21">
        <v>1620256</v>
      </c>
      <c r="F92" s="21" t="s">
        <v>21</v>
      </c>
      <c r="G92" s="22">
        <v>20377357</v>
      </c>
      <c r="H92" s="21" t="s">
        <v>31</v>
      </c>
      <c r="I92" s="22">
        <v>7</v>
      </c>
      <c r="J92" s="23">
        <v>8</v>
      </c>
      <c r="K92" s="23">
        <v>56</v>
      </c>
    </row>
    <row r="93" spans="4:11">
      <c r="D93" s="20">
        <v>46217</v>
      </c>
      <c r="E93" s="21">
        <v>1620256</v>
      </c>
      <c r="F93" s="21" t="s">
        <v>21</v>
      </c>
      <c r="G93" s="22">
        <v>20312027</v>
      </c>
      <c r="H93" s="21" t="s">
        <v>49</v>
      </c>
      <c r="I93" s="22">
        <v>1</v>
      </c>
      <c r="J93" s="23">
        <v>11</v>
      </c>
      <c r="K93" s="23">
        <v>11</v>
      </c>
    </row>
    <row r="94" ht="0.05" customHeight="1"/>
  </sheetData>
  <mergeCells count="5">
    <mergeCell ref="D8:H8"/>
    <mergeCell ref="C7:C93"/>
    <mergeCell ref="B4:H5"/>
    <mergeCell ref="A7:B9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8:31 
&amp;"-,Bold"&amp;10 黑龙江省铂康医疗灭菌有限公司 &amp;R&amp;"Droid Sans Fallback"&amp;9第&amp;P页，共&amp;N页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9"/>
  <sheetViews>
    <sheetView showGridLines="0" view="pageBreakPreview" zoomScaleNormal="100" workbookViewId="0">
      <pane ySplit="6" topLeftCell="A51" activePane="bottomLeft" state="frozen"/>
      <selection/>
      <selection pane="bottomLeft" activeCell="K9" sqref="K9:K8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0.625" customWidth="1"/>
    <col min="9" max="9" width="11" customWidth="1"/>
    <col min="10" max="10" width="12.2083333333333" customWidth="1"/>
    <col min="11" max="11" width="10.875" customWidth="1"/>
  </cols>
  <sheetData>
    <row r="1" spans="1:11">
      <c r="C1" s="10" t="s">
        <v>0</v>
      </c>
    </row>
    <row r="2" ht="23.05" customHeight="1"/>
    <row r="3" ht="2" customHeight="1"/>
    <row r="4" ht="15.2" customHeight="1" spans="1:11">
      <c r="B4" s="11" t="s">
        <v>1</v>
      </c>
    </row>
    <row r="6" ht="2.95" customHeight="1"/>
    <row r="7" spans="1:11">
      <c r="A7" s="12" t="s">
        <v>2</v>
      </c>
      <c r="B7" s="13" t="s">
        <v>2</v>
      </c>
      <c r="C7" s="14" t="s">
        <v>2</v>
      </c>
      <c r="D7" s="15" t="s">
        <v>4</v>
      </c>
      <c r="E7" s="15" t="s">
        <v>5</v>
      </c>
      <c r="F7" s="15" t="s">
        <v>6</v>
      </c>
      <c r="G7" s="15" t="s">
        <v>7</v>
      </c>
      <c r="H7" s="15" t="s">
        <v>8</v>
      </c>
      <c r="I7" s="15" t="s">
        <v>9</v>
      </c>
      <c r="J7" s="15" t="s">
        <v>10</v>
      </c>
      <c r="K7" s="15" t="s">
        <v>11</v>
      </c>
    </row>
    <row r="8" ht="14.25" spans="1:11">
      <c r="D8" s="16" t="s">
        <v>57</v>
      </c>
      <c r="E8" s="17" t="s">
        <v>2</v>
      </c>
      <c r="F8" s="17" t="s">
        <v>2</v>
      </c>
      <c r="G8" s="17" t="s">
        <v>2</v>
      </c>
      <c r="H8" s="17" t="s">
        <v>2</v>
      </c>
      <c r="I8" s="18">
        <v>199</v>
      </c>
      <c r="J8" s="19"/>
      <c r="K8" s="19">
        <v>1808.5</v>
      </c>
    </row>
    <row r="9" spans="1:11">
      <c r="D9" s="20">
        <v>46189</v>
      </c>
      <c r="E9" s="21">
        <v>1612526</v>
      </c>
      <c r="F9" s="21" t="s">
        <v>21</v>
      </c>
      <c r="G9" s="22">
        <v>20406253</v>
      </c>
      <c r="H9" s="21" t="s">
        <v>50</v>
      </c>
      <c r="I9" s="22">
        <v>2</v>
      </c>
      <c r="J9" s="23">
        <v>13.5</v>
      </c>
      <c r="K9" s="23">
        <v>27</v>
      </c>
    </row>
    <row r="10" ht="25.5" spans="1:11">
      <c r="D10" s="20">
        <v>46189</v>
      </c>
      <c r="E10" s="21">
        <v>1612526</v>
      </c>
      <c r="F10" s="21" t="s">
        <v>21</v>
      </c>
      <c r="G10" s="22">
        <v>20313588</v>
      </c>
      <c r="H10" s="21" t="s">
        <v>29</v>
      </c>
      <c r="I10" s="22">
        <v>3</v>
      </c>
      <c r="J10" s="23">
        <v>8</v>
      </c>
      <c r="K10" s="23">
        <v>24</v>
      </c>
    </row>
    <row r="11" spans="1:11">
      <c r="D11" s="20">
        <v>46190</v>
      </c>
      <c r="E11" s="21">
        <v>1612776</v>
      </c>
      <c r="F11" s="21" t="s">
        <v>21</v>
      </c>
      <c r="G11" s="22">
        <v>20376624</v>
      </c>
      <c r="H11" s="21" t="s">
        <v>32</v>
      </c>
      <c r="I11" s="22">
        <v>1</v>
      </c>
      <c r="J11" s="23">
        <v>8</v>
      </c>
      <c r="K11" s="23">
        <v>8</v>
      </c>
    </row>
    <row r="12" spans="1:11">
      <c r="D12" s="20">
        <v>46190</v>
      </c>
      <c r="E12" s="21">
        <v>1612776</v>
      </c>
      <c r="F12" s="21" t="s">
        <v>21</v>
      </c>
      <c r="G12" s="22">
        <v>20406253</v>
      </c>
      <c r="H12" s="21" t="s">
        <v>50</v>
      </c>
      <c r="I12" s="22">
        <v>1</v>
      </c>
      <c r="J12" s="23">
        <v>13.5</v>
      </c>
      <c r="K12" s="23">
        <v>13.5</v>
      </c>
    </row>
    <row r="13" ht="25.5" spans="1:11">
      <c r="D13" s="20">
        <v>46190</v>
      </c>
      <c r="E13" s="21">
        <v>1612776</v>
      </c>
      <c r="F13" s="21" t="s">
        <v>21</v>
      </c>
      <c r="G13" s="22">
        <v>20313588</v>
      </c>
      <c r="H13" s="21" t="s">
        <v>29</v>
      </c>
      <c r="I13" s="22">
        <v>7</v>
      </c>
      <c r="J13" s="23">
        <v>8</v>
      </c>
      <c r="K13" s="23">
        <v>56</v>
      </c>
    </row>
    <row r="14" spans="1:11">
      <c r="D14" s="20">
        <v>46190</v>
      </c>
      <c r="E14" s="21">
        <v>1612776</v>
      </c>
      <c r="F14" s="21" t="s">
        <v>21</v>
      </c>
      <c r="G14" s="22">
        <v>20377357</v>
      </c>
      <c r="H14" s="21" t="s">
        <v>31</v>
      </c>
      <c r="I14" s="22">
        <v>4</v>
      </c>
      <c r="J14" s="23">
        <v>8</v>
      </c>
      <c r="K14" s="23">
        <v>32</v>
      </c>
    </row>
    <row r="15" spans="1:11">
      <c r="D15" s="20">
        <v>46190</v>
      </c>
      <c r="E15" s="21">
        <v>1612929</v>
      </c>
      <c r="F15" s="21" t="s">
        <v>21</v>
      </c>
      <c r="G15" s="22">
        <v>20398872</v>
      </c>
      <c r="H15" s="21" t="s">
        <v>58</v>
      </c>
      <c r="I15" s="22">
        <v>1</v>
      </c>
      <c r="J15" s="23">
        <v>8</v>
      </c>
      <c r="K15" s="23">
        <v>8</v>
      </c>
    </row>
    <row r="16" spans="1:11">
      <c r="D16" s="20">
        <v>46190</v>
      </c>
      <c r="E16" s="21">
        <v>1612929</v>
      </c>
      <c r="F16" s="21" t="s">
        <v>21</v>
      </c>
      <c r="G16" s="22">
        <v>20406253</v>
      </c>
      <c r="H16" s="21" t="s">
        <v>50</v>
      </c>
      <c r="I16" s="22">
        <v>2</v>
      </c>
      <c r="J16" s="23">
        <v>13.5</v>
      </c>
      <c r="K16" s="23">
        <v>27</v>
      </c>
    </row>
    <row r="17" ht="25.5" spans="4:11">
      <c r="D17" s="20">
        <v>46190</v>
      </c>
      <c r="E17" s="21">
        <v>1612929</v>
      </c>
      <c r="F17" s="21" t="s">
        <v>21</v>
      </c>
      <c r="G17" s="22">
        <v>20313588</v>
      </c>
      <c r="H17" s="21" t="s">
        <v>29</v>
      </c>
      <c r="I17" s="22">
        <v>3</v>
      </c>
      <c r="J17" s="23">
        <v>8</v>
      </c>
      <c r="K17" s="23">
        <v>24</v>
      </c>
    </row>
    <row r="18" spans="4:11">
      <c r="D18" s="20">
        <v>46190</v>
      </c>
      <c r="E18" s="21">
        <v>1612929</v>
      </c>
      <c r="F18" s="21" t="s">
        <v>21</v>
      </c>
      <c r="G18" s="22">
        <v>20377357</v>
      </c>
      <c r="H18" s="21" t="s">
        <v>31</v>
      </c>
      <c r="I18" s="22">
        <v>3</v>
      </c>
      <c r="J18" s="23">
        <v>8</v>
      </c>
      <c r="K18" s="23">
        <v>24</v>
      </c>
    </row>
    <row r="19" spans="4:11">
      <c r="D19" s="20">
        <v>46190</v>
      </c>
      <c r="E19" s="21">
        <v>1612929</v>
      </c>
      <c r="F19" s="21" t="s">
        <v>21</v>
      </c>
      <c r="G19" s="22">
        <v>20395865</v>
      </c>
      <c r="H19" s="21" t="s">
        <v>42</v>
      </c>
      <c r="I19" s="22">
        <v>1</v>
      </c>
      <c r="J19" s="23">
        <v>8</v>
      </c>
      <c r="K19" s="23">
        <v>8</v>
      </c>
    </row>
    <row r="20" spans="4:11">
      <c r="D20" s="20">
        <v>46191</v>
      </c>
      <c r="E20" s="21">
        <v>1613217</v>
      </c>
      <c r="F20" s="21" t="s">
        <v>21</v>
      </c>
      <c r="G20" s="22">
        <v>20394943</v>
      </c>
      <c r="H20" s="21" t="s">
        <v>35</v>
      </c>
      <c r="I20" s="22">
        <v>2</v>
      </c>
      <c r="J20" s="23">
        <v>11</v>
      </c>
      <c r="K20" s="23">
        <v>22</v>
      </c>
    </row>
    <row r="21" spans="4:11">
      <c r="D21" s="20">
        <v>46191</v>
      </c>
      <c r="E21" s="21">
        <v>1613217</v>
      </c>
      <c r="F21" s="21" t="s">
        <v>21</v>
      </c>
      <c r="G21" s="22">
        <v>20312027</v>
      </c>
      <c r="H21" s="21" t="s">
        <v>49</v>
      </c>
      <c r="I21" s="22">
        <v>2</v>
      </c>
      <c r="J21" s="23">
        <v>11</v>
      </c>
      <c r="K21" s="23">
        <v>22</v>
      </c>
    </row>
    <row r="22" ht="25.5" spans="4:11">
      <c r="D22" s="20">
        <v>46191</v>
      </c>
      <c r="E22" s="21">
        <v>1613325</v>
      </c>
      <c r="F22" s="21" t="s">
        <v>21</v>
      </c>
      <c r="G22" s="22">
        <v>20313588</v>
      </c>
      <c r="H22" s="21" t="s">
        <v>29</v>
      </c>
      <c r="I22" s="22">
        <v>2</v>
      </c>
      <c r="J22" s="23">
        <v>8</v>
      </c>
      <c r="K22" s="23">
        <v>16</v>
      </c>
    </row>
    <row r="23" spans="4:11">
      <c r="D23" s="20">
        <v>46191</v>
      </c>
      <c r="E23" s="21">
        <v>1613325</v>
      </c>
      <c r="F23" s="21" t="s">
        <v>21</v>
      </c>
      <c r="G23" s="22">
        <v>20312027</v>
      </c>
      <c r="H23" s="21" t="s">
        <v>49</v>
      </c>
      <c r="I23" s="22">
        <v>2</v>
      </c>
      <c r="J23" s="23">
        <v>11</v>
      </c>
      <c r="K23" s="23">
        <v>22</v>
      </c>
    </row>
    <row r="24" spans="4:11">
      <c r="D24" s="20">
        <v>46196</v>
      </c>
      <c r="E24" s="21">
        <v>1614310</v>
      </c>
      <c r="F24" s="21" t="s">
        <v>21</v>
      </c>
      <c r="G24" s="22">
        <v>20376624</v>
      </c>
      <c r="H24" s="21" t="s">
        <v>32</v>
      </c>
      <c r="I24" s="22">
        <v>1</v>
      </c>
      <c r="J24" s="23">
        <v>8</v>
      </c>
      <c r="K24" s="23">
        <v>8</v>
      </c>
    </row>
    <row r="25" spans="4:11">
      <c r="D25" s="20">
        <v>46196</v>
      </c>
      <c r="E25" s="21">
        <v>1614310</v>
      </c>
      <c r="F25" s="21" t="s">
        <v>21</v>
      </c>
      <c r="G25" s="22">
        <v>20406253</v>
      </c>
      <c r="H25" s="21" t="s">
        <v>50</v>
      </c>
      <c r="I25" s="22">
        <v>3</v>
      </c>
      <c r="J25" s="23">
        <v>13.5</v>
      </c>
      <c r="K25" s="23">
        <v>40.5</v>
      </c>
    </row>
    <row r="26" ht="25.5" spans="4:11">
      <c r="D26" s="20">
        <v>46196</v>
      </c>
      <c r="E26" s="21">
        <v>1614310</v>
      </c>
      <c r="F26" s="21" t="s">
        <v>21</v>
      </c>
      <c r="G26" s="22">
        <v>20313588</v>
      </c>
      <c r="H26" s="21" t="s">
        <v>29</v>
      </c>
      <c r="I26" s="22">
        <v>4</v>
      </c>
      <c r="J26" s="23">
        <v>8</v>
      </c>
      <c r="K26" s="23">
        <v>32</v>
      </c>
    </row>
    <row r="27" spans="4:11">
      <c r="D27" s="20">
        <v>46196</v>
      </c>
      <c r="E27" s="21">
        <v>1614310</v>
      </c>
      <c r="F27" s="21" t="s">
        <v>21</v>
      </c>
      <c r="G27" s="22">
        <v>20396337</v>
      </c>
      <c r="H27" s="21" t="s">
        <v>36</v>
      </c>
      <c r="I27" s="22">
        <v>1</v>
      </c>
      <c r="J27" s="23">
        <v>8</v>
      </c>
      <c r="K27" s="23">
        <v>8</v>
      </c>
    </row>
    <row r="28" spans="4:11">
      <c r="D28" s="20">
        <v>46196</v>
      </c>
      <c r="E28" s="21">
        <v>1614310</v>
      </c>
      <c r="F28" s="21" t="s">
        <v>21</v>
      </c>
      <c r="G28" s="22">
        <v>20376621</v>
      </c>
      <c r="H28" s="21" t="s">
        <v>59</v>
      </c>
      <c r="I28" s="22">
        <v>1</v>
      </c>
      <c r="J28" s="23">
        <v>8</v>
      </c>
      <c r="K28" s="23">
        <v>8</v>
      </c>
    </row>
    <row r="29" spans="4:11">
      <c r="D29" s="20">
        <v>46196</v>
      </c>
      <c r="E29" s="21">
        <v>1614310</v>
      </c>
      <c r="F29" s="21" t="s">
        <v>21</v>
      </c>
      <c r="G29" s="22">
        <v>20377357</v>
      </c>
      <c r="H29" s="21" t="s">
        <v>31</v>
      </c>
      <c r="I29" s="22">
        <v>6</v>
      </c>
      <c r="J29" s="23">
        <v>8</v>
      </c>
      <c r="K29" s="23">
        <v>48</v>
      </c>
    </row>
    <row r="30" spans="4:11">
      <c r="D30" s="20">
        <v>46196</v>
      </c>
      <c r="E30" s="21">
        <v>1614310</v>
      </c>
      <c r="F30" s="21" t="s">
        <v>21</v>
      </c>
      <c r="G30" s="22">
        <v>20397096</v>
      </c>
      <c r="H30" s="21" t="s">
        <v>60</v>
      </c>
      <c r="I30" s="22">
        <v>1</v>
      </c>
      <c r="J30" s="23">
        <v>8</v>
      </c>
      <c r="K30" s="23">
        <v>8</v>
      </c>
    </row>
    <row r="31" ht="25.5" spans="4:11">
      <c r="D31" s="20">
        <v>46197</v>
      </c>
      <c r="E31" s="21">
        <v>1614652</v>
      </c>
      <c r="F31" s="21" t="s">
        <v>21</v>
      </c>
      <c r="G31" s="22">
        <v>20313588</v>
      </c>
      <c r="H31" s="21" t="s">
        <v>29</v>
      </c>
      <c r="I31" s="22">
        <v>4</v>
      </c>
      <c r="J31" s="23">
        <v>8</v>
      </c>
      <c r="K31" s="23">
        <v>32</v>
      </c>
    </row>
    <row r="32" spans="4:11">
      <c r="D32" s="20">
        <v>46197</v>
      </c>
      <c r="E32" s="21">
        <v>1614652</v>
      </c>
      <c r="F32" s="21" t="s">
        <v>21</v>
      </c>
      <c r="G32" s="22">
        <v>20377357</v>
      </c>
      <c r="H32" s="21" t="s">
        <v>31</v>
      </c>
      <c r="I32" s="22">
        <v>2</v>
      </c>
      <c r="J32" s="23">
        <v>8</v>
      </c>
      <c r="K32" s="23">
        <v>16</v>
      </c>
    </row>
    <row r="33" spans="4:11">
      <c r="D33" s="20">
        <v>46197</v>
      </c>
      <c r="E33" s="21">
        <v>1614904</v>
      </c>
      <c r="F33" s="21" t="s">
        <v>21</v>
      </c>
      <c r="G33" s="22">
        <v>20376624</v>
      </c>
      <c r="H33" s="21" t="s">
        <v>32</v>
      </c>
      <c r="I33" s="22">
        <v>1</v>
      </c>
      <c r="J33" s="23">
        <v>8</v>
      </c>
      <c r="K33" s="23">
        <v>8</v>
      </c>
    </row>
    <row r="34" spans="4:11">
      <c r="D34" s="20">
        <v>46197</v>
      </c>
      <c r="E34" s="21">
        <v>1614904</v>
      </c>
      <c r="F34" s="21" t="s">
        <v>21</v>
      </c>
      <c r="G34" s="22">
        <v>20394943</v>
      </c>
      <c r="H34" s="21" t="s">
        <v>35</v>
      </c>
      <c r="I34" s="22">
        <v>2</v>
      </c>
      <c r="J34" s="23">
        <v>11</v>
      </c>
      <c r="K34" s="23">
        <v>22</v>
      </c>
    </row>
    <row r="35" spans="4:11">
      <c r="D35" s="20">
        <v>46197</v>
      </c>
      <c r="E35" s="21">
        <v>1614904</v>
      </c>
      <c r="F35" s="21" t="s">
        <v>21</v>
      </c>
      <c r="G35" s="22">
        <v>20396160</v>
      </c>
      <c r="H35" s="21" t="s">
        <v>61</v>
      </c>
      <c r="I35" s="22">
        <v>1</v>
      </c>
      <c r="J35" s="23">
        <v>13.5</v>
      </c>
      <c r="K35" s="23">
        <v>13.5</v>
      </c>
    </row>
    <row r="36" spans="4:11">
      <c r="D36" s="20">
        <v>46197</v>
      </c>
      <c r="E36" s="21">
        <v>1614904</v>
      </c>
      <c r="F36" s="21" t="s">
        <v>21</v>
      </c>
      <c r="G36" s="22">
        <v>20396337</v>
      </c>
      <c r="H36" s="21" t="s">
        <v>36</v>
      </c>
      <c r="I36" s="22">
        <v>5</v>
      </c>
      <c r="J36" s="23">
        <v>8</v>
      </c>
      <c r="K36" s="23">
        <v>40</v>
      </c>
    </row>
    <row r="37" spans="4:11">
      <c r="D37" s="20">
        <v>46197</v>
      </c>
      <c r="E37" s="21">
        <v>1614904</v>
      </c>
      <c r="F37" s="21" t="s">
        <v>21</v>
      </c>
      <c r="G37" s="22">
        <v>20395495</v>
      </c>
      <c r="H37" s="21" t="s">
        <v>37</v>
      </c>
      <c r="I37" s="22">
        <v>5</v>
      </c>
      <c r="J37" s="23">
        <v>13.5</v>
      </c>
      <c r="K37" s="23">
        <v>67.5</v>
      </c>
    </row>
    <row r="38" spans="4:11">
      <c r="D38" s="20">
        <v>46197</v>
      </c>
      <c r="E38" s="21">
        <v>1614904</v>
      </c>
      <c r="F38" s="21" t="s">
        <v>21</v>
      </c>
      <c r="G38" s="22">
        <v>20312027</v>
      </c>
      <c r="H38" s="21" t="s">
        <v>49</v>
      </c>
      <c r="I38" s="22">
        <v>4</v>
      </c>
      <c r="J38" s="23">
        <v>11</v>
      </c>
      <c r="K38" s="23">
        <v>44</v>
      </c>
    </row>
    <row r="39" spans="4:11">
      <c r="D39" s="20">
        <v>46198</v>
      </c>
      <c r="E39" s="21">
        <v>1615068</v>
      </c>
      <c r="F39" s="21" t="s">
        <v>21</v>
      </c>
      <c r="G39" s="22">
        <v>20376624</v>
      </c>
      <c r="H39" s="21" t="s">
        <v>32</v>
      </c>
      <c r="I39" s="22">
        <v>2</v>
      </c>
      <c r="J39" s="23">
        <v>8</v>
      </c>
      <c r="K39" s="23">
        <v>16</v>
      </c>
    </row>
    <row r="40" spans="4:11">
      <c r="D40" s="20">
        <v>46198</v>
      </c>
      <c r="E40" s="21">
        <v>1615068</v>
      </c>
      <c r="F40" s="21" t="s">
        <v>21</v>
      </c>
      <c r="G40" s="22">
        <v>20397287</v>
      </c>
      <c r="H40" s="21" t="s">
        <v>62</v>
      </c>
      <c r="I40" s="22">
        <v>1</v>
      </c>
      <c r="J40" s="23">
        <v>13.5</v>
      </c>
      <c r="K40" s="23">
        <v>13.5</v>
      </c>
    </row>
    <row r="41" spans="4:11">
      <c r="D41" s="20">
        <v>46198</v>
      </c>
      <c r="E41" s="21">
        <v>1615068</v>
      </c>
      <c r="F41" s="21" t="s">
        <v>21</v>
      </c>
      <c r="G41" s="22">
        <v>20393917</v>
      </c>
      <c r="H41" s="21" t="s">
        <v>63</v>
      </c>
      <c r="I41" s="22">
        <v>1</v>
      </c>
      <c r="J41" s="23">
        <v>11</v>
      </c>
      <c r="K41" s="23">
        <v>11</v>
      </c>
    </row>
    <row r="42" spans="4:11">
      <c r="D42" s="20">
        <v>46198</v>
      </c>
      <c r="E42" s="21">
        <v>1615068</v>
      </c>
      <c r="F42" s="21" t="s">
        <v>21</v>
      </c>
      <c r="G42" s="22">
        <v>20377357</v>
      </c>
      <c r="H42" s="21" t="s">
        <v>31</v>
      </c>
      <c r="I42" s="22">
        <v>5</v>
      </c>
      <c r="J42" s="23">
        <v>8</v>
      </c>
      <c r="K42" s="23">
        <v>40</v>
      </c>
    </row>
    <row r="43" spans="4:11">
      <c r="D43" s="20">
        <v>46198</v>
      </c>
      <c r="E43" s="21">
        <v>1615068</v>
      </c>
      <c r="F43" s="21" t="s">
        <v>21</v>
      </c>
      <c r="G43" s="22">
        <v>20312027</v>
      </c>
      <c r="H43" s="21" t="s">
        <v>49</v>
      </c>
      <c r="I43" s="22">
        <v>1</v>
      </c>
      <c r="J43" s="23">
        <v>11</v>
      </c>
      <c r="K43" s="23">
        <v>11</v>
      </c>
    </row>
    <row r="44" spans="4:11">
      <c r="D44" s="20">
        <v>46198</v>
      </c>
      <c r="E44" s="21">
        <v>1615280</v>
      </c>
      <c r="F44" s="21" t="s">
        <v>21</v>
      </c>
      <c r="G44" s="22">
        <v>20394943</v>
      </c>
      <c r="H44" s="21" t="s">
        <v>35</v>
      </c>
      <c r="I44" s="22">
        <v>2</v>
      </c>
      <c r="J44" s="23">
        <v>11</v>
      </c>
      <c r="K44" s="23">
        <v>22</v>
      </c>
    </row>
    <row r="45" spans="4:11">
      <c r="D45" s="20">
        <v>46198</v>
      </c>
      <c r="E45" s="21">
        <v>1615280</v>
      </c>
      <c r="F45" s="21" t="s">
        <v>21</v>
      </c>
      <c r="G45" s="22">
        <v>20312027</v>
      </c>
      <c r="H45" s="21" t="s">
        <v>49</v>
      </c>
      <c r="I45" s="22">
        <v>1</v>
      </c>
      <c r="J45" s="23">
        <v>11</v>
      </c>
      <c r="K45" s="23">
        <v>11</v>
      </c>
    </row>
    <row r="46" ht="25.5" spans="4:11">
      <c r="D46" s="20">
        <v>46204</v>
      </c>
      <c r="E46" s="21">
        <v>1616478</v>
      </c>
      <c r="F46" s="21" t="s">
        <v>21</v>
      </c>
      <c r="G46" s="22">
        <v>20313588</v>
      </c>
      <c r="H46" s="21" t="s">
        <v>29</v>
      </c>
      <c r="I46" s="22">
        <v>5</v>
      </c>
      <c r="J46" s="23">
        <v>8</v>
      </c>
      <c r="K46" s="23">
        <v>40</v>
      </c>
    </row>
    <row r="47" spans="4:11">
      <c r="D47" s="20">
        <v>46204</v>
      </c>
      <c r="E47" s="21">
        <v>1616478</v>
      </c>
      <c r="F47" s="21" t="s">
        <v>21</v>
      </c>
      <c r="G47" s="22">
        <v>20377357</v>
      </c>
      <c r="H47" s="21" t="s">
        <v>31</v>
      </c>
      <c r="I47" s="22">
        <v>5</v>
      </c>
      <c r="J47" s="23">
        <v>8</v>
      </c>
      <c r="K47" s="23">
        <v>40</v>
      </c>
    </row>
    <row r="48" spans="4:11">
      <c r="D48" s="20">
        <v>46206</v>
      </c>
      <c r="E48" s="21">
        <v>1617385</v>
      </c>
      <c r="F48" s="21" t="s">
        <v>21</v>
      </c>
      <c r="G48" s="22">
        <v>20394943</v>
      </c>
      <c r="H48" s="21" t="s">
        <v>35</v>
      </c>
      <c r="I48" s="22">
        <v>1</v>
      </c>
      <c r="J48" s="23">
        <v>11</v>
      </c>
      <c r="K48" s="23">
        <v>11</v>
      </c>
    </row>
    <row r="49" ht="25.5" spans="4:11">
      <c r="D49" s="20">
        <v>46206</v>
      </c>
      <c r="E49" s="21">
        <v>1617385</v>
      </c>
      <c r="F49" s="21" t="s">
        <v>21</v>
      </c>
      <c r="G49" s="22">
        <v>20313588</v>
      </c>
      <c r="H49" s="21" t="s">
        <v>29</v>
      </c>
      <c r="I49" s="22">
        <v>2</v>
      </c>
      <c r="J49" s="23">
        <v>8</v>
      </c>
      <c r="K49" s="23">
        <v>16</v>
      </c>
    </row>
    <row r="50" spans="4:11">
      <c r="D50" s="20">
        <v>46206</v>
      </c>
      <c r="E50" s="21">
        <v>1617385</v>
      </c>
      <c r="F50" s="21" t="s">
        <v>21</v>
      </c>
      <c r="G50" s="22">
        <v>20396337</v>
      </c>
      <c r="H50" s="21" t="s">
        <v>36</v>
      </c>
      <c r="I50" s="22">
        <v>3</v>
      </c>
      <c r="J50" s="23">
        <v>8</v>
      </c>
      <c r="K50" s="23">
        <v>24</v>
      </c>
    </row>
    <row r="51" spans="4:11">
      <c r="D51" s="20">
        <v>46206</v>
      </c>
      <c r="E51" s="21">
        <v>1617385</v>
      </c>
      <c r="F51" s="21" t="s">
        <v>21</v>
      </c>
      <c r="G51" s="22">
        <v>20395495</v>
      </c>
      <c r="H51" s="21" t="s">
        <v>37</v>
      </c>
      <c r="I51" s="22">
        <v>1</v>
      </c>
      <c r="J51" s="23">
        <v>13.5</v>
      </c>
      <c r="K51" s="23">
        <v>13.5</v>
      </c>
    </row>
    <row r="52" spans="4:11">
      <c r="D52" s="20">
        <v>46206</v>
      </c>
      <c r="E52" s="21">
        <v>1617385</v>
      </c>
      <c r="F52" s="21" t="s">
        <v>21</v>
      </c>
      <c r="G52" s="22">
        <v>20401469</v>
      </c>
      <c r="H52" s="21" t="s">
        <v>64</v>
      </c>
      <c r="I52" s="22">
        <v>2</v>
      </c>
      <c r="J52" s="23">
        <v>13</v>
      </c>
      <c r="K52" s="23">
        <v>26</v>
      </c>
    </row>
    <row r="53" spans="4:11">
      <c r="D53" s="20">
        <v>46206</v>
      </c>
      <c r="E53" s="21">
        <v>1617385</v>
      </c>
      <c r="F53" s="21" t="s">
        <v>21</v>
      </c>
      <c r="G53" s="22">
        <v>20312027</v>
      </c>
      <c r="H53" s="21" t="s">
        <v>49</v>
      </c>
      <c r="I53" s="22">
        <v>11</v>
      </c>
      <c r="J53" s="23">
        <v>11</v>
      </c>
      <c r="K53" s="23">
        <v>121</v>
      </c>
    </row>
    <row r="54" spans="4:11">
      <c r="D54" s="20">
        <v>46210</v>
      </c>
      <c r="E54" s="21">
        <v>1618075</v>
      </c>
      <c r="F54" s="21" t="s">
        <v>21</v>
      </c>
      <c r="G54" s="22">
        <v>20312027</v>
      </c>
      <c r="H54" s="21" t="s">
        <v>49</v>
      </c>
      <c r="I54" s="22">
        <v>1</v>
      </c>
      <c r="J54" s="23">
        <v>11</v>
      </c>
      <c r="K54" s="23">
        <v>11</v>
      </c>
    </row>
    <row r="55" spans="4:11">
      <c r="D55" s="20">
        <v>46210</v>
      </c>
      <c r="E55" s="21">
        <v>1618265</v>
      </c>
      <c r="F55" s="21" t="s">
        <v>21</v>
      </c>
      <c r="G55" s="22">
        <v>20376624</v>
      </c>
      <c r="H55" s="21" t="s">
        <v>32</v>
      </c>
      <c r="I55" s="22">
        <v>2</v>
      </c>
      <c r="J55" s="23">
        <v>8</v>
      </c>
      <c r="K55" s="23">
        <v>16</v>
      </c>
    </row>
    <row r="56" ht="25.5" spans="4:11">
      <c r="D56" s="20">
        <v>46210</v>
      </c>
      <c r="E56" s="21">
        <v>1618265</v>
      </c>
      <c r="F56" s="21" t="s">
        <v>21</v>
      </c>
      <c r="G56" s="22">
        <v>20313588</v>
      </c>
      <c r="H56" s="21" t="s">
        <v>29</v>
      </c>
      <c r="I56" s="22">
        <v>5</v>
      </c>
      <c r="J56" s="23">
        <v>8</v>
      </c>
      <c r="K56" s="23">
        <v>40</v>
      </c>
    </row>
    <row r="57" spans="4:11">
      <c r="D57" s="20">
        <v>46210</v>
      </c>
      <c r="E57" s="21">
        <v>1618265</v>
      </c>
      <c r="F57" s="21" t="s">
        <v>21</v>
      </c>
      <c r="G57" s="22">
        <v>20396160</v>
      </c>
      <c r="H57" s="21" t="s">
        <v>61</v>
      </c>
      <c r="I57" s="22">
        <v>1</v>
      </c>
      <c r="J57" s="23">
        <v>13.5</v>
      </c>
      <c r="K57" s="23">
        <v>13.5</v>
      </c>
    </row>
    <row r="58" spans="4:11">
      <c r="D58" s="20">
        <v>46210</v>
      </c>
      <c r="E58" s="21">
        <v>1618265</v>
      </c>
      <c r="F58" s="21" t="s">
        <v>21</v>
      </c>
      <c r="G58" s="22">
        <v>20377357</v>
      </c>
      <c r="H58" s="21" t="s">
        <v>31</v>
      </c>
      <c r="I58" s="22">
        <v>5</v>
      </c>
      <c r="J58" s="23">
        <v>8</v>
      </c>
      <c r="K58" s="23">
        <v>40</v>
      </c>
    </row>
    <row r="59" ht="25.5" spans="4:11">
      <c r="D59" s="20">
        <v>46211</v>
      </c>
      <c r="E59" s="21">
        <v>1618647</v>
      </c>
      <c r="F59" s="21" t="s">
        <v>21</v>
      </c>
      <c r="G59" s="22">
        <v>20313588</v>
      </c>
      <c r="H59" s="21" t="s">
        <v>29</v>
      </c>
      <c r="I59" s="22">
        <v>5</v>
      </c>
      <c r="J59" s="23">
        <v>8</v>
      </c>
      <c r="K59" s="23">
        <v>40</v>
      </c>
    </row>
    <row r="60" spans="4:11">
      <c r="D60" s="20">
        <v>46211</v>
      </c>
      <c r="E60" s="21">
        <v>1618647</v>
      </c>
      <c r="F60" s="21" t="s">
        <v>21</v>
      </c>
      <c r="G60" s="22">
        <v>20377357</v>
      </c>
      <c r="H60" s="21" t="s">
        <v>31</v>
      </c>
      <c r="I60" s="22">
        <v>2</v>
      </c>
      <c r="J60" s="23">
        <v>8</v>
      </c>
      <c r="K60" s="23">
        <v>16</v>
      </c>
    </row>
    <row r="61" spans="4:11">
      <c r="D61" s="20">
        <v>46212</v>
      </c>
      <c r="E61" s="21">
        <v>1618875</v>
      </c>
      <c r="F61" s="21" t="s">
        <v>21</v>
      </c>
      <c r="G61" s="22">
        <v>20376624</v>
      </c>
      <c r="H61" s="21" t="s">
        <v>32</v>
      </c>
      <c r="I61" s="22">
        <v>1</v>
      </c>
      <c r="J61" s="23">
        <v>8</v>
      </c>
      <c r="K61" s="23">
        <v>8</v>
      </c>
    </row>
    <row r="62" ht="25.5" spans="4:11">
      <c r="D62" s="20">
        <v>46212</v>
      </c>
      <c r="E62" s="21">
        <v>1618875</v>
      </c>
      <c r="F62" s="21" t="s">
        <v>21</v>
      </c>
      <c r="G62" s="22">
        <v>20313588</v>
      </c>
      <c r="H62" s="21" t="s">
        <v>29</v>
      </c>
      <c r="I62" s="22">
        <v>7</v>
      </c>
      <c r="J62" s="23">
        <v>8</v>
      </c>
      <c r="K62" s="23">
        <v>56</v>
      </c>
    </row>
    <row r="63" spans="4:11">
      <c r="D63" s="20">
        <v>46212</v>
      </c>
      <c r="E63" s="21">
        <v>1618875</v>
      </c>
      <c r="F63" s="21" t="s">
        <v>21</v>
      </c>
      <c r="G63" s="22">
        <v>20377357</v>
      </c>
      <c r="H63" s="21" t="s">
        <v>31</v>
      </c>
      <c r="I63" s="22">
        <v>3</v>
      </c>
      <c r="J63" s="23">
        <v>8</v>
      </c>
      <c r="K63" s="23">
        <v>24</v>
      </c>
    </row>
    <row r="64" spans="4:11">
      <c r="D64" s="20">
        <v>46212</v>
      </c>
      <c r="E64" s="21">
        <v>1618991</v>
      </c>
      <c r="F64" s="21" t="s">
        <v>21</v>
      </c>
      <c r="G64" s="22">
        <v>20376624</v>
      </c>
      <c r="H64" s="21" t="s">
        <v>32</v>
      </c>
      <c r="I64" s="22">
        <v>2</v>
      </c>
      <c r="J64" s="23">
        <v>8</v>
      </c>
      <c r="K64" s="23">
        <v>16</v>
      </c>
    </row>
    <row r="65" ht="25.5" spans="4:11">
      <c r="D65" s="20">
        <v>46212</v>
      </c>
      <c r="E65" s="21">
        <v>1618991</v>
      </c>
      <c r="F65" s="21" t="s">
        <v>21</v>
      </c>
      <c r="G65" s="22">
        <v>20313588</v>
      </c>
      <c r="H65" s="21" t="s">
        <v>29</v>
      </c>
      <c r="I65" s="22">
        <v>3</v>
      </c>
      <c r="J65" s="23">
        <v>8</v>
      </c>
      <c r="K65" s="23">
        <v>24</v>
      </c>
    </row>
    <row r="66" spans="4:11">
      <c r="D66" s="20">
        <v>46212</v>
      </c>
      <c r="E66" s="21">
        <v>1618991</v>
      </c>
      <c r="F66" s="21" t="s">
        <v>21</v>
      </c>
      <c r="G66" s="22">
        <v>20377357</v>
      </c>
      <c r="H66" s="21" t="s">
        <v>31</v>
      </c>
      <c r="I66" s="22">
        <v>3</v>
      </c>
      <c r="J66" s="23">
        <v>8</v>
      </c>
      <c r="K66" s="23">
        <v>24</v>
      </c>
    </row>
    <row r="67" spans="4:11">
      <c r="D67" s="20">
        <v>46213</v>
      </c>
      <c r="E67" s="21">
        <v>1619279</v>
      </c>
      <c r="F67" s="21" t="s">
        <v>21</v>
      </c>
      <c r="G67" s="22">
        <v>20414939</v>
      </c>
      <c r="H67" s="21" t="s">
        <v>65</v>
      </c>
      <c r="I67" s="22">
        <v>1</v>
      </c>
      <c r="J67" s="23">
        <v>8</v>
      </c>
      <c r="K67" s="23">
        <v>8</v>
      </c>
    </row>
    <row r="68" spans="4:11">
      <c r="D68" s="20">
        <v>46213</v>
      </c>
      <c r="E68" s="21">
        <v>1619279</v>
      </c>
      <c r="F68" s="21" t="s">
        <v>21</v>
      </c>
      <c r="G68" s="22">
        <v>20394943</v>
      </c>
      <c r="H68" s="21" t="s">
        <v>35</v>
      </c>
      <c r="I68" s="22">
        <v>1</v>
      </c>
      <c r="J68" s="23">
        <v>11</v>
      </c>
      <c r="K68" s="23">
        <v>11</v>
      </c>
    </row>
    <row r="69" ht="25.5" spans="4:11">
      <c r="D69" s="20">
        <v>46213</v>
      </c>
      <c r="E69" s="21">
        <v>1619279</v>
      </c>
      <c r="F69" s="21" t="s">
        <v>21</v>
      </c>
      <c r="G69" s="22">
        <v>20313588</v>
      </c>
      <c r="H69" s="21" t="s">
        <v>29</v>
      </c>
      <c r="I69" s="22">
        <v>2</v>
      </c>
      <c r="J69" s="23">
        <v>8</v>
      </c>
      <c r="K69" s="23">
        <v>16</v>
      </c>
    </row>
    <row r="70" spans="4:11">
      <c r="D70" s="20">
        <v>46213</v>
      </c>
      <c r="E70" s="21">
        <v>1619279</v>
      </c>
      <c r="F70" s="21" t="s">
        <v>21</v>
      </c>
      <c r="G70" s="22">
        <v>20396337</v>
      </c>
      <c r="H70" s="21" t="s">
        <v>36</v>
      </c>
      <c r="I70" s="22">
        <v>1</v>
      </c>
      <c r="J70" s="23">
        <v>8</v>
      </c>
      <c r="K70" s="23">
        <v>8</v>
      </c>
    </row>
    <row r="71" spans="4:11">
      <c r="D71" s="20">
        <v>46213</v>
      </c>
      <c r="E71" s="21">
        <v>1619279</v>
      </c>
      <c r="F71" s="21" t="s">
        <v>21</v>
      </c>
      <c r="G71" s="22">
        <v>20395495</v>
      </c>
      <c r="H71" s="21" t="s">
        <v>37</v>
      </c>
      <c r="I71" s="22">
        <v>2</v>
      </c>
      <c r="J71" s="23">
        <v>13.5</v>
      </c>
      <c r="K71" s="23">
        <v>27</v>
      </c>
    </row>
    <row r="72" spans="4:11">
      <c r="D72" s="20">
        <v>46213</v>
      </c>
      <c r="E72" s="21">
        <v>1619279</v>
      </c>
      <c r="F72" s="21" t="s">
        <v>21</v>
      </c>
      <c r="G72" s="22">
        <v>20377357</v>
      </c>
      <c r="H72" s="21" t="s">
        <v>31</v>
      </c>
      <c r="I72" s="22">
        <v>4</v>
      </c>
      <c r="J72" s="23">
        <v>8</v>
      </c>
      <c r="K72" s="23">
        <v>32</v>
      </c>
    </row>
    <row r="73" spans="4:11">
      <c r="D73" s="20">
        <v>46213</v>
      </c>
      <c r="E73" s="21">
        <v>1619571</v>
      </c>
      <c r="F73" s="21" t="s">
        <v>21</v>
      </c>
      <c r="G73" s="22">
        <v>20376624</v>
      </c>
      <c r="H73" s="21" t="s">
        <v>32</v>
      </c>
      <c r="I73" s="22">
        <v>2</v>
      </c>
      <c r="J73" s="23">
        <v>8</v>
      </c>
      <c r="K73" s="23">
        <v>16</v>
      </c>
    </row>
    <row r="74" ht="25.5" spans="4:11">
      <c r="D74" s="20">
        <v>46213</v>
      </c>
      <c r="E74" s="21">
        <v>1619571</v>
      </c>
      <c r="F74" s="21" t="s">
        <v>21</v>
      </c>
      <c r="G74" s="22">
        <v>20313588</v>
      </c>
      <c r="H74" s="21" t="s">
        <v>29</v>
      </c>
      <c r="I74" s="22">
        <v>9</v>
      </c>
      <c r="J74" s="23">
        <v>8</v>
      </c>
      <c r="K74" s="23">
        <v>72</v>
      </c>
    </row>
    <row r="75" spans="4:11">
      <c r="D75" s="20">
        <v>46213</v>
      </c>
      <c r="E75" s="21">
        <v>1619571</v>
      </c>
      <c r="F75" s="21" t="s">
        <v>21</v>
      </c>
      <c r="G75" s="22">
        <v>20377357</v>
      </c>
      <c r="H75" s="21" t="s">
        <v>31</v>
      </c>
      <c r="I75" s="22">
        <v>6</v>
      </c>
      <c r="J75" s="23">
        <v>8</v>
      </c>
      <c r="K75" s="23">
        <v>48</v>
      </c>
    </row>
    <row r="76" spans="4:11">
      <c r="D76" s="20">
        <v>46217</v>
      </c>
      <c r="E76" s="21">
        <v>1620138</v>
      </c>
      <c r="F76" s="21" t="s">
        <v>21</v>
      </c>
      <c r="G76" s="22">
        <v>20312027</v>
      </c>
      <c r="H76" s="21" t="s">
        <v>49</v>
      </c>
      <c r="I76" s="22">
        <v>3</v>
      </c>
      <c r="J76" s="23">
        <v>11</v>
      </c>
      <c r="K76" s="23">
        <v>33</v>
      </c>
    </row>
    <row r="77" spans="4:11">
      <c r="D77" s="20">
        <v>46217</v>
      </c>
      <c r="E77" s="21">
        <v>1620257</v>
      </c>
      <c r="F77" s="21" t="s">
        <v>21</v>
      </c>
      <c r="G77" s="22">
        <v>20376624</v>
      </c>
      <c r="H77" s="21" t="s">
        <v>32</v>
      </c>
      <c r="I77" s="22">
        <v>2</v>
      </c>
      <c r="J77" s="23">
        <v>8</v>
      </c>
      <c r="K77" s="23">
        <v>16</v>
      </c>
    </row>
    <row r="78" ht="25.5" spans="4:11">
      <c r="D78" s="20">
        <v>46217</v>
      </c>
      <c r="E78" s="21">
        <v>1620257</v>
      </c>
      <c r="F78" s="21" t="s">
        <v>21</v>
      </c>
      <c r="G78" s="22">
        <v>20313588</v>
      </c>
      <c r="H78" s="21" t="s">
        <v>29</v>
      </c>
      <c r="I78" s="22">
        <v>4</v>
      </c>
      <c r="J78" s="23">
        <v>8</v>
      </c>
      <c r="K78" s="23">
        <v>32</v>
      </c>
    </row>
    <row r="79" spans="4:11">
      <c r="D79" s="20">
        <v>46217</v>
      </c>
      <c r="E79" s="21">
        <v>1620257</v>
      </c>
      <c r="F79" s="21" t="s">
        <v>21</v>
      </c>
      <c r="G79" s="22">
        <v>20377357</v>
      </c>
      <c r="H79" s="21" t="s">
        <v>31</v>
      </c>
      <c r="I79" s="22">
        <v>2</v>
      </c>
      <c r="J79" s="23">
        <v>8</v>
      </c>
      <c r="K79" s="23">
        <v>16</v>
      </c>
    </row>
  </sheetData>
  <autoFilter xmlns:etc="http://www.wps.cn/officeDocument/2017/etCustomData" ref="J1:J79" etc:filterBottomFollowUsedRange="0">
    <extLst/>
  </autoFilter>
  <mergeCells count="5">
    <mergeCell ref="D8:H8"/>
    <mergeCell ref="C7:C79"/>
    <mergeCell ref="B4:H5"/>
    <mergeCell ref="A7:B7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8:31 
&amp;"-,Bold"&amp;10 黑龙江省铂康医疗灭菌有限公司 &amp;R&amp;"Droid Sans Fallback"&amp;9第&amp;P页，共&amp;N页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showGridLines="0" view="pageBreakPreview" zoomScaleNormal="100" workbookViewId="0">
      <pane ySplit="6" topLeftCell="A7" activePane="bottomLeft" state="frozen"/>
      <selection/>
      <selection pane="bottomLeft" activeCell="K25" sqref="K9:K2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0.625" customWidth="1"/>
    <col min="9" max="9" width="11" customWidth="1"/>
    <col min="10" max="10" width="12.2083333333333" customWidth="1"/>
    <col min="11" max="11" width="10.875" customWidth="1"/>
  </cols>
  <sheetData>
    <row r="1" spans="1:11">
      <c r="C1" s="10" t="s">
        <v>0</v>
      </c>
    </row>
    <row r="2" ht="23.05" customHeight="1"/>
    <row r="3" ht="2" customHeight="1"/>
    <row r="4" ht="15.2" customHeight="1" spans="1:11">
      <c r="B4" s="11" t="s">
        <v>1</v>
      </c>
    </row>
    <row r="6" ht="2.95" customHeight="1"/>
    <row r="7" spans="1:11">
      <c r="A7" s="12" t="s">
        <v>2</v>
      </c>
      <c r="B7" s="13" t="s">
        <v>2</v>
      </c>
      <c r="C7" s="14" t="s">
        <v>2</v>
      </c>
      <c r="D7" s="15" t="s">
        <v>4</v>
      </c>
      <c r="E7" s="15" t="s">
        <v>5</v>
      </c>
      <c r="F7" s="15" t="s">
        <v>6</v>
      </c>
      <c r="G7" s="15" t="s">
        <v>7</v>
      </c>
      <c r="H7" s="15" t="s">
        <v>8</v>
      </c>
      <c r="I7" s="15" t="s">
        <v>9</v>
      </c>
      <c r="J7" s="15" t="s">
        <v>10</v>
      </c>
      <c r="K7" s="15" t="s">
        <v>11</v>
      </c>
    </row>
    <row r="8" ht="14.25" spans="1:11">
      <c r="D8" s="16" t="s">
        <v>66</v>
      </c>
      <c r="E8" s="17" t="s">
        <v>2</v>
      </c>
      <c r="F8" s="17" t="s">
        <v>2</v>
      </c>
      <c r="G8" s="17" t="s">
        <v>2</v>
      </c>
      <c r="H8" s="17" t="s">
        <v>2</v>
      </c>
      <c r="I8" s="18">
        <v>55</v>
      </c>
      <c r="J8" s="19"/>
      <c r="K8" s="19">
        <v>463</v>
      </c>
    </row>
    <row r="9" ht="25.5" spans="1:11">
      <c r="D9" s="20">
        <v>46190</v>
      </c>
      <c r="E9" s="21">
        <v>1612777</v>
      </c>
      <c r="F9" s="21" t="s">
        <v>21</v>
      </c>
      <c r="G9" s="22">
        <v>20313588</v>
      </c>
      <c r="H9" s="21" t="s">
        <v>29</v>
      </c>
      <c r="I9" s="22">
        <v>6</v>
      </c>
      <c r="J9" s="23">
        <v>8</v>
      </c>
      <c r="K9" s="23">
        <v>48</v>
      </c>
    </row>
    <row r="10" spans="1:11">
      <c r="D10" s="20">
        <v>46190</v>
      </c>
      <c r="E10" s="21">
        <v>1612777</v>
      </c>
      <c r="F10" s="21" t="s">
        <v>21</v>
      </c>
      <c r="G10" s="22">
        <v>20393917</v>
      </c>
      <c r="H10" s="21" t="s">
        <v>63</v>
      </c>
      <c r="I10" s="22">
        <v>1</v>
      </c>
      <c r="J10" s="23">
        <v>11</v>
      </c>
      <c r="K10" s="23">
        <v>11</v>
      </c>
    </row>
    <row r="11" spans="1:11">
      <c r="D11" s="20">
        <v>46190</v>
      </c>
      <c r="E11" s="21">
        <v>1612777</v>
      </c>
      <c r="F11" s="21" t="s">
        <v>21</v>
      </c>
      <c r="G11" s="22">
        <v>20377357</v>
      </c>
      <c r="H11" s="21" t="s">
        <v>31</v>
      </c>
      <c r="I11" s="22">
        <v>3</v>
      </c>
      <c r="J11" s="23">
        <v>8</v>
      </c>
      <c r="K11" s="23">
        <v>24</v>
      </c>
    </row>
    <row r="12" spans="1:11">
      <c r="D12" s="20">
        <v>46190</v>
      </c>
      <c r="E12" s="21">
        <v>1612815</v>
      </c>
      <c r="F12" s="21" t="s">
        <v>21</v>
      </c>
      <c r="G12" s="22">
        <v>20377357</v>
      </c>
      <c r="H12" s="21" t="s">
        <v>31</v>
      </c>
      <c r="I12" s="22">
        <v>1</v>
      </c>
      <c r="J12" s="23">
        <v>8</v>
      </c>
      <c r="K12" s="23">
        <v>8</v>
      </c>
    </row>
    <row r="13" ht="25.5" spans="1:11">
      <c r="D13" s="20">
        <v>46196</v>
      </c>
      <c r="E13" s="21">
        <v>1614311</v>
      </c>
      <c r="F13" s="21" t="s">
        <v>21</v>
      </c>
      <c r="G13" s="22">
        <v>20313588</v>
      </c>
      <c r="H13" s="21" t="s">
        <v>29</v>
      </c>
      <c r="I13" s="22">
        <v>9</v>
      </c>
      <c r="J13" s="23">
        <v>8</v>
      </c>
      <c r="K13" s="23">
        <v>72</v>
      </c>
    </row>
    <row r="14" spans="1:11">
      <c r="D14" s="20">
        <v>46196</v>
      </c>
      <c r="E14" s="21">
        <v>1614311</v>
      </c>
      <c r="F14" s="21" t="s">
        <v>21</v>
      </c>
      <c r="G14" s="22">
        <v>20377357</v>
      </c>
      <c r="H14" s="21" t="s">
        <v>31</v>
      </c>
      <c r="I14" s="22">
        <v>5</v>
      </c>
      <c r="J14" s="23">
        <v>8</v>
      </c>
      <c r="K14" s="23">
        <v>40</v>
      </c>
    </row>
    <row r="15" spans="1:11">
      <c r="D15" s="20">
        <v>46197</v>
      </c>
      <c r="E15" s="21">
        <v>1614905</v>
      </c>
      <c r="F15" s="21" t="s">
        <v>21</v>
      </c>
      <c r="G15" s="22">
        <v>20376624</v>
      </c>
      <c r="H15" s="21" t="s">
        <v>32</v>
      </c>
      <c r="I15" s="22">
        <v>1</v>
      </c>
      <c r="J15" s="23">
        <v>8</v>
      </c>
      <c r="K15" s="23">
        <v>8</v>
      </c>
    </row>
    <row r="16" ht="25.5" spans="1:11">
      <c r="D16" s="20">
        <v>46197</v>
      </c>
      <c r="E16" s="21">
        <v>1614905</v>
      </c>
      <c r="F16" s="21" t="s">
        <v>21</v>
      </c>
      <c r="G16" s="22">
        <v>20313588</v>
      </c>
      <c r="H16" s="21" t="s">
        <v>29</v>
      </c>
      <c r="I16" s="22">
        <v>5</v>
      </c>
      <c r="J16" s="23">
        <v>8</v>
      </c>
      <c r="K16" s="23">
        <v>40</v>
      </c>
    </row>
    <row r="17" spans="4:11">
      <c r="D17" s="20">
        <v>46197</v>
      </c>
      <c r="E17" s="21">
        <v>1614905</v>
      </c>
      <c r="F17" s="21" t="s">
        <v>21</v>
      </c>
      <c r="G17" s="22">
        <v>20409657</v>
      </c>
      <c r="H17" s="21" t="s">
        <v>67</v>
      </c>
      <c r="I17" s="22">
        <v>1</v>
      </c>
      <c r="J17" s="23">
        <v>16.5</v>
      </c>
      <c r="K17" s="23">
        <v>16.5</v>
      </c>
    </row>
    <row r="18" ht="25.5" spans="4:11">
      <c r="D18" s="20">
        <v>46206</v>
      </c>
      <c r="E18" s="21">
        <v>1617386</v>
      </c>
      <c r="F18" s="21" t="s">
        <v>21</v>
      </c>
      <c r="G18" s="22">
        <v>20313588</v>
      </c>
      <c r="H18" s="21" t="s">
        <v>29</v>
      </c>
      <c r="I18" s="22">
        <v>3</v>
      </c>
      <c r="J18" s="23">
        <v>8</v>
      </c>
      <c r="K18" s="23">
        <v>24</v>
      </c>
    </row>
    <row r="19" spans="4:11">
      <c r="D19" s="20">
        <v>46206</v>
      </c>
      <c r="E19" s="21">
        <v>1617386</v>
      </c>
      <c r="F19" s="21" t="s">
        <v>21</v>
      </c>
      <c r="G19" s="22">
        <v>20409657</v>
      </c>
      <c r="H19" s="21" t="s">
        <v>67</v>
      </c>
      <c r="I19" s="22">
        <v>1</v>
      </c>
      <c r="J19" s="23">
        <v>16.5</v>
      </c>
      <c r="K19" s="23">
        <v>16.5</v>
      </c>
    </row>
    <row r="20" spans="4:11">
      <c r="D20" s="20">
        <v>46206</v>
      </c>
      <c r="E20" s="21">
        <v>1617386</v>
      </c>
      <c r="F20" s="21" t="s">
        <v>21</v>
      </c>
      <c r="G20" s="22">
        <v>20377357</v>
      </c>
      <c r="H20" s="21" t="s">
        <v>31</v>
      </c>
      <c r="I20" s="22">
        <v>2</v>
      </c>
      <c r="J20" s="23">
        <v>8</v>
      </c>
      <c r="K20" s="23">
        <v>16</v>
      </c>
    </row>
    <row r="21" ht="25.5" spans="4:11">
      <c r="D21" s="20">
        <v>46210</v>
      </c>
      <c r="E21" s="21">
        <v>1618266</v>
      </c>
      <c r="F21" s="21" t="s">
        <v>21</v>
      </c>
      <c r="G21" s="22">
        <v>20313588</v>
      </c>
      <c r="H21" s="21" t="s">
        <v>29</v>
      </c>
      <c r="I21" s="22">
        <v>7</v>
      </c>
      <c r="J21" s="23">
        <v>8</v>
      </c>
      <c r="K21" s="23">
        <v>56</v>
      </c>
    </row>
    <row r="22" spans="4:11">
      <c r="D22" s="20">
        <v>46210</v>
      </c>
      <c r="E22" s="21">
        <v>1618266</v>
      </c>
      <c r="F22" s="21" t="s">
        <v>21</v>
      </c>
      <c r="G22" s="22">
        <v>20377357</v>
      </c>
      <c r="H22" s="21" t="s">
        <v>31</v>
      </c>
      <c r="I22" s="22">
        <v>3</v>
      </c>
      <c r="J22" s="23">
        <v>8</v>
      </c>
      <c r="K22" s="23">
        <v>24</v>
      </c>
    </row>
    <row r="23" ht="25.5" spans="4:11">
      <c r="D23" s="20">
        <v>46213</v>
      </c>
      <c r="E23" s="21">
        <v>1619282</v>
      </c>
      <c r="F23" s="21" t="s">
        <v>21</v>
      </c>
      <c r="G23" s="22">
        <v>20313588</v>
      </c>
      <c r="H23" s="21" t="s">
        <v>29</v>
      </c>
      <c r="I23" s="22">
        <v>3</v>
      </c>
      <c r="J23" s="23">
        <v>8</v>
      </c>
      <c r="K23" s="23">
        <v>24</v>
      </c>
    </row>
    <row r="24" spans="4:11">
      <c r="D24" s="20">
        <v>46213</v>
      </c>
      <c r="E24" s="21">
        <v>1619282</v>
      </c>
      <c r="F24" s="21" t="s">
        <v>21</v>
      </c>
      <c r="G24" s="22">
        <v>20377357</v>
      </c>
      <c r="H24" s="21" t="s">
        <v>31</v>
      </c>
      <c r="I24" s="22">
        <v>3</v>
      </c>
      <c r="J24" s="23">
        <v>8</v>
      </c>
      <c r="K24" s="23">
        <v>24</v>
      </c>
    </row>
    <row r="25" spans="4:11">
      <c r="D25" s="20">
        <v>46213</v>
      </c>
      <c r="E25" s="21">
        <v>1619282</v>
      </c>
      <c r="F25" s="21" t="s">
        <v>21</v>
      </c>
      <c r="G25" s="22">
        <v>20398525</v>
      </c>
      <c r="H25" s="21" t="s">
        <v>52</v>
      </c>
      <c r="I25" s="22">
        <v>1</v>
      </c>
      <c r="J25" s="23">
        <v>11</v>
      </c>
      <c r="K25" s="23">
        <v>11</v>
      </c>
    </row>
  </sheetData>
  <mergeCells count="5">
    <mergeCell ref="D8:H8"/>
    <mergeCell ref="C7:C25"/>
    <mergeCell ref="B4:H5"/>
    <mergeCell ref="A7:B2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8:31 
&amp;"-,Bold"&amp;10 黑龙江省铂康医疗灭菌有限公司 &amp;R&amp;"Droid Sans Fallback"&amp;9第&amp;P页，共&amp;N页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showGridLines="0" view="pageBreakPreview" zoomScaleNormal="100" workbookViewId="0">
      <pane ySplit="6" topLeftCell="A16" activePane="bottomLeft" state="frozen"/>
      <selection/>
      <selection pane="bottomLeft" activeCell="K9" sqref="K9:K4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0.625" customWidth="1"/>
    <col min="9" max="9" width="11" customWidth="1"/>
    <col min="10" max="10" width="12.2083333333333" customWidth="1"/>
    <col min="11" max="11" width="10.875" customWidth="1"/>
  </cols>
  <sheetData>
    <row r="1" spans="1:11">
      <c r="C1" s="10" t="s">
        <v>0</v>
      </c>
    </row>
    <row r="2" ht="23.05" customHeight="1"/>
    <row r="3" ht="2" customHeight="1"/>
    <row r="4" ht="15.2" customHeight="1" spans="1:11">
      <c r="B4" s="11" t="s">
        <v>1</v>
      </c>
    </row>
    <row r="6" ht="2.95" customHeight="1"/>
    <row r="7" spans="1:11">
      <c r="A7" s="12" t="s">
        <v>2</v>
      </c>
      <c r="B7" s="13" t="s">
        <v>2</v>
      </c>
      <c r="C7" s="14" t="s">
        <v>2</v>
      </c>
      <c r="D7" s="15" t="s">
        <v>4</v>
      </c>
      <c r="E7" s="15" t="s">
        <v>5</v>
      </c>
      <c r="F7" s="15" t="s">
        <v>6</v>
      </c>
      <c r="G7" s="15" t="s">
        <v>7</v>
      </c>
      <c r="H7" s="15" t="s">
        <v>8</v>
      </c>
      <c r="I7" s="15" t="s">
        <v>9</v>
      </c>
      <c r="J7" s="15" t="s">
        <v>10</v>
      </c>
      <c r="K7" s="15" t="s">
        <v>11</v>
      </c>
    </row>
    <row r="8" ht="14.25" spans="1:11">
      <c r="D8" s="16" t="s">
        <v>68</v>
      </c>
      <c r="E8" s="17" t="s">
        <v>2</v>
      </c>
      <c r="F8" s="17" t="s">
        <v>2</v>
      </c>
      <c r="G8" s="17" t="s">
        <v>2</v>
      </c>
      <c r="H8" s="17" t="s">
        <v>2</v>
      </c>
      <c r="I8" s="18">
        <v>122</v>
      </c>
      <c r="J8" s="19"/>
      <c r="K8" s="19">
        <v>1061.5</v>
      </c>
    </row>
    <row r="9" spans="1:11">
      <c r="D9" s="20">
        <v>46189</v>
      </c>
      <c r="E9" s="21">
        <v>1612527</v>
      </c>
      <c r="F9" s="21" t="s">
        <v>21</v>
      </c>
      <c r="G9" s="22">
        <v>20406253</v>
      </c>
      <c r="H9" s="21" t="s">
        <v>50</v>
      </c>
      <c r="I9" s="22">
        <v>2</v>
      </c>
      <c r="J9" s="23">
        <v>13.5</v>
      </c>
      <c r="K9" s="23">
        <v>27</v>
      </c>
    </row>
    <row r="10" spans="1:11">
      <c r="D10" s="20">
        <v>46189</v>
      </c>
      <c r="E10" s="21">
        <v>1612527</v>
      </c>
      <c r="F10" s="21" t="s">
        <v>21</v>
      </c>
      <c r="G10" s="22">
        <v>20396338</v>
      </c>
      <c r="H10" s="21" t="s">
        <v>69</v>
      </c>
      <c r="I10" s="22">
        <v>1</v>
      </c>
      <c r="J10" s="23">
        <v>13.5</v>
      </c>
      <c r="K10" s="23">
        <v>13.5</v>
      </c>
    </row>
    <row r="11" ht="25.5" spans="1:11">
      <c r="D11" s="20">
        <v>46189</v>
      </c>
      <c r="E11" s="21">
        <v>1612527</v>
      </c>
      <c r="F11" s="21" t="s">
        <v>21</v>
      </c>
      <c r="G11" s="22">
        <v>20313588</v>
      </c>
      <c r="H11" s="21" t="s">
        <v>29</v>
      </c>
      <c r="I11" s="22">
        <v>9</v>
      </c>
      <c r="J11" s="23">
        <v>8</v>
      </c>
      <c r="K11" s="23">
        <v>72</v>
      </c>
    </row>
    <row r="12" spans="1:11">
      <c r="D12" s="20">
        <v>46189</v>
      </c>
      <c r="E12" s="21">
        <v>1612527</v>
      </c>
      <c r="F12" s="21" t="s">
        <v>21</v>
      </c>
      <c r="G12" s="22">
        <v>20376621</v>
      </c>
      <c r="H12" s="21" t="s">
        <v>59</v>
      </c>
      <c r="I12" s="22">
        <v>3</v>
      </c>
      <c r="J12" s="23">
        <v>8</v>
      </c>
      <c r="K12" s="23">
        <v>24</v>
      </c>
    </row>
    <row r="13" spans="1:11">
      <c r="D13" s="20">
        <v>46190</v>
      </c>
      <c r="E13" s="21">
        <v>1612778</v>
      </c>
      <c r="F13" s="21" t="s">
        <v>21</v>
      </c>
      <c r="G13" s="22">
        <v>20406253</v>
      </c>
      <c r="H13" s="21" t="s">
        <v>50</v>
      </c>
      <c r="I13" s="22">
        <v>2</v>
      </c>
      <c r="J13" s="23">
        <v>13.5</v>
      </c>
      <c r="K13" s="23">
        <v>27</v>
      </c>
    </row>
    <row r="14" ht="25.5" spans="1:11">
      <c r="D14" s="20">
        <v>46190</v>
      </c>
      <c r="E14" s="21">
        <v>1612778</v>
      </c>
      <c r="F14" s="21" t="s">
        <v>21</v>
      </c>
      <c r="G14" s="22">
        <v>20313588</v>
      </c>
      <c r="H14" s="21" t="s">
        <v>29</v>
      </c>
      <c r="I14" s="22">
        <v>9</v>
      </c>
      <c r="J14" s="23">
        <v>8</v>
      </c>
      <c r="K14" s="23">
        <v>72</v>
      </c>
    </row>
    <row r="15" spans="1:11">
      <c r="D15" s="20">
        <v>46190</v>
      </c>
      <c r="E15" s="21">
        <v>1612778</v>
      </c>
      <c r="F15" s="21" t="s">
        <v>21</v>
      </c>
      <c r="G15" s="22">
        <v>20376621</v>
      </c>
      <c r="H15" s="21" t="s">
        <v>59</v>
      </c>
      <c r="I15" s="22">
        <v>1</v>
      </c>
      <c r="J15" s="23">
        <v>8</v>
      </c>
      <c r="K15" s="23">
        <v>8</v>
      </c>
    </row>
    <row r="16" spans="1:11">
      <c r="D16" s="20">
        <v>46190</v>
      </c>
      <c r="E16" s="21">
        <v>1612778</v>
      </c>
      <c r="F16" s="21" t="s">
        <v>21</v>
      </c>
      <c r="G16" s="22">
        <v>20377357</v>
      </c>
      <c r="H16" s="21" t="s">
        <v>31</v>
      </c>
      <c r="I16" s="22">
        <v>1</v>
      </c>
      <c r="J16" s="23">
        <v>8</v>
      </c>
      <c r="K16" s="23">
        <v>8</v>
      </c>
    </row>
    <row r="17" spans="4:11">
      <c r="D17" s="20">
        <v>46190</v>
      </c>
      <c r="E17" s="21">
        <v>1612930</v>
      </c>
      <c r="F17" s="21" t="s">
        <v>21</v>
      </c>
      <c r="G17" s="22">
        <v>20376624</v>
      </c>
      <c r="H17" s="21" t="s">
        <v>32</v>
      </c>
      <c r="I17" s="22">
        <v>1</v>
      </c>
      <c r="J17" s="23">
        <v>8</v>
      </c>
      <c r="K17" s="23">
        <v>8</v>
      </c>
    </row>
    <row r="18" spans="4:11">
      <c r="D18" s="20">
        <v>46190</v>
      </c>
      <c r="E18" s="21">
        <v>1612930</v>
      </c>
      <c r="F18" s="21" t="s">
        <v>21</v>
      </c>
      <c r="G18" s="22">
        <v>20406253</v>
      </c>
      <c r="H18" s="21" t="s">
        <v>50</v>
      </c>
      <c r="I18" s="22">
        <v>3</v>
      </c>
      <c r="J18" s="23">
        <v>13.5</v>
      </c>
      <c r="K18" s="23">
        <v>40.5</v>
      </c>
    </row>
    <row r="19" ht="25.5" spans="4:11">
      <c r="D19" s="20">
        <v>46190</v>
      </c>
      <c r="E19" s="21">
        <v>1612930</v>
      </c>
      <c r="F19" s="21" t="s">
        <v>21</v>
      </c>
      <c r="G19" s="22">
        <v>20313588</v>
      </c>
      <c r="H19" s="21" t="s">
        <v>29</v>
      </c>
      <c r="I19" s="22">
        <v>13</v>
      </c>
      <c r="J19" s="23">
        <v>8</v>
      </c>
      <c r="K19" s="23">
        <v>104</v>
      </c>
    </row>
    <row r="20" spans="4:11">
      <c r="D20" s="20">
        <v>46190</v>
      </c>
      <c r="E20" s="21">
        <v>1612930</v>
      </c>
      <c r="F20" s="21" t="s">
        <v>21</v>
      </c>
      <c r="G20" s="22">
        <v>20409657</v>
      </c>
      <c r="H20" s="21" t="s">
        <v>67</v>
      </c>
      <c r="I20" s="22">
        <v>1</v>
      </c>
      <c r="J20" s="23">
        <v>16.5</v>
      </c>
      <c r="K20" s="23">
        <v>16.5</v>
      </c>
    </row>
    <row r="21" spans="4:11">
      <c r="D21" s="20">
        <v>46190</v>
      </c>
      <c r="E21" s="21">
        <v>1612930</v>
      </c>
      <c r="F21" s="21" t="s">
        <v>21</v>
      </c>
      <c r="G21" s="22">
        <v>20376620</v>
      </c>
      <c r="H21" s="21" t="s">
        <v>59</v>
      </c>
      <c r="I21" s="22">
        <v>2</v>
      </c>
      <c r="J21" s="23">
        <v>8</v>
      </c>
      <c r="K21" s="23">
        <v>16</v>
      </c>
    </row>
    <row r="22" spans="4:11">
      <c r="D22" s="20">
        <v>46190</v>
      </c>
      <c r="E22" s="21">
        <v>1612930</v>
      </c>
      <c r="F22" s="21" t="s">
        <v>21</v>
      </c>
      <c r="G22" s="22">
        <v>20377357</v>
      </c>
      <c r="H22" s="21" t="s">
        <v>31</v>
      </c>
      <c r="I22" s="22">
        <v>4</v>
      </c>
      <c r="J22" s="23">
        <v>8</v>
      </c>
      <c r="K22" s="23">
        <v>32</v>
      </c>
    </row>
    <row r="23" spans="4:11">
      <c r="D23" s="20">
        <v>46191</v>
      </c>
      <c r="E23" s="21">
        <v>1613326</v>
      </c>
      <c r="F23" s="21" t="s">
        <v>21</v>
      </c>
      <c r="G23" s="22">
        <v>20406253</v>
      </c>
      <c r="H23" s="21" t="s">
        <v>50</v>
      </c>
      <c r="I23" s="22">
        <v>1</v>
      </c>
      <c r="J23" s="23">
        <v>13.5</v>
      </c>
      <c r="K23" s="23">
        <v>13.5</v>
      </c>
    </row>
    <row r="24" ht="25.5" spans="4:11">
      <c r="D24" s="20">
        <v>46191</v>
      </c>
      <c r="E24" s="21">
        <v>1613326</v>
      </c>
      <c r="F24" s="21" t="s">
        <v>21</v>
      </c>
      <c r="G24" s="22">
        <v>20313588</v>
      </c>
      <c r="H24" s="21" t="s">
        <v>29</v>
      </c>
      <c r="I24" s="22">
        <v>4</v>
      </c>
      <c r="J24" s="23">
        <v>8</v>
      </c>
      <c r="K24" s="23">
        <v>32</v>
      </c>
    </row>
    <row r="25" spans="4:11">
      <c r="D25" s="20">
        <v>46191</v>
      </c>
      <c r="E25" s="21">
        <v>1613326</v>
      </c>
      <c r="F25" s="21" t="s">
        <v>21</v>
      </c>
      <c r="G25" s="22">
        <v>20376621</v>
      </c>
      <c r="H25" s="21" t="s">
        <v>59</v>
      </c>
      <c r="I25" s="22">
        <v>5</v>
      </c>
      <c r="J25" s="23">
        <v>8</v>
      </c>
      <c r="K25" s="23">
        <v>40</v>
      </c>
    </row>
    <row r="26" ht="25.5" spans="4:11">
      <c r="D26" s="20">
        <v>46196</v>
      </c>
      <c r="E26" s="21">
        <v>1614312</v>
      </c>
      <c r="F26" s="21" t="s">
        <v>21</v>
      </c>
      <c r="G26" s="22">
        <v>20313588</v>
      </c>
      <c r="H26" s="21" t="s">
        <v>29</v>
      </c>
      <c r="I26" s="22">
        <v>7</v>
      </c>
      <c r="J26" s="23">
        <v>8</v>
      </c>
      <c r="K26" s="23">
        <v>56</v>
      </c>
    </row>
    <row r="27" ht="25.5" spans="4:11">
      <c r="D27" s="20">
        <v>46198</v>
      </c>
      <c r="E27" s="21">
        <v>1615069</v>
      </c>
      <c r="F27" s="21" t="s">
        <v>21</v>
      </c>
      <c r="G27" s="22">
        <v>20313588</v>
      </c>
      <c r="H27" s="21" t="s">
        <v>29</v>
      </c>
      <c r="I27" s="22">
        <v>4</v>
      </c>
      <c r="J27" s="23">
        <v>8</v>
      </c>
      <c r="K27" s="23">
        <v>32</v>
      </c>
    </row>
    <row r="28" spans="4:11">
      <c r="D28" s="20">
        <v>46198</v>
      </c>
      <c r="E28" s="21">
        <v>1615069</v>
      </c>
      <c r="F28" s="21" t="s">
        <v>21</v>
      </c>
      <c r="G28" s="22">
        <v>20376863</v>
      </c>
      <c r="H28" s="21" t="s">
        <v>33</v>
      </c>
      <c r="I28" s="22">
        <v>1</v>
      </c>
      <c r="J28" s="23">
        <v>13.5</v>
      </c>
      <c r="K28" s="23">
        <v>13.5</v>
      </c>
    </row>
    <row r="29" ht="25.5" spans="4:11">
      <c r="D29" s="20">
        <v>46211</v>
      </c>
      <c r="E29" s="21">
        <v>1618648</v>
      </c>
      <c r="F29" s="21" t="s">
        <v>21</v>
      </c>
      <c r="G29" s="22">
        <v>20313588</v>
      </c>
      <c r="H29" s="21" t="s">
        <v>29</v>
      </c>
      <c r="I29" s="22">
        <v>7</v>
      </c>
      <c r="J29" s="23">
        <v>8</v>
      </c>
      <c r="K29" s="23">
        <v>56</v>
      </c>
    </row>
    <row r="30" spans="4:11">
      <c r="D30" s="20">
        <v>46211</v>
      </c>
      <c r="E30" s="21">
        <v>1618648</v>
      </c>
      <c r="F30" s="21" t="s">
        <v>21</v>
      </c>
      <c r="G30" s="22">
        <v>20377357</v>
      </c>
      <c r="H30" s="21" t="s">
        <v>31</v>
      </c>
      <c r="I30" s="22">
        <v>2</v>
      </c>
      <c r="J30" s="23">
        <v>8</v>
      </c>
      <c r="K30" s="23">
        <v>16</v>
      </c>
    </row>
    <row r="31" spans="4:11">
      <c r="D31" s="20">
        <v>46212</v>
      </c>
      <c r="E31" s="21">
        <v>1618876</v>
      </c>
      <c r="F31" s="21" t="s">
        <v>21</v>
      </c>
      <c r="G31" s="22">
        <v>20376624</v>
      </c>
      <c r="H31" s="21" t="s">
        <v>32</v>
      </c>
      <c r="I31" s="22">
        <v>1</v>
      </c>
      <c r="J31" s="23">
        <v>8</v>
      </c>
      <c r="K31" s="23">
        <v>8</v>
      </c>
    </row>
    <row r="32" ht="25.5" spans="4:11">
      <c r="D32" s="20">
        <v>46212</v>
      </c>
      <c r="E32" s="21">
        <v>1618876</v>
      </c>
      <c r="F32" s="21" t="s">
        <v>21</v>
      </c>
      <c r="G32" s="22">
        <v>20313588</v>
      </c>
      <c r="H32" s="21" t="s">
        <v>29</v>
      </c>
      <c r="I32" s="22">
        <v>12</v>
      </c>
      <c r="J32" s="23">
        <v>8</v>
      </c>
      <c r="K32" s="23">
        <v>96</v>
      </c>
    </row>
    <row r="33" spans="4:11">
      <c r="D33" s="20">
        <v>46212</v>
      </c>
      <c r="E33" s="21">
        <v>1618876</v>
      </c>
      <c r="F33" s="21" t="s">
        <v>21</v>
      </c>
      <c r="G33" s="22">
        <v>20401202</v>
      </c>
      <c r="H33" s="21" t="s">
        <v>70</v>
      </c>
      <c r="I33" s="22">
        <v>1</v>
      </c>
      <c r="J33" s="23">
        <v>13.5</v>
      </c>
      <c r="K33" s="23">
        <v>13.5</v>
      </c>
    </row>
    <row r="34" spans="4:11">
      <c r="D34" s="20">
        <v>46212</v>
      </c>
      <c r="E34" s="21">
        <v>1618876</v>
      </c>
      <c r="F34" s="21" t="s">
        <v>21</v>
      </c>
      <c r="G34" s="22">
        <v>20396160</v>
      </c>
      <c r="H34" s="21" t="s">
        <v>61</v>
      </c>
      <c r="I34" s="22">
        <v>1</v>
      </c>
      <c r="J34" s="23">
        <v>13.5</v>
      </c>
      <c r="K34" s="23">
        <v>13.5</v>
      </c>
    </row>
    <row r="35" spans="4:11">
      <c r="D35" s="20">
        <v>46212</v>
      </c>
      <c r="E35" s="21">
        <v>1618876</v>
      </c>
      <c r="F35" s="21" t="s">
        <v>21</v>
      </c>
      <c r="G35" s="22">
        <v>20377357</v>
      </c>
      <c r="H35" s="21" t="s">
        <v>31</v>
      </c>
      <c r="I35" s="22">
        <v>5</v>
      </c>
      <c r="J35" s="23">
        <v>8</v>
      </c>
      <c r="K35" s="23">
        <v>40</v>
      </c>
    </row>
    <row r="36" spans="4:11">
      <c r="D36" s="20">
        <v>46213</v>
      </c>
      <c r="E36" s="21">
        <v>1619280</v>
      </c>
      <c r="F36" s="21" t="s">
        <v>21</v>
      </c>
      <c r="G36" s="22">
        <v>20376624</v>
      </c>
      <c r="H36" s="21" t="s">
        <v>32</v>
      </c>
      <c r="I36" s="22">
        <v>1</v>
      </c>
      <c r="J36" s="23">
        <v>8</v>
      </c>
      <c r="K36" s="23">
        <v>8</v>
      </c>
    </row>
    <row r="37" ht="25.5" spans="4:11">
      <c r="D37" s="20">
        <v>46213</v>
      </c>
      <c r="E37" s="21">
        <v>1619280</v>
      </c>
      <c r="F37" s="21" t="s">
        <v>21</v>
      </c>
      <c r="G37" s="22">
        <v>20313588</v>
      </c>
      <c r="H37" s="21" t="s">
        <v>29</v>
      </c>
      <c r="I37" s="22">
        <v>7</v>
      </c>
      <c r="J37" s="23">
        <v>8</v>
      </c>
      <c r="K37" s="23">
        <v>56</v>
      </c>
    </row>
    <row r="38" spans="4:11">
      <c r="D38" s="20">
        <v>46213</v>
      </c>
      <c r="E38" s="21">
        <v>1619280</v>
      </c>
      <c r="F38" s="21" t="s">
        <v>21</v>
      </c>
      <c r="G38" s="22">
        <v>20376863</v>
      </c>
      <c r="H38" s="21" t="s">
        <v>33</v>
      </c>
      <c r="I38" s="22">
        <v>1</v>
      </c>
      <c r="J38" s="23">
        <v>13.5</v>
      </c>
      <c r="K38" s="23">
        <v>13.5</v>
      </c>
    </row>
    <row r="39" spans="4:11">
      <c r="D39" s="20">
        <v>46213</v>
      </c>
      <c r="E39" s="21">
        <v>1619280</v>
      </c>
      <c r="F39" s="21" t="s">
        <v>21</v>
      </c>
      <c r="G39" s="22">
        <v>20377357</v>
      </c>
      <c r="H39" s="21" t="s">
        <v>31</v>
      </c>
      <c r="I39" s="22">
        <v>1</v>
      </c>
      <c r="J39" s="23">
        <v>8</v>
      </c>
      <c r="K39" s="23">
        <v>8</v>
      </c>
    </row>
    <row r="40" ht="25.5" spans="4:11">
      <c r="D40" s="20">
        <v>46217</v>
      </c>
      <c r="E40" s="21">
        <v>1620258</v>
      </c>
      <c r="F40" s="21" t="s">
        <v>21</v>
      </c>
      <c r="G40" s="22">
        <v>20313588</v>
      </c>
      <c r="H40" s="21" t="s">
        <v>29</v>
      </c>
      <c r="I40" s="22">
        <v>6</v>
      </c>
      <c r="J40" s="23">
        <v>8</v>
      </c>
      <c r="K40" s="23">
        <v>48</v>
      </c>
    </row>
    <row r="41" spans="4:11">
      <c r="D41" s="20">
        <v>46217</v>
      </c>
      <c r="E41" s="21">
        <v>1620258</v>
      </c>
      <c r="F41" s="21" t="s">
        <v>21</v>
      </c>
      <c r="G41" s="22">
        <v>20376863</v>
      </c>
      <c r="H41" s="21" t="s">
        <v>33</v>
      </c>
      <c r="I41" s="22">
        <v>1</v>
      </c>
      <c r="J41" s="23">
        <v>13.5</v>
      </c>
      <c r="K41" s="23">
        <v>13.5</v>
      </c>
    </row>
    <row r="42" spans="4:11">
      <c r="D42" s="20">
        <v>46217</v>
      </c>
      <c r="E42" s="21">
        <v>1620258</v>
      </c>
      <c r="F42" s="21" t="s">
        <v>21</v>
      </c>
      <c r="G42" s="22">
        <v>20377357</v>
      </c>
      <c r="H42" s="21" t="s">
        <v>31</v>
      </c>
      <c r="I42" s="22">
        <v>1</v>
      </c>
      <c r="J42" s="23">
        <v>8</v>
      </c>
      <c r="K42" s="23">
        <v>8</v>
      </c>
    </row>
    <row r="43" spans="4:11">
      <c r="D43" s="20">
        <v>46217</v>
      </c>
      <c r="E43" s="21">
        <v>1620273</v>
      </c>
      <c r="F43" s="21" t="s">
        <v>21</v>
      </c>
      <c r="G43" s="22">
        <v>20376624</v>
      </c>
      <c r="H43" s="21" t="s">
        <v>32</v>
      </c>
      <c r="I43" s="22">
        <v>1</v>
      </c>
      <c r="J43" s="23">
        <v>8</v>
      </c>
      <c r="K43" s="23">
        <v>8</v>
      </c>
    </row>
    <row r="44" ht="0.05" customHeight="1"/>
  </sheetData>
  <autoFilter xmlns:etc="http://www.wps.cn/officeDocument/2017/etCustomData" ref="A7:K43" etc:filterBottomFollowUsedRange="0">
    <extLst/>
  </autoFilter>
  <mergeCells count="5">
    <mergeCell ref="D8:H8"/>
    <mergeCell ref="C7:C43"/>
    <mergeCell ref="B4:H5"/>
    <mergeCell ref="A7:B4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8:31 
&amp;"-,Bold"&amp;10 黑龙江省铂康医疗灭菌有限公司 &amp;R&amp;"Droid Sans Fallback"&amp;9第&amp;P页，共&amp;N页 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8"/>
  <sheetViews>
    <sheetView showGridLines="0" view="pageBreakPreview" zoomScaleNormal="100" workbookViewId="0">
      <pane ySplit="6" topLeftCell="A12" activePane="bottomLeft" state="frozen"/>
      <selection/>
      <selection pane="bottomLeft" activeCell="K9" sqref="K9:K4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0.125" customWidth="1"/>
    <col min="10" max="10" width="12.2083333333333" customWidth="1"/>
    <col min="11" max="11" width="11.125" customWidth="1"/>
  </cols>
  <sheetData>
    <row r="1" spans="1:11">
      <c r="C1" s="10" t="s">
        <v>0</v>
      </c>
    </row>
    <row r="2" ht="23.05" customHeight="1"/>
    <row r="3" ht="2" customHeight="1"/>
    <row r="4" ht="15.2" customHeight="1" spans="1:11">
      <c r="B4" s="11" t="s">
        <v>1</v>
      </c>
    </row>
    <row r="6" ht="2.95" customHeight="1"/>
    <row r="7" spans="1:11">
      <c r="A7" s="12" t="s">
        <v>2</v>
      </c>
      <c r="B7" s="13" t="s">
        <v>2</v>
      </c>
      <c r="C7" s="14" t="s">
        <v>2</v>
      </c>
      <c r="D7" s="15" t="s">
        <v>4</v>
      </c>
      <c r="E7" s="15" t="s">
        <v>5</v>
      </c>
      <c r="F7" s="15" t="s">
        <v>6</v>
      </c>
      <c r="G7" s="15" t="s">
        <v>7</v>
      </c>
      <c r="H7" s="15" t="s">
        <v>8</v>
      </c>
      <c r="I7" s="15" t="s">
        <v>9</v>
      </c>
      <c r="J7" s="15" t="s">
        <v>10</v>
      </c>
      <c r="K7" s="15" t="s">
        <v>11</v>
      </c>
    </row>
    <row r="8" ht="14.25" spans="1:11">
      <c r="D8" s="16" t="s">
        <v>71</v>
      </c>
      <c r="E8" s="17" t="s">
        <v>2</v>
      </c>
      <c r="F8" s="17" t="s">
        <v>2</v>
      </c>
      <c r="G8" s="17" t="s">
        <v>2</v>
      </c>
      <c r="H8" s="17" t="s">
        <v>2</v>
      </c>
      <c r="I8" s="18">
        <v>83</v>
      </c>
      <c r="J8" s="19"/>
      <c r="K8" s="19">
        <v>692</v>
      </c>
    </row>
    <row r="9" spans="1:11">
      <c r="D9" s="20">
        <v>46189</v>
      </c>
      <c r="E9" s="21">
        <v>1612528</v>
      </c>
      <c r="F9" s="21" t="s">
        <v>21</v>
      </c>
      <c r="G9" s="22">
        <v>20376624</v>
      </c>
      <c r="H9" s="21" t="s">
        <v>32</v>
      </c>
      <c r="I9" s="22">
        <v>2</v>
      </c>
      <c r="J9" s="23">
        <v>8</v>
      </c>
      <c r="K9" s="23">
        <v>16</v>
      </c>
    </row>
    <row r="10" spans="1:11">
      <c r="D10" s="20">
        <v>46189</v>
      </c>
      <c r="E10" s="21">
        <v>1612528</v>
      </c>
      <c r="F10" s="21" t="s">
        <v>21</v>
      </c>
      <c r="G10" s="22">
        <v>20406253</v>
      </c>
      <c r="H10" s="21" t="s">
        <v>50</v>
      </c>
      <c r="I10" s="22">
        <v>1</v>
      </c>
      <c r="J10" s="23">
        <v>13.5</v>
      </c>
      <c r="K10" s="23">
        <v>13.5</v>
      </c>
    </row>
    <row r="11" spans="1:11">
      <c r="D11" s="20">
        <v>46189</v>
      </c>
      <c r="E11" s="21">
        <v>1612528</v>
      </c>
      <c r="F11" s="21" t="s">
        <v>21</v>
      </c>
      <c r="G11" s="22">
        <v>20313588</v>
      </c>
      <c r="H11" s="21" t="s">
        <v>29</v>
      </c>
      <c r="I11" s="22">
        <v>3</v>
      </c>
      <c r="J11" s="23">
        <v>8</v>
      </c>
      <c r="K11" s="23">
        <v>24</v>
      </c>
    </row>
    <row r="12" spans="1:11">
      <c r="D12" s="20">
        <v>46189</v>
      </c>
      <c r="E12" s="21">
        <v>1612528</v>
      </c>
      <c r="F12" s="21" t="s">
        <v>21</v>
      </c>
      <c r="G12" s="22">
        <v>20377357</v>
      </c>
      <c r="H12" s="21" t="s">
        <v>31</v>
      </c>
      <c r="I12" s="22">
        <v>2</v>
      </c>
      <c r="J12" s="23">
        <v>8</v>
      </c>
      <c r="K12" s="23">
        <v>16</v>
      </c>
    </row>
    <row r="13" spans="1:11">
      <c r="D13" s="20">
        <v>46190</v>
      </c>
      <c r="E13" s="21">
        <v>1612779</v>
      </c>
      <c r="F13" s="21" t="s">
        <v>21</v>
      </c>
      <c r="G13" s="22">
        <v>20406253</v>
      </c>
      <c r="H13" s="21" t="s">
        <v>50</v>
      </c>
      <c r="I13" s="22">
        <v>1</v>
      </c>
      <c r="J13" s="23">
        <v>13.5</v>
      </c>
      <c r="K13" s="23">
        <v>13.5</v>
      </c>
    </row>
    <row r="14" spans="1:11">
      <c r="D14" s="20">
        <v>46190</v>
      </c>
      <c r="E14" s="21">
        <v>1612779</v>
      </c>
      <c r="F14" s="21" t="s">
        <v>21</v>
      </c>
      <c r="G14" s="22">
        <v>20313588</v>
      </c>
      <c r="H14" s="21" t="s">
        <v>29</v>
      </c>
      <c r="I14" s="22">
        <v>2</v>
      </c>
      <c r="J14" s="23">
        <v>8</v>
      </c>
      <c r="K14" s="23">
        <v>16</v>
      </c>
    </row>
    <row r="15" spans="1:11">
      <c r="D15" s="20">
        <v>46190</v>
      </c>
      <c r="E15" s="21">
        <v>1612779</v>
      </c>
      <c r="F15" s="21" t="s">
        <v>21</v>
      </c>
      <c r="G15" s="22">
        <v>20377357</v>
      </c>
      <c r="H15" s="21" t="s">
        <v>31</v>
      </c>
      <c r="I15" s="22">
        <v>3</v>
      </c>
      <c r="J15" s="23">
        <v>8</v>
      </c>
      <c r="K15" s="23">
        <v>24</v>
      </c>
    </row>
    <row r="16" spans="1:11">
      <c r="D16" s="20">
        <v>46190</v>
      </c>
      <c r="E16" s="21">
        <v>1612817</v>
      </c>
      <c r="F16" s="21" t="s">
        <v>21</v>
      </c>
      <c r="G16" s="22">
        <v>20377357</v>
      </c>
      <c r="H16" s="21" t="s">
        <v>31</v>
      </c>
      <c r="I16" s="22">
        <v>1</v>
      </c>
      <c r="J16" s="23">
        <v>8</v>
      </c>
      <c r="K16" s="23">
        <v>8</v>
      </c>
    </row>
    <row r="17" spans="4:11">
      <c r="D17" s="20">
        <v>46190</v>
      </c>
      <c r="E17" s="21">
        <v>1612931</v>
      </c>
      <c r="F17" s="21" t="s">
        <v>21</v>
      </c>
      <c r="G17" s="22">
        <v>20376624</v>
      </c>
      <c r="H17" s="21" t="s">
        <v>32</v>
      </c>
      <c r="I17" s="22">
        <v>1</v>
      </c>
      <c r="J17" s="23">
        <v>8</v>
      </c>
      <c r="K17" s="23">
        <v>8</v>
      </c>
    </row>
    <row r="18" spans="4:11">
      <c r="D18" s="20">
        <v>46190</v>
      </c>
      <c r="E18" s="21">
        <v>1612931</v>
      </c>
      <c r="F18" s="21" t="s">
        <v>21</v>
      </c>
      <c r="G18" s="22">
        <v>20406253</v>
      </c>
      <c r="H18" s="21" t="s">
        <v>50</v>
      </c>
      <c r="I18" s="22">
        <v>2</v>
      </c>
      <c r="J18" s="23">
        <v>13.5</v>
      </c>
      <c r="K18" s="23">
        <v>27</v>
      </c>
    </row>
    <row r="19" spans="4:11">
      <c r="D19" s="20">
        <v>46190</v>
      </c>
      <c r="E19" s="21">
        <v>1612931</v>
      </c>
      <c r="F19" s="21" t="s">
        <v>21</v>
      </c>
      <c r="G19" s="22">
        <v>20414939</v>
      </c>
      <c r="H19" s="21" t="s">
        <v>65</v>
      </c>
      <c r="I19" s="22">
        <v>1</v>
      </c>
      <c r="J19" s="23">
        <v>8</v>
      </c>
      <c r="K19" s="23">
        <v>8</v>
      </c>
    </row>
    <row r="20" spans="4:11">
      <c r="D20" s="20">
        <v>46190</v>
      </c>
      <c r="E20" s="21">
        <v>1612931</v>
      </c>
      <c r="F20" s="21" t="s">
        <v>21</v>
      </c>
      <c r="G20" s="22">
        <v>20313588</v>
      </c>
      <c r="H20" s="21" t="s">
        <v>29</v>
      </c>
      <c r="I20" s="22">
        <v>3</v>
      </c>
      <c r="J20" s="23">
        <v>8</v>
      </c>
      <c r="K20" s="23">
        <v>24</v>
      </c>
    </row>
    <row r="21" spans="4:11">
      <c r="D21" s="20">
        <v>46190</v>
      </c>
      <c r="E21" s="21">
        <v>1612931</v>
      </c>
      <c r="F21" s="21" t="s">
        <v>21</v>
      </c>
      <c r="G21" s="22">
        <v>20376621</v>
      </c>
      <c r="H21" s="21" t="s">
        <v>59</v>
      </c>
      <c r="I21" s="22">
        <v>1</v>
      </c>
      <c r="J21" s="23">
        <v>8</v>
      </c>
      <c r="K21" s="23">
        <v>8</v>
      </c>
    </row>
    <row r="22" spans="4:11">
      <c r="D22" s="20">
        <v>46190</v>
      </c>
      <c r="E22" s="21">
        <v>1612931</v>
      </c>
      <c r="F22" s="21" t="s">
        <v>21</v>
      </c>
      <c r="G22" s="22">
        <v>20377357</v>
      </c>
      <c r="H22" s="21" t="s">
        <v>31</v>
      </c>
      <c r="I22" s="22">
        <v>4</v>
      </c>
      <c r="J22" s="23">
        <v>8</v>
      </c>
      <c r="K22" s="23">
        <v>32</v>
      </c>
    </row>
    <row r="23" spans="4:11">
      <c r="D23" s="20">
        <v>46191</v>
      </c>
      <c r="E23" s="21">
        <v>1613327</v>
      </c>
      <c r="F23" s="21" t="s">
        <v>21</v>
      </c>
      <c r="G23" s="22">
        <v>20376624</v>
      </c>
      <c r="H23" s="21" t="s">
        <v>32</v>
      </c>
      <c r="I23" s="22">
        <v>1</v>
      </c>
      <c r="J23" s="23">
        <v>8</v>
      </c>
      <c r="K23" s="23">
        <v>8</v>
      </c>
    </row>
    <row r="24" spans="4:11">
      <c r="D24" s="20">
        <v>46191</v>
      </c>
      <c r="E24" s="21">
        <v>1613327</v>
      </c>
      <c r="F24" s="21" t="s">
        <v>21</v>
      </c>
      <c r="G24" s="22">
        <v>20313588</v>
      </c>
      <c r="H24" s="21" t="s">
        <v>29</v>
      </c>
      <c r="I24" s="22">
        <v>1</v>
      </c>
      <c r="J24" s="23">
        <v>8</v>
      </c>
      <c r="K24" s="23">
        <v>8</v>
      </c>
    </row>
    <row r="25" spans="4:11">
      <c r="D25" s="20">
        <v>46191</v>
      </c>
      <c r="E25" s="21">
        <v>1613327</v>
      </c>
      <c r="F25" s="21" t="s">
        <v>21</v>
      </c>
      <c r="G25" s="22">
        <v>20376621</v>
      </c>
      <c r="H25" s="21" t="s">
        <v>59</v>
      </c>
      <c r="I25" s="22">
        <v>1</v>
      </c>
      <c r="J25" s="23">
        <v>8</v>
      </c>
      <c r="K25" s="23">
        <v>8</v>
      </c>
    </row>
    <row r="26" spans="4:11">
      <c r="D26" s="20">
        <v>46191</v>
      </c>
      <c r="E26" s="21">
        <v>1613327</v>
      </c>
      <c r="F26" s="21" t="s">
        <v>21</v>
      </c>
      <c r="G26" s="22">
        <v>20377357</v>
      </c>
      <c r="H26" s="21" t="s">
        <v>31</v>
      </c>
      <c r="I26" s="22">
        <v>1</v>
      </c>
      <c r="J26" s="23">
        <v>8</v>
      </c>
      <c r="K26" s="23">
        <v>8</v>
      </c>
    </row>
    <row r="27" spans="4:11">
      <c r="D27" s="20">
        <v>46197</v>
      </c>
      <c r="E27" s="21">
        <v>1614653</v>
      </c>
      <c r="F27" s="21" t="s">
        <v>21</v>
      </c>
      <c r="G27" s="22">
        <v>20313588</v>
      </c>
      <c r="H27" s="21" t="s">
        <v>29</v>
      </c>
      <c r="I27" s="22">
        <v>2</v>
      </c>
      <c r="J27" s="23">
        <v>8</v>
      </c>
      <c r="K27" s="23">
        <v>16</v>
      </c>
    </row>
    <row r="28" spans="4:11">
      <c r="D28" s="20">
        <v>46197</v>
      </c>
      <c r="E28" s="21">
        <v>1614653</v>
      </c>
      <c r="F28" s="21" t="s">
        <v>21</v>
      </c>
      <c r="G28" s="22">
        <v>20377357</v>
      </c>
      <c r="H28" s="21" t="s">
        <v>31</v>
      </c>
      <c r="I28" s="22">
        <v>3</v>
      </c>
      <c r="J28" s="23">
        <v>8</v>
      </c>
      <c r="K28" s="23">
        <v>24</v>
      </c>
    </row>
    <row r="29" spans="4:11">
      <c r="D29" s="20">
        <v>46198</v>
      </c>
      <c r="E29" s="21">
        <v>1615070</v>
      </c>
      <c r="F29" s="21" t="s">
        <v>21</v>
      </c>
      <c r="G29" s="22">
        <v>20376624</v>
      </c>
      <c r="H29" s="21" t="s">
        <v>32</v>
      </c>
      <c r="I29" s="22">
        <v>1</v>
      </c>
      <c r="J29" s="23">
        <v>8</v>
      </c>
      <c r="K29" s="23">
        <v>8</v>
      </c>
    </row>
    <row r="30" spans="4:11">
      <c r="D30" s="20">
        <v>46198</v>
      </c>
      <c r="E30" s="21">
        <v>1615070</v>
      </c>
      <c r="F30" s="21" t="s">
        <v>21</v>
      </c>
      <c r="G30" s="22">
        <v>20313588</v>
      </c>
      <c r="H30" s="21" t="s">
        <v>29</v>
      </c>
      <c r="I30" s="22">
        <v>2</v>
      </c>
      <c r="J30" s="23">
        <v>8</v>
      </c>
      <c r="K30" s="23">
        <v>16</v>
      </c>
    </row>
    <row r="31" spans="4:11">
      <c r="D31" s="20">
        <v>46198</v>
      </c>
      <c r="E31" s="21">
        <v>1615070</v>
      </c>
      <c r="F31" s="21" t="s">
        <v>21</v>
      </c>
      <c r="G31" s="22">
        <v>20377357</v>
      </c>
      <c r="H31" s="21" t="s">
        <v>31</v>
      </c>
      <c r="I31" s="22">
        <v>3</v>
      </c>
      <c r="J31" s="23">
        <v>8</v>
      </c>
      <c r="K31" s="23">
        <v>24</v>
      </c>
    </row>
    <row r="32" spans="4:11">
      <c r="D32" s="20">
        <v>46203</v>
      </c>
      <c r="E32" s="21">
        <v>1616245</v>
      </c>
      <c r="F32" s="21" t="s">
        <v>21</v>
      </c>
      <c r="G32" s="22">
        <v>20376624</v>
      </c>
      <c r="H32" s="21" t="s">
        <v>32</v>
      </c>
      <c r="I32" s="22">
        <v>1</v>
      </c>
      <c r="J32" s="23">
        <v>8</v>
      </c>
      <c r="K32" s="23">
        <v>8</v>
      </c>
    </row>
    <row r="33" spans="4:11">
      <c r="D33" s="20">
        <v>46203</v>
      </c>
      <c r="E33" s="21">
        <v>1616245</v>
      </c>
      <c r="F33" s="21" t="s">
        <v>21</v>
      </c>
      <c r="G33" s="22">
        <v>20313588</v>
      </c>
      <c r="H33" s="21" t="s">
        <v>29</v>
      </c>
      <c r="I33" s="22">
        <v>2</v>
      </c>
      <c r="J33" s="23">
        <v>8</v>
      </c>
      <c r="K33" s="23">
        <v>16</v>
      </c>
    </row>
    <row r="34" spans="4:11">
      <c r="D34" s="20">
        <v>46203</v>
      </c>
      <c r="E34" s="21">
        <v>1616245</v>
      </c>
      <c r="F34" s="21" t="s">
        <v>21</v>
      </c>
      <c r="G34" s="22">
        <v>20377357</v>
      </c>
      <c r="H34" s="21" t="s">
        <v>31</v>
      </c>
      <c r="I34" s="22">
        <v>5</v>
      </c>
      <c r="J34" s="23">
        <v>8</v>
      </c>
      <c r="K34" s="23">
        <v>40</v>
      </c>
    </row>
    <row r="35" spans="4:11">
      <c r="D35" s="20">
        <v>46210</v>
      </c>
      <c r="E35" s="21">
        <v>1618267</v>
      </c>
      <c r="F35" s="21" t="s">
        <v>21</v>
      </c>
      <c r="G35" s="22">
        <v>20313588</v>
      </c>
      <c r="H35" s="21" t="s">
        <v>29</v>
      </c>
      <c r="I35" s="22">
        <v>2</v>
      </c>
      <c r="J35" s="23">
        <v>8</v>
      </c>
      <c r="K35" s="23">
        <v>16</v>
      </c>
    </row>
    <row r="36" spans="4:11">
      <c r="D36" s="20">
        <v>46210</v>
      </c>
      <c r="E36" s="21">
        <v>1618267</v>
      </c>
      <c r="F36" s="21" t="s">
        <v>21</v>
      </c>
      <c r="G36" s="22">
        <v>20377357</v>
      </c>
      <c r="H36" s="21" t="s">
        <v>31</v>
      </c>
      <c r="I36" s="22">
        <v>4</v>
      </c>
      <c r="J36" s="23">
        <v>8</v>
      </c>
      <c r="K36" s="23">
        <v>32</v>
      </c>
    </row>
    <row r="37" spans="4:11">
      <c r="D37" s="20">
        <v>46211</v>
      </c>
      <c r="E37" s="21">
        <v>1618649</v>
      </c>
      <c r="F37" s="21" t="s">
        <v>21</v>
      </c>
      <c r="G37" s="22">
        <v>20313588</v>
      </c>
      <c r="H37" s="21" t="s">
        <v>29</v>
      </c>
      <c r="I37" s="22">
        <v>2</v>
      </c>
      <c r="J37" s="23">
        <v>8</v>
      </c>
      <c r="K37" s="23">
        <v>16</v>
      </c>
    </row>
    <row r="38" spans="4:11">
      <c r="D38" s="20">
        <v>46211</v>
      </c>
      <c r="E38" s="21">
        <v>1618649</v>
      </c>
      <c r="F38" s="21" t="s">
        <v>21</v>
      </c>
      <c r="G38" s="22">
        <v>20396337</v>
      </c>
      <c r="H38" s="21" t="s">
        <v>36</v>
      </c>
      <c r="I38" s="22">
        <v>1</v>
      </c>
      <c r="J38" s="23">
        <v>8</v>
      </c>
      <c r="K38" s="23">
        <v>8</v>
      </c>
    </row>
    <row r="39" spans="4:11">
      <c r="D39" s="20">
        <v>46211</v>
      </c>
      <c r="E39" s="21">
        <v>1618649</v>
      </c>
      <c r="F39" s="21" t="s">
        <v>21</v>
      </c>
      <c r="G39" s="22">
        <v>20377357</v>
      </c>
      <c r="H39" s="21" t="s">
        <v>31</v>
      </c>
      <c r="I39" s="22">
        <v>2</v>
      </c>
      <c r="J39" s="23">
        <v>8</v>
      </c>
      <c r="K39" s="23">
        <v>16</v>
      </c>
    </row>
    <row r="40" spans="4:11">
      <c r="D40" s="20">
        <v>46213</v>
      </c>
      <c r="E40" s="21">
        <v>1619383</v>
      </c>
      <c r="F40" s="21" t="s">
        <v>21</v>
      </c>
      <c r="G40" s="22">
        <v>20376624</v>
      </c>
      <c r="H40" s="21" t="s">
        <v>32</v>
      </c>
      <c r="I40" s="22">
        <v>1</v>
      </c>
      <c r="J40" s="23">
        <v>8</v>
      </c>
      <c r="K40" s="23">
        <v>8</v>
      </c>
    </row>
    <row r="41" spans="4:11">
      <c r="D41" s="20">
        <v>46213</v>
      </c>
      <c r="E41" s="21">
        <v>1619383</v>
      </c>
      <c r="F41" s="21" t="s">
        <v>21</v>
      </c>
      <c r="G41" s="22">
        <v>20313588</v>
      </c>
      <c r="H41" s="21" t="s">
        <v>29</v>
      </c>
      <c r="I41" s="22">
        <v>5</v>
      </c>
      <c r="J41" s="23">
        <v>8</v>
      </c>
      <c r="K41" s="23">
        <v>40</v>
      </c>
    </row>
    <row r="42" spans="4:11">
      <c r="D42" s="20">
        <v>46213</v>
      </c>
      <c r="E42" s="21">
        <v>1619383</v>
      </c>
      <c r="F42" s="21" t="s">
        <v>21</v>
      </c>
      <c r="G42" s="22">
        <v>20393917</v>
      </c>
      <c r="H42" s="21" t="s">
        <v>63</v>
      </c>
      <c r="I42" s="22">
        <v>1</v>
      </c>
      <c r="J42" s="23">
        <v>11</v>
      </c>
      <c r="K42" s="23">
        <v>11</v>
      </c>
    </row>
    <row r="43" spans="4:11">
      <c r="D43" s="20">
        <v>46213</v>
      </c>
      <c r="E43" s="21">
        <v>1619383</v>
      </c>
      <c r="F43" s="21" t="s">
        <v>21</v>
      </c>
      <c r="G43" s="22">
        <v>20377357</v>
      </c>
      <c r="H43" s="21" t="s">
        <v>31</v>
      </c>
      <c r="I43" s="22">
        <v>2</v>
      </c>
      <c r="J43" s="23">
        <v>8</v>
      </c>
      <c r="K43" s="23">
        <v>16</v>
      </c>
    </row>
    <row r="44" spans="4:11">
      <c r="D44" s="20">
        <v>46213</v>
      </c>
      <c r="E44" s="21">
        <v>1619572</v>
      </c>
      <c r="F44" s="21" t="s">
        <v>21</v>
      </c>
      <c r="G44" s="22">
        <v>20376624</v>
      </c>
      <c r="H44" s="21" t="s">
        <v>32</v>
      </c>
      <c r="I44" s="22">
        <v>1</v>
      </c>
      <c r="J44" s="23">
        <v>8</v>
      </c>
      <c r="K44" s="23">
        <v>8</v>
      </c>
    </row>
    <row r="45" spans="4:11">
      <c r="D45" s="20">
        <v>46213</v>
      </c>
      <c r="E45" s="21">
        <v>1619572</v>
      </c>
      <c r="F45" s="21" t="s">
        <v>21</v>
      </c>
      <c r="G45" s="22">
        <v>20313588</v>
      </c>
      <c r="H45" s="21" t="s">
        <v>29</v>
      </c>
      <c r="I45" s="22">
        <v>6</v>
      </c>
      <c r="J45" s="23">
        <v>8</v>
      </c>
      <c r="K45" s="23">
        <v>48</v>
      </c>
    </row>
    <row r="46" spans="4:11">
      <c r="D46" s="20">
        <v>46213</v>
      </c>
      <c r="E46" s="21">
        <v>1619572</v>
      </c>
      <c r="F46" s="21" t="s">
        <v>21</v>
      </c>
      <c r="G46" s="22">
        <v>20393917</v>
      </c>
      <c r="H46" s="21" t="s">
        <v>63</v>
      </c>
      <c r="I46" s="22">
        <v>1</v>
      </c>
      <c r="J46" s="23">
        <v>11</v>
      </c>
      <c r="K46" s="23">
        <v>11</v>
      </c>
    </row>
    <row r="47" spans="4:11">
      <c r="D47" s="20">
        <v>46213</v>
      </c>
      <c r="E47" s="21">
        <v>1619572</v>
      </c>
      <c r="F47" s="21" t="s">
        <v>21</v>
      </c>
      <c r="G47" s="22">
        <v>20377357</v>
      </c>
      <c r="H47" s="21" t="s">
        <v>31</v>
      </c>
      <c r="I47" s="22">
        <v>5</v>
      </c>
      <c r="J47" s="23">
        <v>8</v>
      </c>
      <c r="K47" s="23">
        <v>40</v>
      </c>
    </row>
    <row r="48" ht="0.05" customHeight="1"/>
  </sheetData>
  <mergeCells count="5">
    <mergeCell ref="D8:H8"/>
    <mergeCell ref="C7:C47"/>
    <mergeCell ref="B4:H5"/>
    <mergeCell ref="A7:B47"/>
    <mergeCell ref="C1:H2"/>
  </mergeCells>
  <pageMargins left="0.25" right="0.25" top="0.75" bottom="0.75" header="0.298611111111111" footer="0.298611111111111"/>
  <pageSetup paperSize="9" scale="9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8:31 
&amp;"-,Bold"&amp;10 黑龙江省铂康医疗灭菌有限公司 &amp;R&amp;"Droid Sans Fallback"&amp;9第&amp;P页，共&amp;N页 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3"/>
  <sheetViews>
    <sheetView showGridLines="0" view="pageBreakPreview" zoomScaleNormal="100" workbookViewId="0">
      <pane ySplit="6" topLeftCell="A18" activePane="bottomLeft" state="frozen"/>
      <selection/>
      <selection pane="bottomLeft" activeCell="K9" sqref="K9:K5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0.125" customWidth="1"/>
    <col min="10" max="10" width="12.2083333333333" customWidth="1"/>
    <col min="11" max="11" width="11.125" customWidth="1"/>
  </cols>
  <sheetData>
    <row r="1" spans="1:11">
      <c r="C1" s="10" t="s">
        <v>0</v>
      </c>
    </row>
    <row r="2" ht="23.05" customHeight="1"/>
    <row r="3" ht="2" customHeight="1"/>
    <row r="4" ht="15.2" customHeight="1" spans="1:11">
      <c r="B4" s="11" t="s">
        <v>1</v>
      </c>
    </row>
    <row r="6" ht="2.95" customHeight="1"/>
    <row r="7" spans="1:11">
      <c r="A7" s="12" t="s">
        <v>2</v>
      </c>
      <c r="B7" s="13" t="s">
        <v>2</v>
      </c>
      <c r="C7" s="14" t="s">
        <v>2</v>
      </c>
      <c r="D7" s="15" t="s">
        <v>4</v>
      </c>
      <c r="E7" s="15" t="s">
        <v>5</v>
      </c>
      <c r="F7" s="15" t="s">
        <v>6</v>
      </c>
      <c r="G7" s="15" t="s">
        <v>7</v>
      </c>
      <c r="H7" s="15" t="s">
        <v>8</v>
      </c>
      <c r="I7" s="15" t="s">
        <v>9</v>
      </c>
      <c r="J7" s="15" t="s">
        <v>10</v>
      </c>
      <c r="K7" s="15" t="s">
        <v>11</v>
      </c>
    </row>
    <row r="8" ht="14.25" spans="1:11">
      <c r="D8" s="16" t="s">
        <v>72</v>
      </c>
      <c r="E8" s="17" t="s">
        <v>2</v>
      </c>
      <c r="F8" s="17" t="s">
        <v>2</v>
      </c>
      <c r="G8" s="17" t="s">
        <v>2</v>
      </c>
      <c r="H8" s="17" t="s">
        <v>2</v>
      </c>
      <c r="I8" s="18">
        <v>76</v>
      </c>
      <c r="J8" s="19"/>
      <c r="K8" s="19">
        <v>650</v>
      </c>
    </row>
    <row r="9" spans="1:11">
      <c r="D9" s="20">
        <v>46189</v>
      </c>
      <c r="E9" s="21">
        <v>1612529</v>
      </c>
      <c r="F9" s="21" t="s">
        <v>21</v>
      </c>
      <c r="G9" s="22">
        <v>20406253</v>
      </c>
      <c r="H9" s="21" t="s">
        <v>50</v>
      </c>
      <c r="I9" s="22">
        <v>1</v>
      </c>
      <c r="J9" s="23">
        <v>13.5</v>
      </c>
      <c r="K9" s="23">
        <v>13.5</v>
      </c>
    </row>
    <row r="10" spans="1:11">
      <c r="D10" s="20">
        <v>46189</v>
      </c>
      <c r="E10" s="21">
        <v>1612529</v>
      </c>
      <c r="F10" s="21" t="s">
        <v>21</v>
      </c>
      <c r="G10" s="22">
        <v>20414939</v>
      </c>
      <c r="H10" s="21" t="s">
        <v>65</v>
      </c>
      <c r="I10" s="22">
        <v>1</v>
      </c>
      <c r="J10" s="23">
        <v>8</v>
      </c>
      <c r="K10" s="23">
        <v>8</v>
      </c>
    </row>
    <row r="11" spans="1:11">
      <c r="D11" s="20">
        <v>46189</v>
      </c>
      <c r="E11" s="21">
        <v>1612529</v>
      </c>
      <c r="F11" s="21" t="s">
        <v>21</v>
      </c>
      <c r="G11" s="22">
        <v>20313588</v>
      </c>
      <c r="H11" s="21" t="s">
        <v>29</v>
      </c>
      <c r="I11" s="22">
        <v>4</v>
      </c>
      <c r="J11" s="23">
        <v>8</v>
      </c>
      <c r="K11" s="23">
        <v>32</v>
      </c>
    </row>
    <row r="12" spans="1:11">
      <c r="D12" s="20">
        <v>46189</v>
      </c>
      <c r="E12" s="21">
        <v>1612529</v>
      </c>
      <c r="F12" s="21" t="s">
        <v>21</v>
      </c>
      <c r="G12" s="22">
        <v>20377357</v>
      </c>
      <c r="H12" s="21" t="s">
        <v>31</v>
      </c>
      <c r="I12" s="22">
        <v>4</v>
      </c>
      <c r="J12" s="23">
        <v>8</v>
      </c>
      <c r="K12" s="23">
        <v>32</v>
      </c>
    </row>
    <row r="13" spans="1:11">
      <c r="D13" s="20">
        <v>46190</v>
      </c>
      <c r="E13" s="21">
        <v>1612780</v>
      </c>
      <c r="F13" s="21" t="s">
        <v>21</v>
      </c>
      <c r="G13" s="22">
        <v>20005208</v>
      </c>
      <c r="H13" s="21" t="s">
        <v>73</v>
      </c>
      <c r="I13" s="22">
        <v>1</v>
      </c>
      <c r="J13" s="23">
        <v>8</v>
      </c>
      <c r="K13" s="23">
        <v>8</v>
      </c>
    </row>
    <row r="14" spans="1:11">
      <c r="D14" s="20">
        <v>46190</v>
      </c>
      <c r="E14" s="21">
        <v>1612780</v>
      </c>
      <c r="F14" s="21" t="s">
        <v>21</v>
      </c>
      <c r="G14" s="22">
        <v>20313588</v>
      </c>
      <c r="H14" s="21" t="s">
        <v>29</v>
      </c>
      <c r="I14" s="22">
        <v>4</v>
      </c>
      <c r="J14" s="23">
        <v>8</v>
      </c>
      <c r="K14" s="23">
        <v>32</v>
      </c>
    </row>
    <row r="15" spans="1:11">
      <c r="D15" s="20">
        <v>46190</v>
      </c>
      <c r="E15" s="21">
        <v>1612780</v>
      </c>
      <c r="F15" s="21" t="s">
        <v>21</v>
      </c>
      <c r="G15" s="22">
        <v>20324084</v>
      </c>
      <c r="H15" s="21" t="s">
        <v>22</v>
      </c>
      <c r="I15" s="22">
        <v>1</v>
      </c>
      <c r="J15" s="23">
        <v>8</v>
      </c>
      <c r="K15" s="23">
        <v>8</v>
      </c>
    </row>
    <row r="16" spans="1:11">
      <c r="D16" s="20">
        <v>46190</v>
      </c>
      <c r="E16" s="21">
        <v>1612780</v>
      </c>
      <c r="F16" s="21" t="s">
        <v>21</v>
      </c>
      <c r="G16" s="22">
        <v>20377357</v>
      </c>
      <c r="H16" s="21" t="s">
        <v>31</v>
      </c>
      <c r="I16" s="22">
        <v>1</v>
      </c>
      <c r="J16" s="23">
        <v>8</v>
      </c>
      <c r="K16" s="23">
        <v>8</v>
      </c>
    </row>
    <row r="17" spans="4:11">
      <c r="D17" s="20">
        <v>46190</v>
      </c>
      <c r="E17" s="21">
        <v>1612780</v>
      </c>
      <c r="F17" s="21" t="s">
        <v>21</v>
      </c>
      <c r="G17" s="22">
        <v>20303839</v>
      </c>
      <c r="H17" s="21" t="s">
        <v>30</v>
      </c>
      <c r="I17" s="22">
        <v>1</v>
      </c>
      <c r="J17" s="23">
        <v>8</v>
      </c>
      <c r="K17" s="23">
        <v>8</v>
      </c>
    </row>
    <row r="18" spans="4:11">
      <c r="D18" s="20">
        <v>46190</v>
      </c>
      <c r="E18" s="21">
        <v>1612932</v>
      </c>
      <c r="F18" s="21" t="s">
        <v>21</v>
      </c>
      <c r="G18" s="22">
        <v>20406253</v>
      </c>
      <c r="H18" s="21" t="s">
        <v>50</v>
      </c>
      <c r="I18" s="22">
        <v>1</v>
      </c>
      <c r="J18" s="23">
        <v>13.5</v>
      </c>
      <c r="K18" s="23">
        <v>13.5</v>
      </c>
    </row>
    <row r="19" spans="4:11">
      <c r="D19" s="20">
        <v>46190</v>
      </c>
      <c r="E19" s="21">
        <v>1612932</v>
      </c>
      <c r="F19" s="21" t="s">
        <v>21</v>
      </c>
      <c r="G19" s="22">
        <v>20313588</v>
      </c>
      <c r="H19" s="21" t="s">
        <v>29</v>
      </c>
      <c r="I19" s="22">
        <v>4</v>
      </c>
      <c r="J19" s="23">
        <v>8</v>
      </c>
      <c r="K19" s="23">
        <v>32</v>
      </c>
    </row>
    <row r="20" spans="4:11">
      <c r="D20" s="20">
        <v>46190</v>
      </c>
      <c r="E20" s="21">
        <v>1612932</v>
      </c>
      <c r="F20" s="21" t="s">
        <v>21</v>
      </c>
      <c r="G20" s="22">
        <v>20377357</v>
      </c>
      <c r="H20" s="21" t="s">
        <v>31</v>
      </c>
      <c r="I20" s="22">
        <v>1</v>
      </c>
      <c r="J20" s="23">
        <v>8</v>
      </c>
      <c r="K20" s="23">
        <v>8</v>
      </c>
    </row>
    <row r="21" spans="4:11">
      <c r="D21" s="20">
        <v>46191</v>
      </c>
      <c r="E21" s="21">
        <v>1613328</v>
      </c>
      <c r="F21" s="21" t="s">
        <v>21</v>
      </c>
      <c r="G21" s="22">
        <v>20406253</v>
      </c>
      <c r="H21" s="21" t="s">
        <v>50</v>
      </c>
      <c r="I21" s="22">
        <v>1</v>
      </c>
      <c r="J21" s="23">
        <v>13.5</v>
      </c>
      <c r="K21" s="23">
        <v>13.5</v>
      </c>
    </row>
    <row r="22" spans="4:11">
      <c r="D22" s="20">
        <v>46191</v>
      </c>
      <c r="E22" s="21">
        <v>1613328</v>
      </c>
      <c r="F22" s="21" t="s">
        <v>21</v>
      </c>
      <c r="G22" s="22">
        <v>20313588</v>
      </c>
      <c r="H22" s="21" t="s">
        <v>29</v>
      </c>
      <c r="I22" s="22">
        <v>3</v>
      </c>
      <c r="J22" s="23">
        <v>8</v>
      </c>
      <c r="K22" s="23">
        <v>24</v>
      </c>
    </row>
    <row r="23" spans="4:11">
      <c r="D23" s="20">
        <v>46191</v>
      </c>
      <c r="E23" s="21">
        <v>1613328</v>
      </c>
      <c r="F23" s="21" t="s">
        <v>21</v>
      </c>
      <c r="G23" s="22">
        <v>20324084</v>
      </c>
      <c r="H23" s="21" t="s">
        <v>22</v>
      </c>
      <c r="I23" s="22">
        <v>1</v>
      </c>
      <c r="J23" s="23">
        <v>8</v>
      </c>
      <c r="K23" s="23">
        <v>8</v>
      </c>
    </row>
    <row r="24" spans="4:11">
      <c r="D24" s="20">
        <v>46191</v>
      </c>
      <c r="E24" s="21">
        <v>1613328</v>
      </c>
      <c r="F24" s="21" t="s">
        <v>21</v>
      </c>
      <c r="G24" s="22">
        <v>20377357</v>
      </c>
      <c r="H24" s="21" t="s">
        <v>31</v>
      </c>
      <c r="I24" s="22">
        <v>2</v>
      </c>
      <c r="J24" s="23">
        <v>8</v>
      </c>
      <c r="K24" s="23">
        <v>16</v>
      </c>
    </row>
    <row r="25" spans="4:11">
      <c r="D25" s="20">
        <v>46197</v>
      </c>
      <c r="E25" s="21">
        <v>1614654</v>
      </c>
      <c r="F25" s="21" t="s">
        <v>21</v>
      </c>
      <c r="G25" s="22">
        <v>20005208</v>
      </c>
      <c r="H25" s="21" t="s">
        <v>73</v>
      </c>
      <c r="I25" s="22">
        <v>1</v>
      </c>
      <c r="J25" s="23">
        <v>8</v>
      </c>
      <c r="K25" s="23">
        <v>8</v>
      </c>
    </row>
    <row r="26" spans="4:11">
      <c r="D26" s="20">
        <v>46197</v>
      </c>
      <c r="E26" s="21">
        <v>1614654</v>
      </c>
      <c r="F26" s="21" t="s">
        <v>21</v>
      </c>
      <c r="G26" s="22">
        <v>20376621</v>
      </c>
      <c r="H26" s="21" t="s">
        <v>59</v>
      </c>
      <c r="I26" s="22">
        <v>1</v>
      </c>
      <c r="J26" s="23">
        <v>8</v>
      </c>
      <c r="K26" s="23">
        <v>8</v>
      </c>
    </row>
    <row r="27" spans="4:11">
      <c r="D27" s="20">
        <v>46197</v>
      </c>
      <c r="E27" s="21">
        <v>1614654</v>
      </c>
      <c r="F27" s="21" t="s">
        <v>21</v>
      </c>
      <c r="G27" s="22">
        <v>20377357</v>
      </c>
      <c r="H27" s="21" t="s">
        <v>31</v>
      </c>
      <c r="I27" s="22">
        <v>1</v>
      </c>
      <c r="J27" s="23">
        <v>8</v>
      </c>
      <c r="K27" s="23">
        <v>8</v>
      </c>
    </row>
    <row r="28" spans="4:11">
      <c r="D28" s="20">
        <v>46197</v>
      </c>
      <c r="E28" s="21">
        <v>1614654</v>
      </c>
      <c r="F28" s="21" t="s">
        <v>21</v>
      </c>
      <c r="G28" s="22">
        <v>20303839</v>
      </c>
      <c r="H28" s="21" t="s">
        <v>30</v>
      </c>
      <c r="I28" s="22">
        <v>1</v>
      </c>
      <c r="J28" s="23">
        <v>8</v>
      </c>
      <c r="K28" s="23">
        <v>8</v>
      </c>
    </row>
    <row r="29" spans="4:11">
      <c r="D29" s="20">
        <v>46197</v>
      </c>
      <c r="E29" s="21">
        <v>1614906</v>
      </c>
      <c r="F29" s="21" t="s">
        <v>21</v>
      </c>
      <c r="G29" s="22">
        <v>20005208</v>
      </c>
      <c r="H29" s="21" t="s">
        <v>73</v>
      </c>
      <c r="I29" s="22">
        <v>1</v>
      </c>
      <c r="J29" s="23">
        <v>8</v>
      </c>
      <c r="K29" s="23">
        <v>8</v>
      </c>
    </row>
    <row r="30" spans="4:11">
      <c r="D30" s="20">
        <v>46197</v>
      </c>
      <c r="E30" s="21">
        <v>1614906</v>
      </c>
      <c r="F30" s="21" t="s">
        <v>21</v>
      </c>
      <c r="G30" s="22">
        <v>20313588</v>
      </c>
      <c r="H30" s="21" t="s">
        <v>29</v>
      </c>
      <c r="I30" s="22">
        <v>2</v>
      </c>
      <c r="J30" s="23">
        <v>8</v>
      </c>
      <c r="K30" s="23">
        <v>16</v>
      </c>
    </row>
    <row r="31" spans="4:11">
      <c r="D31" s="20">
        <v>46197</v>
      </c>
      <c r="E31" s="21">
        <v>1614906</v>
      </c>
      <c r="F31" s="21" t="s">
        <v>21</v>
      </c>
      <c r="G31" s="22">
        <v>20377357</v>
      </c>
      <c r="H31" s="21" t="s">
        <v>31</v>
      </c>
      <c r="I31" s="22">
        <v>1</v>
      </c>
      <c r="J31" s="23">
        <v>8</v>
      </c>
      <c r="K31" s="23">
        <v>8</v>
      </c>
    </row>
    <row r="32" spans="4:11">
      <c r="D32" s="20">
        <v>46197</v>
      </c>
      <c r="E32" s="21">
        <v>1614906</v>
      </c>
      <c r="F32" s="21" t="s">
        <v>21</v>
      </c>
      <c r="G32" s="22">
        <v>20303839</v>
      </c>
      <c r="H32" s="21" t="s">
        <v>30</v>
      </c>
      <c r="I32" s="22">
        <v>1</v>
      </c>
      <c r="J32" s="23">
        <v>8</v>
      </c>
      <c r="K32" s="23">
        <v>8</v>
      </c>
    </row>
    <row r="33" spans="4:11">
      <c r="D33" s="20">
        <v>46212</v>
      </c>
      <c r="E33" s="21">
        <v>1618992</v>
      </c>
      <c r="F33" s="21" t="s">
        <v>21</v>
      </c>
      <c r="G33" s="22">
        <v>20005208</v>
      </c>
      <c r="H33" s="21" t="s">
        <v>73</v>
      </c>
      <c r="I33" s="22">
        <v>1</v>
      </c>
      <c r="J33" s="23">
        <v>8</v>
      </c>
      <c r="K33" s="23">
        <v>8</v>
      </c>
    </row>
    <row r="34" spans="4:11">
      <c r="D34" s="20">
        <v>46212</v>
      </c>
      <c r="E34" s="21">
        <v>1618992</v>
      </c>
      <c r="F34" s="21" t="s">
        <v>21</v>
      </c>
      <c r="G34" s="22">
        <v>20376624</v>
      </c>
      <c r="H34" s="21" t="s">
        <v>32</v>
      </c>
      <c r="I34" s="22">
        <v>1</v>
      </c>
      <c r="J34" s="23">
        <v>8</v>
      </c>
      <c r="K34" s="23">
        <v>8</v>
      </c>
    </row>
    <row r="35" spans="4:11">
      <c r="D35" s="20">
        <v>46212</v>
      </c>
      <c r="E35" s="21">
        <v>1618992</v>
      </c>
      <c r="F35" s="21" t="s">
        <v>21</v>
      </c>
      <c r="G35" s="22">
        <v>20409657</v>
      </c>
      <c r="H35" s="21" t="s">
        <v>67</v>
      </c>
      <c r="I35" s="22">
        <v>3</v>
      </c>
      <c r="J35" s="23">
        <v>16.5</v>
      </c>
      <c r="K35" s="23">
        <v>49.5</v>
      </c>
    </row>
    <row r="36" spans="4:11">
      <c r="D36" s="20">
        <v>46212</v>
      </c>
      <c r="E36" s="21">
        <v>1618992</v>
      </c>
      <c r="F36" s="21" t="s">
        <v>21</v>
      </c>
      <c r="G36" s="22">
        <v>20377357</v>
      </c>
      <c r="H36" s="21" t="s">
        <v>31</v>
      </c>
      <c r="I36" s="22">
        <v>1</v>
      </c>
      <c r="J36" s="23">
        <v>8</v>
      </c>
      <c r="K36" s="23">
        <v>8</v>
      </c>
    </row>
    <row r="37" spans="4:11">
      <c r="D37" s="20">
        <v>46213</v>
      </c>
      <c r="E37" s="21">
        <v>1619283</v>
      </c>
      <c r="F37" s="21" t="s">
        <v>21</v>
      </c>
      <c r="G37" s="22">
        <v>20376624</v>
      </c>
      <c r="H37" s="21" t="s">
        <v>32</v>
      </c>
      <c r="I37" s="22">
        <v>1</v>
      </c>
      <c r="J37" s="23">
        <v>8</v>
      </c>
      <c r="K37" s="23">
        <v>8</v>
      </c>
    </row>
    <row r="38" spans="4:11">
      <c r="D38" s="20">
        <v>46213</v>
      </c>
      <c r="E38" s="21">
        <v>1619283</v>
      </c>
      <c r="F38" s="21" t="s">
        <v>21</v>
      </c>
      <c r="G38" s="22">
        <v>20313588</v>
      </c>
      <c r="H38" s="21" t="s">
        <v>29</v>
      </c>
      <c r="I38" s="22">
        <v>2</v>
      </c>
      <c r="J38" s="23">
        <v>8</v>
      </c>
      <c r="K38" s="23">
        <v>16</v>
      </c>
    </row>
    <row r="39" spans="4:11">
      <c r="D39" s="20">
        <v>46213</v>
      </c>
      <c r="E39" s="21">
        <v>1619283</v>
      </c>
      <c r="F39" s="21" t="s">
        <v>21</v>
      </c>
      <c r="G39" s="22">
        <v>20377357</v>
      </c>
      <c r="H39" s="21" t="s">
        <v>31</v>
      </c>
      <c r="I39" s="22">
        <v>3</v>
      </c>
      <c r="J39" s="23">
        <v>8</v>
      </c>
      <c r="K39" s="23">
        <v>24</v>
      </c>
    </row>
    <row r="40" spans="4:11">
      <c r="D40" s="20">
        <v>46213</v>
      </c>
      <c r="E40" s="21">
        <v>1619384</v>
      </c>
      <c r="F40" s="21" t="s">
        <v>21</v>
      </c>
      <c r="G40" s="22">
        <v>20005208</v>
      </c>
      <c r="H40" s="21" t="s">
        <v>73</v>
      </c>
      <c r="I40" s="22">
        <v>1</v>
      </c>
      <c r="J40" s="23">
        <v>8</v>
      </c>
      <c r="K40" s="23">
        <v>8</v>
      </c>
    </row>
    <row r="41" spans="4:11">
      <c r="D41" s="20">
        <v>46213</v>
      </c>
      <c r="E41" s="21">
        <v>1619384</v>
      </c>
      <c r="F41" s="21" t="s">
        <v>21</v>
      </c>
      <c r="G41" s="22">
        <v>20376624</v>
      </c>
      <c r="H41" s="21" t="s">
        <v>32</v>
      </c>
      <c r="I41" s="22">
        <v>1</v>
      </c>
      <c r="J41" s="23">
        <v>8</v>
      </c>
      <c r="K41" s="23">
        <v>8</v>
      </c>
    </row>
    <row r="42" spans="4:11">
      <c r="D42" s="20">
        <v>46213</v>
      </c>
      <c r="E42" s="21">
        <v>1619384</v>
      </c>
      <c r="F42" s="21" t="s">
        <v>21</v>
      </c>
      <c r="G42" s="22">
        <v>20313588</v>
      </c>
      <c r="H42" s="21" t="s">
        <v>29</v>
      </c>
      <c r="I42" s="22">
        <v>3</v>
      </c>
      <c r="J42" s="23">
        <v>8</v>
      </c>
      <c r="K42" s="23">
        <v>24</v>
      </c>
    </row>
    <row r="43" spans="4:11">
      <c r="D43" s="20">
        <v>46213</v>
      </c>
      <c r="E43" s="21">
        <v>1619384</v>
      </c>
      <c r="F43" s="21" t="s">
        <v>21</v>
      </c>
      <c r="G43" s="22">
        <v>20377357</v>
      </c>
      <c r="H43" s="21" t="s">
        <v>31</v>
      </c>
      <c r="I43" s="22">
        <v>1</v>
      </c>
      <c r="J43" s="23">
        <v>8</v>
      </c>
      <c r="K43" s="23">
        <v>8</v>
      </c>
    </row>
    <row r="44" spans="4:11">
      <c r="D44" s="20">
        <v>46213</v>
      </c>
      <c r="E44" s="21">
        <v>1619384</v>
      </c>
      <c r="F44" s="21" t="s">
        <v>21</v>
      </c>
      <c r="G44" s="22">
        <v>20303839</v>
      </c>
      <c r="H44" s="21" t="s">
        <v>30</v>
      </c>
      <c r="I44" s="22">
        <v>1</v>
      </c>
      <c r="J44" s="23">
        <v>8</v>
      </c>
      <c r="K44" s="23">
        <v>8</v>
      </c>
    </row>
    <row r="45" spans="4:11">
      <c r="D45" s="20">
        <v>46213</v>
      </c>
      <c r="E45" s="21">
        <v>1619573</v>
      </c>
      <c r="F45" s="21" t="s">
        <v>21</v>
      </c>
      <c r="G45" s="22">
        <v>20005208</v>
      </c>
      <c r="H45" s="21" t="s">
        <v>73</v>
      </c>
      <c r="I45" s="22">
        <v>1</v>
      </c>
      <c r="J45" s="23">
        <v>8</v>
      </c>
      <c r="K45" s="23">
        <v>8</v>
      </c>
    </row>
    <row r="46" spans="4:11">
      <c r="D46" s="20">
        <v>46213</v>
      </c>
      <c r="E46" s="21">
        <v>1619573</v>
      </c>
      <c r="F46" s="21" t="s">
        <v>21</v>
      </c>
      <c r="G46" s="22">
        <v>20313588</v>
      </c>
      <c r="H46" s="21" t="s">
        <v>29</v>
      </c>
      <c r="I46" s="22">
        <v>3</v>
      </c>
      <c r="J46" s="23">
        <v>8</v>
      </c>
      <c r="K46" s="23">
        <v>24</v>
      </c>
    </row>
    <row r="47" spans="4:11">
      <c r="D47" s="20">
        <v>46213</v>
      </c>
      <c r="E47" s="21">
        <v>1619573</v>
      </c>
      <c r="F47" s="21" t="s">
        <v>21</v>
      </c>
      <c r="G47" s="22">
        <v>20324084</v>
      </c>
      <c r="H47" s="21" t="s">
        <v>22</v>
      </c>
      <c r="I47" s="22">
        <v>1</v>
      </c>
      <c r="J47" s="23">
        <v>8</v>
      </c>
      <c r="K47" s="23">
        <v>8</v>
      </c>
    </row>
    <row r="48" spans="4:11">
      <c r="D48" s="20">
        <v>46213</v>
      </c>
      <c r="E48" s="21">
        <v>1619573</v>
      </c>
      <c r="F48" s="21" t="s">
        <v>21</v>
      </c>
      <c r="G48" s="22">
        <v>20377357</v>
      </c>
      <c r="H48" s="21" t="s">
        <v>31</v>
      </c>
      <c r="I48" s="22">
        <v>2</v>
      </c>
      <c r="J48" s="23">
        <v>8</v>
      </c>
      <c r="K48" s="23">
        <v>16</v>
      </c>
    </row>
    <row r="49" spans="4:11">
      <c r="D49" s="20">
        <v>46213</v>
      </c>
      <c r="E49" s="21">
        <v>1619573</v>
      </c>
      <c r="F49" s="21" t="s">
        <v>21</v>
      </c>
      <c r="G49" s="22">
        <v>20303839</v>
      </c>
      <c r="H49" s="21" t="s">
        <v>30</v>
      </c>
      <c r="I49" s="22">
        <v>1</v>
      </c>
      <c r="J49" s="23">
        <v>8</v>
      </c>
      <c r="K49" s="23">
        <v>8</v>
      </c>
    </row>
    <row r="50" spans="4:11">
      <c r="D50" s="20">
        <v>46217</v>
      </c>
      <c r="E50" s="21">
        <v>1620259</v>
      </c>
      <c r="F50" s="21" t="s">
        <v>21</v>
      </c>
      <c r="G50" s="22">
        <v>20005208</v>
      </c>
      <c r="H50" s="21" t="s">
        <v>73</v>
      </c>
      <c r="I50" s="22">
        <v>2</v>
      </c>
      <c r="J50" s="23">
        <v>8</v>
      </c>
      <c r="K50" s="23">
        <v>16</v>
      </c>
    </row>
    <row r="51" spans="4:11">
      <c r="D51" s="20">
        <v>46217</v>
      </c>
      <c r="E51" s="21">
        <v>1620259</v>
      </c>
      <c r="F51" s="21" t="s">
        <v>21</v>
      </c>
      <c r="G51" s="22">
        <v>20376624</v>
      </c>
      <c r="H51" s="21" t="s">
        <v>32</v>
      </c>
      <c r="I51" s="22">
        <v>1</v>
      </c>
      <c r="J51" s="23">
        <v>8</v>
      </c>
      <c r="K51" s="23">
        <v>8</v>
      </c>
    </row>
    <row r="52" spans="4:11">
      <c r="D52" s="20">
        <v>46217</v>
      </c>
      <c r="E52" s="21">
        <v>1620259</v>
      </c>
      <c r="F52" s="21" t="s">
        <v>21</v>
      </c>
      <c r="G52" s="22">
        <v>20313588</v>
      </c>
      <c r="H52" s="21" t="s">
        <v>29</v>
      </c>
      <c r="I52" s="22">
        <v>5</v>
      </c>
      <c r="J52" s="23">
        <v>8</v>
      </c>
      <c r="K52" s="23">
        <v>40</v>
      </c>
    </row>
    <row r="53" spans="4:11">
      <c r="D53" s="20">
        <v>46217</v>
      </c>
      <c r="E53" s="21">
        <v>1620259</v>
      </c>
      <c r="F53" s="21" t="s">
        <v>21</v>
      </c>
      <c r="G53" s="22">
        <v>20303839</v>
      </c>
      <c r="H53" s="21" t="s">
        <v>30</v>
      </c>
      <c r="I53" s="22">
        <v>1</v>
      </c>
      <c r="J53" s="23">
        <v>8</v>
      </c>
      <c r="K53" s="23">
        <v>8</v>
      </c>
    </row>
  </sheetData>
  <mergeCells count="5">
    <mergeCell ref="D8:H8"/>
    <mergeCell ref="C7:C53"/>
    <mergeCell ref="B4:H5"/>
    <mergeCell ref="A7:B53"/>
    <mergeCell ref="C1:H2"/>
  </mergeCells>
  <pageMargins left="0.25" right="0.25" top="0.75" bottom="0.75" header="0.298611111111111" footer="0.298611111111111"/>
  <pageSetup paperSize="9" scale="9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8:31 
&amp;"-,Bold"&amp;10 黑龙江省铂康医疗灭菌有限公司 &amp;R&amp;"Droid Sans Fallback"&amp;9第&amp;P页，共&amp;N页 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showGridLines="0" view="pageBreakPreview" zoomScaleNormal="100" workbookViewId="0">
      <pane ySplit="6" topLeftCell="A7" activePane="bottomLeft" state="frozen"/>
      <selection/>
      <selection pane="bottomLeft" activeCell="J45" sqref="J4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0.125" customWidth="1"/>
    <col min="10" max="10" width="12.2083333333333" customWidth="1"/>
    <col min="11" max="11" width="11.125" customWidth="1"/>
  </cols>
  <sheetData>
    <row r="1" spans="1:11">
      <c r="C1" s="10" t="s">
        <v>0</v>
      </c>
    </row>
    <row r="2" ht="23.05" customHeight="1"/>
    <row r="3" ht="2" customHeight="1"/>
    <row r="4" ht="15.2" customHeight="1" spans="1:11">
      <c r="B4" s="11" t="s">
        <v>1</v>
      </c>
    </row>
    <row r="6" ht="2.95" customHeight="1"/>
    <row r="7" spans="1:11">
      <c r="A7" s="12" t="s">
        <v>2</v>
      </c>
      <c r="B7" s="13" t="s">
        <v>2</v>
      </c>
      <c r="C7" s="14" t="s">
        <v>2</v>
      </c>
      <c r="D7" s="15" t="s">
        <v>4</v>
      </c>
      <c r="E7" s="15" t="s">
        <v>5</v>
      </c>
      <c r="F7" s="15" t="s">
        <v>6</v>
      </c>
      <c r="G7" s="15" t="s">
        <v>7</v>
      </c>
      <c r="H7" s="15" t="s">
        <v>8</v>
      </c>
      <c r="I7" s="15" t="s">
        <v>9</v>
      </c>
      <c r="J7" s="15" t="s">
        <v>10</v>
      </c>
      <c r="K7" s="15" t="s">
        <v>11</v>
      </c>
    </row>
    <row r="8" ht="14.25" spans="1:11">
      <c r="D8" s="16" t="s">
        <v>74</v>
      </c>
      <c r="E8" s="17" t="s">
        <v>2</v>
      </c>
      <c r="F8" s="17" t="s">
        <v>2</v>
      </c>
      <c r="G8" s="17" t="s">
        <v>2</v>
      </c>
      <c r="H8" s="17" t="s">
        <v>2</v>
      </c>
      <c r="I8" s="18">
        <v>36</v>
      </c>
      <c r="J8" s="19"/>
      <c r="K8" s="19">
        <v>304.5</v>
      </c>
    </row>
    <row r="9" spans="1:11">
      <c r="D9" s="20">
        <v>46189</v>
      </c>
      <c r="E9" s="21">
        <v>1612530</v>
      </c>
      <c r="F9" s="21" t="s">
        <v>21</v>
      </c>
      <c r="G9" s="22">
        <v>20406253</v>
      </c>
      <c r="H9" s="21" t="s">
        <v>50</v>
      </c>
      <c r="I9" s="22">
        <v>1</v>
      </c>
      <c r="J9" s="23">
        <v>13.5</v>
      </c>
      <c r="K9" s="23">
        <v>13.5</v>
      </c>
    </row>
    <row r="10" spans="1:11">
      <c r="D10" s="20">
        <v>46189</v>
      </c>
      <c r="E10" s="21">
        <v>1612530</v>
      </c>
      <c r="F10" s="21" t="s">
        <v>21</v>
      </c>
      <c r="G10" s="22">
        <v>20313588</v>
      </c>
      <c r="H10" s="21" t="s">
        <v>29</v>
      </c>
      <c r="I10" s="22">
        <v>3</v>
      </c>
      <c r="J10" s="23">
        <v>8</v>
      </c>
      <c r="K10" s="23">
        <v>24</v>
      </c>
    </row>
    <row r="11" spans="1:11">
      <c r="D11" s="20">
        <v>46189</v>
      </c>
      <c r="E11" s="21">
        <v>1612530</v>
      </c>
      <c r="F11" s="21" t="s">
        <v>21</v>
      </c>
      <c r="G11" s="22">
        <v>20377357</v>
      </c>
      <c r="H11" s="21" t="s">
        <v>31</v>
      </c>
      <c r="I11" s="22">
        <v>3</v>
      </c>
      <c r="J11" s="23">
        <v>8</v>
      </c>
      <c r="K11" s="23">
        <v>24</v>
      </c>
    </row>
    <row r="12" spans="1:11">
      <c r="D12" s="20">
        <v>46196</v>
      </c>
      <c r="E12" s="21">
        <v>1614313</v>
      </c>
      <c r="F12" s="21" t="s">
        <v>21</v>
      </c>
      <c r="G12" s="22">
        <v>20406253</v>
      </c>
      <c r="H12" s="21" t="s">
        <v>50</v>
      </c>
      <c r="I12" s="22">
        <v>2</v>
      </c>
      <c r="J12" s="23">
        <v>13.5</v>
      </c>
      <c r="K12" s="23">
        <v>27</v>
      </c>
    </row>
    <row r="13" spans="1:11">
      <c r="D13" s="20">
        <v>46196</v>
      </c>
      <c r="E13" s="21">
        <v>1614313</v>
      </c>
      <c r="F13" s="21" t="s">
        <v>21</v>
      </c>
      <c r="G13" s="22">
        <v>20414939</v>
      </c>
      <c r="H13" s="21" t="s">
        <v>65</v>
      </c>
      <c r="I13" s="22">
        <v>1</v>
      </c>
      <c r="J13" s="23">
        <v>8</v>
      </c>
      <c r="K13" s="23">
        <v>8</v>
      </c>
    </row>
    <row r="14" spans="1:11">
      <c r="D14" s="20">
        <v>46196</v>
      </c>
      <c r="E14" s="21">
        <v>1614313</v>
      </c>
      <c r="F14" s="21" t="s">
        <v>21</v>
      </c>
      <c r="G14" s="22">
        <v>20313588</v>
      </c>
      <c r="H14" s="21" t="s">
        <v>29</v>
      </c>
      <c r="I14" s="22">
        <v>4</v>
      </c>
      <c r="J14" s="23">
        <v>8</v>
      </c>
      <c r="K14" s="23">
        <v>32</v>
      </c>
    </row>
    <row r="15" spans="1:11">
      <c r="D15" s="20">
        <v>46196</v>
      </c>
      <c r="E15" s="21">
        <v>1614313</v>
      </c>
      <c r="F15" s="21" t="s">
        <v>21</v>
      </c>
      <c r="G15" s="22">
        <v>20377357</v>
      </c>
      <c r="H15" s="21" t="s">
        <v>31</v>
      </c>
      <c r="I15" s="22">
        <v>5</v>
      </c>
      <c r="J15" s="23">
        <v>8</v>
      </c>
      <c r="K15" s="23">
        <v>40</v>
      </c>
    </row>
    <row r="16" spans="1:11">
      <c r="D16" s="20">
        <v>46197</v>
      </c>
      <c r="E16" s="21">
        <v>1614907</v>
      </c>
      <c r="F16" s="21" t="s">
        <v>21</v>
      </c>
      <c r="G16" s="22">
        <v>20313588</v>
      </c>
      <c r="H16" s="21" t="s">
        <v>29</v>
      </c>
      <c r="I16" s="22">
        <v>4</v>
      </c>
      <c r="J16" s="23">
        <v>8</v>
      </c>
      <c r="K16" s="23">
        <v>32</v>
      </c>
    </row>
    <row r="17" spans="4:11">
      <c r="D17" s="20">
        <v>46197</v>
      </c>
      <c r="E17" s="21">
        <v>1614907</v>
      </c>
      <c r="F17" s="21" t="s">
        <v>21</v>
      </c>
      <c r="G17" s="22">
        <v>20377357</v>
      </c>
      <c r="H17" s="21" t="s">
        <v>31</v>
      </c>
      <c r="I17" s="22">
        <v>2</v>
      </c>
      <c r="J17" s="23">
        <v>8</v>
      </c>
      <c r="K17" s="23">
        <v>16</v>
      </c>
    </row>
    <row r="18" spans="4:11">
      <c r="D18" s="20">
        <v>46211</v>
      </c>
      <c r="E18" s="21">
        <v>1618650</v>
      </c>
      <c r="F18" s="21" t="s">
        <v>21</v>
      </c>
      <c r="G18" s="22">
        <v>20313588</v>
      </c>
      <c r="H18" s="21" t="s">
        <v>29</v>
      </c>
      <c r="I18" s="22">
        <v>4</v>
      </c>
      <c r="J18" s="23">
        <v>8</v>
      </c>
      <c r="K18" s="23">
        <v>32</v>
      </c>
    </row>
    <row r="19" spans="4:11">
      <c r="D19" s="20">
        <v>46211</v>
      </c>
      <c r="E19" s="21">
        <v>1618650</v>
      </c>
      <c r="F19" s="21" t="s">
        <v>21</v>
      </c>
      <c r="G19" s="22">
        <v>20377357</v>
      </c>
      <c r="H19" s="21" t="s">
        <v>31</v>
      </c>
      <c r="I19" s="22">
        <v>3</v>
      </c>
      <c r="J19" s="23">
        <v>8</v>
      </c>
      <c r="K19" s="23">
        <v>24</v>
      </c>
    </row>
    <row r="20" spans="4:11">
      <c r="D20" s="20">
        <v>46217</v>
      </c>
      <c r="E20" s="21">
        <v>1620260</v>
      </c>
      <c r="F20" s="21" t="s">
        <v>21</v>
      </c>
      <c r="G20" s="22">
        <v>20313588</v>
      </c>
      <c r="H20" s="21" t="s">
        <v>29</v>
      </c>
      <c r="I20" s="22">
        <v>3</v>
      </c>
      <c r="J20" s="23">
        <v>8</v>
      </c>
      <c r="K20" s="23">
        <v>24</v>
      </c>
    </row>
    <row r="21" spans="4:11">
      <c r="D21" s="20">
        <v>46217</v>
      </c>
      <c r="E21" s="21">
        <v>1620260</v>
      </c>
      <c r="F21" s="21" t="s">
        <v>21</v>
      </c>
      <c r="G21" s="22">
        <v>20377357</v>
      </c>
      <c r="H21" s="21" t="s">
        <v>31</v>
      </c>
      <c r="I21" s="22">
        <v>1</v>
      </c>
      <c r="J21" s="23">
        <v>8</v>
      </c>
      <c r="K21" s="23">
        <v>8</v>
      </c>
    </row>
    <row r="22" ht="0.05" customHeight="1"/>
  </sheetData>
  <mergeCells count="5">
    <mergeCell ref="D8:H8"/>
    <mergeCell ref="C7:C21"/>
    <mergeCell ref="B4:H5"/>
    <mergeCell ref="A7:B21"/>
    <mergeCell ref="C1:H2"/>
  </mergeCells>
  <pageMargins left="0.25" right="0.25" top="0.75" bottom="0.75" header="0.298611111111111" footer="0.298611111111111"/>
  <pageSetup paperSize="9" scale="9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8:31 
&amp;"-,Bold"&amp;10 黑龙江省铂康医疗灭菌有限公司 &amp;R&amp;"Droid Sans Fallback"&amp;9第&amp;P页，共&amp;N页 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0.125" customWidth="1"/>
    <col min="10" max="10" width="12.2083333333333" customWidth="1"/>
    <col min="11" max="11" width="11.125" customWidth="1"/>
  </cols>
  <sheetData>
    <row r="1" spans="1:11">
      <c r="C1" s="10" t="s">
        <v>0</v>
      </c>
    </row>
    <row r="2" ht="23.05" customHeight="1"/>
    <row r="3" ht="2" customHeight="1"/>
    <row r="4" ht="15.2" customHeight="1" spans="1:11">
      <c r="B4" s="11" t="s">
        <v>1</v>
      </c>
    </row>
    <row r="6" ht="2.95" customHeight="1"/>
    <row r="7" spans="1:11">
      <c r="A7" s="12" t="s">
        <v>2</v>
      </c>
      <c r="B7" s="13" t="s">
        <v>2</v>
      </c>
      <c r="C7" s="14" t="s">
        <v>2</v>
      </c>
      <c r="D7" s="15" t="s">
        <v>4</v>
      </c>
      <c r="E7" s="15" t="s">
        <v>5</v>
      </c>
      <c r="F7" s="15" t="s">
        <v>6</v>
      </c>
      <c r="G7" s="15" t="s">
        <v>7</v>
      </c>
      <c r="H7" s="15" t="s">
        <v>8</v>
      </c>
      <c r="I7" s="15" t="s">
        <v>9</v>
      </c>
      <c r="J7" s="15" t="s">
        <v>10</v>
      </c>
      <c r="K7" s="15" t="s">
        <v>11</v>
      </c>
    </row>
    <row r="8" ht="14.25" spans="1:11">
      <c r="D8" s="16" t="s">
        <v>75</v>
      </c>
      <c r="E8" s="17" t="s">
        <v>2</v>
      </c>
      <c r="F8" s="17" t="s">
        <v>2</v>
      </c>
      <c r="G8" s="17" t="s">
        <v>2</v>
      </c>
      <c r="H8" s="17" t="s">
        <v>2</v>
      </c>
      <c r="I8" s="18">
        <v>31</v>
      </c>
      <c r="J8" s="19"/>
      <c r="K8" s="19">
        <v>253.5</v>
      </c>
    </row>
    <row r="9" spans="1:11">
      <c r="D9" s="20">
        <v>46198</v>
      </c>
      <c r="E9" s="21">
        <v>1615071</v>
      </c>
      <c r="F9" s="21" t="s">
        <v>21</v>
      </c>
      <c r="G9" s="22">
        <v>20313588</v>
      </c>
      <c r="H9" s="21" t="s">
        <v>29</v>
      </c>
      <c r="I9" s="22">
        <v>1</v>
      </c>
      <c r="J9" s="23">
        <v>8</v>
      </c>
      <c r="K9" s="23">
        <v>8</v>
      </c>
    </row>
    <row r="10" spans="1:11">
      <c r="D10" s="20">
        <v>46198</v>
      </c>
      <c r="E10" s="21">
        <v>1615071</v>
      </c>
      <c r="F10" s="21" t="s">
        <v>21</v>
      </c>
      <c r="G10" s="22">
        <v>20377357</v>
      </c>
      <c r="H10" s="21" t="s">
        <v>31</v>
      </c>
      <c r="I10" s="22">
        <v>2</v>
      </c>
      <c r="J10" s="23">
        <v>8</v>
      </c>
      <c r="K10" s="23">
        <v>16</v>
      </c>
    </row>
    <row r="11" spans="1:11">
      <c r="D11" s="20">
        <v>46198</v>
      </c>
      <c r="E11" s="21">
        <v>1615071</v>
      </c>
      <c r="F11" s="21" t="s">
        <v>21</v>
      </c>
      <c r="G11" s="22">
        <v>20303839</v>
      </c>
      <c r="H11" s="21" t="s">
        <v>30</v>
      </c>
      <c r="I11" s="22">
        <v>1</v>
      </c>
      <c r="J11" s="23">
        <v>8</v>
      </c>
      <c r="K11" s="23">
        <v>8</v>
      </c>
    </row>
    <row r="12" spans="1:11">
      <c r="D12" s="20">
        <v>46203</v>
      </c>
      <c r="E12" s="21">
        <v>1616246</v>
      </c>
      <c r="F12" s="21" t="s">
        <v>21</v>
      </c>
      <c r="G12" s="22">
        <v>20313588</v>
      </c>
      <c r="H12" s="21" t="s">
        <v>29</v>
      </c>
      <c r="I12" s="22">
        <v>2</v>
      </c>
      <c r="J12" s="23">
        <v>8</v>
      </c>
      <c r="K12" s="23">
        <v>16</v>
      </c>
    </row>
    <row r="13" spans="1:11">
      <c r="D13" s="20">
        <v>46203</v>
      </c>
      <c r="E13" s="21">
        <v>1616246</v>
      </c>
      <c r="F13" s="21" t="s">
        <v>21</v>
      </c>
      <c r="G13" s="22">
        <v>20401202</v>
      </c>
      <c r="H13" s="21" t="s">
        <v>70</v>
      </c>
      <c r="I13" s="22">
        <v>1</v>
      </c>
      <c r="J13" s="23">
        <v>13.5</v>
      </c>
      <c r="K13" s="23">
        <v>13.5</v>
      </c>
    </row>
    <row r="14" spans="1:11">
      <c r="D14" s="20">
        <v>46203</v>
      </c>
      <c r="E14" s="21">
        <v>1616246</v>
      </c>
      <c r="F14" s="21" t="s">
        <v>21</v>
      </c>
      <c r="G14" s="22">
        <v>20377357</v>
      </c>
      <c r="H14" s="21" t="s">
        <v>31</v>
      </c>
      <c r="I14" s="22">
        <v>2</v>
      </c>
      <c r="J14" s="23">
        <v>8</v>
      </c>
      <c r="K14" s="23">
        <v>16</v>
      </c>
    </row>
    <row r="15" spans="1:11">
      <c r="D15" s="20">
        <v>46206</v>
      </c>
      <c r="E15" s="21">
        <v>1617387</v>
      </c>
      <c r="F15" s="21" t="s">
        <v>21</v>
      </c>
      <c r="G15" s="22">
        <v>20313588</v>
      </c>
      <c r="H15" s="21" t="s">
        <v>29</v>
      </c>
      <c r="I15" s="22">
        <v>2</v>
      </c>
      <c r="J15" s="23">
        <v>8</v>
      </c>
      <c r="K15" s="23">
        <v>16</v>
      </c>
    </row>
    <row r="16" spans="1:11">
      <c r="D16" s="20">
        <v>46206</v>
      </c>
      <c r="E16" s="21">
        <v>1617387</v>
      </c>
      <c r="F16" s="21" t="s">
        <v>21</v>
      </c>
      <c r="G16" s="22">
        <v>20377357</v>
      </c>
      <c r="H16" s="21" t="s">
        <v>31</v>
      </c>
      <c r="I16" s="22">
        <v>2</v>
      </c>
      <c r="J16" s="23">
        <v>8</v>
      </c>
      <c r="K16" s="23">
        <v>16</v>
      </c>
    </row>
    <row r="17" spans="4:11">
      <c r="D17" s="20">
        <v>46213</v>
      </c>
      <c r="E17" s="21">
        <v>1619284</v>
      </c>
      <c r="F17" s="21" t="s">
        <v>21</v>
      </c>
      <c r="G17" s="22">
        <v>20313588</v>
      </c>
      <c r="H17" s="21" t="s">
        <v>29</v>
      </c>
      <c r="I17" s="22">
        <v>8</v>
      </c>
      <c r="J17" s="23">
        <v>8</v>
      </c>
      <c r="K17" s="23">
        <v>64</v>
      </c>
    </row>
    <row r="18" spans="4:11">
      <c r="D18" s="20">
        <v>46213</v>
      </c>
      <c r="E18" s="21">
        <v>1619284</v>
      </c>
      <c r="F18" s="21" t="s">
        <v>21</v>
      </c>
      <c r="G18" s="22">
        <v>20377357</v>
      </c>
      <c r="H18" s="21" t="s">
        <v>31</v>
      </c>
      <c r="I18" s="22">
        <v>3</v>
      </c>
      <c r="J18" s="23">
        <v>8</v>
      </c>
      <c r="K18" s="23">
        <v>24</v>
      </c>
    </row>
    <row r="19" spans="4:11">
      <c r="D19" s="20">
        <v>46213</v>
      </c>
      <c r="E19" s="21">
        <v>1619284</v>
      </c>
      <c r="F19" s="21" t="s">
        <v>21</v>
      </c>
      <c r="G19" s="22">
        <v>20303839</v>
      </c>
      <c r="H19" s="21" t="s">
        <v>30</v>
      </c>
      <c r="I19" s="22">
        <v>1</v>
      </c>
      <c r="J19" s="23">
        <v>8</v>
      </c>
      <c r="K19" s="23">
        <v>8</v>
      </c>
    </row>
    <row r="20" spans="4:11">
      <c r="D20" s="20">
        <v>46213</v>
      </c>
      <c r="E20" s="21">
        <v>1619574</v>
      </c>
      <c r="F20" s="21" t="s">
        <v>21</v>
      </c>
      <c r="G20" s="22">
        <v>20313588</v>
      </c>
      <c r="H20" s="21" t="s">
        <v>29</v>
      </c>
      <c r="I20" s="22">
        <v>5</v>
      </c>
      <c r="J20" s="23">
        <v>8</v>
      </c>
      <c r="K20" s="23">
        <v>40</v>
      </c>
    </row>
    <row r="21" spans="4:11">
      <c r="D21" s="20">
        <v>46213</v>
      </c>
      <c r="E21" s="21">
        <v>1619574</v>
      </c>
      <c r="F21" s="21" t="s">
        <v>21</v>
      </c>
      <c r="G21" s="22">
        <v>20303839</v>
      </c>
      <c r="H21" s="21" t="s">
        <v>30</v>
      </c>
      <c r="I21" s="22">
        <v>1</v>
      </c>
      <c r="J21" s="23">
        <v>8</v>
      </c>
      <c r="K21" s="23">
        <v>8</v>
      </c>
    </row>
    <row r="22" ht="0.05" customHeight="1"/>
  </sheetData>
  <mergeCells count="5">
    <mergeCell ref="D8:H8"/>
    <mergeCell ref="C7:C21"/>
    <mergeCell ref="B4:H5"/>
    <mergeCell ref="A7:B21"/>
    <mergeCell ref="C1:H2"/>
  </mergeCells>
  <pageMargins left="0.25" right="0.25" top="0.75" bottom="0.75" header="0.298611111111111" footer="0.298611111111111"/>
  <pageSetup paperSize="9" scale="9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8:31 
&amp;"-,Bold"&amp;10 黑龙江省铂康医疗灭菌有限公司 &amp;R&amp;"Droid Sans Fallback"&amp;9第&amp;P页，共&amp;N页 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0.125" customWidth="1"/>
    <col min="10" max="10" width="12.2083333333333" customWidth="1"/>
    <col min="11" max="11" width="11.125" customWidth="1"/>
  </cols>
  <sheetData>
    <row r="1" spans="1:11">
      <c r="C1" s="10" t="s">
        <v>0</v>
      </c>
    </row>
    <row r="2" ht="23.05" customHeight="1"/>
    <row r="3" ht="2" customHeight="1"/>
    <row r="4" ht="15.2" customHeight="1" spans="1:11">
      <c r="B4" s="11" t="s">
        <v>1</v>
      </c>
    </row>
    <row r="6" ht="2.95" customHeight="1"/>
    <row r="7" spans="1:11">
      <c r="A7" s="12" t="s">
        <v>2</v>
      </c>
      <c r="B7" s="13" t="s">
        <v>2</v>
      </c>
      <c r="C7" s="14" t="s">
        <v>2</v>
      </c>
      <c r="D7" s="15" t="s">
        <v>4</v>
      </c>
      <c r="E7" s="15" t="s">
        <v>5</v>
      </c>
      <c r="F7" s="15" t="s">
        <v>6</v>
      </c>
      <c r="G7" s="15" t="s">
        <v>7</v>
      </c>
      <c r="H7" s="15" t="s">
        <v>8</v>
      </c>
      <c r="I7" s="15" t="s">
        <v>9</v>
      </c>
      <c r="J7" s="15" t="s">
        <v>10</v>
      </c>
      <c r="K7" s="15" t="s">
        <v>11</v>
      </c>
    </row>
    <row r="8" ht="14.25" spans="1:11">
      <c r="D8" s="16" t="s">
        <v>76</v>
      </c>
      <c r="E8" s="17" t="s">
        <v>2</v>
      </c>
      <c r="F8" s="17" t="s">
        <v>2</v>
      </c>
      <c r="G8" s="17" t="s">
        <v>2</v>
      </c>
      <c r="H8" s="17" t="s">
        <v>2</v>
      </c>
      <c r="I8" s="18">
        <v>26</v>
      </c>
      <c r="J8" s="19"/>
      <c r="K8" s="19">
        <v>219</v>
      </c>
    </row>
    <row r="9" spans="1:11">
      <c r="D9" s="20">
        <v>46190</v>
      </c>
      <c r="E9" s="21">
        <v>1612933</v>
      </c>
      <c r="F9" s="21" t="s">
        <v>21</v>
      </c>
      <c r="G9" s="22">
        <v>20406253</v>
      </c>
      <c r="H9" s="21" t="s">
        <v>50</v>
      </c>
      <c r="I9" s="22">
        <v>1</v>
      </c>
      <c r="J9" s="23">
        <v>13.5</v>
      </c>
      <c r="K9" s="23">
        <v>13.5</v>
      </c>
    </row>
    <row r="10" spans="1:11">
      <c r="D10" s="20">
        <v>46190</v>
      </c>
      <c r="E10" s="21">
        <v>1612933</v>
      </c>
      <c r="F10" s="21" t="s">
        <v>21</v>
      </c>
      <c r="G10" s="22">
        <v>20313588</v>
      </c>
      <c r="H10" s="21" t="s">
        <v>29</v>
      </c>
      <c r="I10" s="22">
        <v>1</v>
      </c>
      <c r="J10" s="23">
        <v>8</v>
      </c>
      <c r="K10" s="23">
        <v>8</v>
      </c>
    </row>
    <row r="11" spans="1:11">
      <c r="D11" s="20">
        <v>46190</v>
      </c>
      <c r="E11" s="21">
        <v>1612933</v>
      </c>
      <c r="F11" s="21" t="s">
        <v>21</v>
      </c>
      <c r="G11" s="22">
        <v>20377357</v>
      </c>
      <c r="H11" s="21" t="s">
        <v>31</v>
      </c>
      <c r="I11" s="22">
        <v>3</v>
      </c>
      <c r="J11" s="23">
        <v>8</v>
      </c>
      <c r="K11" s="23">
        <v>24</v>
      </c>
    </row>
    <row r="12" spans="1:11">
      <c r="D12" s="20">
        <v>46196</v>
      </c>
      <c r="E12" s="21">
        <v>1614314</v>
      </c>
      <c r="F12" s="21" t="s">
        <v>21</v>
      </c>
      <c r="G12" s="22">
        <v>20406253</v>
      </c>
      <c r="H12" s="21" t="s">
        <v>50</v>
      </c>
      <c r="I12" s="22">
        <v>1</v>
      </c>
      <c r="J12" s="23">
        <v>13.5</v>
      </c>
      <c r="K12" s="23">
        <v>13.5</v>
      </c>
    </row>
    <row r="13" spans="1:11">
      <c r="D13" s="20">
        <v>46196</v>
      </c>
      <c r="E13" s="21">
        <v>1614314</v>
      </c>
      <c r="F13" s="21" t="s">
        <v>21</v>
      </c>
      <c r="G13" s="22">
        <v>20313588</v>
      </c>
      <c r="H13" s="21" t="s">
        <v>29</v>
      </c>
      <c r="I13" s="22">
        <v>3</v>
      </c>
      <c r="J13" s="23">
        <v>8</v>
      </c>
      <c r="K13" s="23">
        <v>24</v>
      </c>
    </row>
    <row r="14" spans="1:11">
      <c r="D14" s="20">
        <v>46196</v>
      </c>
      <c r="E14" s="21">
        <v>1614314</v>
      </c>
      <c r="F14" s="21" t="s">
        <v>21</v>
      </c>
      <c r="G14" s="22">
        <v>20377357</v>
      </c>
      <c r="H14" s="21" t="s">
        <v>31</v>
      </c>
      <c r="I14" s="22">
        <v>4</v>
      </c>
      <c r="J14" s="23">
        <v>8</v>
      </c>
      <c r="K14" s="23">
        <v>32</v>
      </c>
    </row>
    <row r="15" spans="1:11">
      <c r="D15" s="20">
        <v>46197</v>
      </c>
      <c r="E15" s="21">
        <v>1614908</v>
      </c>
      <c r="F15" s="21" t="s">
        <v>21</v>
      </c>
      <c r="G15" s="22">
        <v>20313588</v>
      </c>
      <c r="H15" s="21" t="s">
        <v>29</v>
      </c>
      <c r="I15" s="22">
        <v>2</v>
      </c>
      <c r="J15" s="23">
        <v>8</v>
      </c>
      <c r="K15" s="23">
        <v>16</v>
      </c>
    </row>
    <row r="16" spans="1:11">
      <c r="D16" s="20">
        <v>46197</v>
      </c>
      <c r="E16" s="21">
        <v>1614908</v>
      </c>
      <c r="F16" s="21" t="s">
        <v>21</v>
      </c>
      <c r="G16" s="22">
        <v>20377357</v>
      </c>
      <c r="H16" s="21" t="s">
        <v>31</v>
      </c>
      <c r="I16" s="22">
        <v>2</v>
      </c>
      <c r="J16" s="23">
        <v>8</v>
      </c>
      <c r="K16" s="23">
        <v>16</v>
      </c>
    </row>
    <row r="17" spans="4:11">
      <c r="D17" s="20">
        <v>46205</v>
      </c>
      <c r="E17" s="21">
        <v>1616873</v>
      </c>
      <c r="F17" s="21" t="s">
        <v>21</v>
      </c>
      <c r="G17" s="22">
        <v>20313588</v>
      </c>
      <c r="H17" s="21" t="s">
        <v>29</v>
      </c>
      <c r="I17" s="22">
        <v>2</v>
      </c>
      <c r="J17" s="23">
        <v>8</v>
      </c>
      <c r="K17" s="23">
        <v>16</v>
      </c>
    </row>
    <row r="18" spans="4:11">
      <c r="D18" s="20">
        <v>46205</v>
      </c>
      <c r="E18" s="21">
        <v>1616873</v>
      </c>
      <c r="F18" s="21" t="s">
        <v>21</v>
      </c>
      <c r="G18" s="22">
        <v>20377357</v>
      </c>
      <c r="H18" s="21" t="s">
        <v>31</v>
      </c>
      <c r="I18" s="22">
        <v>3</v>
      </c>
      <c r="J18" s="23">
        <v>8</v>
      </c>
      <c r="K18" s="23">
        <v>24</v>
      </c>
    </row>
    <row r="19" spans="4:11">
      <c r="D19" s="20">
        <v>46213</v>
      </c>
      <c r="E19" s="21">
        <v>1619285</v>
      </c>
      <c r="F19" s="21" t="s">
        <v>21</v>
      </c>
      <c r="G19" s="22">
        <v>20313588</v>
      </c>
      <c r="H19" s="21" t="s">
        <v>29</v>
      </c>
      <c r="I19" s="22">
        <v>2</v>
      </c>
      <c r="J19" s="23">
        <v>8</v>
      </c>
      <c r="K19" s="23">
        <v>16</v>
      </c>
    </row>
    <row r="20" spans="4:11">
      <c r="D20" s="20">
        <v>46213</v>
      </c>
      <c r="E20" s="21">
        <v>1619285</v>
      </c>
      <c r="F20" s="21" t="s">
        <v>21</v>
      </c>
      <c r="G20" s="22">
        <v>20377357</v>
      </c>
      <c r="H20" s="21" t="s">
        <v>31</v>
      </c>
      <c r="I20" s="22">
        <v>2</v>
      </c>
      <c r="J20" s="23">
        <v>8</v>
      </c>
      <c r="K20" s="23">
        <v>16</v>
      </c>
    </row>
    <row r="21" ht="0.05" customHeight="1"/>
  </sheetData>
  <mergeCells count="5">
    <mergeCell ref="D8:H8"/>
    <mergeCell ref="C7:C20"/>
    <mergeCell ref="B4:H5"/>
    <mergeCell ref="A7:B20"/>
    <mergeCell ref="C1:H2"/>
  </mergeCells>
  <pageMargins left="0.25" right="0.25" top="0.75" bottom="0.75" header="0.298611111111111" footer="0.298611111111111"/>
  <pageSetup paperSize="9" scale="9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8:31 
&amp;"-,Bold"&amp;10 黑龙江省铂康医疗灭菌有限公司 &amp;R&amp;"Droid Sans Fallback"&amp;9第&amp;P页，共&amp;N页 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4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0.125" customWidth="1"/>
    <col min="10" max="10" width="12.2083333333333" customWidth="1"/>
    <col min="11" max="11" width="11.125" customWidth="1"/>
  </cols>
  <sheetData>
    <row r="1" spans="1:11">
      <c r="C1" s="10" t="s">
        <v>0</v>
      </c>
    </row>
    <row r="2" ht="23.05" customHeight="1"/>
    <row r="3" ht="2" customHeight="1"/>
    <row r="4" ht="15.2" customHeight="1" spans="1:11">
      <c r="B4" s="11" t="s">
        <v>1</v>
      </c>
    </row>
    <row r="6" ht="2.95" customHeight="1"/>
    <row r="7" spans="1:11">
      <c r="A7" s="12" t="s">
        <v>2</v>
      </c>
      <c r="B7" s="13" t="s">
        <v>2</v>
      </c>
      <c r="C7" s="14" t="s">
        <v>2</v>
      </c>
      <c r="D7" s="15" t="s">
        <v>4</v>
      </c>
      <c r="E7" s="15" t="s">
        <v>5</v>
      </c>
      <c r="F7" s="15" t="s">
        <v>6</v>
      </c>
      <c r="G7" s="15" t="s">
        <v>7</v>
      </c>
      <c r="H7" s="15" t="s">
        <v>8</v>
      </c>
      <c r="I7" s="15" t="s">
        <v>9</v>
      </c>
      <c r="J7" s="15" t="s">
        <v>10</v>
      </c>
      <c r="K7" s="15" t="s">
        <v>11</v>
      </c>
    </row>
    <row r="8" ht="14.25" spans="1:11">
      <c r="D8" s="16" t="s">
        <v>77</v>
      </c>
      <c r="E8" s="17" t="s">
        <v>2</v>
      </c>
      <c r="F8" s="17" t="s">
        <v>2</v>
      </c>
      <c r="G8" s="17" t="s">
        <v>2</v>
      </c>
      <c r="H8" s="17" t="s">
        <v>2</v>
      </c>
      <c r="I8" s="18">
        <v>103</v>
      </c>
      <c r="J8" s="19"/>
      <c r="K8" s="19">
        <v>862.5</v>
      </c>
    </row>
    <row r="9" spans="1:11">
      <c r="D9" s="20">
        <v>46190</v>
      </c>
      <c r="E9" s="21">
        <v>1612781</v>
      </c>
      <c r="F9" s="21" t="s">
        <v>21</v>
      </c>
      <c r="G9" s="22">
        <v>20376624</v>
      </c>
      <c r="H9" s="21" t="s">
        <v>32</v>
      </c>
      <c r="I9" s="22">
        <v>1</v>
      </c>
      <c r="J9" s="23">
        <v>8</v>
      </c>
      <c r="K9" s="23">
        <v>8</v>
      </c>
    </row>
    <row r="10" spans="1:11">
      <c r="D10" s="20">
        <v>46190</v>
      </c>
      <c r="E10" s="21">
        <v>1612781</v>
      </c>
      <c r="F10" s="21" t="s">
        <v>21</v>
      </c>
      <c r="G10" s="22">
        <v>20313588</v>
      </c>
      <c r="H10" s="21" t="s">
        <v>29</v>
      </c>
      <c r="I10" s="22">
        <v>2</v>
      </c>
      <c r="J10" s="23">
        <v>8</v>
      </c>
      <c r="K10" s="23">
        <v>16</v>
      </c>
    </row>
    <row r="11" spans="1:11">
      <c r="D11" s="20">
        <v>46190</v>
      </c>
      <c r="E11" s="21">
        <v>1612781</v>
      </c>
      <c r="F11" s="21" t="s">
        <v>21</v>
      </c>
      <c r="G11" s="22">
        <v>20377357</v>
      </c>
      <c r="H11" s="21" t="s">
        <v>31</v>
      </c>
      <c r="I11" s="22">
        <v>1</v>
      </c>
      <c r="J11" s="23">
        <v>8</v>
      </c>
      <c r="K11" s="23">
        <v>8</v>
      </c>
    </row>
    <row r="12" spans="1:11">
      <c r="D12" s="20">
        <v>46190</v>
      </c>
      <c r="E12" s="21">
        <v>1612934</v>
      </c>
      <c r="F12" s="21" t="s">
        <v>21</v>
      </c>
      <c r="G12" s="22">
        <v>20376624</v>
      </c>
      <c r="H12" s="21" t="s">
        <v>32</v>
      </c>
      <c r="I12" s="22">
        <v>1</v>
      </c>
      <c r="J12" s="23">
        <v>8</v>
      </c>
      <c r="K12" s="23">
        <v>8</v>
      </c>
    </row>
    <row r="13" spans="1:11">
      <c r="D13" s="20">
        <v>46190</v>
      </c>
      <c r="E13" s="21">
        <v>1612934</v>
      </c>
      <c r="F13" s="21" t="s">
        <v>21</v>
      </c>
      <c r="G13" s="22">
        <v>20406253</v>
      </c>
      <c r="H13" s="21" t="s">
        <v>50</v>
      </c>
      <c r="I13" s="22">
        <v>1</v>
      </c>
      <c r="J13" s="23">
        <v>13.5</v>
      </c>
      <c r="K13" s="23">
        <v>13.5</v>
      </c>
    </row>
    <row r="14" spans="1:11">
      <c r="D14" s="20">
        <v>46190</v>
      </c>
      <c r="E14" s="21">
        <v>1612934</v>
      </c>
      <c r="F14" s="21" t="s">
        <v>21</v>
      </c>
      <c r="G14" s="22">
        <v>20313588</v>
      </c>
      <c r="H14" s="21" t="s">
        <v>29</v>
      </c>
      <c r="I14" s="22">
        <v>4</v>
      </c>
      <c r="J14" s="23">
        <v>8</v>
      </c>
      <c r="K14" s="23">
        <v>32</v>
      </c>
    </row>
    <row r="15" spans="1:11">
      <c r="D15" s="20">
        <v>46190</v>
      </c>
      <c r="E15" s="21">
        <v>1612934</v>
      </c>
      <c r="F15" s="21" t="s">
        <v>21</v>
      </c>
      <c r="G15" s="22">
        <v>20377357</v>
      </c>
      <c r="H15" s="21" t="s">
        <v>31</v>
      </c>
      <c r="I15" s="22">
        <v>6</v>
      </c>
      <c r="J15" s="23">
        <v>8</v>
      </c>
      <c r="K15" s="23">
        <v>48</v>
      </c>
    </row>
    <row r="16" spans="1:11">
      <c r="D16" s="20">
        <v>46191</v>
      </c>
      <c r="E16" s="21">
        <v>1613329</v>
      </c>
      <c r="F16" s="21" t="s">
        <v>21</v>
      </c>
      <c r="G16" s="22">
        <v>20406253</v>
      </c>
      <c r="H16" s="21" t="s">
        <v>50</v>
      </c>
      <c r="I16" s="22">
        <v>2</v>
      </c>
      <c r="J16" s="23">
        <v>13.5</v>
      </c>
      <c r="K16" s="23">
        <v>27</v>
      </c>
    </row>
    <row r="17" spans="4:11">
      <c r="D17" s="20">
        <v>46191</v>
      </c>
      <c r="E17" s="21">
        <v>1613329</v>
      </c>
      <c r="F17" s="21" t="s">
        <v>21</v>
      </c>
      <c r="G17" s="22">
        <v>20313588</v>
      </c>
      <c r="H17" s="21" t="s">
        <v>29</v>
      </c>
      <c r="I17" s="22">
        <v>7</v>
      </c>
      <c r="J17" s="23">
        <v>8</v>
      </c>
      <c r="K17" s="23">
        <v>56</v>
      </c>
    </row>
    <row r="18" spans="4:11">
      <c r="D18" s="20">
        <v>46196</v>
      </c>
      <c r="E18" s="21">
        <v>1614315</v>
      </c>
      <c r="F18" s="21" t="s">
        <v>21</v>
      </c>
      <c r="G18" s="22">
        <v>20005208</v>
      </c>
      <c r="H18" s="21" t="s">
        <v>73</v>
      </c>
      <c r="I18" s="22">
        <v>1</v>
      </c>
      <c r="J18" s="23">
        <v>8</v>
      </c>
      <c r="K18" s="23">
        <v>8</v>
      </c>
    </row>
    <row r="19" spans="4:11">
      <c r="D19" s="20">
        <v>46196</v>
      </c>
      <c r="E19" s="21">
        <v>1614315</v>
      </c>
      <c r="F19" s="21" t="s">
        <v>21</v>
      </c>
      <c r="G19" s="22">
        <v>20313588</v>
      </c>
      <c r="H19" s="21" t="s">
        <v>29</v>
      </c>
      <c r="I19" s="22">
        <v>7</v>
      </c>
      <c r="J19" s="23">
        <v>8</v>
      </c>
      <c r="K19" s="23">
        <v>56</v>
      </c>
    </row>
    <row r="20" spans="4:11">
      <c r="D20" s="20">
        <v>46196</v>
      </c>
      <c r="E20" s="21">
        <v>1614315</v>
      </c>
      <c r="F20" s="21" t="s">
        <v>21</v>
      </c>
      <c r="G20" s="22">
        <v>20395986</v>
      </c>
      <c r="H20" s="21" t="s">
        <v>78</v>
      </c>
      <c r="I20" s="22">
        <v>1</v>
      </c>
      <c r="J20" s="23">
        <v>13.5</v>
      </c>
      <c r="K20" s="23">
        <v>13.5</v>
      </c>
    </row>
    <row r="21" spans="4:11">
      <c r="D21" s="20">
        <v>46196</v>
      </c>
      <c r="E21" s="21">
        <v>1614315</v>
      </c>
      <c r="F21" s="21" t="s">
        <v>21</v>
      </c>
      <c r="G21" s="22">
        <v>20377357</v>
      </c>
      <c r="H21" s="21" t="s">
        <v>31</v>
      </c>
      <c r="I21" s="22">
        <v>4</v>
      </c>
      <c r="J21" s="23">
        <v>8</v>
      </c>
      <c r="K21" s="23">
        <v>32</v>
      </c>
    </row>
    <row r="22" spans="4:11">
      <c r="D22" s="20">
        <v>46197</v>
      </c>
      <c r="E22" s="21">
        <v>1614655</v>
      </c>
      <c r="F22" s="21" t="s">
        <v>21</v>
      </c>
      <c r="G22" s="22">
        <v>20376624</v>
      </c>
      <c r="H22" s="21" t="s">
        <v>32</v>
      </c>
      <c r="I22" s="22">
        <v>1</v>
      </c>
      <c r="J22" s="23">
        <v>8</v>
      </c>
      <c r="K22" s="23">
        <v>8</v>
      </c>
    </row>
    <row r="23" spans="4:11">
      <c r="D23" s="20">
        <v>46197</v>
      </c>
      <c r="E23" s="21">
        <v>1614655</v>
      </c>
      <c r="F23" s="21" t="s">
        <v>21</v>
      </c>
      <c r="G23" s="22">
        <v>20398872</v>
      </c>
      <c r="H23" s="21" t="s">
        <v>58</v>
      </c>
      <c r="I23" s="22">
        <v>1</v>
      </c>
      <c r="J23" s="23">
        <v>8</v>
      </c>
      <c r="K23" s="23">
        <v>8</v>
      </c>
    </row>
    <row r="24" spans="4:11">
      <c r="D24" s="20">
        <v>46197</v>
      </c>
      <c r="E24" s="21">
        <v>1614655</v>
      </c>
      <c r="F24" s="21" t="s">
        <v>21</v>
      </c>
      <c r="G24" s="22">
        <v>20313588</v>
      </c>
      <c r="H24" s="21" t="s">
        <v>29</v>
      </c>
      <c r="I24" s="22">
        <v>1</v>
      </c>
      <c r="J24" s="23">
        <v>8</v>
      </c>
      <c r="K24" s="23">
        <v>8</v>
      </c>
    </row>
    <row r="25" spans="4:11">
      <c r="D25" s="20">
        <v>46197</v>
      </c>
      <c r="E25" s="21">
        <v>1614655</v>
      </c>
      <c r="F25" s="21" t="s">
        <v>21</v>
      </c>
      <c r="G25" s="22">
        <v>20377357</v>
      </c>
      <c r="H25" s="21" t="s">
        <v>31</v>
      </c>
      <c r="I25" s="22">
        <v>2</v>
      </c>
      <c r="J25" s="23">
        <v>8</v>
      </c>
      <c r="K25" s="23">
        <v>16</v>
      </c>
    </row>
    <row r="26" spans="4:11">
      <c r="D26" s="20">
        <v>46197</v>
      </c>
      <c r="E26" s="21">
        <v>1614909</v>
      </c>
      <c r="F26" s="21" t="s">
        <v>21</v>
      </c>
      <c r="G26" s="22">
        <v>20313588</v>
      </c>
      <c r="H26" s="21" t="s">
        <v>29</v>
      </c>
      <c r="I26" s="22">
        <v>7</v>
      </c>
      <c r="J26" s="23">
        <v>8</v>
      </c>
      <c r="K26" s="23">
        <v>56</v>
      </c>
    </row>
    <row r="27" spans="4:11">
      <c r="D27" s="20">
        <v>46197</v>
      </c>
      <c r="E27" s="21">
        <v>1614909</v>
      </c>
      <c r="F27" s="21" t="s">
        <v>21</v>
      </c>
      <c r="G27" s="22">
        <v>20005930</v>
      </c>
      <c r="H27" s="21" t="s">
        <v>23</v>
      </c>
      <c r="I27" s="22">
        <v>1</v>
      </c>
      <c r="J27" s="23">
        <v>8</v>
      </c>
      <c r="K27" s="23">
        <v>8</v>
      </c>
    </row>
    <row r="28" spans="4:11">
      <c r="D28" s="20">
        <v>46198</v>
      </c>
      <c r="E28" s="21">
        <v>1615072</v>
      </c>
      <c r="F28" s="21" t="s">
        <v>21</v>
      </c>
      <c r="G28" s="22">
        <v>20313588</v>
      </c>
      <c r="H28" s="21" t="s">
        <v>29</v>
      </c>
      <c r="I28" s="22">
        <v>6</v>
      </c>
      <c r="J28" s="23">
        <v>8</v>
      </c>
      <c r="K28" s="23">
        <v>48</v>
      </c>
    </row>
    <row r="29" spans="4:11">
      <c r="D29" s="20">
        <v>46198</v>
      </c>
      <c r="E29" s="21">
        <v>1615072</v>
      </c>
      <c r="F29" s="21" t="s">
        <v>21</v>
      </c>
      <c r="G29" s="22">
        <v>20401202</v>
      </c>
      <c r="H29" s="21" t="s">
        <v>70</v>
      </c>
      <c r="I29" s="22">
        <v>1</v>
      </c>
      <c r="J29" s="23">
        <v>13.5</v>
      </c>
      <c r="K29" s="23">
        <v>13.5</v>
      </c>
    </row>
    <row r="30" spans="4:11">
      <c r="D30" s="20">
        <v>46198</v>
      </c>
      <c r="E30" s="21">
        <v>1615072</v>
      </c>
      <c r="F30" s="21" t="s">
        <v>21</v>
      </c>
      <c r="G30" s="22">
        <v>20377357</v>
      </c>
      <c r="H30" s="21" t="s">
        <v>31</v>
      </c>
      <c r="I30" s="22">
        <v>3</v>
      </c>
      <c r="J30" s="23">
        <v>8</v>
      </c>
      <c r="K30" s="23">
        <v>24</v>
      </c>
    </row>
    <row r="31" spans="4:11">
      <c r="D31" s="20">
        <v>46203</v>
      </c>
      <c r="E31" s="21">
        <v>1616247</v>
      </c>
      <c r="F31" s="21" t="s">
        <v>21</v>
      </c>
      <c r="G31" s="22">
        <v>20005208</v>
      </c>
      <c r="H31" s="21" t="s">
        <v>73</v>
      </c>
      <c r="I31" s="22">
        <v>2</v>
      </c>
      <c r="J31" s="23">
        <v>8</v>
      </c>
      <c r="K31" s="23">
        <v>16</v>
      </c>
    </row>
    <row r="32" spans="4:11">
      <c r="D32" s="20">
        <v>46203</v>
      </c>
      <c r="E32" s="21">
        <v>1616247</v>
      </c>
      <c r="F32" s="21" t="s">
        <v>21</v>
      </c>
      <c r="G32" s="22">
        <v>20376624</v>
      </c>
      <c r="H32" s="21" t="s">
        <v>32</v>
      </c>
      <c r="I32" s="22">
        <v>1</v>
      </c>
      <c r="J32" s="23">
        <v>8</v>
      </c>
      <c r="K32" s="23">
        <v>8</v>
      </c>
    </row>
    <row r="33" spans="4:11">
      <c r="D33" s="20">
        <v>46203</v>
      </c>
      <c r="E33" s="21">
        <v>1616247</v>
      </c>
      <c r="F33" s="21" t="s">
        <v>21</v>
      </c>
      <c r="G33" s="22">
        <v>20313588</v>
      </c>
      <c r="H33" s="21" t="s">
        <v>29</v>
      </c>
      <c r="I33" s="22">
        <v>2</v>
      </c>
      <c r="J33" s="23">
        <v>8</v>
      </c>
      <c r="K33" s="23">
        <v>16</v>
      </c>
    </row>
    <row r="34" spans="4:11">
      <c r="D34" s="20">
        <v>46203</v>
      </c>
      <c r="E34" s="21">
        <v>1616247</v>
      </c>
      <c r="F34" s="21" t="s">
        <v>21</v>
      </c>
      <c r="G34" s="22">
        <v>20376863</v>
      </c>
      <c r="H34" s="21" t="s">
        <v>33</v>
      </c>
      <c r="I34" s="22">
        <v>1</v>
      </c>
      <c r="J34" s="23">
        <v>13.5</v>
      </c>
      <c r="K34" s="23">
        <v>13.5</v>
      </c>
    </row>
    <row r="35" spans="4:11">
      <c r="D35" s="20">
        <v>46203</v>
      </c>
      <c r="E35" s="21">
        <v>1616247</v>
      </c>
      <c r="F35" s="21" t="s">
        <v>21</v>
      </c>
      <c r="G35" s="22">
        <v>20377357</v>
      </c>
      <c r="H35" s="21" t="s">
        <v>31</v>
      </c>
      <c r="I35" s="22">
        <v>1</v>
      </c>
      <c r="J35" s="23">
        <v>8</v>
      </c>
      <c r="K35" s="23">
        <v>8</v>
      </c>
    </row>
    <row r="36" spans="4:11">
      <c r="D36" s="20">
        <v>46210</v>
      </c>
      <c r="E36" s="21">
        <v>1618268</v>
      </c>
      <c r="F36" s="21" t="s">
        <v>21</v>
      </c>
      <c r="G36" s="22">
        <v>20313588</v>
      </c>
      <c r="H36" s="21" t="s">
        <v>29</v>
      </c>
      <c r="I36" s="22">
        <v>4</v>
      </c>
      <c r="J36" s="23">
        <v>8</v>
      </c>
      <c r="K36" s="23">
        <v>32</v>
      </c>
    </row>
    <row r="37" spans="4:11">
      <c r="D37" s="20">
        <v>46210</v>
      </c>
      <c r="E37" s="21">
        <v>1618268</v>
      </c>
      <c r="F37" s="21" t="s">
        <v>21</v>
      </c>
      <c r="G37" s="22">
        <v>20377357</v>
      </c>
      <c r="H37" s="21" t="s">
        <v>31</v>
      </c>
      <c r="I37" s="22">
        <v>4</v>
      </c>
      <c r="J37" s="23">
        <v>8</v>
      </c>
      <c r="K37" s="23">
        <v>32</v>
      </c>
    </row>
    <row r="38" spans="4:11">
      <c r="D38" s="20">
        <v>46213</v>
      </c>
      <c r="E38" s="21">
        <v>1619575</v>
      </c>
      <c r="F38" s="21" t="s">
        <v>21</v>
      </c>
      <c r="G38" s="22">
        <v>20313588</v>
      </c>
      <c r="H38" s="21" t="s">
        <v>29</v>
      </c>
      <c r="I38" s="22">
        <v>11</v>
      </c>
      <c r="J38" s="23">
        <v>8</v>
      </c>
      <c r="K38" s="23">
        <v>88</v>
      </c>
    </row>
    <row r="39" spans="4:11">
      <c r="D39" s="20">
        <v>46213</v>
      </c>
      <c r="E39" s="21">
        <v>1619575</v>
      </c>
      <c r="F39" s="21" t="s">
        <v>21</v>
      </c>
      <c r="G39" s="22">
        <v>20397287</v>
      </c>
      <c r="H39" s="21" t="s">
        <v>62</v>
      </c>
      <c r="I39" s="22">
        <v>1</v>
      </c>
      <c r="J39" s="23">
        <v>13.5</v>
      </c>
      <c r="K39" s="23">
        <v>13.5</v>
      </c>
    </row>
    <row r="40" spans="4:11">
      <c r="D40" s="20">
        <v>46213</v>
      </c>
      <c r="E40" s="21">
        <v>1619575</v>
      </c>
      <c r="F40" s="21" t="s">
        <v>21</v>
      </c>
      <c r="G40" s="22">
        <v>20377357</v>
      </c>
      <c r="H40" s="21" t="s">
        <v>31</v>
      </c>
      <c r="I40" s="22">
        <v>6</v>
      </c>
      <c r="J40" s="23">
        <v>8</v>
      </c>
      <c r="K40" s="23">
        <v>48</v>
      </c>
    </row>
    <row r="41" spans="4:11">
      <c r="D41" s="20">
        <v>46217</v>
      </c>
      <c r="E41" s="21">
        <v>1620261</v>
      </c>
      <c r="F41" s="21" t="s">
        <v>21</v>
      </c>
      <c r="G41" s="22">
        <v>20005208</v>
      </c>
      <c r="H41" s="21" t="s">
        <v>73</v>
      </c>
      <c r="I41" s="22">
        <v>1</v>
      </c>
      <c r="J41" s="23">
        <v>8</v>
      </c>
      <c r="K41" s="23">
        <v>8</v>
      </c>
    </row>
    <row r="42" spans="4:11">
      <c r="D42" s="20">
        <v>46217</v>
      </c>
      <c r="E42" s="21">
        <v>1620261</v>
      </c>
      <c r="F42" s="21" t="s">
        <v>21</v>
      </c>
      <c r="G42" s="22">
        <v>20313588</v>
      </c>
      <c r="H42" s="21" t="s">
        <v>29</v>
      </c>
      <c r="I42" s="22">
        <v>5</v>
      </c>
      <c r="J42" s="23">
        <v>8</v>
      </c>
      <c r="K42" s="23">
        <v>40</v>
      </c>
    </row>
    <row r="43" spans="4:11">
      <c r="D43" s="20">
        <v>46217</v>
      </c>
      <c r="E43" s="21">
        <v>1620261</v>
      </c>
      <c r="F43" s="21" t="s">
        <v>21</v>
      </c>
      <c r="G43" s="22">
        <v>20377357</v>
      </c>
      <c r="H43" s="21" t="s">
        <v>31</v>
      </c>
      <c r="I43" s="22">
        <v>3</v>
      </c>
      <c r="J43" s="23">
        <v>8</v>
      </c>
      <c r="K43" s="23">
        <v>24</v>
      </c>
    </row>
    <row r="44" ht="0.05" customHeight="1"/>
  </sheetData>
  <mergeCells count="5">
    <mergeCell ref="D8:H8"/>
    <mergeCell ref="C7:C43"/>
    <mergeCell ref="B4:H5"/>
    <mergeCell ref="A7:B43"/>
    <mergeCell ref="C1:H2"/>
  </mergeCells>
  <pageMargins left="0.25" right="0.25" top="0.75" bottom="0.75" header="0.298611111111111" footer="0.298611111111111"/>
  <pageSetup paperSize="9" scale="9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8:31 
&amp;"-,Bold"&amp;10 黑龙江省铂康医疗灭菌有限公司 &amp;R&amp;"Droid Sans Fallback"&amp;9第&amp;P页，共&amp;N页 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625" customWidth="1"/>
  </cols>
  <sheetData>
    <row r="1" spans="1:11">
      <c r="C1" s="10" t="s">
        <v>0</v>
      </c>
    </row>
    <row r="2" ht="23.05" customHeight="1"/>
    <row r="3" ht="2" customHeight="1"/>
    <row r="4" ht="15.2" customHeight="1" spans="1:11">
      <c r="B4" s="11" t="s">
        <v>1</v>
      </c>
    </row>
    <row r="6" ht="2.95" customHeight="1"/>
    <row r="7" spans="1:11">
      <c r="A7" s="12" t="s">
        <v>2</v>
      </c>
      <c r="B7" s="13" t="s">
        <v>2</v>
      </c>
      <c r="C7" s="14" t="s">
        <v>2</v>
      </c>
      <c r="D7" s="15" t="s">
        <v>4</v>
      </c>
      <c r="E7" s="15" t="s">
        <v>5</v>
      </c>
      <c r="F7" s="15" t="s">
        <v>6</v>
      </c>
      <c r="G7" s="15" t="s">
        <v>7</v>
      </c>
      <c r="H7" s="15" t="s">
        <v>8</v>
      </c>
      <c r="I7" s="15" t="s">
        <v>9</v>
      </c>
      <c r="J7" s="15" t="s">
        <v>10</v>
      </c>
      <c r="K7" s="15" t="s">
        <v>11</v>
      </c>
    </row>
    <row r="8" ht="14.25" spans="1:11">
      <c r="D8" s="16" t="s">
        <v>79</v>
      </c>
      <c r="E8" s="17" t="s">
        <v>2</v>
      </c>
      <c r="F8" s="17" t="s">
        <v>2</v>
      </c>
      <c r="G8" s="17" t="s">
        <v>2</v>
      </c>
      <c r="H8" s="17" t="s">
        <v>2</v>
      </c>
      <c r="I8" s="18">
        <v>36</v>
      </c>
      <c r="J8" s="19"/>
      <c r="K8" s="19">
        <v>299</v>
      </c>
    </row>
    <row r="9" spans="1:11">
      <c r="D9" s="20">
        <v>46189</v>
      </c>
      <c r="E9" s="21">
        <v>1612531</v>
      </c>
      <c r="F9" s="21" t="s">
        <v>21</v>
      </c>
      <c r="G9" s="22">
        <v>20406253</v>
      </c>
      <c r="H9" s="21" t="s">
        <v>50</v>
      </c>
      <c r="I9" s="22">
        <v>1</v>
      </c>
      <c r="J9" s="23">
        <v>13.5</v>
      </c>
      <c r="K9" s="23">
        <v>13.5</v>
      </c>
    </row>
    <row r="10" spans="1:11">
      <c r="D10" s="20">
        <v>46189</v>
      </c>
      <c r="E10" s="21">
        <v>1612531</v>
      </c>
      <c r="F10" s="21" t="s">
        <v>21</v>
      </c>
      <c r="G10" s="22">
        <v>20313588</v>
      </c>
      <c r="H10" s="21" t="s">
        <v>29</v>
      </c>
      <c r="I10" s="22">
        <v>4</v>
      </c>
      <c r="J10" s="23">
        <v>8</v>
      </c>
      <c r="K10" s="23">
        <v>32</v>
      </c>
    </row>
    <row r="11" spans="1:11">
      <c r="D11" s="20">
        <v>46189</v>
      </c>
      <c r="E11" s="21">
        <v>1612531</v>
      </c>
      <c r="F11" s="21" t="s">
        <v>21</v>
      </c>
      <c r="G11" s="22">
        <v>20377357</v>
      </c>
      <c r="H11" s="21" t="s">
        <v>31</v>
      </c>
      <c r="I11" s="22">
        <v>3</v>
      </c>
      <c r="J11" s="23">
        <v>8</v>
      </c>
      <c r="K11" s="23">
        <v>24</v>
      </c>
    </row>
    <row r="12" spans="1:11">
      <c r="D12" s="20">
        <v>46191</v>
      </c>
      <c r="E12" s="21">
        <v>1613330</v>
      </c>
      <c r="F12" s="21" t="s">
        <v>21</v>
      </c>
      <c r="G12" s="22">
        <v>20005208</v>
      </c>
      <c r="H12" s="21" t="s">
        <v>73</v>
      </c>
      <c r="I12" s="22">
        <v>1</v>
      </c>
      <c r="J12" s="23">
        <v>8</v>
      </c>
      <c r="K12" s="23">
        <v>8</v>
      </c>
    </row>
    <row r="13" spans="1:11">
      <c r="D13" s="20">
        <v>46191</v>
      </c>
      <c r="E13" s="21">
        <v>1613330</v>
      </c>
      <c r="F13" s="21" t="s">
        <v>21</v>
      </c>
      <c r="G13" s="22">
        <v>20313588</v>
      </c>
      <c r="H13" s="21" t="s">
        <v>29</v>
      </c>
      <c r="I13" s="22">
        <v>2</v>
      </c>
      <c r="J13" s="23">
        <v>8</v>
      </c>
      <c r="K13" s="23">
        <v>16</v>
      </c>
    </row>
    <row r="14" spans="1:11">
      <c r="D14" s="20">
        <v>46197</v>
      </c>
      <c r="E14" s="21">
        <v>1614910</v>
      </c>
      <c r="F14" s="21" t="s">
        <v>21</v>
      </c>
      <c r="G14" s="22">
        <v>20313588</v>
      </c>
      <c r="H14" s="21" t="s">
        <v>29</v>
      </c>
      <c r="I14" s="22">
        <v>3</v>
      </c>
      <c r="J14" s="23">
        <v>8</v>
      </c>
      <c r="K14" s="23">
        <v>24</v>
      </c>
    </row>
    <row r="15" spans="1:11">
      <c r="D15" s="20">
        <v>46197</v>
      </c>
      <c r="E15" s="21">
        <v>1614910</v>
      </c>
      <c r="F15" s="21" t="s">
        <v>21</v>
      </c>
      <c r="G15" s="22">
        <v>20396160</v>
      </c>
      <c r="H15" s="21" t="s">
        <v>61</v>
      </c>
      <c r="I15" s="22">
        <v>1</v>
      </c>
      <c r="J15" s="23">
        <v>13.5</v>
      </c>
      <c r="K15" s="23">
        <v>13.5</v>
      </c>
    </row>
    <row r="16" spans="1:11">
      <c r="D16" s="20">
        <v>46197</v>
      </c>
      <c r="E16" s="21">
        <v>1614910</v>
      </c>
      <c r="F16" s="21" t="s">
        <v>21</v>
      </c>
      <c r="G16" s="22">
        <v>20377357</v>
      </c>
      <c r="H16" s="21" t="s">
        <v>31</v>
      </c>
      <c r="I16" s="22">
        <v>3</v>
      </c>
      <c r="J16" s="23">
        <v>8</v>
      </c>
      <c r="K16" s="23">
        <v>24</v>
      </c>
    </row>
    <row r="17" spans="4:11">
      <c r="D17" s="20">
        <v>46205</v>
      </c>
      <c r="E17" s="21">
        <v>1616872</v>
      </c>
      <c r="F17" s="21" t="s">
        <v>21</v>
      </c>
      <c r="G17" s="22">
        <v>20313588</v>
      </c>
      <c r="H17" s="21" t="s">
        <v>29</v>
      </c>
      <c r="I17" s="22">
        <v>6</v>
      </c>
      <c r="J17" s="23">
        <v>8</v>
      </c>
      <c r="K17" s="23">
        <v>48</v>
      </c>
    </row>
    <row r="18" spans="4:11">
      <c r="D18" s="20">
        <v>46205</v>
      </c>
      <c r="E18" s="21">
        <v>1616872</v>
      </c>
      <c r="F18" s="21" t="s">
        <v>21</v>
      </c>
      <c r="G18" s="22">
        <v>20377357</v>
      </c>
      <c r="H18" s="21" t="s">
        <v>31</v>
      </c>
      <c r="I18" s="22">
        <v>1</v>
      </c>
      <c r="J18" s="23">
        <v>8</v>
      </c>
      <c r="K18" s="23">
        <v>8</v>
      </c>
    </row>
    <row r="19" spans="4:11">
      <c r="D19" s="20">
        <v>46206</v>
      </c>
      <c r="E19" s="21">
        <v>1617388</v>
      </c>
      <c r="F19" s="21" t="s">
        <v>21</v>
      </c>
      <c r="G19" s="22">
        <v>20313588</v>
      </c>
      <c r="H19" s="21" t="s">
        <v>29</v>
      </c>
      <c r="I19" s="22">
        <v>1</v>
      </c>
      <c r="J19" s="23">
        <v>8</v>
      </c>
      <c r="K19" s="23">
        <v>8</v>
      </c>
    </row>
    <row r="20" spans="4:11">
      <c r="D20" s="20">
        <v>46206</v>
      </c>
      <c r="E20" s="21">
        <v>1617388</v>
      </c>
      <c r="F20" s="21" t="s">
        <v>21</v>
      </c>
      <c r="G20" s="22">
        <v>20377357</v>
      </c>
      <c r="H20" s="21" t="s">
        <v>31</v>
      </c>
      <c r="I20" s="22">
        <v>3</v>
      </c>
      <c r="J20" s="23">
        <v>8</v>
      </c>
      <c r="K20" s="23">
        <v>24</v>
      </c>
    </row>
    <row r="21" spans="4:11">
      <c r="D21" s="20">
        <v>46212</v>
      </c>
      <c r="E21" s="21">
        <v>1618877</v>
      </c>
      <c r="F21" s="21" t="s">
        <v>21</v>
      </c>
      <c r="G21" s="22">
        <v>20376624</v>
      </c>
      <c r="H21" s="21" t="s">
        <v>32</v>
      </c>
      <c r="I21" s="22">
        <v>1</v>
      </c>
      <c r="J21" s="23">
        <v>8</v>
      </c>
      <c r="K21" s="23">
        <v>8</v>
      </c>
    </row>
    <row r="22" spans="4:11">
      <c r="D22" s="20">
        <v>46212</v>
      </c>
      <c r="E22" s="21">
        <v>1618877</v>
      </c>
      <c r="F22" s="21" t="s">
        <v>21</v>
      </c>
      <c r="G22" s="22">
        <v>20313588</v>
      </c>
      <c r="H22" s="21" t="s">
        <v>29</v>
      </c>
      <c r="I22" s="22">
        <v>3</v>
      </c>
      <c r="J22" s="23">
        <v>8</v>
      </c>
      <c r="K22" s="23">
        <v>24</v>
      </c>
    </row>
    <row r="23" spans="4:11">
      <c r="D23" s="20">
        <v>46212</v>
      </c>
      <c r="E23" s="21">
        <v>1618877</v>
      </c>
      <c r="F23" s="21" t="s">
        <v>21</v>
      </c>
      <c r="G23" s="22">
        <v>20377357</v>
      </c>
      <c r="H23" s="21" t="s">
        <v>31</v>
      </c>
      <c r="I23" s="22">
        <v>3</v>
      </c>
      <c r="J23" s="23">
        <v>8</v>
      </c>
      <c r="K23" s="23">
        <v>24</v>
      </c>
    </row>
    <row r="24" ht="0.05" customHeight="1"/>
  </sheetData>
  <mergeCells count="5">
    <mergeCell ref="D8:H8"/>
    <mergeCell ref="C7:C23"/>
    <mergeCell ref="B4:H5"/>
    <mergeCell ref="A7:B2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8:31 
&amp;"-,Bold"&amp;10 黑龙江省铂康医疗灭菌有限公司 &amp;R&amp;"Droid Sans Fallback"&amp;9第&amp;P页，共&amp;N页 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1.25" customWidth="1"/>
    <col min="10" max="10" width="12.2083333333333" customWidth="1"/>
    <col min="11" max="11" width="10.875" customWidth="1"/>
  </cols>
  <sheetData>
    <row r="1" spans="1:11">
      <c r="C1" s="10" t="s">
        <v>0</v>
      </c>
    </row>
    <row r="2" ht="23.05" customHeight="1"/>
    <row r="3" ht="2" customHeight="1"/>
    <row r="4" ht="15.2" customHeight="1" spans="1:11">
      <c r="B4" s="11" t="s">
        <v>1</v>
      </c>
    </row>
    <row r="6" ht="2.95" customHeight="1"/>
    <row r="7" spans="1:11">
      <c r="A7" s="12" t="s">
        <v>2</v>
      </c>
      <c r="B7" s="13" t="s">
        <v>2</v>
      </c>
      <c r="C7" s="14" t="s">
        <v>2</v>
      </c>
      <c r="D7" s="15" t="s">
        <v>4</v>
      </c>
      <c r="E7" s="15" t="s">
        <v>5</v>
      </c>
      <c r="F7" s="15" t="s">
        <v>6</v>
      </c>
      <c r="G7" s="15" t="s">
        <v>7</v>
      </c>
      <c r="H7" s="15" t="s">
        <v>8</v>
      </c>
      <c r="I7" s="15" t="s">
        <v>9</v>
      </c>
      <c r="J7" s="15" t="s">
        <v>10</v>
      </c>
      <c r="K7" s="15" t="s">
        <v>11</v>
      </c>
    </row>
    <row r="8" ht="14.25" spans="1:11">
      <c r="D8" s="16" t="s">
        <v>80</v>
      </c>
      <c r="E8" s="17" t="s">
        <v>2</v>
      </c>
      <c r="F8" s="17" t="s">
        <v>2</v>
      </c>
      <c r="G8" s="17" t="s">
        <v>2</v>
      </c>
      <c r="H8" s="17" t="s">
        <v>2</v>
      </c>
      <c r="I8" s="18">
        <v>22</v>
      </c>
      <c r="J8" s="19"/>
      <c r="K8" s="19">
        <v>176</v>
      </c>
    </row>
    <row r="9" spans="1:11">
      <c r="D9" s="20">
        <v>46197</v>
      </c>
      <c r="E9" s="21">
        <v>1614656</v>
      </c>
      <c r="F9" s="21" t="s">
        <v>21</v>
      </c>
      <c r="G9" s="22">
        <v>20313588</v>
      </c>
      <c r="H9" s="21" t="s">
        <v>29</v>
      </c>
      <c r="I9" s="22">
        <v>3</v>
      </c>
      <c r="J9" s="23">
        <v>8</v>
      </c>
      <c r="K9" s="23">
        <v>24</v>
      </c>
    </row>
    <row r="10" spans="1:11">
      <c r="D10" s="20">
        <v>46197</v>
      </c>
      <c r="E10" s="21">
        <v>1614656</v>
      </c>
      <c r="F10" s="21" t="s">
        <v>21</v>
      </c>
      <c r="G10" s="22">
        <v>20377357</v>
      </c>
      <c r="H10" s="21" t="s">
        <v>31</v>
      </c>
      <c r="I10" s="22">
        <v>3</v>
      </c>
      <c r="J10" s="23">
        <v>8</v>
      </c>
      <c r="K10" s="23">
        <v>24</v>
      </c>
    </row>
    <row r="11" spans="1:11">
      <c r="D11" s="20">
        <v>46197</v>
      </c>
      <c r="E11" s="21">
        <v>1614911</v>
      </c>
      <c r="F11" s="21" t="s">
        <v>21</v>
      </c>
      <c r="G11" s="22">
        <v>20313588</v>
      </c>
      <c r="H11" s="21" t="s">
        <v>29</v>
      </c>
      <c r="I11" s="22">
        <v>3</v>
      </c>
      <c r="J11" s="23">
        <v>8</v>
      </c>
      <c r="K11" s="23">
        <v>24</v>
      </c>
    </row>
    <row r="12" spans="1:11">
      <c r="D12" s="20">
        <v>46197</v>
      </c>
      <c r="E12" s="21">
        <v>1614911</v>
      </c>
      <c r="F12" s="21" t="s">
        <v>21</v>
      </c>
      <c r="G12" s="22">
        <v>20377357</v>
      </c>
      <c r="H12" s="21" t="s">
        <v>31</v>
      </c>
      <c r="I12" s="22">
        <v>3</v>
      </c>
      <c r="J12" s="23">
        <v>8</v>
      </c>
      <c r="K12" s="23">
        <v>24</v>
      </c>
    </row>
    <row r="13" spans="1:11">
      <c r="D13" s="20">
        <v>46212</v>
      </c>
      <c r="E13" s="21">
        <v>1618878</v>
      </c>
      <c r="F13" s="21" t="s">
        <v>21</v>
      </c>
      <c r="G13" s="22">
        <v>20376624</v>
      </c>
      <c r="H13" s="21" t="s">
        <v>32</v>
      </c>
      <c r="I13" s="22">
        <v>1</v>
      </c>
      <c r="J13" s="23">
        <v>8</v>
      </c>
      <c r="K13" s="23">
        <v>8</v>
      </c>
    </row>
    <row r="14" spans="1:11">
      <c r="D14" s="20">
        <v>46212</v>
      </c>
      <c r="E14" s="21">
        <v>1618878</v>
      </c>
      <c r="F14" s="21" t="s">
        <v>21</v>
      </c>
      <c r="G14" s="22">
        <v>20313588</v>
      </c>
      <c r="H14" s="21" t="s">
        <v>29</v>
      </c>
      <c r="I14" s="22">
        <v>6</v>
      </c>
      <c r="J14" s="23">
        <v>8</v>
      </c>
      <c r="K14" s="23">
        <v>48</v>
      </c>
    </row>
    <row r="15" spans="1:11">
      <c r="D15" s="20">
        <v>46212</v>
      </c>
      <c r="E15" s="21">
        <v>1618878</v>
      </c>
      <c r="F15" s="21" t="s">
        <v>21</v>
      </c>
      <c r="G15" s="22">
        <v>20377357</v>
      </c>
      <c r="H15" s="21" t="s">
        <v>31</v>
      </c>
      <c r="I15" s="22">
        <v>3</v>
      </c>
      <c r="J15" s="23">
        <v>8</v>
      </c>
      <c r="K15" s="23">
        <v>24</v>
      </c>
    </row>
    <row r="16" ht="0.05" customHeight="1"/>
  </sheetData>
  <mergeCells count="5">
    <mergeCell ref="D8:H8"/>
    <mergeCell ref="C7:C15"/>
    <mergeCell ref="B4:H5"/>
    <mergeCell ref="A7:B15"/>
    <mergeCell ref="C1:H2"/>
  </mergeCells>
  <pageMargins left="0.25" right="0.25" top="0.75" bottom="0.75" header="0.298611111111111" footer="0.298611111111111"/>
  <pageSetup paperSize="9" scale="9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8:31 
&amp;"-,Bold"&amp;10 黑龙江省铂康医疗灭菌有限公司 &amp;R&amp;"Droid Sans Fallback"&amp;9第&amp;P页，共&amp;N页 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1.25" customWidth="1"/>
    <col min="10" max="10" width="12.2083333333333" customWidth="1"/>
    <col min="11" max="11" width="10.875" customWidth="1"/>
  </cols>
  <sheetData>
    <row r="1" spans="1:11">
      <c r="C1" s="10" t="s">
        <v>0</v>
      </c>
    </row>
    <row r="2" ht="23.05" customHeight="1"/>
    <row r="3" ht="2" customHeight="1"/>
    <row r="4" ht="15.2" customHeight="1" spans="1:11">
      <c r="B4" s="11" t="s">
        <v>1</v>
      </c>
    </row>
    <row r="6" ht="2.95" customHeight="1"/>
    <row r="7" spans="1:11">
      <c r="A7" s="12" t="s">
        <v>2</v>
      </c>
      <c r="B7" s="13" t="s">
        <v>2</v>
      </c>
      <c r="C7" s="14" t="s">
        <v>2</v>
      </c>
      <c r="D7" s="15" t="s">
        <v>4</v>
      </c>
      <c r="E7" s="15" t="s">
        <v>5</v>
      </c>
      <c r="F7" s="15" t="s">
        <v>6</v>
      </c>
      <c r="G7" s="15" t="s">
        <v>7</v>
      </c>
      <c r="H7" s="15" t="s">
        <v>8</v>
      </c>
      <c r="I7" s="15" t="s">
        <v>9</v>
      </c>
      <c r="J7" s="15" t="s">
        <v>10</v>
      </c>
      <c r="K7" s="15" t="s">
        <v>11</v>
      </c>
    </row>
    <row r="8" ht="14.25" spans="1:11">
      <c r="D8" s="16" t="s">
        <v>81</v>
      </c>
      <c r="E8" s="17" t="s">
        <v>2</v>
      </c>
      <c r="F8" s="17" t="s">
        <v>2</v>
      </c>
      <c r="G8" s="17" t="s">
        <v>2</v>
      </c>
      <c r="H8" s="17" t="s">
        <v>2</v>
      </c>
      <c r="I8" s="18">
        <v>1521</v>
      </c>
      <c r="J8" s="19"/>
      <c r="K8" s="19">
        <v>12168</v>
      </c>
    </row>
    <row r="9" spans="1:11">
      <c r="D9" s="20">
        <v>46189</v>
      </c>
      <c r="E9" s="21">
        <v>1612443</v>
      </c>
      <c r="F9" s="21" t="s">
        <v>21</v>
      </c>
      <c r="G9" s="22">
        <v>20354551</v>
      </c>
      <c r="H9" s="21" t="s">
        <v>82</v>
      </c>
      <c r="I9" s="22">
        <v>87</v>
      </c>
      <c r="J9" s="23">
        <v>8</v>
      </c>
      <c r="K9" s="23">
        <v>696</v>
      </c>
    </row>
    <row r="10" spans="1:11">
      <c r="D10" s="20">
        <v>46190</v>
      </c>
      <c r="E10" s="21">
        <v>1612782</v>
      </c>
      <c r="F10" s="21" t="s">
        <v>21</v>
      </c>
      <c r="G10" s="22">
        <v>20354551</v>
      </c>
      <c r="H10" s="21" t="s">
        <v>82</v>
      </c>
      <c r="I10" s="22">
        <v>69</v>
      </c>
      <c r="J10" s="23">
        <v>8</v>
      </c>
      <c r="K10" s="23">
        <v>552</v>
      </c>
    </row>
    <row r="11" spans="1:11">
      <c r="D11" s="20">
        <v>46191</v>
      </c>
      <c r="E11" s="21">
        <v>1613218</v>
      </c>
      <c r="F11" s="21" t="s">
        <v>21</v>
      </c>
      <c r="G11" s="22">
        <v>20354551</v>
      </c>
      <c r="H11" s="21" t="s">
        <v>82</v>
      </c>
      <c r="I11" s="22">
        <v>71</v>
      </c>
      <c r="J11" s="23">
        <v>8</v>
      </c>
      <c r="K11" s="23">
        <v>568</v>
      </c>
    </row>
    <row r="12" spans="1:11">
      <c r="D12" s="20">
        <v>46192</v>
      </c>
      <c r="E12" s="21">
        <v>1613583</v>
      </c>
      <c r="F12" s="21" t="s">
        <v>21</v>
      </c>
      <c r="G12" s="22">
        <v>20354551</v>
      </c>
      <c r="H12" s="21" t="s">
        <v>82</v>
      </c>
      <c r="I12" s="22">
        <v>70</v>
      </c>
      <c r="J12" s="23">
        <v>8</v>
      </c>
      <c r="K12" s="23">
        <v>560</v>
      </c>
    </row>
    <row r="13" spans="1:11">
      <c r="D13" s="20">
        <v>46192</v>
      </c>
      <c r="E13" s="21">
        <v>1613700</v>
      </c>
      <c r="F13" s="21" t="s">
        <v>21</v>
      </c>
      <c r="G13" s="22">
        <v>20354551</v>
      </c>
      <c r="H13" s="21" t="s">
        <v>82</v>
      </c>
      <c r="I13" s="22">
        <v>31</v>
      </c>
      <c r="J13" s="23">
        <v>8</v>
      </c>
      <c r="K13" s="23">
        <v>248</v>
      </c>
    </row>
    <row r="14" spans="1:11">
      <c r="D14" s="20">
        <v>46195</v>
      </c>
      <c r="E14" s="21">
        <v>1614178</v>
      </c>
      <c r="F14" s="21" t="s">
        <v>21</v>
      </c>
      <c r="G14" s="22">
        <v>20354551</v>
      </c>
      <c r="H14" s="21" t="s">
        <v>82</v>
      </c>
      <c r="I14" s="22">
        <v>80</v>
      </c>
      <c r="J14" s="23">
        <v>8</v>
      </c>
      <c r="K14" s="23">
        <v>640</v>
      </c>
    </row>
    <row r="15" spans="1:11">
      <c r="D15" s="20">
        <v>46197</v>
      </c>
      <c r="E15" s="21">
        <v>1614559</v>
      </c>
      <c r="F15" s="21" t="s">
        <v>21</v>
      </c>
      <c r="G15" s="22">
        <v>20354551</v>
      </c>
      <c r="H15" s="21" t="s">
        <v>82</v>
      </c>
      <c r="I15" s="22">
        <v>90</v>
      </c>
      <c r="J15" s="23">
        <v>8</v>
      </c>
      <c r="K15" s="23">
        <v>720</v>
      </c>
    </row>
    <row r="16" spans="1:11">
      <c r="D16" s="20">
        <v>46197</v>
      </c>
      <c r="E16" s="21">
        <v>1614912</v>
      </c>
      <c r="F16" s="21" t="s">
        <v>21</v>
      </c>
      <c r="G16" s="22">
        <v>20354551</v>
      </c>
      <c r="H16" s="21" t="s">
        <v>82</v>
      </c>
      <c r="I16" s="22">
        <v>73</v>
      </c>
      <c r="J16" s="23">
        <v>8</v>
      </c>
      <c r="K16" s="23">
        <v>584</v>
      </c>
    </row>
    <row r="17" spans="4:11">
      <c r="D17" s="20">
        <v>46198</v>
      </c>
      <c r="E17" s="21">
        <v>1615278</v>
      </c>
      <c r="F17" s="21" t="s">
        <v>21</v>
      </c>
      <c r="G17" s="22">
        <v>20354551</v>
      </c>
      <c r="H17" s="21" t="s">
        <v>82</v>
      </c>
      <c r="I17" s="22">
        <v>62</v>
      </c>
      <c r="J17" s="23">
        <v>8</v>
      </c>
      <c r="K17" s="23">
        <v>496</v>
      </c>
    </row>
    <row r="18" spans="4:11">
      <c r="D18" s="20">
        <v>46199</v>
      </c>
      <c r="E18" s="21">
        <v>1615569</v>
      </c>
      <c r="F18" s="21" t="s">
        <v>21</v>
      </c>
      <c r="G18" s="22">
        <v>20354551</v>
      </c>
      <c r="H18" s="21" t="s">
        <v>82</v>
      </c>
      <c r="I18" s="22">
        <v>51</v>
      </c>
      <c r="J18" s="23">
        <v>8</v>
      </c>
      <c r="K18" s="23">
        <v>408</v>
      </c>
    </row>
    <row r="19" spans="4:11">
      <c r="D19" s="20">
        <v>46200</v>
      </c>
      <c r="E19" s="21">
        <v>1615729</v>
      </c>
      <c r="F19" s="21" t="s">
        <v>21</v>
      </c>
      <c r="G19" s="22">
        <v>20354551</v>
      </c>
      <c r="H19" s="21" t="s">
        <v>82</v>
      </c>
      <c r="I19" s="22">
        <v>19</v>
      </c>
      <c r="J19" s="23">
        <v>8</v>
      </c>
      <c r="K19" s="23">
        <v>152</v>
      </c>
    </row>
    <row r="20" spans="4:11">
      <c r="D20" s="20">
        <v>46202</v>
      </c>
      <c r="E20" s="21">
        <v>1616102</v>
      </c>
      <c r="F20" s="21" t="s">
        <v>21</v>
      </c>
      <c r="G20" s="22">
        <v>20354551</v>
      </c>
      <c r="H20" s="21" t="s">
        <v>82</v>
      </c>
      <c r="I20" s="22">
        <v>80</v>
      </c>
      <c r="J20" s="23">
        <v>8</v>
      </c>
      <c r="K20" s="23">
        <v>640</v>
      </c>
    </row>
    <row r="21" spans="4:11">
      <c r="D21" s="20">
        <v>46204</v>
      </c>
      <c r="E21" s="21">
        <v>1616479</v>
      </c>
      <c r="F21" s="21" t="s">
        <v>21</v>
      </c>
      <c r="G21" s="22">
        <v>20354551</v>
      </c>
      <c r="H21" s="21" t="s">
        <v>82</v>
      </c>
      <c r="I21" s="22">
        <v>78</v>
      </c>
      <c r="J21" s="23">
        <v>8</v>
      </c>
      <c r="K21" s="23">
        <v>624</v>
      </c>
    </row>
    <row r="22" spans="4:11">
      <c r="D22" s="20">
        <v>46204</v>
      </c>
      <c r="E22" s="21">
        <v>1616806</v>
      </c>
      <c r="F22" s="21" t="s">
        <v>21</v>
      </c>
      <c r="G22" s="22">
        <v>20354551</v>
      </c>
      <c r="H22" s="21" t="s">
        <v>82</v>
      </c>
      <c r="I22" s="22">
        <v>80</v>
      </c>
      <c r="J22" s="23">
        <v>8</v>
      </c>
      <c r="K22" s="23">
        <v>640</v>
      </c>
    </row>
    <row r="23" spans="4:11">
      <c r="D23" s="20">
        <v>46206</v>
      </c>
      <c r="E23" s="21">
        <v>1617275</v>
      </c>
      <c r="F23" s="21" t="s">
        <v>21</v>
      </c>
      <c r="G23" s="22">
        <v>20354551</v>
      </c>
      <c r="H23" s="21" t="s">
        <v>82</v>
      </c>
      <c r="I23" s="22">
        <v>76</v>
      </c>
      <c r="J23" s="23">
        <v>8</v>
      </c>
      <c r="K23" s="23">
        <v>608</v>
      </c>
    </row>
    <row r="24" spans="4:11">
      <c r="D24" s="20">
        <v>46206</v>
      </c>
      <c r="E24" s="21">
        <v>1617599</v>
      </c>
      <c r="F24" s="21" t="s">
        <v>21</v>
      </c>
      <c r="G24" s="22">
        <v>20354551</v>
      </c>
      <c r="H24" s="21" t="s">
        <v>82</v>
      </c>
      <c r="I24" s="22">
        <v>59</v>
      </c>
      <c r="J24" s="23">
        <v>8</v>
      </c>
      <c r="K24" s="23">
        <v>472</v>
      </c>
    </row>
    <row r="25" spans="4:11">
      <c r="D25" s="20">
        <v>46207</v>
      </c>
      <c r="E25" s="21">
        <v>1617722</v>
      </c>
      <c r="F25" s="21" t="s">
        <v>21</v>
      </c>
      <c r="G25" s="22">
        <v>20354551</v>
      </c>
      <c r="H25" s="21" t="s">
        <v>82</v>
      </c>
      <c r="I25" s="22">
        <v>25</v>
      </c>
      <c r="J25" s="23">
        <v>8</v>
      </c>
      <c r="K25" s="23">
        <v>200</v>
      </c>
    </row>
    <row r="26" spans="4:11">
      <c r="D26" s="20">
        <v>46210</v>
      </c>
      <c r="E26" s="21">
        <v>1618076</v>
      </c>
      <c r="F26" s="21" t="s">
        <v>21</v>
      </c>
      <c r="G26" s="22">
        <v>20354551</v>
      </c>
      <c r="H26" s="21" t="s">
        <v>82</v>
      </c>
      <c r="I26" s="22">
        <v>57</v>
      </c>
      <c r="J26" s="23">
        <v>8</v>
      </c>
      <c r="K26" s="23">
        <v>456</v>
      </c>
    </row>
    <row r="27" spans="4:11">
      <c r="D27" s="20">
        <v>46210</v>
      </c>
      <c r="E27" s="21">
        <v>1618502</v>
      </c>
      <c r="F27" s="21" t="s">
        <v>21</v>
      </c>
      <c r="G27" s="22">
        <v>20354551</v>
      </c>
      <c r="H27" s="21" t="s">
        <v>82</v>
      </c>
      <c r="I27" s="22">
        <v>76</v>
      </c>
      <c r="J27" s="23">
        <v>8</v>
      </c>
      <c r="K27" s="23">
        <v>608</v>
      </c>
    </row>
    <row r="28" spans="4:11">
      <c r="D28" s="20">
        <v>46212</v>
      </c>
      <c r="E28" s="21">
        <v>1618879</v>
      </c>
      <c r="F28" s="21" t="s">
        <v>21</v>
      </c>
      <c r="G28" s="22">
        <v>20354551</v>
      </c>
      <c r="H28" s="21" t="s">
        <v>82</v>
      </c>
      <c r="I28" s="22">
        <v>68</v>
      </c>
      <c r="J28" s="23">
        <v>8</v>
      </c>
      <c r="K28" s="23">
        <v>544</v>
      </c>
    </row>
    <row r="29" spans="4:11">
      <c r="D29" s="20">
        <v>46213</v>
      </c>
      <c r="E29" s="21">
        <v>1619277</v>
      </c>
      <c r="F29" s="21" t="s">
        <v>21</v>
      </c>
      <c r="G29" s="22">
        <v>20354551</v>
      </c>
      <c r="H29" s="21" t="s">
        <v>82</v>
      </c>
      <c r="I29" s="22">
        <v>63</v>
      </c>
      <c r="J29" s="23">
        <v>8</v>
      </c>
      <c r="K29" s="23">
        <v>504</v>
      </c>
    </row>
    <row r="30" spans="4:11">
      <c r="D30" s="20">
        <v>46214</v>
      </c>
      <c r="E30" s="21">
        <v>1619617</v>
      </c>
      <c r="F30" s="21" t="s">
        <v>21</v>
      </c>
      <c r="G30" s="22">
        <v>20354551</v>
      </c>
      <c r="H30" s="21" t="s">
        <v>82</v>
      </c>
      <c r="I30" s="22">
        <v>58</v>
      </c>
      <c r="J30" s="23">
        <v>8</v>
      </c>
      <c r="K30" s="23">
        <v>464</v>
      </c>
    </row>
    <row r="31" spans="4:11">
      <c r="D31" s="20">
        <v>46214</v>
      </c>
      <c r="E31" s="21">
        <v>1619727</v>
      </c>
      <c r="F31" s="21" t="s">
        <v>21</v>
      </c>
      <c r="G31" s="22">
        <v>20354551</v>
      </c>
      <c r="H31" s="21" t="s">
        <v>82</v>
      </c>
      <c r="I31" s="22">
        <v>36</v>
      </c>
      <c r="J31" s="23">
        <v>8</v>
      </c>
      <c r="K31" s="23">
        <v>288</v>
      </c>
    </row>
    <row r="32" spans="4:11">
      <c r="D32" s="20">
        <v>46217</v>
      </c>
      <c r="E32" s="21">
        <v>1620137</v>
      </c>
      <c r="F32" s="21" t="s">
        <v>21</v>
      </c>
      <c r="G32" s="22">
        <v>20354551</v>
      </c>
      <c r="H32" s="21" t="s">
        <v>82</v>
      </c>
      <c r="I32" s="22">
        <v>62</v>
      </c>
      <c r="J32" s="23">
        <v>8</v>
      </c>
      <c r="K32" s="23">
        <v>496</v>
      </c>
    </row>
    <row r="33" ht="0.05" customHeight="1"/>
  </sheetData>
  <mergeCells count="5">
    <mergeCell ref="D8:H8"/>
    <mergeCell ref="C7:C32"/>
    <mergeCell ref="B4:H5"/>
    <mergeCell ref="A7:B32"/>
    <mergeCell ref="C1:H2"/>
  </mergeCells>
  <pageMargins left="0.25" right="0.25" top="0.75" bottom="0.75" header="0.298611111111111" footer="0.298611111111111"/>
  <pageSetup paperSize="9" scale="9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8:31 
&amp;"-,Bold"&amp;10 黑龙江省铂康医疗灭菌有限公司 &amp;R&amp;"Droid Sans Fallback"&amp;9第&amp;P页，共&amp;N页 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4"/>
  <sheetViews>
    <sheetView showGridLines="0" view="pageBreakPreview" zoomScaleNormal="100" workbookViewId="0">
      <pane ySplit="6" topLeftCell="A7" activePane="bottomLeft" state="frozen"/>
      <selection/>
      <selection pane="bottomLeft" activeCell="K243" sqref="K9:K24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1.25" customWidth="1"/>
    <col min="10" max="10" width="11.125" customWidth="1"/>
    <col min="11" max="11" width="10.875" customWidth="1"/>
  </cols>
  <sheetData>
    <row r="1" spans="1:11">
      <c r="C1" s="10" t="s">
        <v>0</v>
      </c>
    </row>
    <row r="2" ht="23.05" customHeight="1"/>
    <row r="3" ht="2" customHeight="1"/>
    <row r="4" ht="15.2" customHeight="1" spans="1:11">
      <c r="B4" s="11" t="s">
        <v>1</v>
      </c>
    </row>
    <row r="6" ht="2.95" customHeight="1"/>
    <row r="7" spans="1:11">
      <c r="A7" s="12" t="s">
        <v>2</v>
      </c>
      <c r="B7" s="13" t="s">
        <v>2</v>
      </c>
      <c r="C7" s="14" t="s">
        <v>2</v>
      </c>
      <c r="D7" s="15" t="s">
        <v>4</v>
      </c>
      <c r="E7" s="15" t="s">
        <v>5</v>
      </c>
      <c r="F7" s="15" t="s">
        <v>6</v>
      </c>
      <c r="G7" s="15" t="s">
        <v>7</v>
      </c>
      <c r="H7" s="15" t="s">
        <v>8</v>
      </c>
      <c r="I7" s="15" t="s">
        <v>9</v>
      </c>
      <c r="J7" s="15" t="s">
        <v>10</v>
      </c>
      <c r="K7" s="15" t="s">
        <v>11</v>
      </c>
    </row>
    <row r="8" ht="14.25" spans="1:11">
      <c r="D8" s="16" t="s">
        <v>83</v>
      </c>
      <c r="E8" s="17" t="s">
        <v>2</v>
      </c>
      <c r="F8" s="17" t="s">
        <v>2</v>
      </c>
      <c r="G8" s="17" t="s">
        <v>2</v>
      </c>
      <c r="H8" s="17" t="s">
        <v>2</v>
      </c>
      <c r="I8" s="18">
        <v>2205</v>
      </c>
      <c r="J8" s="19"/>
      <c r="K8" s="19">
        <v>21979.5</v>
      </c>
    </row>
    <row r="9" spans="1:11">
      <c r="D9" s="20">
        <v>46188</v>
      </c>
      <c r="E9" s="21">
        <v>1612270</v>
      </c>
      <c r="F9" s="21" t="s">
        <v>16</v>
      </c>
      <c r="G9" s="22">
        <v>20302879</v>
      </c>
      <c r="H9" s="21" t="s">
        <v>84</v>
      </c>
      <c r="I9" s="22">
        <v>1</v>
      </c>
      <c r="J9" s="23">
        <v>4</v>
      </c>
      <c r="K9" s="23">
        <v>4</v>
      </c>
    </row>
    <row r="10" spans="1:11">
      <c r="D10" s="20">
        <v>46189</v>
      </c>
      <c r="E10" s="21">
        <v>1612442</v>
      </c>
      <c r="F10" s="21" t="s">
        <v>19</v>
      </c>
      <c r="G10" s="22">
        <v>20005210</v>
      </c>
      <c r="H10" s="21" t="s">
        <v>85</v>
      </c>
      <c r="I10" s="22">
        <v>6</v>
      </c>
      <c r="J10" s="23">
        <v>49.5</v>
      </c>
      <c r="K10" s="23">
        <v>297</v>
      </c>
    </row>
    <row r="11" spans="1:11">
      <c r="D11" s="20">
        <v>46189</v>
      </c>
      <c r="E11" s="21">
        <v>1612442</v>
      </c>
      <c r="F11" s="21" t="s">
        <v>21</v>
      </c>
      <c r="G11" s="22">
        <v>20005207</v>
      </c>
      <c r="H11" s="21" t="s">
        <v>56</v>
      </c>
      <c r="I11" s="22">
        <v>11</v>
      </c>
      <c r="J11" s="23">
        <v>8</v>
      </c>
      <c r="K11" s="23">
        <v>88</v>
      </c>
    </row>
    <row r="12" spans="1:11">
      <c r="D12" s="20">
        <v>46189</v>
      </c>
      <c r="E12" s="21">
        <v>1612442</v>
      </c>
      <c r="F12" s="21" t="s">
        <v>21</v>
      </c>
      <c r="G12" s="22">
        <v>20005208</v>
      </c>
      <c r="H12" s="21" t="s">
        <v>73</v>
      </c>
      <c r="I12" s="22">
        <v>37</v>
      </c>
      <c r="J12" s="23">
        <v>8</v>
      </c>
      <c r="K12" s="23">
        <v>296</v>
      </c>
    </row>
    <row r="13" spans="1:11">
      <c r="D13" s="20">
        <v>46189</v>
      </c>
      <c r="E13" s="21">
        <v>1612442</v>
      </c>
      <c r="F13" s="21" t="s">
        <v>21</v>
      </c>
      <c r="G13" s="22">
        <v>20013630</v>
      </c>
      <c r="H13" s="21" t="s">
        <v>86</v>
      </c>
      <c r="I13" s="22">
        <v>4</v>
      </c>
      <c r="J13" s="23">
        <v>8</v>
      </c>
      <c r="K13" s="23">
        <v>32</v>
      </c>
    </row>
    <row r="14" spans="1:11">
      <c r="D14" s="20">
        <v>46189</v>
      </c>
      <c r="E14" s="21">
        <v>1612442</v>
      </c>
      <c r="F14" s="21" t="s">
        <v>21</v>
      </c>
      <c r="G14" s="22">
        <v>20407295</v>
      </c>
      <c r="H14" s="21" t="s">
        <v>87</v>
      </c>
      <c r="I14" s="22">
        <v>19</v>
      </c>
      <c r="J14" s="23">
        <v>8</v>
      </c>
      <c r="K14" s="23">
        <v>152</v>
      </c>
    </row>
    <row r="15" spans="1:11">
      <c r="D15" s="20">
        <v>46189</v>
      </c>
      <c r="E15" s="21">
        <v>1612442</v>
      </c>
      <c r="F15" s="21" t="s">
        <v>21</v>
      </c>
      <c r="G15" s="22">
        <v>20314990</v>
      </c>
      <c r="H15" s="21" t="s">
        <v>54</v>
      </c>
      <c r="I15" s="22">
        <v>9</v>
      </c>
      <c r="J15" s="23">
        <v>8</v>
      </c>
      <c r="K15" s="23">
        <v>72</v>
      </c>
    </row>
    <row r="16" spans="1:11">
      <c r="D16" s="20">
        <v>46189</v>
      </c>
      <c r="E16" s="21">
        <v>1612442</v>
      </c>
      <c r="F16" s="21" t="s">
        <v>21</v>
      </c>
      <c r="G16" s="22">
        <v>20005849</v>
      </c>
      <c r="H16" s="21" t="s">
        <v>51</v>
      </c>
      <c r="I16" s="22">
        <v>18</v>
      </c>
      <c r="J16" s="23">
        <v>8</v>
      </c>
      <c r="K16" s="23">
        <v>144</v>
      </c>
    </row>
    <row r="17" spans="4:11">
      <c r="D17" s="20">
        <v>46189</v>
      </c>
      <c r="E17" s="21">
        <v>1612442</v>
      </c>
      <c r="F17" s="21" t="s">
        <v>13</v>
      </c>
      <c r="G17" s="22">
        <v>20008026</v>
      </c>
      <c r="H17" s="21" t="s">
        <v>88</v>
      </c>
      <c r="I17" s="22">
        <v>6</v>
      </c>
      <c r="J17" s="23">
        <v>16.5</v>
      </c>
      <c r="K17" s="23">
        <v>99</v>
      </c>
    </row>
    <row r="18" spans="4:11">
      <c r="D18" s="20">
        <v>46190</v>
      </c>
      <c r="E18" s="21">
        <v>1612783</v>
      </c>
      <c r="F18" s="21" t="s">
        <v>19</v>
      </c>
      <c r="G18" s="22">
        <v>20005210</v>
      </c>
      <c r="H18" s="21" t="s">
        <v>85</v>
      </c>
      <c r="I18" s="22">
        <v>3</v>
      </c>
      <c r="J18" s="23">
        <v>49.5</v>
      </c>
      <c r="K18" s="23">
        <v>148.5</v>
      </c>
    </row>
    <row r="19" spans="4:11">
      <c r="D19" s="20">
        <v>46190</v>
      </c>
      <c r="E19" s="21">
        <v>1612783</v>
      </c>
      <c r="F19" s="21" t="s">
        <v>21</v>
      </c>
      <c r="G19" s="22">
        <v>20005207</v>
      </c>
      <c r="H19" s="21" t="s">
        <v>56</v>
      </c>
      <c r="I19" s="22">
        <v>11</v>
      </c>
      <c r="J19" s="23">
        <v>8</v>
      </c>
      <c r="K19" s="23">
        <v>88</v>
      </c>
    </row>
    <row r="20" spans="4:11">
      <c r="D20" s="20">
        <v>46190</v>
      </c>
      <c r="E20" s="21">
        <v>1612783</v>
      </c>
      <c r="F20" s="21" t="s">
        <v>21</v>
      </c>
      <c r="G20" s="22">
        <v>20005208</v>
      </c>
      <c r="H20" s="21" t="s">
        <v>73</v>
      </c>
      <c r="I20" s="22">
        <v>35</v>
      </c>
      <c r="J20" s="23">
        <v>8</v>
      </c>
      <c r="K20" s="23">
        <v>280</v>
      </c>
    </row>
    <row r="21" spans="4:11">
      <c r="D21" s="20">
        <v>46190</v>
      </c>
      <c r="E21" s="21">
        <v>1612783</v>
      </c>
      <c r="F21" s="21" t="s">
        <v>21</v>
      </c>
      <c r="G21" s="22">
        <v>20313590</v>
      </c>
      <c r="H21" s="21" t="s">
        <v>89</v>
      </c>
      <c r="I21" s="22">
        <v>2</v>
      </c>
      <c r="J21" s="23">
        <v>8</v>
      </c>
      <c r="K21" s="23">
        <v>16</v>
      </c>
    </row>
    <row r="22" spans="4:11">
      <c r="D22" s="20">
        <v>46190</v>
      </c>
      <c r="E22" s="21">
        <v>1612783</v>
      </c>
      <c r="F22" s="21" t="s">
        <v>21</v>
      </c>
      <c r="G22" s="22">
        <v>20013630</v>
      </c>
      <c r="H22" s="21" t="s">
        <v>86</v>
      </c>
      <c r="I22" s="22">
        <v>5</v>
      </c>
      <c r="J22" s="23">
        <v>8</v>
      </c>
      <c r="K22" s="23">
        <v>40</v>
      </c>
    </row>
    <row r="23" spans="4:11">
      <c r="D23" s="20">
        <v>46190</v>
      </c>
      <c r="E23" s="21">
        <v>1612783</v>
      </c>
      <c r="F23" s="21" t="s">
        <v>21</v>
      </c>
      <c r="G23" s="22">
        <v>20407295</v>
      </c>
      <c r="H23" s="21" t="s">
        <v>87</v>
      </c>
      <c r="I23" s="22">
        <v>23</v>
      </c>
      <c r="J23" s="23">
        <v>8</v>
      </c>
      <c r="K23" s="23">
        <v>184</v>
      </c>
    </row>
    <row r="24" spans="4:11">
      <c r="D24" s="20">
        <v>46190</v>
      </c>
      <c r="E24" s="21">
        <v>1612783</v>
      </c>
      <c r="F24" s="21" t="s">
        <v>21</v>
      </c>
      <c r="G24" s="22">
        <v>20314990</v>
      </c>
      <c r="H24" s="21" t="s">
        <v>54</v>
      </c>
      <c r="I24" s="22">
        <v>9</v>
      </c>
      <c r="J24" s="23">
        <v>8</v>
      </c>
      <c r="K24" s="23">
        <v>72</v>
      </c>
    </row>
    <row r="25" spans="4:11">
      <c r="D25" s="20">
        <v>46190</v>
      </c>
      <c r="E25" s="21">
        <v>1612783</v>
      </c>
      <c r="F25" s="21" t="s">
        <v>21</v>
      </c>
      <c r="G25" s="22">
        <v>20005849</v>
      </c>
      <c r="H25" s="21" t="s">
        <v>51</v>
      </c>
      <c r="I25" s="22">
        <v>10</v>
      </c>
      <c r="J25" s="23">
        <v>8</v>
      </c>
      <c r="K25" s="23">
        <v>80</v>
      </c>
    </row>
    <row r="26" spans="4:11">
      <c r="D26" s="20">
        <v>46190</v>
      </c>
      <c r="E26" s="21">
        <v>1612816</v>
      </c>
      <c r="F26" s="21" t="s">
        <v>13</v>
      </c>
      <c r="G26" s="22">
        <v>20008026</v>
      </c>
      <c r="H26" s="21" t="s">
        <v>88</v>
      </c>
      <c r="I26" s="22">
        <v>13</v>
      </c>
      <c r="J26" s="23">
        <v>16.5</v>
      </c>
      <c r="K26" s="23">
        <v>214.5</v>
      </c>
    </row>
    <row r="27" spans="4:11">
      <c r="D27" s="20">
        <v>46191</v>
      </c>
      <c r="E27" s="21">
        <v>1613219</v>
      </c>
      <c r="F27" s="21" t="s">
        <v>19</v>
      </c>
      <c r="G27" s="22">
        <v>20005210</v>
      </c>
      <c r="H27" s="21" t="s">
        <v>85</v>
      </c>
      <c r="I27" s="22">
        <v>1</v>
      </c>
      <c r="J27" s="23">
        <v>49.5</v>
      </c>
      <c r="K27" s="23">
        <v>49.5</v>
      </c>
    </row>
    <row r="28" spans="4:11">
      <c r="D28" s="20">
        <v>46191</v>
      </c>
      <c r="E28" s="21">
        <v>1613219</v>
      </c>
      <c r="F28" s="21" t="s">
        <v>21</v>
      </c>
      <c r="G28" s="22">
        <v>20005207</v>
      </c>
      <c r="H28" s="21" t="s">
        <v>56</v>
      </c>
      <c r="I28" s="22">
        <v>7</v>
      </c>
      <c r="J28" s="23">
        <v>8</v>
      </c>
      <c r="K28" s="23">
        <v>56</v>
      </c>
    </row>
    <row r="29" spans="4:11">
      <c r="D29" s="20">
        <v>46191</v>
      </c>
      <c r="E29" s="21">
        <v>1613219</v>
      </c>
      <c r="F29" s="21" t="s">
        <v>21</v>
      </c>
      <c r="G29" s="22">
        <v>20005208</v>
      </c>
      <c r="H29" s="21" t="s">
        <v>73</v>
      </c>
      <c r="I29" s="22">
        <v>31</v>
      </c>
      <c r="J29" s="23">
        <v>8</v>
      </c>
      <c r="K29" s="23">
        <v>248</v>
      </c>
    </row>
    <row r="30" spans="4:11">
      <c r="D30" s="20">
        <v>46191</v>
      </c>
      <c r="E30" s="21">
        <v>1613219</v>
      </c>
      <c r="F30" s="21" t="s">
        <v>21</v>
      </c>
      <c r="G30" s="22">
        <v>20313590</v>
      </c>
      <c r="H30" s="21" t="s">
        <v>89</v>
      </c>
      <c r="I30" s="22">
        <v>1</v>
      </c>
      <c r="J30" s="23">
        <v>8</v>
      </c>
      <c r="K30" s="23">
        <v>8</v>
      </c>
    </row>
    <row r="31" spans="4:11">
      <c r="D31" s="20">
        <v>46191</v>
      </c>
      <c r="E31" s="21">
        <v>1613219</v>
      </c>
      <c r="F31" s="21" t="s">
        <v>21</v>
      </c>
      <c r="G31" s="22">
        <v>20013630</v>
      </c>
      <c r="H31" s="21" t="s">
        <v>86</v>
      </c>
      <c r="I31" s="22">
        <v>6</v>
      </c>
      <c r="J31" s="23">
        <v>8</v>
      </c>
      <c r="K31" s="23">
        <v>48</v>
      </c>
    </row>
    <row r="32" spans="4:11">
      <c r="D32" s="20">
        <v>46191</v>
      </c>
      <c r="E32" s="21">
        <v>1613219</v>
      </c>
      <c r="F32" s="21" t="s">
        <v>21</v>
      </c>
      <c r="G32" s="22">
        <v>20407295</v>
      </c>
      <c r="H32" s="21" t="s">
        <v>87</v>
      </c>
      <c r="I32" s="22">
        <v>11</v>
      </c>
      <c r="J32" s="23">
        <v>8</v>
      </c>
      <c r="K32" s="23">
        <v>88</v>
      </c>
    </row>
    <row r="33" spans="4:11">
      <c r="D33" s="20">
        <v>46191</v>
      </c>
      <c r="E33" s="21">
        <v>1613219</v>
      </c>
      <c r="F33" s="21" t="s">
        <v>21</v>
      </c>
      <c r="G33" s="22">
        <v>20324084</v>
      </c>
      <c r="H33" s="21" t="s">
        <v>22</v>
      </c>
      <c r="I33" s="22">
        <v>1</v>
      </c>
      <c r="J33" s="23">
        <v>8</v>
      </c>
      <c r="K33" s="23">
        <v>8</v>
      </c>
    </row>
    <row r="34" spans="4:11">
      <c r="D34" s="20">
        <v>46191</v>
      </c>
      <c r="E34" s="21">
        <v>1613219</v>
      </c>
      <c r="F34" s="21" t="s">
        <v>21</v>
      </c>
      <c r="G34" s="22">
        <v>20314990</v>
      </c>
      <c r="H34" s="21" t="s">
        <v>54</v>
      </c>
      <c r="I34" s="22">
        <v>7</v>
      </c>
      <c r="J34" s="23">
        <v>8</v>
      </c>
      <c r="K34" s="23">
        <v>56</v>
      </c>
    </row>
    <row r="35" spans="4:11">
      <c r="D35" s="20">
        <v>46191</v>
      </c>
      <c r="E35" s="21">
        <v>1613219</v>
      </c>
      <c r="F35" s="21" t="s">
        <v>21</v>
      </c>
      <c r="G35" s="22">
        <v>20005849</v>
      </c>
      <c r="H35" s="21" t="s">
        <v>51</v>
      </c>
      <c r="I35" s="22">
        <v>13</v>
      </c>
      <c r="J35" s="23">
        <v>8</v>
      </c>
      <c r="K35" s="23">
        <v>104</v>
      </c>
    </row>
    <row r="36" spans="4:11">
      <c r="D36" s="20">
        <v>46191</v>
      </c>
      <c r="E36" s="21">
        <v>1613219</v>
      </c>
      <c r="F36" s="21" t="s">
        <v>13</v>
      </c>
      <c r="G36" s="22">
        <v>20008026</v>
      </c>
      <c r="H36" s="21" t="s">
        <v>88</v>
      </c>
      <c r="I36" s="22">
        <v>8</v>
      </c>
      <c r="J36" s="23">
        <v>16.5</v>
      </c>
      <c r="K36" s="23">
        <v>132</v>
      </c>
    </row>
    <row r="37" spans="4:11">
      <c r="D37" s="20">
        <v>46192</v>
      </c>
      <c r="E37" s="21">
        <v>1613584</v>
      </c>
      <c r="F37" s="21" t="s">
        <v>19</v>
      </c>
      <c r="G37" s="22">
        <v>20005210</v>
      </c>
      <c r="H37" s="21" t="s">
        <v>85</v>
      </c>
      <c r="I37" s="22">
        <v>3</v>
      </c>
      <c r="J37" s="23">
        <v>49.5</v>
      </c>
      <c r="K37" s="23">
        <v>148.5</v>
      </c>
    </row>
    <row r="38" spans="4:11">
      <c r="D38" s="20">
        <v>46192</v>
      </c>
      <c r="E38" s="21">
        <v>1613584</v>
      </c>
      <c r="F38" s="21" t="s">
        <v>21</v>
      </c>
      <c r="G38" s="22">
        <v>20005207</v>
      </c>
      <c r="H38" s="21" t="s">
        <v>56</v>
      </c>
      <c r="I38" s="22">
        <v>6</v>
      </c>
      <c r="J38" s="23">
        <v>8</v>
      </c>
      <c r="K38" s="23">
        <v>48</v>
      </c>
    </row>
    <row r="39" spans="4:11">
      <c r="D39" s="20">
        <v>46192</v>
      </c>
      <c r="E39" s="21">
        <v>1613584</v>
      </c>
      <c r="F39" s="21" t="s">
        <v>21</v>
      </c>
      <c r="G39" s="22">
        <v>20005208</v>
      </c>
      <c r="H39" s="21" t="s">
        <v>73</v>
      </c>
      <c r="I39" s="22">
        <v>28</v>
      </c>
      <c r="J39" s="23">
        <v>8</v>
      </c>
      <c r="K39" s="23">
        <v>224</v>
      </c>
    </row>
    <row r="40" spans="4:11">
      <c r="D40" s="20">
        <v>46192</v>
      </c>
      <c r="E40" s="21">
        <v>1613584</v>
      </c>
      <c r="F40" s="21" t="s">
        <v>21</v>
      </c>
      <c r="G40" s="22">
        <v>20313590</v>
      </c>
      <c r="H40" s="21" t="s">
        <v>89</v>
      </c>
      <c r="I40" s="22">
        <v>1</v>
      </c>
      <c r="J40" s="23">
        <v>8</v>
      </c>
      <c r="K40" s="23">
        <v>8</v>
      </c>
    </row>
    <row r="41" spans="4:11">
      <c r="D41" s="20">
        <v>46192</v>
      </c>
      <c r="E41" s="21">
        <v>1613584</v>
      </c>
      <c r="F41" s="21" t="s">
        <v>21</v>
      </c>
      <c r="G41" s="22">
        <v>20013630</v>
      </c>
      <c r="H41" s="21" t="s">
        <v>86</v>
      </c>
      <c r="I41" s="22">
        <v>4</v>
      </c>
      <c r="J41" s="23">
        <v>8</v>
      </c>
      <c r="K41" s="23">
        <v>32</v>
      </c>
    </row>
    <row r="42" spans="4:11">
      <c r="D42" s="20">
        <v>46192</v>
      </c>
      <c r="E42" s="21">
        <v>1613584</v>
      </c>
      <c r="F42" s="21" t="s">
        <v>21</v>
      </c>
      <c r="G42" s="22">
        <v>20407295</v>
      </c>
      <c r="H42" s="21" t="s">
        <v>87</v>
      </c>
      <c r="I42" s="22">
        <v>21</v>
      </c>
      <c r="J42" s="23">
        <v>8</v>
      </c>
      <c r="K42" s="23">
        <v>168</v>
      </c>
    </row>
    <row r="43" spans="4:11">
      <c r="D43" s="20">
        <v>46192</v>
      </c>
      <c r="E43" s="21">
        <v>1613584</v>
      </c>
      <c r="F43" s="21" t="s">
        <v>21</v>
      </c>
      <c r="G43" s="22">
        <v>20321305</v>
      </c>
      <c r="H43" s="21" t="s">
        <v>90</v>
      </c>
      <c r="I43" s="22">
        <v>1</v>
      </c>
      <c r="J43" s="23">
        <v>8</v>
      </c>
      <c r="K43" s="23">
        <v>8</v>
      </c>
    </row>
    <row r="44" spans="4:11">
      <c r="D44" s="20">
        <v>46192</v>
      </c>
      <c r="E44" s="21">
        <v>1613584</v>
      </c>
      <c r="F44" s="21" t="s">
        <v>21</v>
      </c>
      <c r="G44" s="22">
        <v>20314990</v>
      </c>
      <c r="H44" s="21" t="s">
        <v>54</v>
      </c>
      <c r="I44" s="22">
        <v>13</v>
      </c>
      <c r="J44" s="23">
        <v>8</v>
      </c>
      <c r="K44" s="23">
        <v>104</v>
      </c>
    </row>
    <row r="45" spans="4:11">
      <c r="D45" s="20">
        <v>46192</v>
      </c>
      <c r="E45" s="21">
        <v>1613584</v>
      </c>
      <c r="F45" s="21" t="s">
        <v>21</v>
      </c>
      <c r="G45" s="22">
        <v>20005849</v>
      </c>
      <c r="H45" s="21" t="s">
        <v>51</v>
      </c>
      <c r="I45" s="22">
        <v>10</v>
      </c>
      <c r="J45" s="23">
        <v>8</v>
      </c>
      <c r="K45" s="23">
        <v>80</v>
      </c>
    </row>
    <row r="46" spans="4:11">
      <c r="D46" s="20">
        <v>46192</v>
      </c>
      <c r="E46" s="21">
        <v>1613584</v>
      </c>
      <c r="F46" s="21" t="s">
        <v>13</v>
      </c>
      <c r="G46" s="22">
        <v>20008026</v>
      </c>
      <c r="H46" s="21" t="s">
        <v>88</v>
      </c>
      <c r="I46" s="22">
        <v>11</v>
      </c>
      <c r="J46" s="23">
        <v>16.5</v>
      </c>
      <c r="K46" s="23">
        <v>181.5</v>
      </c>
    </row>
    <row r="47" spans="4:11">
      <c r="D47" s="20">
        <v>46192</v>
      </c>
      <c r="E47" s="21">
        <v>1613699</v>
      </c>
      <c r="F47" s="21" t="s">
        <v>19</v>
      </c>
      <c r="G47" s="22">
        <v>20005210</v>
      </c>
      <c r="H47" s="21" t="s">
        <v>85</v>
      </c>
      <c r="I47" s="22">
        <v>2</v>
      </c>
      <c r="J47" s="23">
        <v>49.5</v>
      </c>
      <c r="K47" s="23">
        <v>99</v>
      </c>
    </row>
    <row r="48" spans="4:11">
      <c r="D48" s="20">
        <v>46192</v>
      </c>
      <c r="E48" s="21">
        <v>1613699</v>
      </c>
      <c r="F48" s="21" t="s">
        <v>21</v>
      </c>
      <c r="G48" s="22">
        <v>20005207</v>
      </c>
      <c r="H48" s="21" t="s">
        <v>56</v>
      </c>
      <c r="I48" s="22">
        <v>5</v>
      </c>
      <c r="J48" s="23">
        <v>8</v>
      </c>
      <c r="K48" s="23">
        <v>40</v>
      </c>
    </row>
    <row r="49" spans="4:11">
      <c r="D49" s="20">
        <v>46192</v>
      </c>
      <c r="E49" s="21">
        <v>1613699</v>
      </c>
      <c r="F49" s="21" t="s">
        <v>21</v>
      </c>
      <c r="G49" s="22">
        <v>20005208</v>
      </c>
      <c r="H49" s="21" t="s">
        <v>73</v>
      </c>
      <c r="I49" s="22">
        <v>13</v>
      </c>
      <c r="J49" s="23">
        <v>8</v>
      </c>
      <c r="K49" s="23">
        <v>104</v>
      </c>
    </row>
    <row r="50" spans="4:11">
      <c r="D50" s="20">
        <v>46192</v>
      </c>
      <c r="E50" s="21">
        <v>1613699</v>
      </c>
      <c r="F50" s="21" t="s">
        <v>21</v>
      </c>
      <c r="G50" s="22">
        <v>20013630</v>
      </c>
      <c r="H50" s="21" t="s">
        <v>86</v>
      </c>
      <c r="I50" s="22">
        <v>3</v>
      </c>
      <c r="J50" s="23">
        <v>8</v>
      </c>
      <c r="K50" s="23">
        <v>24</v>
      </c>
    </row>
    <row r="51" spans="4:11">
      <c r="D51" s="20">
        <v>46192</v>
      </c>
      <c r="E51" s="21">
        <v>1613699</v>
      </c>
      <c r="F51" s="21" t="s">
        <v>21</v>
      </c>
      <c r="G51" s="22">
        <v>20407295</v>
      </c>
      <c r="H51" s="21" t="s">
        <v>87</v>
      </c>
      <c r="I51" s="22">
        <v>6</v>
      </c>
      <c r="J51" s="23">
        <v>8</v>
      </c>
      <c r="K51" s="23">
        <v>48</v>
      </c>
    </row>
    <row r="52" spans="4:11">
      <c r="D52" s="20">
        <v>46192</v>
      </c>
      <c r="E52" s="21">
        <v>1613699</v>
      </c>
      <c r="F52" s="21" t="s">
        <v>21</v>
      </c>
      <c r="G52" s="22">
        <v>20314990</v>
      </c>
      <c r="H52" s="21" t="s">
        <v>54</v>
      </c>
      <c r="I52" s="22">
        <v>3</v>
      </c>
      <c r="J52" s="23">
        <v>8</v>
      </c>
      <c r="K52" s="23">
        <v>24</v>
      </c>
    </row>
    <row r="53" spans="4:11">
      <c r="D53" s="20">
        <v>46192</v>
      </c>
      <c r="E53" s="21">
        <v>1613699</v>
      </c>
      <c r="F53" s="21" t="s">
        <v>21</v>
      </c>
      <c r="G53" s="22">
        <v>20005849</v>
      </c>
      <c r="H53" s="21" t="s">
        <v>51</v>
      </c>
      <c r="I53" s="22">
        <v>4</v>
      </c>
      <c r="J53" s="23">
        <v>8</v>
      </c>
      <c r="K53" s="23">
        <v>32</v>
      </c>
    </row>
    <row r="54" spans="4:11">
      <c r="D54" s="20">
        <v>46192</v>
      </c>
      <c r="E54" s="21">
        <v>1613699</v>
      </c>
      <c r="F54" s="21" t="s">
        <v>13</v>
      </c>
      <c r="G54" s="22">
        <v>20008026</v>
      </c>
      <c r="H54" s="21" t="s">
        <v>88</v>
      </c>
      <c r="I54" s="22">
        <v>3</v>
      </c>
      <c r="J54" s="23">
        <v>16.5</v>
      </c>
      <c r="K54" s="23">
        <v>49.5</v>
      </c>
    </row>
    <row r="55" spans="4:11">
      <c r="D55" s="20">
        <v>46195</v>
      </c>
      <c r="E55" s="21">
        <v>1614179</v>
      </c>
      <c r="F55" s="21" t="s">
        <v>19</v>
      </c>
      <c r="G55" s="22">
        <v>20005210</v>
      </c>
      <c r="H55" s="21" t="s">
        <v>85</v>
      </c>
      <c r="I55" s="22">
        <v>1</v>
      </c>
      <c r="J55" s="23">
        <v>49.5</v>
      </c>
      <c r="K55" s="23">
        <v>49.5</v>
      </c>
    </row>
    <row r="56" spans="4:11">
      <c r="D56" s="20">
        <v>46195</v>
      </c>
      <c r="E56" s="21">
        <v>1614179</v>
      </c>
      <c r="F56" s="21" t="s">
        <v>21</v>
      </c>
      <c r="G56" s="22">
        <v>20005207</v>
      </c>
      <c r="H56" s="21" t="s">
        <v>56</v>
      </c>
      <c r="I56" s="22">
        <v>8</v>
      </c>
      <c r="J56" s="23">
        <v>8</v>
      </c>
      <c r="K56" s="23">
        <v>64</v>
      </c>
    </row>
    <row r="57" spans="4:11">
      <c r="D57" s="20">
        <v>46195</v>
      </c>
      <c r="E57" s="21">
        <v>1614179</v>
      </c>
      <c r="F57" s="21" t="s">
        <v>21</v>
      </c>
      <c r="G57" s="22">
        <v>20005208</v>
      </c>
      <c r="H57" s="21" t="s">
        <v>73</v>
      </c>
      <c r="I57" s="22">
        <v>22</v>
      </c>
      <c r="J57" s="23">
        <v>8</v>
      </c>
      <c r="K57" s="23">
        <v>176</v>
      </c>
    </row>
    <row r="58" spans="4:11">
      <c r="D58" s="20">
        <v>46195</v>
      </c>
      <c r="E58" s="21">
        <v>1614179</v>
      </c>
      <c r="F58" s="21" t="s">
        <v>21</v>
      </c>
      <c r="G58" s="22">
        <v>20313590</v>
      </c>
      <c r="H58" s="21" t="s">
        <v>89</v>
      </c>
      <c r="I58" s="22">
        <v>1</v>
      </c>
      <c r="J58" s="23">
        <v>8</v>
      </c>
      <c r="K58" s="23">
        <v>8</v>
      </c>
    </row>
    <row r="59" spans="4:11">
      <c r="D59" s="20">
        <v>46195</v>
      </c>
      <c r="E59" s="21">
        <v>1614179</v>
      </c>
      <c r="F59" s="21" t="s">
        <v>21</v>
      </c>
      <c r="G59" s="22">
        <v>20013630</v>
      </c>
      <c r="H59" s="21" t="s">
        <v>86</v>
      </c>
      <c r="I59" s="22">
        <v>3</v>
      </c>
      <c r="J59" s="23">
        <v>8</v>
      </c>
      <c r="K59" s="23">
        <v>24</v>
      </c>
    </row>
    <row r="60" spans="4:11">
      <c r="D60" s="20">
        <v>46195</v>
      </c>
      <c r="E60" s="21">
        <v>1614179</v>
      </c>
      <c r="F60" s="21" t="s">
        <v>21</v>
      </c>
      <c r="G60" s="22">
        <v>20407295</v>
      </c>
      <c r="H60" s="21" t="s">
        <v>87</v>
      </c>
      <c r="I60" s="22">
        <v>13</v>
      </c>
      <c r="J60" s="23">
        <v>8</v>
      </c>
      <c r="K60" s="23">
        <v>104</v>
      </c>
    </row>
    <row r="61" spans="4:11">
      <c r="D61" s="20">
        <v>46195</v>
      </c>
      <c r="E61" s="21">
        <v>1614179</v>
      </c>
      <c r="F61" s="21" t="s">
        <v>21</v>
      </c>
      <c r="G61" s="22">
        <v>20324084</v>
      </c>
      <c r="H61" s="21" t="s">
        <v>22</v>
      </c>
      <c r="I61" s="22">
        <v>1</v>
      </c>
      <c r="J61" s="23">
        <v>8</v>
      </c>
      <c r="K61" s="23">
        <v>8</v>
      </c>
    </row>
    <row r="62" spans="4:11">
      <c r="D62" s="20">
        <v>46195</v>
      </c>
      <c r="E62" s="21">
        <v>1614179</v>
      </c>
      <c r="F62" s="21" t="s">
        <v>21</v>
      </c>
      <c r="G62" s="22">
        <v>20314990</v>
      </c>
      <c r="H62" s="21" t="s">
        <v>54</v>
      </c>
      <c r="I62" s="22">
        <v>8</v>
      </c>
      <c r="J62" s="23">
        <v>8</v>
      </c>
      <c r="K62" s="23">
        <v>64</v>
      </c>
    </row>
    <row r="63" spans="4:11">
      <c r="D63" s="20">
        <v>46195</v>
      </c>
      <c r="E63" s="21">
        <v>1614179</v>
      </c>
      <c r="F63" s="21" t="s">
        <v>21</v>
      </c>
      <c r="G63" s="22">
        <v>20005849</v>
      </c>
      <c r="H63" s="21" t="s">
        <v>51</v>
      </c>
      <c r="I63" s="22">
        <v>16</v>
      </c>
      <c r="J63" s="23">
        <v>8</v>
      </c>
      <c r="K63" s="23">
        <v>128</v>
      </c>
    </row>
    <row r="64" spans="4:11">
      <c r="D64" s="20">
        <v>46195</v>
      </c>
      <c r="E64" s="21">
        <v>1614179</v>
      </c>
      <c r="F64" s="21" t="s">
        <v>13</v>
      </c>
      <c r="G64" s="22">
        <v>20008026</v>
      </c>
      <c r="H64" s="21" t="s">
        <v>88</v>
      </c>
      <c r="I64" s="22">
        <v>8</v>
      </c>
      <c r="J64" s="23">
        <v>16.5</v>
      </c>
      <c r="K64" s="23">
        <v>132</v>
      </c>
    </row>
    <row r="65" spans="4:11">
      <c r="D65" s="20">
        <v>46196</v>
      </c>
      <c r="E65" s="21">
        <v>1614525</v>
      </c>
      <c r="F65" s="21" t="s">
        <v>19</v>
      </c>
      <c r="G65" s="22">
        <v>20005210</v>
      </c>
      <c r="H65" s="21" t="s">
        <v>85</v>
      </c>
      <c r="I65" s="22">
        <v>3</v>
      </c>
      <c r="J65" s="23">
        <v>49.5</v>
      </c>
      <c r="K65" s="23">
        <v>148.5</v>
      </c>
    </row>
    <row r="66" spans="4:11">
      <c r="D66" s="20">
        <v>46196</v>
      </c>
      <c r="E66" s="21">
        <v>1614525</v>
      </c>
      <c r="F66" s="21" t="s">
        <v>21</v>
      </c>
      <c r="G66" s="22">
        <v>20005207</v>
      </c>
      <c r="H66" s="21" t="s">
        <v>56</v>
      </c>
      <c r="I66" s="22">
        <v>9</v>
      </c>
      <c r="J66" s="23">
        <v>8</v>
      </c>
      <c r="K66" s="23">
        <v>72</v>
      </c>
    </row>
    <row r="67" spans="4:11">
      <c r="D67" s="20">
        <v>46196</v>
      </c>
      <c r="E67" s="21">
        <v>1614525</v>
      </c>
      <c r="F67" s="21" t="s">
        <v>21</v>
      </c>
      <c r="G67" s="22">
        <v>20005208</v>
      </c>
      <c r="H67" s="21" t="s">
        <v>73</v>
      </c>
      <c r="I67" s="22">
        <v>38</v>
      </c>
      <c r="J67" s="23">
        <v>8</v>
      </c>
      <c r="K67" s="23">
        <v>304</v>
      </c>
    </row>
    <row r="68" spans="4:11">
      <c r="D68" s="20">
        <v>46196</v>
      </c>
      <c r="E68" s="21">
        <v>1614525</v>
      </c>
      <c r="F68" s="21" t="s">
        <v>21</v>
      </c>
      <c r="G68" s="22">
        <v>20313590</v>
      </c>
      <c r="H68" s="21" t="s">
        <v>89</v>
      </c>
      <c r="I68" s="22">
        <v>2</v>
      </c>
      <c r="J68" s="23">
        <v>8</v>
      </c>
      <c r="K68" s="23">
        <v>16</v>
      </c>
    </row>
    <row r="69" spans="4:11">
      <c r="D69" s="20">
        <v>46196</v>
      </c>
      <c r="E69" s="21">
        <v>1614525</v>
      </c>
      <c r="F69" s="21" t="s">
        <v>21</v>
      </c>
      <c r="G69" s="22">
        <v>20013630</v>
      </c>
      <c r="H69" s="21" t="s">
        <v>86</v>
      </c>
      <c r="I69" s="22">
        <v>4</v>
      </c>
      <c r="J69" s="23">
        <v>8</v>
      </c>
      <c r="K69" s="23">
        <v>32</v>
      </c>
    </row>
    <row r="70" spans="4:11">
      <c r="D70" s="20">
        <v>46196</v>
      </c>
      <c r="E70" s="21">
        <v>1614525</v>
      </c>
      <c r="F70" s="21" t="s">
        <v>21</v>
      </c>
      <c r="G70" s="22">
        <v>20407295</v>
      </c>
      <c r="H70" s="21" t="s">
        <v>87</v>
      </c>
      <c r="I70" s="22">
        <v>23</v>
      </c>
      <c r="J70" s="23">
        <v>8</v>
      </c>
      <c r="K70" s="23">
        <v>184</v>
      </c>
    </row>
    <row r="71" spans="4:11">
      <c r="D71" s="20">
        <v>46196</v>
      </c>
      <c r="E71" s="21">
        <v>1614525</v>
      </c>
      <c r="F71" s="21" t="s">
        <v>21</v>
      </c>
      <c r="G71" s="22">
        <v>20324084</v>
      </c>
      <c r="H71" s="21" t="s">
        <v>22</v>
      </c>
      <c r="I71" s="22">
        <v>1</v>
      </c>
      <c r="J71" s="23">
        <v>8</v>
      </c>
      <c r="K71" s="23">
        <v>8</v>
      </c>
    </row>
    <row r="72" spans="4:11">
      <c r="D72" s="20">
        <v>46196</v>
      </c>
      <c r="E72" s="21">
        <v>1614525</v>
      </c>
      <c r="F72" s="21" t="s">
        <v>21</v>
      </c>
      <c r="G72" s="22">
        <v>20314990</v>
      </c>
      <c r="H72" s="21" t="s">
        <v>54</v>
      </c>
      <c r="I72" s="22">
        <v>7</v>
      </c>
      <c r="J72" s="23">
        <v>8</v>
      </c>
      <c r="K72" s="23">
        <v>56</v>
      </c>
    </row>
    <row r="73" spans="4:11">
      <c r="D73" s="20">
        <v>46196</v>
      </c>
      <c r="E73" s="21">
        <v>1614525</v>
      </c>
      <c r="F73" s="21" t="s">
        <v>21</v>
      </c>
      <c r="G73" s="22">
        <v>20005849</v>
      </c>
      <c r="H73" s="21" t="s">
        <v>51</v>
      </c>
      <c r="I73" s="22">
        <v>9</v>
      </c>
      <c r="J73" s="23">
        <v>8</v>
      </c>
      <c r="K73" s="23">
        <v>72</v>
      </c>
    </row>
    <row r="74" spans="4:11">
      <c r="D74" s="20">
        <v>46196</v>
      </c>
      <c r="E74" s="21">
        <v>1614525</v>
      </c>
      <c r="F74" s="21" t="s">
        <v>13</v>
      </c>
      <c r="G74" s="22">
        <v>20008026</v>
      </c>
      <c r="H74" s="21" t="s">
        <v>88</v>
      </c>
      <c r="I74" s="22">
        <v>14</v>
      </c>
      <c r="J74" s="23">
        <v>16.5</v>
      </c>
      <c r="K74" s="23">
        <v>231</v>
      </c>
    </row>
    <row r="75" spans="4:11">
      <c r="D75" s="20">
        <v>46197</v>
      </c>
      <c r="E75" s="21">
        <v>1614913</v>
      </c>
      <c r="F75" s="21" t="s">
        <v>19</v>
      </c>
      <c r="G75" s="22">
        <v>20005210</v>
      </c>
      <c r="H75" s="21" t="s">
        <v>85</v>
      </c>
      <c r="I75" s="22">
        <v>1</v>
      </c>
      <c r="J75" s="23">
        <v>49.5</v>
      </c>
      <c r="K75" s="23">
        <v>49.5</v>
      </c>
    </row>
    <row r="76" spans="4:11">
      <c r="D76" s="20">
        <v>46197</v>
      </c>
      <c r="E76" s="21">
        <v>1614913</v>
      </c>
      <c r="F76" s="21" t="s">
        <v>21</v>
      </c>
      <c r="G76" s="22">
        <v>20005207</v>
      </c>
      <c r="H76" s="21" t="s">
        <v>56</v>
      </c>
      <c r="I76" s="22">
        <v>11</v>
      </c>
      <c r="J76" s="23">
        <v>8</v>
      </c>
      <c r="K76" s="23">
        <v>88</v>
      </c>
    </row>
    <row r="77" spans="4:11">
      <c r="D77" s="20">
        <v>46197</v>
      </c>
      <c r="E77" s="21">
        <v>1614913</v>
      </c>
      <c r="F77" s="21" t="s">
        <v>21</v>
      </c>
      <c r="G77" s="22">
        <v>20005208</v>
      </c>
      <c r="H77" s="21" t="s">
        <v>73</v>
      </c>
      <c r="I77" s="22">
        <v>38</v>
      </c>
      <c r="J77" s="23">
        <v>8</v>
      </c>
      <c r="K77" s="23">
        <v>304</v>
      </c>
    </row>
    <row r="78" spans="4:11">
      <c r="D78" s="20">
        <v>46197</v>
      </c>
      <c r="E78" s="21">
        <v>1614913</v>
      </c>
      <c r="F78" s="21" t="s">
        <v>21</v>
      </c>
      <c r="G78" s="22">
        <v>20407295</v>
      </c>
      <c r="H78" s="21" t="s">
        <v>87</v>
      </c>
      <c r="I78" s="22">
        <v>24</v>
      </c>
      <c r="J78" s="23">
        <v>8</v>
      </c>
      <c r="K78" s="23">
        <v>192</v>
      </c>
    </row>
    <row r="79" spans="4:11">
      <c r="D79" s="20">
        <v>46197</v>
      </c>
      <c r="E79" s="21">
        <v>1614913</v>
      </c>
      <c r="F79" s="21" t="s">
        <v>21</v>
      </c>
      <c r="G79" s="22">
        <v>20314990</v>
      </c>
      <c r="H79" s="21" t="s">
        <v>54</v>
      </c>
      <c r="I79" s="22">
        <v>6</v>
      </c>
      <c r="J79" s="23">
        <v>8</v>
      </c>
      <c r="K79" s="23">
        <v>48</v>
      </c>
    </row>
    <row r="80" spans="4:11">
      <c r="D80" s="20">
        <v>46197</v>
      </c>
      <c r="E80" s="21">
        <v>1614913</v>
      </c>
      <c r="F80" s="21" t="s">
        <v>21</v>
      </c>
      <c r="G80" s="22">
        <v>20005849</v>
      </c>
      <c r="H80" s="21" t="s">
        <v>51</v>
      </c>
      <c r="I80" s="22">
        <v>18</v>
      </c>
      <c r="J80" s="23">
        <v>8</v>
      </c>
      <c r="K80" s="23">
        <v>144</v>
      </c>
    </row>
    <row r="81" spans="4:11">
      <c r="D81" s="20">
        <v>46197</v>
      </c>
      <c r="E81" s="21">
        <v>1614913</v>
      </c>
      <c r="F81" s="21" t="s">
        <v>13</v>
      </c>
      <c r="G81" s="22">
        <v>20008026</v>
      </c>
      <c r="H81" s="21" t="s">
        <v>88</v>
      </c>
      <c r="I81" s="22">
        <v>15</v>
      </c>
      <c r="J81" s="23">
        <v>16.5</v>
      </c>
      <c r="K81" s="23">
        <v>247.5</v>
      </c>
    </row>
    <row r="82" spans="4:11">
      <c r="D82" s="20">
        <v>46198</v>
      </c>
      <c r="E82" s="21">
        <v>1614935</v>
      </c>
      <c r="F82" s="21" t="s">
        <v>21</v>
      </c>
      <c r="G82" s="22">
        <v>20013630</v>
      </c>
      <c r="H82" s="21" t="s">
        <v>86</v>
      </c>
      <c r="I82" s="22">
        <v>8</v>
      </c>
      <c r="J82" s="23">
        <v>8</v>
      </c>
      <c r="K82" s="23">
        <v>64</v>
      </c>
    </row>
    <row r="83" spans="4:11">
      <c r="D83" s="20">
        <v>46198</v>
      </c>
      <c r="E83" s="21">
        <v>1614935</v>
      </c>
      <c r="F83" s="21" t="s">
        <v>13</v>
      </c>
      <c r="G83" s="22">
        <v>20008026</v>
      </c>
      <c r="H83" s="21" t="s">
        <v>88</v>
      </c>
      <c r="I83" s="22">
        <v>1</v>
      </c>
      <c r="J83" s="23">
        <v>16.5</v>
      </c>
      <c r="K83" s="23">
        <v>16.5</v>
      </c>
    </row>
    <row r="84" spans="4:11">
      <c r="D84" s="20">
        <v>46198</v>
      </c>
      <c r="E84" s="21">
        <v>1615217</v>
      </c>
      <c r="F84" s="21" t="s">
        <v>16</v>
      </c>
      <c r="G84" s="22">
        <v>20302879</v>
      </c>
      <c r="H84" s="21" t="s">
        <v>84</v>
      </c>
      <c r="I84" s="22">
        <v>1</v>
      </c>
      <c r="J84" s="23">
        <v>4</v>
      </c>
      <c r="K84" s="23">
        <v>4</v>
      </c>
    </row>
    <row r="85" spans="4:11">
      <c r="D85" s="20">
        <v>46198</v>
      </c>
      <c r="E85" s="21">
        <v>1615277</v>
      </c>
      <c r="F85" s="21" t="s">
        <v>19</v>
      </c>
      <c r="G85" s="22">
        <v>20005210</v>
      </c>
      <c r="H85" s="21" t="s">
        <v>85</v>
      </c>
      <c r="I85" s="22">
        <v>3</v>
      </c>
      <c r="J85" s="23">
        <v>49.5</v>
      </c>
      <c r="K85" s="23">
        <v>148.5</v>
      </c>
    </row>
    <row r="86" spans="4:11">
      <c r="D86" s="20">
        <v>46198</v>
      </c>
      <c r="E86" s="21">
        <v>1615277</v>
      </c>
      <c r="F86" s="21" t="s">
        <v>21</v>
      </c>
      <c r="G86" s="22">
        <v>20005207</v>
      </c>
      <c r="H86" s="21" t="s">
        <v>56</v>
      </c>
      <c r="I86" s="22">
        <v>7</v>
      </c>
      <c r="J86" s="23">
        <v>8</v>
      </c>
      <c r="K86" s="23">
        <v>56</v>
      </c>
    </row>
    <row r="87" spans="4:11">
      <c r="D87" s="20">
        <v>46198</v>
      </c>
      <c r="E87" s="21">
        <v>1615277</v>
      </c>
      <c r="F87" s="21" t="s">
        <v>21</v>
      </c>
      <c r="G87" s="22">
        <v>20005208</v>
      </c>
      <c r="H87" s="21" t="s">
        <v>73</v>
      </c>
      <c r="I87" s="22">
        <v>42</v>
      </c>
      <c r="J87" s="23">
        <v>8</v>
      </c>
      <c r="K87" s="23">
        <v>336</v>
      </c>
    </row>
    <row r="88" spans="4:11">
      <c r="D88" s="20">
        <v>46198</v>
      </c>
      <c r="E88" s="21">
        <v>1615277</v>
      </c>
      <c r="F88" s="21" t="s">
        <v>21</v>
      </c>
      <c r="G88" s="22">
        <v>20313590</v>
      </c>
      <c r="H88" s="21" t="s">
        <v>89</v>
      </c>
      <c r="I88" s="22">
        <v>3</v>
      </c>
      <c r="J88" s="23">
        <v>8</v>
      </c>
      <c r="K88" s="23">
        <v>24</v>
      </c>
    </row>
    <row r="89" spans="4:11">
      <c r="D89" s="20">
        <v>46198</v>
      </c>
      <c r="E89" s="21">
        <v>1615277</v>
      </c>
      <c r="F89" s="21" t="s">
        <v>21</v>
      </c>
      <c r="G89" s="22">
        <v>20013630</v>
      </c>
      <c r="H89" s="21" t="s">
        <v>86</v>
      </c>
      <c r="I89" s="22">
        <v>4</v>
      </c>
      <c r="J89" s="23">
        <v>8</v>
      </c>
      <c r="K89" s="23">
        <v>32</v>
      </c>
    </row>
    <row r="90" spans="4:11">
      <c r="D90" s="20">
        <v>46198</v>
      </c>
      <c r="E90" s="21">
        <v>1615277</v>
      </c>
      <c r="F90" s="21" t="s">
        <v>21</v>
      </c>
      <c r="G90" s="22">
        <v>20407295</v>
      </c>
      <c r="H90" s="21" t="s">
        <v>87</v>
      </c>
      <c r="I90" s="22">
        <v>25</v>
      </c>
      <c r="J90" s="23">
        <v>8</v>
      </c>
      <c r="K90" s="23">
        <v>200</v>
      </c>
    </row>
    <row r="91" spans="4:11">
      <c r="D91" s="20">
        <v>46198</v>
      </c>
      <c r="E91" s="21">
        <v>1615277</v>
      </c>
      <c r="F91" s="21" t="s">
        <v>21</v>
      </c>
      <c r="G91" s="22">
        <v>20324084</v>
      </c>
      <c r="H91" s="21" t="s">
        <v>22</v>
      </c>
      <c r="I91" s="22">
        <v>2</v>
      </c>
      <c r="J91" s="23">
        <v>8</v>
      </c>
      <c r="K91" s="23">
        <v>16</v>
      </c>
    </row>
    <row r="92" spans="4:11">
      <c r="D92" s="20">
        <v>46198</v>
      </c>
      <c r="E92" s="21">
        <v>1615277</v>
      </c>
      <c r="F92" s="21" t="s">
        <v>21</v>
      </c>
      <c r="G92" s="22">
        <v>20321305</v>
      </c>
      <c r="H92" s="21" t="s">
        <v>90</v>
      </c>
      <c r="I92" s="22">
        <v>1</v>
      </c>
      <c r="J92" s="23">
        <v>8</v>
      </c>
      <c r="K92" s="23">
        <v>8</v>
      </c>
    </row>
    <row r="93" spans="4:11">
      <c r="D93" s="20">
        <v>46198</v>
      </c>
      <c r="E93" s="21">
        <v>1615277</v>
      </c>
      <c r="F93" s="21" t="s">
        <v>21</v>
      </c>
      <c r="G93" s="22">
        <v>20302876</v>
      </c>
      <c r="H93" s="21" t="s">
        <v>91</v>
      </c>
      <c r="I93" s="22">
        <v>1</v>
      </c>
      <c r="J93" s="23">
        <v>16</v>
      </c>
      <c r="K93" s="23">
        <v>16</v>
      </c>
    </row>
    <row r="94" spans="4:11">
      <c r="D94" s="20">
        <v>46198</v>
      </c>
      <c r="E94" s="21">
        <v>1615277</v>
      </c>
      <c r="F94" s="21" t="s">
        <v>21</v>
      </c>
      <c r="G94" s="22">
        <v>20303839</v>
      </c>
      <c r="H94" s="21" t="s">
        <v>30</v>
      </c>
      <c r="I94" s="22">
        <v>100</v>
      </c>
      <c r="J94" s="23">
        <v>8</v>
      </c>
      <c r="K94" s="23">
        <v>800</v>
      </c>
    </row>
    <row r="95" spans="4:11">
      <c r="D95" s="20">
        <v>46198</v>
      </c>
      <c r="E95" s="21">
        <v>1615277</v>
      </c>
      <c r="F95" s="21" t="s">
        <v>21</v>
      </c>
      <c r="G95" s="22">
        <v>20314990</v>
      </c>
      <c r="H95" s="21" t="s">
        <v>54</v>
      </c>
      <c r="I95" s="22">
        <v>9</v>
      </c>
      <c r="J95" s="23">
        <v>8</v>
      </c>
      <c r="K95" s="23">
        <v>72</v>
      </c>
    </row>
    <row r="96" spans="4:11">
      <c r="D96" s="20">
        <v>46198</v>
      </c>
      <c r="E96" s="21">
        <v>1615277</v>
      </c>
      <c r="F96" s="21" t="s">
        <v>21</v>
      </c>
      <c r="G96" s="22">
        <v>20005849</v>
      </c>
      <c r="H96" s="21" t="s">
        <v>51</v>
      </c>
      <c r="I96" s="22">
        <v>14</v>
      </c>
      <c r="J96" s="23">
        <v>8</v>
      </c>
      <c r="K96" s="23">
        <v>112</v>
      </c>
    </row>
    <row r="97" spans="4:11">
      <c r="D97" s="20">
        <v>46198</v>
      </c>
      <c r="E97" s="21">
        <v>1615277</v>
      </c>
      <c r="F97" s="21" t="s">
        <v>13</v>
      </c>
      <c r="G97" s="22">
        <v>20008026</v>
      </c>
      <c r="H97" s="21" t="s">
        <v>88</v>
      </c>
      <c r="I97" s="22">
        <v>16</v>
      </c>
      <c r="J97" s="23">
        <v>16.5</v>
      </c>
      <c r="K97" s="23">
        <v>264</v>
      </c>
    </row>
    <row r="98" spans="4:11">
      <c r="D98" s="20">
        <v>46199</v>
      </c>
      <c r="E98" s="21">
        <v>1615570</v>
      </c>
      <c r="F98" s="21" t="s">
        <v>19</v>
      </c>
      <c r="G98" s="22">
        <v>20005210</v>
      </c>
      <c r="H98" s="21" t="s">
        <v>85</v>
      </c>
      <c r="I98" s="22">
        <v>3</v>
      </c>
      <c r="J98" s="23">
        <v>49.5</v>
      </c>
      <c r="K98" s="23">
        <v>148.5</v>
      </c>
    </row>
    <row r="99" spans="4:11">
      <c r="D99" s="20">
        <v>46199</v>
      </c>
      <c r="E99" s="21">
        <v>1615570</v>
      </c>
      <c r="F99" s="21" t="s">
        <v>21</v>
      </c>
      <c r="G99" s="22">
        <v>20005207</v>
      </c>
      <c r="H99" s="21" t="s">
        <v>56</v>
      </c>
      <c r="I99" s="22">
        <v>7</v>
      </c>
      <c r="J99" s="23">
        <v>8</v>
      </c>
      <c r="K99" s="23">
        <v>56</v>
      </c>
    </row>
    <row r="100" spans="4:11">
      <c r="D100" s="20">
        <v>46199</v>
      </c>
      <c r="E100" s="21">
        <v>1615570</v>
      </c>
      <c r="F100" s="21" t="s">
        <v>21</v>
      </c>
      <c r="G100" s="22">
        <v>20005208</v>
      </c>
      <c r="H100" s="21" t="s">
        <v>73</v>
      </c>
      <c r="I100" s="22">
        <v>22</v>
      </c>
      <c r="J100" s="23">
        <v>8</v>
      </c>
      <c r="K100" s="23">
        <v>176</v>
      </c>
    </row>
    <row r="101" spans="4:11">
      <c r="D101" s="20">
        <v>46199</v>
      </c>
      <c r="E101" s="21">
        <v>1615570</v>
      </c>
      <c r="F101" s="21" t="s">
        <v>21</v>
      </c>
      <c r="G101" s="22">
        <v>20013630</v>
      </c>
      <c r="H101" s="21" t="s">
        <v>86</v>
      </c>
      <c r="I101" s="22">
        <v>4</v>
      </c>
      <c r="J101" s="23">
        <v>8</v>
      </c>
      <c r="K101" s="23">
        <v>32</v>
      </c>
    </row>
    <row r="102" spans="4:11">
      <c r="D102" s="20">
        <v>46199</v>
      </c>
      <c r="E102" s="21">
        <v>1615570</v>
      </c>
      <c r="F102" s="21" t="s">
        <v>21</v>
      </c>
      <c r="G102" s="22">
        <v>20407295</v>
      </c>
      <c r="H102" s="21" t="s">
        <v>87</v>
      </c>
      <c r="I102" s="22">
        <v>22</v>
      </c>
      <c r="J102" s="23">
        <v>8</v>
      </c>
      <c r="K102" s="23">
        <v>176</v>
      </c>
    </row>
    <row r="103" spans="4:11">
      <c r="D103" s="20">
        <v>46199</v>
      </c>
      <c r="E103" s="21">
        <v>1615570</v>
      </c>
      <c r="F103" s="21" t="s">
        <v>21</v>
      </c>
      <c r="G103" s="22">
        <v>20321305</v>
      </c>
      <c r="H103" s="21" t="s">
        <v>90</v>
      </c>
      <c r="I103" s="22">
        <v>2</v>
      </c>
      <c r="J103" s="23">
        <v>8</v>
      </c>
      <c r="K103" s="23">
        <v>16</v>
      </c>
    </row>
    <row r="104" spans="4:11">
      <c r="D104" s="20">
        <v>46199</v>
      </c>
      <c r="E104" s="21">
        <v>1615570</v>
      </c>
      <c r="F104" s="21" t="s">
        <v>21</v>
      </c>
      <c r="G104" s="22">
        <v>20314990</v>
      </c>
      <c r="H104" s="21" t="s">
        <v>54</v>
      </c>
      <c r="I104" s="22">
        <v>7</v>
      </c>
      <c r="J104" s="23">
        <v>8</v>
      </c>
      <c r="K104" s="23">
        <v>56</v>
      </c>
    </row>
    <row r="105" spans="4:11">
      <c r="D105" s="20">
        <v>46199</v>
      </c>
      <c r="E105" s="21">
        <v>1615570</v>
      </c>
      <c r="F105" s="21" t="s">
        <v>21</v>
      </c>
      <c r="G105" s="22">
        <v>20005849</v>
      </c>
      <c r="H105" s="21" t="s">
        <v>51</v>
      </c>
      <c r="I105" s="22">
        <v>11</v>
      </c>
      <c r="J105" s="23">
        <v>8</v>
      </c>
      <c r="K105" s="23">
        <v>88</v>
      </c>
    </row>
    <row r="106" spans="4:11">
      <c r="D106" s="20">
        <v>46199</v>
      </c>
      <c r="E106" s="21">
        <v>1615570</v>
      </c>
      <c r="F106" s="21" t="s">
        <v>13</v>
      </c>
      <c r="G106" s="22">
        <v>20008026</v>
      </c>
      <c r="H106" s="21" t="s">
        <v>88</v>
      </c>
      <c r="I106" s="22">
        <v>4</v>
      </c>
      <c r="J106" s="23">
        <v>16.5</v>
      </c>
      <c r="K106" s="23">
        <v>66</v>
      </c>
    </row>
    <row r="107" spans="4:11">
      <c r="D107" s="20">
        <v>46200</v>
      </c>
      <c r="E107" s="21">
        <v>1615730</v>
      </c>
      <c r="F107" s="21" t="s">
        <v>19</v>
      </c>
      <c r="G107" s="22">
        <v>20005210</v>
      </c>
      <c r="H107" s="21" t="s">
        <v>85</v>
      </c>
      <c r="I107" s="22">
        <v>3</v>
      </c>
      <c r="J107" s="23">
        <v>49.5</v>
      </c>
      <c r="K107" s="23">
        <v>148.5</v>
      </c>
    </row>
    <row r="108" spans="4:11">
      <c r="D108" s="20">
        <v>46200</v>
      </c>
      <c r="E108" s="21">
        <v>1615730</v>
      </c>
      <c r="F108" s="21" t="s">
        <v>21</v>
      </c>
      <c r="G108" s="22">
        <v>20005207</v>
      </c>
      <c r="H108" s="21" t="s">
        <v>56</v>
      </c>
      <c r="I108" s="22">
        <v>1</v>
      </c>
      <c r="J108" s="23">
        <v>8</v>
      </c>
      <c r="K108" s="23">
        <v>8</v>
      </c>
    </row>
    <row r="109" spans="4:11">
      <c r="D109" s="20">
        <v>46200</v>
      </c>
      <c r="E109" s="21">
        <v>1615730</v>
      </c>
      <c r="F109" s="21" t="s">
        <v>21</v>
      </c>
      <c r="G109" s="22">
        <v>20005208</v>
      </c>
      <c r="H109" s="21" t="s">
        <v>73</v>
      </c>
      <c r="I109" s="22">
        <v>14</v>
      </c>
      <c r="J109" s="23">
        <v>8</v>
      </c>
      <c r="K109" s="23">
        <v>112</v>
      </c>
    </row>
    <row r="110" spans="4:11">
      <c r="D110" s="20">
        <v>46200</v>
      </c>
      <c r="E110" s="21">
        <v>1615730</v>
      </c>
      <c r="F110" s="21" t="s">
        <v>21</v>
      </c>
      <c r="G110" s="22">
        <v>20313590</v>
      </c>
      <c r="H110" s="21" t="s">
        <v>89</v>
      </c>
      <c r="I110" s="22">
        <v>1</v>
      </c>
      <c r="J110" s="23">
        <v>8</v>
      </c>
      <c r="K110" s="23">
        <v>8</v>
      </c>
    </row>
    <row r="111" spans="4:11">
      <c r="D111" s="20">
        <v>46200</v>
      </c>
      <c r="E111" s="21">
        <v>1615730</v>
      </c>
      <c r="F111" s="21" t="s">
        <v>21</v>
      </c>
      <c r="G111" s="22">
        <v>20013630</v>
      </c>
      <c r="H111" s="21" t="s">
        <v>86</v>
      </c>
      <c r="I111" s="22">
        <v>2</v>
      </c>
      <c r="J111" s="23">
        <v>8</v>
      </c>
      <c r="K111" s="23">
        <v>16</v>
      </c>
    </row>
    <row r="112" spans="4:11">
      <c r="D112" s="20">
        <v>46200</v>
      </c>
      <c r="E112" s="21">
        <v>1615730</v>
      </c>
      <c r="F112" s="21" t="s">
        <v>21</v>
      </c>
      <c r="G112" s="22">
        <v>20407295</v>
      </c>
      <c r="H112" s="21" t="s">
        <v>87</v>
      </c>
      <c r="I112" s="22">
        <v>7</v>
      </c>
      <c r="J112" s="23">
        <v>8</v>
      </c>
      <c r="K112" s="23">
        <v>56</v>
      </c>
    </row>
    <row r="113" spans="4:11">
      <c r="D113" s="20">
        <v>46200</v>
      </c>
      <c r="E113" s="21">
        <v>1615730</v>
      </c>
      <c r="F113" s="21" t="s">
        <v>21</v>
      </c>
      <c r="G113" s="22">
        <v>20321305</v>
      </c>
      <c r="H113" s="21" t="s">
        <v>90</v>
      </c>
      <c r="I113" s="22">
        <v>2</v>
      </c>
      <c r="J113" s="23">
        <v>8</v>
      </c>
      <c r="K113" s="23">
        <v>16</v>
      </c>
    </row>
    <row r="114" spans="4:11">
      <c r="D114" s="20">
        <v>46200</v>
      </c>
      <c r="E114" s="21">
        <v>1615730</v>
      </c>
      <c r="F114" s="21" t="s">
        <v>21</v>
      </c>
      <c r="G114" s="22">
        <v>20302876</v>
      </c>
      <c r="H114" s="21" t="s">
        <v>91</v>
      </c>
      <c r="I114" s="22">
        <v>1</v>
      </c>
      <c r="J114" s="23">
        <v>16</v>
      </c>
      <c r="K114" s="23">
        <v>16</v>
      </c>
    </row>
    <row r="115" spans="4:11">
      <c r="D115" s="20">
        <v>46200</v>
      </c>
      <c r="E115" s="21">
        <v>1615730</v>
      </c>
      <c r="F115" s="21" t="s">
        <v>21</v>
      </c>
      <c r="G115" s="22">
        <v>20314990</v>
      </c>
      <c r="H115" s="21" t="s">
        <v>54</v>
      </c>
      <c r="I115" s="22">
        <v>2</v>
      </c>
      <c r="J115" s="23">
        <v>8</v>
      </c>
      <c r="K115" s="23">
        <v>16</v>
      </c>
    </row>
    <row r="116" spans="4:11">
      <c r="D116" s="20">
        <v>46200</v>
      </c>
      <c r="E116" s="21">
        <v>1615730</v>
      </c>
      <c r="F116" s="21" t="s">
        <v>21</v>
      </c>
      <c r="G116" s="22">
        <v>20005849</v>
      </c>
      <c r="H116" s="21" t="s">
        <v>51</v>
      </c>
      <c r="I116" s="22">
        <v>2</v>
      </c>
      <c r="J116" s="23">
        <v>8</v>
      </c>
      <c r="K116" s="23">
        <v>16</v>
      </c>
    </row>
    <row r="117" spans="4:11">
      <c r="D117" s="20">
        <v>46200</v>
      </c>
      <c r="E117" s="21">
        <v>1615730</v>
      </c>
      <c r="F117" s="21" t="s">
        <v>13</v>
      </c>
      <c r="G117" s="22">
        <v>20008026</v>
      </c>
      <c r="H117" s="21" t="s">
        <v>88</v>
      </c>
      <c r="I117" s="22">
        <v>7</v>
      </c>
      <c r="J117" s="23">
        <v>16.5</v>
      </c>
      <c r="K117" s="23">
        <v>115.5</v>
      </c>
    </row>
    <row r="118" spans="4:11">
      <c r="D118" s="20">
        <v>46202</v>
      </c>
      <c r="E118" s="21">
        <v>1616101</v>
      </c>
      <c r="F118" s="21" t="s">
        <v>19</v>
      </c>
      <c r="G118" s="22">
        <v>20005210</v>
      </c>
      <c r="H118" s="21" t="s">
        <v>85</v>
      </c>
      <c r="I118" s="22">
        <v>1</v>
      </c>
      <c r="J118" s="23">
        <v>49.5</v>
      </c>
      <c r="K118" s="23">
        <v>49.5</v>
      </c>
    </row>
    <row r="119" spans="4:11">
      <c r="D119" s="20">
        <v>46202</v>
      </c>
      <c r="E119" s="21">
        <v>1616101</v>
      </c>
      <c r="F119" s="21" t="s">
        <v>21</v>
      </c>
      <c r="G119" s="22">
        <v>20005207</v>
      </c>
      <c r="H119" s="21" t="s">
        <v>56</v>
      </c>
      <c r="I119" s="22">
        <v>9</v>
      </c>
      <c r="J119" s="23">
        <v>8</v>
      </c>
      <c r="K119" s="23">
        <v>72</v>
      </c>
    </row>
    <row r="120" spans="4:11">
      <c r="D120" s="20">
        <v>46202</v>
      </c>
      <c r="E120" s="21">
        <v>1616101</v>
      </c>
      <c r="F120" s="21" t="s">
        <v>21</v>
      </c>
      <c r="G120" s="22">
        <v>20005208</v>
      </c>
      <c r="H120" s="21" t="s">
        <v>73</v>
      </c>
      <c r="I120" s="22">
        <v>26</v>
      </c>
      <c r="J120" s="23">
        <v>8</v>
      </c>
      <c r="K120" s="23">
        <v>208</v>
      </c>
    </row>
    <row r="121" spans="4:11">
      <c r="D121" s="20">
        <v>46202</v>
      </c>
      <c r="E121" s="21">
        <v>1616101</v>
      </c>
      <c r="F121" s="21" t="s">
        <v>21</v>
      </c>
      <c r="G121" s="22">
        <v>20013630</v>
      </c>
      <c r="H121" s="21" t="s">
        <v>86</v>
      </c>
      <c r="I121" s="22">
        <v>7</v>
      </c>
      <c r="J121" s="23">
        <v>8</v>
      </c>
      <c r="K121" s="23">
        <v>56</v>
      </c>
    </row>
    <row r="122" spans="4:11">
      <c r="D122" s="20">
        <v>46202</v>
      </c>
      <c r="E122" s="21">
        <v>1616101</v>
      </c>
      <c r="F122" s="21" t="s">
        <v>21</v>
      </c>
      <c r="G122" s="22">
        <v>20407295</v>
      </c>
      <c r="H122" s="21" t="s">
        <v>87</v>
      </c>
      <c r="I122" s="22">
        <v>20</v>
      </c>
      <c r="J122" s="23">
        <v>8</v>
      </c>
      <c r="K122" s="23">
        <v>160</v>
      </c>
    </row>
    <row r="123" spans="4:11">
      <c r="D123" s="20">
        <v>46202</v>
      </c>
      <c r="E123" s="21">
        <v>1616101</v>
      </c>
      <c r="F123" s="21" t="s">
        <v>21</v>
      </c>
      <c r="G123" s="22">
        <v>20324084</v>
      </c>
      <c r="H123" s="21" t="s">
        <v>22</v>
      </c>
      <c r="I123" s="22">
        <v>2</v>
      </c>
      <c r="J123" s="23">
        <v>8</v>
      </c>
      <c r="K123" s="23">
        <v>16</v>
      </c>
    </row>
    <row r="124" spans="4:11">
      <c r="D124" s="20">
        <v>46202</v>
      </c>
      <c r="E124" s="21">
        <v>1616101</v>
      </c>
      <c r="F124" s="21" t="s">
        <v>21</v>
      </c>
      <c r="G124" s="22">
        <v>20321305</v>
      </c>
      <c r="H124" s="21" t="s">
        <v>90</v>
      </c>
      <c r="I124" s="22">
        <v>1</v>
      </c>
      <c r="J124" s="23">
        <v>8</v>
      </c>
      <c r="K124" s="23">
        <v>8</v>
      </c>
    </row>
    <row r="125" spans="4:11">
      <c r="D125" s="20">
        <v>46202</v>
      </c>
      <c r="E125" s="21">
        <v>1616101</v>
      </c>
      <c r="F125" s="21" t="s">
        <v>21</v>
      </c>
      <c r="G125" s="22">
        <v>20314990</v>
      </c>
      <c r="H125" s="21" t="s">
        <v>54</v>
      </c>
      <c r="I125" s="22">
        <v>5</v>
      </c>
      <c r="J125" s="23">
        <v>8</v>
      </c>
      <c r="K125" s="23">
        <v>40</v>
      </c>
    </row>
    <row r="126" spans="4:11">
      <c r="D126" s="20">
        <v>46202</v>
      </c>
      <c r="E126" s="21">
        <v>1616101</v>
      </c>
      <c r="F126" s="21" t="s">
        <v>21</v>
      </c>
      <c r="G126" s="22">
        <v>20005849</v>
      </c>
      <c r="H126" s="21" t="s">
        <v>51</v>
      </c>
      <c r="I126" s="22">
        <v>18</v>
      </c>
      <c r="J126" s="23">
        <v>8</v>
      </c>
      <c r="K126" s="23">
        <v>144</v>
      </c>
    </row>
    <row r="127" spans="4:11">
      <c r="D127" s="20">
        <v>46202</v>
      </c>
      <c r="E127" s="21">
        <v>1616101</v>
      </c>
      <c r="F127" s="21" t="s">
        <v>13</v>
      </c>
      <c r="G127" s="22">
        <v>20008026</v>
      </c>
      <c r="H127" s="21" t="s">
        <v>88</v>
      </c>
      <c r="I127" s="22">
        <v>4</v>
      </c>
      <c r="J127" s="23">
        <v>16.5</v>
      </c>
      <c r="K127" s="23">
        <v>66</v>
      </c>
    </row>
    <row r="128" spans="4:11">
      <c r="D128" s="20">
        <v>46202</v>
      </c>
      <c r="E128" s="21">
        <v>1616101</v>
      </c>
      <c r="F128" s="21" t="s">
        <v>16</v>
      </c>
      <c r="G128" s="22">
        <v>20302879</v>
      </c>
      <c r="H128" s="21" t="s">
        <v>84</v>
      </c>
      <c r="I128" s="22">
        <v>1</v>
      </c>
      <c r="J128" s="23">
        <v>4</v>
      </c>
      <c r="K128" s="23">
        <v>4</v>
      </c>
    </row>
    <row r="129" spans="4:11">
      <c r="D129" s="20">
        <v>46204</v>
      </c>
      <c r="E129" s="21">
        <v>1616480</v>
      </c>
      <c r="F129" s="21" t="s">
        <v>19</v>
      </c>
      <c r="G129" s="22">
        <v>20005210</v>
      </c>
      <c r="H129" s="21" t="s">
        <v>85</v>
      </c>
      <c r="I129" s="22">
        <v>2</v>
      </c>
      <c r="J129" s="23">
        <v>49.5</v>
      </c>
      <c r="K129" s="23">
        <v>99</v>
      </c>
    </row>
    <row r="130" spans="4:11">
      <c r="D130" s="20">
        <v>46204</v>
      </c>
      <c r="E130" s="21">
        <v>1616480</v>
      </c>
      <c r="F130" s="21" t="s">
        <v>21</v>
      </c>
      <c r="G130" s="22">
        <v>20005207</v>
      </c>
      <c r="H130" s="21" t="s">
        <v>56</v>
      </c>
      <c r="I130" s="22">
        <v>8</v>
      </c>
      <c r="J130" s="23">
        <v>8</v>
      </c>
      <c r="K130" s="23">
        <v>64</v>
      </c>
    </row>
    <row r="131" spans="4:11">
      <c r="D131" s="20">
        <v>46204</v>
      </c>
      <c r="E131" s="21">
        <v>1616480</v>
      </c>
      <c r="F131" s="21" t="s">
        <v>21</v>
      </c>
      <c r="G131" s="22">
        <v>20005208</v>
      </c>
      <c r="H131" s="21" t="s">
        <v>73</v>
      </c>
      <c r="I131" s="22">
        <v>18</v>
      </c>
      <c r="J131" s="23">
        <v>8</v>
      </c>
      <c r="K131" s="23">
        <v>144</v>
      </c>
    </row>
    <row r="132" spans="4:11">
      <c r="D132" s="20">
        <v>46204</v>
      </c>
      <c r="E132" s="21">
        <v>1616480</v>
      </c>
      <c r="F132" s="21" t="s">
        <v>21</v>
      </c>
      <c r="G132" s="22">
        <v>20013630</v>
      </c>
      <c r="H132" s="21" t="s">
        <v>86</v>
      </c>
      <c r="I132" s="22">
        <v>6</v>
      </c>
      <c r="J132" s="23">
        <v>8</v>
      </c>
      <c r="K132" s="23">
        <v>48</v>
      </c>
    </row>
    <row r="133" spans="4:11">
      <c r="D133" s="20">
        <v>46204</v>
      </c>
      <c r="E133" s="21">
        <v>1616480</v>
      </c>
      <c r="F133" s="21" t="s">
        <v>21</v>
      </c>
      <c r="G133" s="22">
        <v>20407295</v>
      </c>
      <c r="H133" s="21" t="s">
        <v>87</v>
      </c>
      <c r="I133" s="22">
        <v>21</v>
      </c>
      <c r="J133" s="23">
        <v>8</v>
      </c>
      <c r="K133" s="23">
        <v>168</v>
      </c>
    </row>
    <row r="134" spans="4:11">
      <c r="D134" s="20">
        <v>46204</v>
      </c>
      <c r="E134" s="21">
        <v>1616480</v>
      </c>
      <c r="F134" s="21" t="s">
        <v>21</v>
      </c>
      <c r="G134" s="22">
        <v>20321305</v>
      </c>
      <c r="H134" s="21" t="s">
        <v>90</v>
      </c>
      <c r="I134" s="22">
        <v>2</v>
      </c>
      <c r="J134" s="23">
        <v>8</v>
      </c>
      <c r="K134" s="23">
        <v>16</v>
      </c>
    </row>
    <row r="135" spans="4:11">
      <c r="D135" s="20">
        <v>46204</v>
      </c>
      <c r="E135" s="21">
        <v>1616480</v>
      </c>
      <c r="F135" s="21" t="s">
        <v>21</v>
      </c>
      <c r="G135" s="22">
        <v>20314990</v>
      </c>
      <c r="H135" s="21" t="s">
        <v>54</v>
      </c>
      <c r="I135" s="22">
        <v>9</v>
      </c>
      <c r="J135" s="23">
        <v>8</v>
      </c>
      <c r="K135" s="23">
        <v>72</v>
      </c>
    </row>
    <row r="136" spans="4:11">
      <c r="D136" s="20">
        <v>46204</v>
      </c>
      <c r="E136" s="21">
        <v>1616480</v>
      </c>
      <c r="F136" s="21" t="s">
        <v>21</v>
      </c>
      <c r="G136" s="22">
        <v>20005849</v>
      </c>
      <c r="H136" s="21" t="s">
        <v>51</v>
      </c>
      <c r="I136" s="22">
        <v>9</v>
      </c>
      <c r="J136" s="23">
        <v>8</v>
      </c>
      <c r="K136" s="23">
        <v>72</v>
      </c>
    </row>
    <row r="137" spans="4:11">
      <c r="D137" s="20">
        <v>46204</v>
      </c>
      <c r="E137" s="21">
        <v>1616480</v>
      </c>
      <c r="F137" s="21" t="s">
        <v>13</v>
      </c>
      <c r="G137" s="22">
        <v>20008026</v>
      </c>
      <c r="H137" s="21" t="s">
        <v>88</v>
      </c>
      <c r="I137" s="22">
        <v>6</v>
      </c>
      <c r="J137" s="23">
        <v>16.5</v>
      </c>
      <c r="K137" s="23">
        <v>99</v>
      </c>
    </row>
    <row r="138" spans="4:11">
      <c r="D138" s="20">
        <v>46204</v>
      </c>
      <c r="E138" s="21">
        <v>1616807</v>
      </c>
      <c r="F138" s="21" t="s">
        <v>21</v>
      </c>
      <c r="G138" s="22">
        <v>20005207</v>
      </c>
      <c r="H138" s="21" t="s">
        <v>56</v>
      </c>
      <c r="I138" s="22">
        <v>7</v>
      </c>
      <c r="J138" s="23">
        <v>8</v>
      </c>
      <c r="K138" s="23">
        <v>56</v>
      </c>
    </row>
    <row r="139" spans="4:11">
      <c r="D139" s="20">
        <v>46204</v>
      </c>
      <c r="E139" s="21">
        <v>1616807</v>
      </c>
      <c r="F139" s="21" t="s">
        <v>21</v>
      </c>
      <c r="G139" s="22">
        <v>20005208</v>
      </c>
      <c r="H139" s="21" t="s">
        <v>73</v>
      </c>
      <c r="I139" s="22">
        <v>27</v>
      </c>
      <c r="J139" s="23">
        <v>8</v>
      </c>
      <c r="K139" s="23">
        <v>216</v>
      </c>
    </row>
    <row r="140" spans="4:11">
      <c r="D140" s="20">
        <v>46204</v>
      </c>
      <c r="E140" s="21">
        <v>1616807</v>
      </c>
      <c r="F140" s="21" t="s">
        <v>21</v>
      </c>
      <c r="G140" s="22">
        <v>20013630</v>
      </c>
      <c r="H140" s="21" t="s">
        <v>86</v>
      </c>
      <c r="I140" s="22">
        <v>4</v>
      </c>
      <c r="J140" s="23">
        <v>8</v>
      </c>
      <c r="K140" s="23">
        <v>32</v>
      </c>
    </row>
    <row r="141" spans="4:11">
      <c r="D141" s="20">
        <v>46204</v>
      </c>
      <c r="E141" s="21">
        <v>1616807</v>
      </c>
      <c r="F141" s="21" t="s">
        <v>21</v>
      </c>
      <c r="G141" s="22">
        <v>20407295</v>
      </c>
      <c r="H141" s="21" t="s">
        <v>87</v>
      </c>
      <c r="I141" s="22">
        <v>18</v>
      </c>
      <c r="J141" s="23">
        <v>8</v>
      </c>
      <c r="K141" s="23">
        <v>144</v>
      </c>
    </row>
    <row r="142" spans="4:11">
      <c r="D142" s="20">
        <v>46204</v>
      </c>
      <c r="E142" s="21">
        <v>1616807</v>
      </c>
      <c r="F142" s="21" t="s">
        <v>21</v>
      </c>
      <c r="G142" s="22">
        <v>20324084</v>
      </c>
      <c r="H142" s="21" t="s">
        <v>22</v>
      </c>
      <c r="I142" s="22">
        <v>2</v>
      </c>
      <c r="J142" s="23">
        <v>8</v>
      </c>
      <c r="K142" s="23">
        <v>16</v>
      </c>
    </row>
    <row r="143" spans="4:11">
      <c r="D143" s="20">
        <v>46204</v>
      </c>
      <c r="E143" s="21">
        <v>1616807</v>
      </c>
      <c r="F143" s="21" t="s">
        <v>21</v>
      </c>
      <c r="G143" s="22">
        <v>20314990</v>
      </c>
      <c r="H143" s="21" t="s">
        <v>54</v>
      </c>
      <c r="I143" s="22">
        <v>9</v>
      </c>
      <c r="J143" s="23">
        <v>8</v>
      </c>
      <c r="K143" s="23">
        <v>72</v>
      </c>
    </row>
    <row r="144" spans="4:11">
      <c r="D144" s="20">
        <v>46204</v>
      </c>
      <c r="E144" s="21">
        <v>1616807</v>
      </c>
      <c r="F144" s="21" t="s">
        <v>21</v>
      </c>
      <c r="G144" s="22">
        <v>20005849</v>
      </c>
      <c r="H144" s="21" t="s">
        <v>51</v>
      </c>
      <c r="I144" s="22">
        <v>17</v>
      </c>
      <c r="J144" s="23">
        <v>8</v>
      </c>
      <c r="K144" s="23">
        <v>136</v>
      </c>
    </row>
    <row r="145" spans="4:11">
      <c r="D145" s="20">
        <v>46204</v>
      </c>
      <c r="E145" s="21">
        <v>1616807</v>
      </c>
      <c r="F145" s="21" t="s">
        <v>13</v>
      </c>
      <c r="G145" s="22">
        <v>20008026</v>
      </c>
      <c r="H145" s="21" t="s">
        <v>88</v>
      </c>
      <c r="I145" s="22">
        <v>13</v>
      </c>
      <c r="J145" s="23">
        <v>16.5</v>
      </c>
      <c r="K145" s="23">
        <v>214.5</v>
      </c>
    </row>
    <row r="146" spans="4:11">
      <c r="D146" s="20">
        <v>46205</v>
      </c>
      <c r="E146" s="21">
        <v>1616871</v>
      </c>
      <c r="F146" s="21" t="s">
        <v>19</v>
      </c>
      <c r="G146" s="22">
        <v>20005210</v>
      </c>
      <c r="H146" s="21" t="s">
        <v>85</v>
      </c>
      <c r="I146" s="22">
        <v>2</v>
      </c>
      <c r="J146" s="23">
        <v>49.5</v>
      </c>
      <c r="K146" s="23">
        <v>99</v>
      </c>
    </row>
    <row r="147" spans="4:11">
      <c r="D147" s="20">
        <v>46206</v>
      </c>
      <c r="E147" s="21">
        <v>1617276</v>
      </c>
      <c r="F147" s="21" t="s">
        <v>19</v>
      </c>
      <c r="G147" s="22">
        <v>20005210</v>
      </c>
      <c r="H147" s="21" t="s">
        <v>85</v>
      </c>
      <c r="I147" s="22">
        <v>5</v>
      </c>
      <c r="J147" s="23">
        <v>49.5</v>
      </c>
      <c r="K147" s="23">
        <v>247.5</v>
      </c>
    </row>
    <row r="148" spans="4:11">
      <c r="D148" s="20">
        <v>46206</v>
      </c>
      <c r="E148" s="21">
        <v>1617276</v>
      </c>
      <c r="F148" s="21" t="s">
        <v>21</v>
      </c>
      <c r="G148" s="22">
        <v>20005207</v>
      </c>
      <c r="H148" s="21" t="s">
        <v>56</v>
      </c>
      <c r="I148" s="22">
        <v>12</v>
      </c>
      <c r="J148" s="23">
        <v>8</v>
      </c>
      <c r="K148" s="23">
        <v>96</v>
      </c>
    </row>
    <row r="149" spans="4:11">
      <c r="D149" s="20">
        <v>46206</v>
      </c>
      <c r="E149" s="21">
        <v>1617276</v>
      </c>
      <c r="F149" s="21" t="s">
        <v>21</v>
      </c>
      <c r="G149" s="22">
        <v>20005208</v>
      </c>
      <c r="H149" s="21" t="s">
        <v>73</v>
      </c>
      <c r="I149" s="22">
        <v>28</v>
      </c>
      <c r="J149" s="23">
        <v>8</v>
      </c>
      <c r="K149" s="23">
        <v>224</v>
      </c>
    </row>
    <row r="150" spans="4:11">
      <c r="D150" s="20">
        <v>46206</v>
      </c>
      <c r="E150" s="21">
        <v>1617276</v>
      </c>
      <c r="F150" s="21" t="s">
        <v>21</v>
      </c>
      <c r="G150" s="22">
        <v>20313590</v>
      </c>
      <c r="H150" s="21" t="s">
        <v>89</v>
      </c>
      <c r="I150" s="22">
        <v>1</v>
      </c>
      <c r="J150" s="23">
        <v>8</v>
      </c>
      <c r="K150" s="23">
        <v>8</v>
      </c>
    </row>
    <row r="151" spans="4:11">
      <c r="D151" s="20">
        <v>46206</v>
      </c>
      <c r="E151" s="21">
        <v>1617276</v>
      </c>
      <c r="F151" s="21" t="s">
        <v>21</v>
      </c>
      <c r="G151" s="22">
        <v>20013630</v>
      </c>
      <c r="H151" s="21" t="s">
        <v>86</v>
      </c>
      <c r="I151" s="22">
        <v>4</v>
      </c>
      <c r="J151" s="23">
        <v>8</v>
      </c>
      <c r="K151" s="23">
        <v>32</v>
      </c>
    </row>
    <row r="152" spans="4:11">
      <c r="D152" s="20">
        <v>46206</v>
      </c>
      <c r="E152" s="21">
        <v>1617276</v>
      </c>
      <c r="F152" s="21" t="s">
        <v>21</v>
      </c>
      <c r="G152" s="22">
        <v>20407295</v>
      </c>
      <c r="H152" s="21" t="s">
        <v>87</v>
      </c>
      <c r="I152" s="22">
        <v>22</v>
      </c>
      <c r="J152" s="23">
        <v>8</v>
      </c>
      <c r="K152" s="23">
        <v>176</v>
      </c>
    </row>
    <row r="153" spans="4:11">
      <c r="D153" s="20">
        <v>46206</v>
      </c>
      <c r="E153" s="21">
        <v>1617276</v>
      </c>
      <c r="F153" s="21" t="s">
        <v>21</v>
      </c>
      <c r="G153" s="22">
        <v>20321305</v>
      </c>
      <c r="H153" s="21" t="s">
        <v>90</v>
      </c>
      <c r="I153" s="22">
        <v>2</v>
      </c>
      <c r="J153" s="23">
        <v>8</v>
      </c>
      <c r="K153" s="23">
        <v>16</v>
      </c>
    </row>
    <row r="154" spans="4:11">
      <c r="D154" s="20">
        <v>46206</v>
      </c>
      <c r="E154" s="21">
        <v>1617276</v>
      </c>
      <c r="F154" s="21" t="s">
        <v>21</v>
      </c>
      <c r="G154" s="22">
        <v>20005929</v>
      </c>
      <c r="H154" s="21" t="s">
        <v>92</v>
      </c>
      <c r="I154" s="22">
        <v>13</v>
      </c>
      <c r="J154" s="23">
        <v>8</v>
      </c>
      <c r="K154" s="23">
        <v>104</v>
      </c>
    </row>
    <row r="155" spans="4:11">
      <c r="D155" s="20">
        <v>46206</v>
      </c>
      <c r="E155" s="21">
        <v>1617276</v>
      </c>
      <c r="F155" s="21" t="s">
        <v>21</v>
      </c>
      <c r="G155" s="22">
        <v>20401469</v>
      </c>
      <c r="H155" s="21" t="s">
        <v>64</v>
      </c>
      <c r="I155" s="22">
        <v>1</v>
      </c>
      <c r="J155" s="23">
        <v>13</v>
      </c>
      <c r="K155" s="23">
        <v>13</v>
      </c>
    </row>
    <row r="156" spans="4:11">
      <c r="D156" s="20">
        <v>46206</v>
      </c>
      <c r="E156" s="21">
        <v>1617276</v>
      </c>
      <c r="F156" s="21" t="s">
        <v>21</v>
      </c>
      <c r="G156" s="22">
        <v>20314990</v>
      </c>
      <c r="H156" s="21" t="s">
        <v>54</v>
      </c>
      <c r="I156" s="22">
        <v>9</v>
      </c>
      <c r="J156" s="23">
        <v>8</v>
      </c>
      <c r="K156" s="23">
        <v>72</v>
      </c>
    </row>
    <row r="157" spans="4:11">
      <c r="D157" s="20">
        <v>46206</v>
      </c>
      <c r="E157" s="21">
        <v>1617276</v>
      </c>
      <c r="F157" s="21" t="s">
        <v>21</v>
      </c>
      <c r="G157" s="22">
        <v>20005849</v>
      </c>
      <c r="H157" s="21" t="s">
        <v>51</v>
      </c>
      <c r="I157" s="22">
        <v>17</v>
      </c>
      <c r="J157" s="23">
        <v>8</v>
      </c>
      <c r="K157" s="23">
        <v>136</v>
      </c>
    </row>
    <row r="158" spans="4:11">
      <c r="D158" s="20">
        <v>46206</v>
      </c>
      <c r="E158" s="21">
        <v>1617276</v>
      </c>
      <c r="F158" s="21" t="s">
        <v>13</v>
      </c>
      <c r="G158" s="22">
        <v>20008026</v>
      </c>
      <c r="H158" s="21" t="s">
        <v>88</v>
      </c>
      <c r="I158" s="22">
        <v>12</v>
      </c>
      <c r="J158" s="23">
        <v>16.5</v>
      </c>
      <c r="K158" s="23">
        <v>198</v>
      </c>
    </row>
    <row r="159" spans="4:11">
      <c r="D159" s="20">
        <v>46206</v>
      </c>
      <c r="E159" s="21">
        <v>1617598</v>
      </c>
      <c r="F159" s="21" t="s">
        <v>19</v>
      </c>
      <c r="G159" s="22">
        <v>20005210</v>
      </c>
      <c r="H159" s="21" t="s">
        <v>85</v>
      </c>
      <c r="I159" s="22">
        <v>2</v>
      </c>
      <c r="J159" s="23">
        <v>49.5</v>
      </c>
      <c r="K159" s="23">
        <v>99</v>
      </c>
    </row>
    <row r="160" spans="4:11">
      <c r="D160" s="20">
        <v>46206</v>
      </c>
      <c r="E160" s="21">
        <v>1617598</v>
      </c>
      <c r="F160" s="21" t="s">
        <v>21</v>
      </c>
      <c r="G160" s="22">
        <v>20005207</v>
      </c>
      <c r="H160" s="21" t="s">
        <v>56</v>
      </c>
      <c r="I160" s="22">
        <v>15</v>
      </c>
      <c r="J160" s="23">
        <v>8</v>
      </c>
      <c r="K160" s="23">
        <v>120</v>
      </c>
    </row>
    <row r="161" spans="4:11">
      <c r="D161" s="20">
        <v>46206</v>
      </c>
      <c r="E161" s="21">
        <v>1617598</v>
      </c>
      <c r="F161" s="21" t="s">
        <v>21</v>
      </c>
      <c r="G161" s="22">
        <v>20005208</v>
      </c>
      <c r="H161" s="21" t="s">
        <v>73</v>
      </c>
      <c r="I161" s="22">
        <v>38</v>
      </c>
      <c r="J161" s="23">
        <v>8</v>
      </c>
      <c r="K161" s="23">
        <v>304</v>
      </c>
    </row>
    <row r="162" spans="4:11">
      <c r="D162" s="20">
        <v>46206</v>
      </c>
      <c r="E162" s="21">
        <v>1617598</v>
      </c>
      <c r="F162" s="21" t="s">
        <v>21</v>
      </c>
      <c r="G162" s="22">
        <v>20313590</v>
      </c>
      <c r="H162" s="21" t="s">
        <v>89</v>
      </c>
      <c r="I162" s="22">
        <v>3</v>
      </c>
      <c r="J162" s="23">
        <v>8</v>
      </c>
      <c r="K162" s="23">
        <v>24</v>
      </c>
    </row>
    <row r="163" spans="4:11">
      <c r="D163" s="20">
        <v>46206</v>
      </c>
      <c r="E163" s="21">
        <v>1617598</v>
      </c>
      <c r="F163" s="21" t="s">
        <v>21</v>
      </c>
      <c r="G163" s="22">
        <v>20013630</v>
      </c>
      <c r="H163" s="21" t="s">
        <v>86</v>
      </c>
      <c r="I163" s="22">
        <v>3</v>
      </c>
      <c r="J163" s="23">
        <v>8</v>
      </c>
      <c r="K163" s="23">
        <v>24</v>
      </c>
    </row>
    <row r="164" spans="4:11">
      <c r="D164" s="20">
        <v>46206</v>
      </c>
      <c r="E164" s="21">
        <v>1617598</v>
      </c>
      <c r="F164" s="21" t="s">
        <v>21</v>
      </c>
      <c r="G164" s="22">
        <v>20407295</v>
      </c>
      <c r="H164" s="21" t="s">
        <v>87</v>
      </c>
      <c r="I164" s="22">
        <v>22</v>
      </c>
      <c r="J164" s="23">
        <v>8</v>
      </c>
      <c r="K164" s="23">
        <v>176</v>
      </c>
    </row>
    <row r="165" spans="4:11">
      <c r="D165" s="20">
        <v>46206</v>
      </c>
      <c r="E165" s="21">
        <v>1617598</v>
      </c>
      <c r="F165" s="21" t="s">
        <v>21</v>
      </c>
      <c r="G165" s="22">
        <v>20321305</v>
      </c>
      <c r="H165" s="21" t="s">
        <v>90</v>
      </c>
      <c r="I165" s="22">
        <v>2</v>
      </c>
      <c r="J165" s="23">
        <v>8</v>
      </c>
      <c r="K165" s="23">
        <v>16</v>
      </c>
    </row>
    <row r="166" spans="4:11">
      <c r="D166" s="20">
        <v>46206</v>
      </c>
      <c r="E166" s="21">
        <v>1617598</v>
      </c>
      <c r="F166" s="21" t="s">
        <v>21</v>
      </c>
      <c r="G166" s="22">
        <v>20314990</v>
      </c>
      <c r="H166" s="21" t="s">
        <v>54</v>
      </c>
      <c r="I166" s="22">
        <v>8</v>
      </c>
      <c r="J166" s="23">
        <v>8</v>
      </c>
      <c r="K166" s="23">
        <v>64</v>
      </c>
    </row>
    <row r="167" spans="4:11">
      <c r="D167" s="20">
        <v>46206</v>
      </c>
      <c r="E167" s="21">
        <v>1617598</v>
      </c>
      <c r="F167" s="21" t="s">
        <v>21</v>
      </c>
      <c r="G167" s="22">
        <v>20005849</v>
      </c>
      <c r="H167" s="21" t="s">
        <v>51</v>
      </c>
      <c r="I167" s="22">
        <v>10</v>
      </c>
      <c r="J167" s="23">
        <v>8</v>
      </c>
      <c r="K167" s="23">
        <v>80</v>
      </c>
    </row>
    <row r="168" spans="4:11">
      <c r="D168" s="20">
        <v>46206</v>
      </c>
      <c r="E168" s="21">
        <v>1617598</v>
      </c>
      <c r="F168" s="21" t="s">
        <v>13</v>
      </c>
      <c r="G168" s="22">
        <v>20008026</v>
      </c>
      <c r="H168" s="21" t="s">
        <v>88</v>
      </c>
      <c r="I168" s="22">
        <v>15</v>
      </c>
      <c r="J168" s="23">
        <v>16.5</v>
      </c>
      <c r="K168" s="23">
        <v>247.5</v>
      </c>
    </row>
    <row r="169" spans="4:11">
      <c r="D169" s="20">
        <v>46207</v>
      </c>
      <c r="E169" s="21">
        <v>1617723</v>
      </c>
      <c r="F169" s="21" t="s">
        <v>19</v>
      </c>
      <c r="G169" s="22">
        <v>20005210</v>
      </c>
      <c r="H169" s="21" t="s">
        <v>85</v>
      </c>
      <c r="I169" s="22">
        <v>1</v>
      </c>
      <c r="J169" s="23">
        <v>49.5</v>
      </c>
      <c r="K169" s="23">
        <v>49.5</v>
      </c>
    </row>
    <row r="170" spans="4:11">
      <c r="D170" s="20">
        <v>46207</v>
      </c>
      <c r="E170" s="21">
        <v>1617723</v>
      </c>
      <c r="F170" s="21" t="s">
        <v>21</v>
      </c>
      <c r="G170" s="22">
        <v>20005207</v>
      </c>
      <c r="H170" s="21" t="s">
        <v>56</v>
      </c>
      <c r="I170" s="22">
        <v>1</v>
      </c>
      <c r="J170" s="23">
        <v>8</v>
      </c>
      <c r="K170" s="23">
        <v>8</v>
      </c>
    </row>
    <row r="171" spans="4:11">
      <c r="D171" s="20">
        <v>46207</v>
      </c>
      <c r="E171" s="21">
        <v>1617723</v>
      </c>
      <c r="F171" s="21" t="s">
        <v>21</v>
      </c>
      <c r="G171" s="22">
        <v>20005208</v>
      </c>
      <c r="H171" s="21" t="s">
        <v>73</v>
      </c>
      <c r="I171" s="22">
        <v>16</v>
      </c>
      <c r="J171" s="23">
        <v>8</v>
      </c>
      <c r="K171" s="23">
        <v>128</v>
      </c>
    </row>
    <row r="172" spans="4:11">
      <c r="D172" s="20">
        <v>46207</v>
      </c>
      <c r="E172" s="21">
        <v>1617723</v>
      </c>
      <c r="F172" s="21" t="s">
        <v>21</v>
      </c>
      <c r="G172" s="22">
        <v>20313590</v>
      </c>
      <c r="H172" s="21" t="s">
        <v>89</v>
      </c>
      <c r="I172" s="22">
        <v>1</v>
      </c>
      <c r="J172" s="23">
        <v>8</v>
      </c>
      <c r="K172" s="23">
        <v>8</v>
      </c>
    </row>
    <row r="173" spans="4:11">
      <c r="D173" s="20">
        <v>46207</v>
      </c>
      <c r="E173" s="21">
        <v>1617723</v>
      </c>
      <c r="F173" s="21" t="s">
        <v>21</v>
      </c>
      <c r="G173" s="22">
        <v>20407295</v>
      </c>
      <c r="H173" s="21" t="s">
        <v>87</v>
      </c>
      <c r="I173" s="22">
        <v>3</v>
      </c>
      <c r="J173" s="23">
        <v>8</v>
      </c>
      <c r="K173" s="23">
        <v>24</v>
      </c>
    </row>
    <row r="174" spans="4:11">
      <c r="D174" s="20">
        <v>46207</v>
      </c>
      <c r="E174" s="21">
        <v>1617723</v>
      </c>
      <c r="F174" s="21" t="s">
        <v>21</v>
      </c>
      <c r="G174" s="22">
        <v>20314990</v>
      </c>
      <c r="H174" s="21" t="s">
        <v>54</v>
      </c>
      <c r="I174" s="22">
        <v>1</v>
      </c>
      <c r="J174" s="23">
        <v>8</v>
      </c>
      <c r="K174" s="23">
        <v>8</v>
      </c>
    </row>
    <row r="175" spans="4:11">
      <c r="D175" s="20">
        <v>46207</v>
      </c>
      <c r="E175" s="21">
        <v>1617723</v>
      </c>
      <c r="F175" s="21" t="s">
        <v>21</v>
      </c>
      <c r="G175" s="22">
        <v>20005849</v>
      </c>
      <c r="H175" s="21" t="s">
        <v>51</v>
      </c>
      <c r="I175" s="22">
        <v>2</v>
      </c>
      <c r="J175" s="23">
        <v>8</v>
      </c>
      <c r="K175" s="23">
        <v>16</v>
      </c>
    </row>
    <row r="176" spans="4:11">
      <c r="D176" s="20">
        <v>46207</v>
      </c>
      <c r="E176" s="21">
        <v>1617723</v>
      </c>
      <c r="F176" s="21" t="s">
        <v>13</v>
      </c>
      <c r="G176" s="22">
        <v>20008026</v>
      </c>
      <c r="H176" s="21" t="s">
        <v>88</v>
      </c>
      <c r="I176" s="22">
        <v>5</v>
      </c>
      <c r="J176" s="23">
        <v>16.5</v>
      </c>
      <c r="K176" s="23">
        <v>82.5</v>
      </c>
    </row>
    <row r="177" spans="4:11">
      <c r="D177" s="20">
        <v>46210</v>
      </c>
      <c r="E177" s="21">
        <v>1618077</v>
      </c>
      <c r="F177" s="21" t="s">
        <v>19</v>
      </c>
      <c r="G177" s="22">
        <v>20005210</v>
      </c>
      <c r="H177" s="21" t="s">
        <v>85</v>
      </c>
      <c r="I177" s="22">
        <v>3</v>
      </c>
      <c r="J177" s="23">
        <v>49.5</v>
      </c>
      <c r="K177" s="23">
        <v>148.5</v>
      </c>
    </row>
    <row r="178" spans="4:11">
      <c r="D178" s="20">
        <v>46210</v>
      </c>
      <c r="E178" s="21">
        <v>1618077</v>
      </c>
      <c r="F178" s="21" t="s">
        <v>21</v>
      </c>
      <c r="G178" s="22">
        <v>20005207</v>
      </c>
      <c r="H178" s="21" t="s">
        <v>56</v>
      </c>
      <c r="I178" s="22">
        <v>8</v>
      </c>
      <c r="J178" s="23">
        <v>8</v>
      </c>
      <c r="K178" s="23">
        <v>64</v>
      </c>
    </row>
    <row r="179" spans="4:11">
      <c r="D179" s="20">
        <v>46210</v>
      </c>
      <c r="E179" s="21">
        <v>1618077</v>
      </c>
      <c r="F179" s="21" t="s">
        <v>21</v>
      </c>
      <c r="G179" s="22">
        <v>20005208</v>
      </c>
      <c r="H179" s="21" t="s">
        <v>73</v>
      </c>
      <c r="I179" s="22">
        <v>20</v>
      </c>
      <c r="J179" s="23">
        <v>8</v>
      </c>
      <c r="K179" s="23">
        <v>160</v>
      </c>
    </row>
    <row r="180" spans="4:11">
      <c r="D180" s="20">
        <v>46210</v>
      </c>
      <c r="E180" s="21">
        <v>1618077</v>
      </c>
      <c r="F180" s="21" t="s">
        <v>21</v>
      </c>
      <c r="G180" s="22">
        <v>20013630</v>
      </c>
      <c r="H180" s="21" t="s">
        <v>86</v>
      </c>
      <c r="I180" s="22">
        <v>8</v>
      </c>
      <c r="J180" s="23">
        <v>8</v>
      </c>
      <c r="K180" s="23">
        <v>64</v>
      </c>
    </row>
    <row r="181" spans="4:11">
      <c r="D181" s="20">
        <v>46210</v>
      </c>
      <c r="E181" s="21">
        <v>1618077</v>
      </c>
      <c r="F181" s="21" t="s">
        <v>21</v>
      </c>
      <c r="G181" s="22">
        <v>20407295</v>
      </c>
      <c r="H181" s="21" t="s">
        <v>87</v>
      </c>
      <c r="I181" s="22">
        <v>14</v>
      </c>
      <c r="J181" s="23">
        <v>8</v>
      </c>
      <c r="K181" s="23">
        <v>112</v>
      </c>
    </row>
    <row r="182" spans="4:11">
      <c r="D182" s="20">
        <v>46210</v>
      </c>
      <c r="E182" s="21">
        <v>1618077</v>
      </c>
      <c r="F182" s="21" t="s">
        <v>21</v>
      </c>
      <c r="G182" s="22">
        <v>20324084</v>
      </c>
      <c r="H182" s="21" t="s">
        <v>22</v>
      </c>
      <c r="I182" s="22">
        <v>2</v>
      </c>
      <c r="J182" s="23">
        <v>8</v>
      </c>
      <c r="K182" s="23">
        <v>16</v>
      </c>
    </row>
    <row r="183" spans="4:11">
      <c r="D183" s="20">
        <v>46210</v>
      </c>
      <c r="E183" s="21">
        <v>1618077</v>
      </c>
      <c r="F183" s="21" t="s">
        <v>21</v>
      </c>
      <c r="G183" s="22">
        <v>20321305</v>
      </c>
      <c r="H183" s="21" t="s">
        <v>90</v>
      </c>
      <c r="I183" s="22">
        <v>1</v>
      </c>
      <c r="J183" s="23">
        <v>8</v>
      </c>
      <c r="K183" s="23">
        <v>8</v>
      </c>
    </row>
    <row r="184" spans="4:11">
      <c r="D184" s="20">
        <v>46210</v>
      </c>
      <c r="E184" s="21">
        <v>1618077</v>
      </c>
      <c r="F184" s="21" t="s">
        <v>21</v>
      </c>
      <c r="G184" s="22">
        <v>20302876</v>
      </c>
      <c r="H184" s="21" t="s">
        <v>91</v>
      </c>
      <c r="I184" s="22">
        <v>1</v>
      </c>
      <c r="J184" s="23">
        <v>16</v>
      </c>
      <c r="K184" s="23">
        <v>16</v>
      </c>
    </row>
    <row r="185" spans="4:11">
      <c r="D185" s="20">
        <v>46210</v>
      </c>
      <c r="E185" s="21">
        <v>1618077</v>
      </c>
      <c r="F185" s="21" t="s">
        <v>21</v>
      </c>
      <c r="G185" s="22">
        <v>20314990</v>
      </c>
      <c r="H185" s="21" t="s">
        <v>54</v>
      </c>
      <c r="I185" s="22">
        <v>7</v>
      </c>
      <c r="J185" s="23">
        <v>8</v>
      </c>
      <c r="K185" s="23">
        <v>56</v>
      </c>
    </row>
    <row r="186" spans="4:11">
      <c r="D186" s="20">
        <v>46210</v>
      </c>
      <c r="E186" s="21">
        <v>1618077</v>
      </c>
      <c r="F186" s="21" t="s">
        <v>21</v>
      </c>
      <c r="G186" s="22">
        <v>20005849</v>
      </c>
      <c r="H186" s="21" t="s">
        <v>51</v>
      </c>
      <c r="I186" s="22">
        <v>12</v>
      </c>
      <c r="J186" s="23">
        <v>8</v>
      </c>
      <c r="K186" s="23">
        <v>96</v>
      </c>
    </row>
    <row r="187" spans="4:11">
      <c r="D187" s="20">
        <v>46210</v>
      </c>
      <c r="E187" s="21">
        <v>1618077</v>
      </c>
      <c r="F187" s="21" t="s">
        <v>13</v>
      </c>
      <c r="G187" s="22">
        <v>20008026</v>
      </c>
      <c r="H187" s="21" t="s">
        <v>88</v>
      </c>
      <c r="I187" s="22">
        <v>9</v>
      </c>
      <c r="J187" s="23">
        <v>16.5</v>
      </c>
      <c r="K187" s="23">
        <v>148.5</v>
      </c>
    </row>
    <row r="188" spans="4:11">
      <c r="D188" s="20">
        <v>46210</v>
      </c>
      <c r="E188" s="21">
        <v>1618077</v>
      </c>
      <c r="F188" s="21" t="s">
        <v>16</v>
      </c>
      <c r="G188" s="22">
        <v>20302879</v>
      </c>
      <c r="H188" s="21" t="s">
        <v>84</v>
      </c>
      <c r="I188" s="22">
        <v>1</v>
      </c>
      <c r="J188" s="23">
        <v>4</v>
      </c>
      <c r="K188" s="23">
        <v>4</v>
      </c>
    </row>
    <row r="189" spans="4:11">
      <c r="D189" s="20">
        <v>46210</v>
      </c>
      <c r="E189" s="21">
        <v>1618501</v>
      </c>
      <c r="F189" s="21" t="s">
        <v>19</v>
      </c>
      <c r="G189" s="22">
        <v>20005210</v>
      </c>
      <c r="H189" s="21" t="s">
        <v>85</v>
      </c>
      <c r="I189" s="22">
        <v>3</v>
      </c>
      <c r="J189" s="23">
        <v>49.5</v>
      </c>
      <c r="K189" s="23">
        <v>148.5</v>
      </c>
    </row>
    <row r="190" spans="4:11">
      <c r="D190" s="20">
        <v>46210</v>
      </c>
      <c r="E190" s="21">
        <v>1618501</v>
      </c>
      <c r="F190" s="21" t="s">
        <v>21</v>
      </c>
      <c r="G190" s="22">
        <v>20005207</v>
      </c>
      <c r="H190" s="21" t="s">
        <v>56</v>
      </c>
      <c r="I190" s="22">
        <v>6</v>
      </c>
      <c r="J190" s="23">
        <v>8</v>
      </c>
      <c r="K190" s="23">
        <v>48</v>
      </c>
    </row>
    <row r="191" spans="4:11">
      <c r="D191" s="20">
        <v>46210</v>
      </c>
      <c r="E191" s="21">
        <v>1618501</v>
      </c>
      <c r="F191" s="21" t="s">
        <v>21</v>
      </c>
      <c r="G191" s="22">
        <v>20005208</v>
      </c>
      <c r="H191" s="21" t="s">
        <v>73</v>
      </c>
      <c r="I191" s="22">
        <v>15</v>
      </c>
      <c r="J191" s="23">
        <v>8</v>
      </c>
      <c r="K191" s="23">
        <v>120</v>
      </c>
    </row>
    <row r="192" spans="4:11">
      <c r="D192" s="20">
        <v>46210</v>
      </c>
      <c r="E192" s="21">
        <v>1618501</v>
      </c>
      <c r="F192" s="21" t="s">
        <v>21</v>
      </c>
      <c r="G192" s="22">
        <v>20013630</v>
      </c>
      <c r="H192" s="21" t="s">
        <v>86</v>
      </c>
      <c r="I192" s="22">
        <v>5</v>
      </c>
      <c r="J192" s="23">
        <v>8</v>
      </c>
      <c r="K192" s="23">
        <v>40</v>
      </c>
    </row>
    <row r="193" spans="4:11">
      <c r="D193" s="20">
        <v>46210</v>
      </c>
      <c r="E193" s="21">
        <v>1618501</v>
      </c>
      <c r="F193" s="21" t="s">
        <v>21</v>
      </c>
      <c r="G193" s="22">
        <v>20407295</v>
      </c>
      <c r="H193" s="21" t="s">
        <v>87</v>
      </c>
      <c r="I193" s="22">
        <v>29</v>
      </c>
      <c r="J193" s="23">
        <v>8</v>
      </c>
      <c r="K193" s="23">
        <v>232</v>
      </c>
    </row>
    <row r="194" spans="4:11">
      <c r="D194" s="20">
        <v>46210</v>
      </c>
      <c r="E194" s="21">
        <v>1618501</v>
      </c>
      <c r="F194" s="21" t="s">
        <v>21</v>
      </c>
      <c r="G194" s="22">
        <v>20321305</v>
      </c>
      <c r="H194" s="21" t="s">
        <v>90</v>
      </c>
      <c r="I194" s="22">
        <v>2</v>
      </c>
      <c r="J194" s="23">
        <v>8</v>
      </c>
      <c r="K194" s="23">
        <v>16</v>
      </c>
    </row>
    <row r="195" spans="4:11">
      <c r="D195" s="20">
        <v>46210</v>
      </c>
      <c r="E195" s="21">
        <v>1618501</v>
      </c>
      <c r="F195" s="21" t="s">
        <v>21</v>
      </c>
      <c r="G195" s="22">
        <v>20314990</v>
      </c>
      <c r="H195" s="21" t="s">
        <v>54</v>
      </c>
      <c r="I195" s="22">
        <v>4</v>
      </c>
      <c r="J195" s="23">
        <v>8</v>
      </c>
      <c r="K195" s="23">
        <v>32</v>
      </c>
    </row>
    <row r="196" spans="4:11">
      <c r="D196" s="20">
        <v>46210</v>
      </c>
      <c r="E196" s="21">
        <v>1618501</v>
      </c>
      <c r="F196" s="21" t="s">
        <v>21</v>
      </c>
      <c r="G196" s="22">
        <v>20005849</v>
      </c>
      <c r="H196" s="21" t="s">
        <v>51</v>
      </c>
      <c r="I196" s="22">
        <v>7</v>
      </c>
      <c r="J196" s="23">
        <v>8</v>
      </c>
      <c r="K196" s="23">
        <v>56</v>
      </c>
    </row>
    <row r="197" spans="4:11">
      <c r="D197" s="20">
        <v>46210</v>
      </c>
      <c r="E197" s="21">
        <v>1618501</v>
      </c>
      <c r="F197" s="21" t="s">
        <v>13</v>
      </c>
      <c r="G197" s="22">
        <v>20008026</v>
      </c>
      <c r="H197" s="21" t="s">
        <v>88</v>
      </c>
      <c r="I197" s="22">
        <v>8</v>
      </c>
      <c r="J197" s="23">
        <v>16.5</v>
      </c>
      <c r="K197" s="23">
        <v>132</v>
      </c>
    </row>
    <row r="198" spans="4:11">
      <c r="D198" s="20">
        <v>46212</v>
      </c>
      <c r="E198" s="21">
        <v>1618880</v>
      </c>
      <c r="F198" s="21" t="s">
        <v>19</v>
      </c>
      <c r="G198" s="22">
        <v>20005210</v>
      </c>
      <c r="H198" s="21" t="s">
        <v>85</v>
      </c>
      <c r="I198" s="22">
        <v>3</v>
      </c>
      <c r="J198" s="23">
        <v>49.5</v>
      </c>
      <c r="K198" s="23">
        <v>148.5</v>
      </c>
    </row>
    <row r="199" spans="4:11">
      <c r="D199" s="20">
        <v>46212</v>
      </c>
      <c r="E199" s="21">
        <v>1618880</v>
      </c>
      <c r="F199" s="21" t="s">
        <v>21</v>
      </c>
      <c r="G199" s="22">
        <v>20005207</v>
      </c>
      <c r="H199" s="21" t="s">
        <v>56</v>
      </c>
      <c r="I199" s="22">
        <v>5</v>
      </c>
      <c r="J199" s="23">
        <v>8</v>
      </c>
      <c r="K199" s="23">
        <v>40</v>
      </c>
    </row>
    <row r="200" spans="4:11">
      <c r="D200" s="20">
        <v>46212</v>
      </c>
      <c r="E200" s="21">
        <v>1618880</v>
      </c>
      <c r="F200" s="21" t="s">
        <v>21</v>
      </c>
      <c r="G200" s="22">
        <v>20005208</v>
      </c>
      <c r="H200" s="21" t="s">
        <v>73</v>
      </c>
      <c r="I200" s="22">
        <v>25</v>
      </c>
      <c r="J200" s="23">
        <v>8</v>
      </c>
      <c r="K200" s="23">
        <v>200</v>
      </c>
    </row>
    <row r="201" spans="4:11">
      <c r="D201" s="20">
        <v>46212</v>
      </c>
      <c r="E201" s="21">
        <v>1618880</v>
      </c>
      <c r="F201" s="21" t="s">
        <v>21</v>
      </c>
      <c r="G201" s="22">
        <v>20313590</v>
      </c>
      <c r="H201" s="21" t="s">
        <v>89</v>
      </c>
      <c r="I201" s="22">
        <v>1</v>
      </c>
      <c r="J201" s="23">
        <v>8</v>
      </c>
      <c r="K201" s="23">
        <v>8</v>
      </c>
    </row>
    <row r="202" spans="4:11">
      <c r="D202" s="20">
        <v>46212</v>
      </c>
      <c r="E202" s="21">
        <v>1618880</v>
      </c>
      <c r="F202" s="21" t="s">
        <v>21</v>
      </c>
      <c r="G202" s="22">
        <v>20013630</v>
      </c>
      <c r="H202" s="21" t="s">
        <v>86</v>
      </c>
      <c r="I202" s="22">
        <v>6</v>
      </c>
      <c r="J202" s="23">
        <v>8</v>
      </c>
      <c r="K202" s="23">
        <v>48</v>
      </c>
    </row>
    <row r="203" spans="4:11">
      <c r="D203" s="20">
        <v>46212</v>
      </c>
      <c r="E203" s="21">
        <v>1618880</v>
      </c>
      <c r="F203" s="21" t="s">
        <v>21</v>
      </c>
      <c r="G203" s="22">
        <v>20407295</v>
      </c>
      <c r="H203" s="21" t="s">
        <v>87</v>
      </c>
      <c r="I203" s="22">
        <v>8</v>
      </c>
      <c r="J203" s="23">
        <v>8</v>
      </c>
      <c r="K203" s="23">
        <v>64</v>
      </c>
    </row>
    <row r="204" spans="4:11">
      <c r="D204" s="20">
        <v>46212</v>
      </c>
      <c r="E204" s="21">
        <v>1618880</v>
      </c>
      <c r="F204" s="21" t="s">
        <v>21</v>
      </c>
      <c r="G204" s="22">
        <v>20321305</v>
      </c>
      <c r="H204" s="21" t="s">
        <v>90</v>
      </c>
      <c r="I204" s="22">
        <v>1</v>
      </c>
      <c r="J204" s="23">
        <v>8</v>
      </c>
      <c r="K204" s="23">
        <v>8</v>
      </c>
    </row>
    <row r="205" spans="4:11">
      <c r="D205" s="20">
        <v>46212</v>
      </c>
      <c r="E205" s="21">
        <v>1618880</v>
      </c>
      <c r="F205" s="21" t="s">
        <v>21</v>
      </c>
      <c r="G205" s="22">
        <v>20314990</v>
      </c>
      <c r="H205" s="21" t="s">
        <v>54</v>
      </c>
      <c r="I205" s="22">
        <v>7</v>
      </c>
      <c r="J205" s="23">
        <v>8</v>
      </c>
      <c r="K205" s="23">
        <v>56</v>
      </c>
    </row>
    <row r="206" spans="4:11">
      <c r="D206" s="20">
        <v>46212</v>
      </c>
      <c r="E206" s="21">
        <v>1618880</v>
      </c>
      <c r="F206" s="21" t="s">
        <v>21</v>
      </c>
      <c r="G206" s="22">
        <v>20005849</v>
      </c>
      <c r="H206" s="21" t="s">
        <v>51</v>
      </c>
      <c r="I206" s="22">
        <v>12</v>
      </c>
      <c r="J206" s="23">
        <v>8</v>
      </c>
      <c r="K206" s="23">
        <v>96</v>
      </c>
    </row>
    <row r="207" spans="4:11">
      <c r="D207" s="20">
        <v>46212</v>
      </c>
      <c r="E207" s="21">
        <v>1618880</v>
      </c>
      <c r="F207" s="21" t="s">
        <v>13</v>
      </c>
      <c r="G207" s="22">
        <v>20008026</v>
      </c>
      <c r="H207" s="21" t="s">
        <v>88</v>
      </c>
      <c r="I207" s="22">
        <v>7</v>
      </c>
      <c r="J207" s="23">
        <v>16.5</v>
      </c>
      <c r="K207" s="23">
        <v>115.5</v>
      </c>
    </row>
    <row r="208" spans="4:11">
      <c r="D208" s="20">
        <v>46212</v>
      </c>
      <c r="E208" s="21">
        <v>1619227</v>
      </c>
      <c r="F208" s="21" t="s">
        <v>19</v>
      </c>
      <c r="G208" s="22">
        <v>20005210</v>
      </c>
      <c r="H208" s="21" t="s">
        <v>85</v>
      </c>
      <c r="I208" s="22">
        <v>6</v>
      </c>
      <c r="J208" s="23">
        <v>49.5</v>
      </c>
      <c r="K208" s="23">
        <v>297</v>
      </c>
    </row>
    <row r="209" spans="4:11">
      <c r="D209" s="20">
        <v>46212</v>
      </c>
      <c r="E209" s="21">
        <v>1619227</v>
      </c>
      <c r="F209" s="21" t="s">
        <v>21</v>
      </c>
      <c r="G209" s="22">
        <v>20005207</v>
      </c>
      <c r="H209" s="21" t="s">
        <v>56</v>
      </c>
      <c r="I209" s="22">
        <v>18</v>
      </c>
      <c r="J209" s="23">
        <v>8</v>
      </c>
      <c r="K209" s="23">
        <v>144</v>
      </c>
    </row>
    <row r="210" spans="4:11">
      <c r="D210" s="20">
        <v>46212</v>
      </c>
      <c r="E210" s="21">
        <v>1619227</v>
      </c>
      <c r="F210" s="21" t="s">
        <v>21</v>
      </c>
      <c r="G210" s="22">
        <v>20005208</v>
      </c>
      <c r="H210" s="21" t="s">
        <v>73</v>
      </c>
      <c r="I210" s="22">
        <v>22</v>
      </c>
      <c r="J210" s="23">
        <v>8</v>
      </c>
      <c r="K210" s="23">
        <v>176</v>
      </c>
    </row>
    <row r="211" spans="4:11">
      <c r="D211" s="20">
        <v>46212</v>
      </c>
      <c r="E211" s="21">
        <v>1619227</v>
      </c>
      <c r="F211" s="21" t="s">
        <v>21</v>
      </c>
      <c r="G211" s="22">
        <v>20013630</v>
      </c>
      <c r="H211" s="21" t="s">
        <v>86</v>
      </c>
      <c r="I211" s="22">
        <v>5</v>
      </c>
      <c r="J211" s="23">
        <v>8</v>
      </c>
      <c r="K211" s="23">
        <v>40</v>
      </c>
    </row>
    <row r="212" spans="4:11">
      <c r="D212" s="20">
        <v>46212</v>
      </c>
      <c r="E212" s="21">
        <v>1619227</v>
      </c>
      <c r="F212" s="21" t="s">
        <v>21</v>
      </c>
      <c r="G212" s="22">
        <v>20324084</v>
      </c>
      <c r="H212" s="21" t="s">
        <v>22</v>
      </c>
      <c r="I212" s="22">
        <v>1</v>
      </c>
      <c r="J212" s="23">
        <v>8</v>
      </c>
      <c r="K212" s="23">
        <v>8</v>
      </c>
    </row>
    <row r="213" spans="4:11">
      <c r="D213" s="20">
        <v>46212</v>
      </c>
      <c r="E213" s="21">
        <v>1619227</v>
      </c>
      <c r="F213" s="21" t="s">
        <v>21</v>
      </c>
      <c r="G213" s="22">
        <v>20314990</v>
      </c>
      <c r="H213" s="21" t="s">
        <v>54</v>
      </c>
      <c r="I213" s="22">
        <v>7</v>
      </c>
      <c r="J213" s="23">
        <v>8</v>
      </c>
      <c r="K213" s="23">
        <v>56</v>
      </c>
    </row>
    <row r="214" spans="4:11">
      <c r="D214" s="20">
        <v>46212</v>
      </c>
      <c r="E214" s="21">
        <v>1619227</v>
      </c>
      <c r="F214" s="21" t="s">
        <v>21</v>
      </c>
      <c r="G214" s="22">
        <v>20005849</v>
      </c>
      <c r="H214" s="21" t="s">
        <v>51</v>
      </c>
      <c r="I214" s="22">
        <v>14</v>
      </c>
      <c r="J214" s="23">
        <v>8</v>
      </c>
      <c r="K214" s="23">
        <v>112</v>
      </c>
    </row>
    <row r="215" spans="4:11">
      <c r="D215" s="20">
        <v>46212</v>
      </c>
      <c r="E215" s="21">
        <v>1619227</v>
      </c>
      <c r="F215" s="21" t="s">
        <v>13</v>
      </c>
      <c r="G215" s="22">
        <v>20008026</v>
      </c>
      <c r="H215" s="21" t="s">
        <v>88</v>
      </c>
      <c r="I215" s="22">
        <v>13</v>
      </c>
      <c r="J215" s="23">
        <v>16.5</v>
      </c>
      <c r="K215" s="23">
        <v>214.5</v>
      </c>
    </row>
    <row r="216" spans="4:11">
      <c r="D216" s="20">
        <v>46213</v>
      </c>
      <c r="E216" s="21">
        <v>1619276</v>
      </c>
      <c r="F216" s="21" t="s">
        <v>21</v>
      </c>
      <c r="G216" s="22">
        <v>20407295</v>
      </c>
      <c r="H216" s="21" t="s">
        <v>87</v>
      </c>
      <c r="I216" s="22">
        <v>18</v>
      </c>
      <c r="J216" s="23">
        <v>8</v>
      </c>
      <c r="K216" s="23">
        <v>144</v>
      </c>
    </row>
    <row r="217" spans="4:11">
      <c r="D217" s="20">
        <v>46214</v>
      </c>
      <c r="E217" s="21">
        <v>1619618</v>
      </c>
      <c r="F217" s="21" t="s">
        <v>19</v>
      </c>
      <c r="G217" s="22">
        <v>20005210</v>
      </c>
      <c r="H217" s="21" t="s">
        <v>85</v>
      </c>
      <c r="I217" s="22">
        <v>2</v>
      </c>
      <c r="J217" s="23">
        <v>49.5</v>
      </c>
      <c r="K217" s="23">
        <v>99</v>
      </c>
    </row>
    <row r="218" spans="4:11">
      <c r="D218" s="20">
        <v>46214</v>
      </c>
      <c r="E218" s="21">
        <v>1619618</v>
      </c>
      <c r="F218" s="21" t="s">
        <v>21</v>
      </c>
      <c r="G218" s="22">
        <v>20005207</v>
      </c>
      <c r="H218" s="21" t="s">
        <v>56</v>
      </c>
      <c r="I218" s="22">
        <v>10</v>
      </c>
      <c r="J218" s="23">
        <v>8</v>
      </c>
      <c r="K218" s="23">
        <v>80</v>
      </c>
    </row>
    <row r="219" spans="4:11">
      <c r="D219" s="20">
        <v>46214</v>
      </c>
      <c r="E219" s="21">
        <v>1619618</v>
      </c>
      <c r="F219" s="21" t="s">
        <v>21</v>
      </c>
      <c r="G219" s="22">
        <v>20005208</v>
      </c>
      <c r="H219" s="21" t="s">
        <v>73</v>
      </c>
      <c r="I219" s="22">
        <v>14</v>
      </c>
      <c r="J219" s="23">
        <v>8</v>
      </c>
      <c r="K219" s="23">
        <v>112</v>
      </c>
    </row>
    <row r="220" spans="4:11">
      <c r="D220" s="20">
        <v>46214</v>
      </c>
      <c r="E220" s="21">
        <v>1619618</v>
      </c>
      <c r="F220" s="21" t="s">
        <v>21</v>
      </c>
      <c r="G220" s="22">
        <v>20313590</v>
      </c>
      <c r="H220" s="21" t="s">
        <v>89</v>
      </c>
      <c r="I220" s="22">
        <v>1</v>
      </c>
      <c r="J220" s="23">
        <v>8</v>
      </c>
      <c r="K220" s="23">
        <v>8</v>
      </c>
    </row>
    <row r="221" spans="4:11">
      <c r="D221" s="20">
        <v>46214</v>
      </c>
      <c r="E221" s="21">
        <v>1619618</v>
      </c>
      <c r="F221" s="21" t="s">
        <v>21</v>
      </c>
      <c r="G221" s="22">
        <v>20013630</v>
      </c>
      <c r="H221" s="21" t="s">
        <v>86</v>
      </c>
      <c r="I221" s="22">
        <v>5</v>
      </c>
      <c r="J221" s="23">
        <v>8</v>
      </c>
      <c r="K221" s="23">
        <v>40</v>
      </c>
    </row>
    <row r="222" spans="4:11">
      <c r="D222" s="20">
        <v>46214</v>
      </c>
      <c r="E222" s="21">
        <v>1619618</v>
      </c>
      <c r="F222" s="21" t="s">
        <v>21</v>
      </c>
      <c r="G222" s="22">
        <v>20407295</v>
      </c>
      <c r="H222" s="21" t="s">
        <v>87</v>
      </c>
      <c r="I222" s="22">
        <v>20</v>
      </c>
      <c r="J222" s="23">
        <v>8</v>
      </c>
      <c r="K222" s="23">
        <v>160</v>
      </c>
    </row>
    <row r="223" spans="4:11">
      <c r="D223" s="20">
        <v>46214</v>
      </c>
      <c r="E223" s="21">
        <v>1619618</v>
      </c>
      <c r="F223" s="21" t="s">
        <v>21</v>
      </c>
      <c r="G223" s="22">
        <v>20321305</v>
      </c>
      <c r="H223" s="21" t="s">
        <v>90</v>
      </c>
      <c r="I223" s="22">
        <v>1</v>
      </c>
      <c r="J223" s="23">
        <v>8</v>
      </c>
      <c r="K223" s="23">
        <v>8</v>
      </c>
    </row>
    <row r="224" spans="4:11">
      <c r="D224" s="20">
        <v>46214</v>
      </c>
      <c r="E224" s="21">
        <v>1619618</v>
      </c>
      <c r="F224" s="21" t="s">
        <v>21</v>
      </c>
      <c r="G224" s="22">
        <v>20314990</v>
      </c>
      <c r="H224" s="21" t="s">
        <v>54</v>
      </c>
      <c r="I224" s="22">
        <v>6</v>
      </c>
      <c r="J224" s="23">
        <v>8</v>
      </c>
      <c r="K224" s="23">
        <v>48</v>
      </c>
    </row>
    <row r="225" spans="4:11">
      <c r="D225" s="20">
        <v>46214</v>
      </c>
      <c r="E225" s="21">
        <v>1619618</v>
      </c>
      <c r="F225" s="21" t="s">
        <v>21</v>
      </c>
      <c r="G225" s="22">
        <v>20005849</v>
      </c>
      <c r="H225" s="21" t="s">
        <v>51</v>
      </c>
      <c r="I225" s="22">
        <v>11</v>
      </c>
      <c r="J225" s="23">
        <v>8</v>
      </c>
      <c r="K225" s="23">
        <v>88</v>
      </c>
    </row>
    <row r="226" spans="4:11">
      <c r="D226" s="20">
        <v>46214</v>
      </c>
      <c r="E226" s="21">
        <v>1619618</v>
      </c>
      <c r="F226" s="21" t="s">
        <v>13</v>
      </c>
      <c r="G226" s="22">
        <v>20008026</v>
      </c>
      <c r="H226" s="21" t="s">
        <v>88</v>
      </c>
      <c r="I226" s="22">
        <v>10</v>
      </c>
      <c r="J226" s="23">
        <v>16.5</v>
      </c>
      <c r="K226" s="23">
        <v>165</v>
      </c>
    </row>
    <row r="227" spans="4:11">
      <c r="D227" s="20">
        <v>46214</v>
      </c>
      <c r="E227" s="21">
        <v>1619726</v>
      </c>
      <c r="F227" s="21" t="s">
        <v>21</v>
      </c>
      <c r="G227" s="22">
        <v>20005207</v>
      </c>
      <c r="H227" s="21" t="s">
        <v>56</v>
      </c>
      <c r="I227" s="22">
        <v>4</v>
      </c>
      <c r="J227" s="23">
        <v>8</v>
      </c>
      <c r="K227" s="23">
        <v>32</v>
      </c>
    </row>
    <row r="228" spans="4:11">
      <c r="D228" s="20">
        <v>46214</v>
      </c>
      <c r="E228" s="21">
        <v>1619726</v>
      </c>
      <c r="F228" s="21" t="s">
        <v>21</v>
      </c>
      <c r="G228" s="22">
        <v>20005208</v>
      </c>
      <c r="H228" s="21" t="s">
        <v>73</v>
      </c>
      <c r="I228" s="22">
        <v>8</v>
      </c>
      <c r="J228" s="23">
        <v>8</v>
      </c>
      <c r="K228" s="23">
        <v>64</v>
      </c>
    </row>
    <row r="229" spans="4:11">
      <c r="D229" s="20">
        <v>46214</v>
      </c>
      <c r="E229" s="21">
        <v>1619726</v>
      </c>
      <c r="F229" s="21" t="s">
        <v>21</v>
      </c>
      <c r="G229" s="22">
        <v>20013630</v>
      </c>
      <c r="H229" s="21" t="s">
        <v>86</v>
      </c>
      <c r="I229" s="22">
        <v>1</v>
      </c>
      <c r="J229" s="23">
        <v>8</v>
      </c>
      <c r="K229" s="23">
        <v>8</v>
      </c>
    </row>
    <row r="230" spans="4:11">
      <c r="D230" s="20">
        <v>46214</v>
      </c>
      <c r="E230" s="21">
        <v>1619726</v>
      </c>
      <c r="F230" s="21" t="s">
        <v>21</v>
      </c>
      <c r="G230" s="22">
        <v>20407295</v>
      </c>
      <c r="H230" s="21" t="s">
        <v>87</v>
      </c>
      <c r="I230" s="22">
        <v>6</v>
      </c>
      <c r="J230" s="23">
        <v>8</v>
      </c>
      <c r="K230" s="23">
        <v>48</v>
      </c>
    </row>
    <row r="231" spans="4:11">
      <c r="D231" s="20">
        <v>46214</v>
      </c>
      <c r="E231" s="21">
        <v>1619726</v>
      </c>
      <c r="F231" s="21" t="s">
        <v>21</v>
      </c>
      <c r="G231" s="22">
        <v>20324084</v>
      </c>
      <c r="H231" s="21" t="s">
        <v>22</v>
      </c>
      <c r="I231" s="22">
        <v>1</v>
      </c>
      <c r="J231" s="23">
        <v>8</v>
      </c>
      <c r="K231" s="23">
        <v>8</v>
      </c>
    </row>
    <row r="232" spans="4:11">
      <c r="D232" s="20">
        <v>46214</v>
      </c>
      <c r="E232" s="21">
        <v>1619726</v>
      </c>
      <c r="F232" s="21" t="s">
        <v>21</v>
      </c>
      <c r="G232" s="22">
        <v>20314990</v>
      </c>
      <c r="H232" s="21" t="s">
        <v>54</v>
      </c>
      <c r="I232" s="22">
        <v>6</v>
      </c>
      <c r="J232" s="23">
        <v>8</v>
      </c>
      <c r="K232" s="23">
        <v>48</v>
      </c>
    </row>
    <row r="233" spans="4:11">
      <c r="D233" s="20">
        <v>46214</v>
      </c>
      <c r="E233" s="21">
        <v>1619726</v>
      </c>
      <c r="F233" s="21" t="s">
        <v>21</v>
      </c>
      <c r="G233" s="22">
        <v>20005849</v>
      </c>
      <c r="H233" s="21" t="s">
        <v>51</v>
      </c>
      <c r="I233" s="22">
        <v>7</v>
      </c>
      <c r="J233" s="23">
        <v>8</v>
      </c>
      <c r="K233" s="23">
        <v>56</v>
      </c>
    </row>
    <row r="234" spans="4:11">
      <c r="D234" s="20">
        <v>46214</v>
      </c>
      <c r="E234" s="21">
        <v>1619726</v>
      </c>
      <c r="F234" s="21" t="s">
        <v>13</v>
      </c>
      <c r="G234" s="22">
        <v>20008026</v>
      </c>
      <c r="H234" s="21" t="s">
        <v>88</v>
      </c>
      <c r="I234" s="22">
        <v>4</v>
      </c>
      <c r="J234" s="23">
        <v>16.5</v>
      </c>
      <c r="K234" s="23">
        <v>66</v>
      </c>
    </row>
    <row r="235" spans="4:11">
      <c r="D235" s="20">
        <v>46217</v>
      </c>
      <c r="E235" s="21">
        <v>1620136</v>
      </c>
      <c r="F235" s="21" t="s">
        <v>19</v>
      </c>
      <c r="G235" s="22">
        <v>20005210</v>
      </c>
      <c r="H235" s="21" t="s">
        <v>85</v>
      </c>
      <c r="I235" s="22">
        <v>1</v>
      </c>
      <c r="J235" s="23">
        <v>49.5</v>
      </c>
      <c r="K235" s="23">
        <v>49.5</v>
      </c>
    </row>
    <row r="236" spans="4:11">
      <c r="D236" s="20">
        <v>46217</v>
      </c>
      <c r="E236" s="21">
        <v>1620136</v>
      </c>
      <c r="F236" s="21" t="s">
        <v>21</v>
      </c>
      <c r="G236" s="22">
        <v>20005207</v>
      </c>
      <c r="H236" s="21" t="s">
        <v>56</v>
      </c>
      <c r="I236" s="22">
        <v>5</v>
      </c>
      <c r="J236" s="23">
        <v>8</v>
      </c>
      <c r="K236" s="23">
        <v>40</v>
      </c>
    </row>
    <row r="237" spans="4:11">
      <c r="D237" s="20">
        <v>46217</v>
      </c>
      <c r="E237" s="21">
        <v>1620136</v>
      </c>
      <c r="F237" s="21" t="s">
        <v>21</v>
      </c>
      <c r="G237" s="22">
        <v>20005208</v>
      </c>
      <c r="H237" s="21" t="s">
        <v>73</v>
      </c>
      <c r="I237" s="22">
        <v>20</v>
      </c>
      <c r="J237" s="23">
        <v>8</v>
      </c>
      <c r="K237" s="23">
        <v>160</v>
      </c>
    </row>
    <row r="238" spans="4:11">
      <c r="D238" s="20">
        <v>46217</v>
      </c>
      <c r="E238" s="21">
        <v>1620136</v>
      </c>
      <c r="F238" s="21" t="s">
        <v>21</v>
      </c>
      <c r="G238" s="22">
        <v>20013630</v>
      </c>
      <c r="H238" s="21" t="s">
        <v>86</v>
      </c>
      <c r="I238" s="22">
        <v>11</v>
      </c>
      <c r="J238" s="23">
        <v>8</v>
      </c>
      <c r="K238" s="23">
        <v>88</v>
      </c>
    </row>
    <row r="239" spans="4:11">
      <c r="D239" s="20">
        <v>46217</v>
      </c>
      <c r="E239" s="21">
        <v>1620136</v>
      </c>
      <c r="F239" s="21" t="s">
        <v>21</v>
      </c>
      <c r="G239" s="22">
        <v>20407295</v>
      </c>
      <c r="H239" s="21" t="s">
        <v>87</v>
      </c>
      <c r="I239" s="22">
        <v>24</v>
      </c>
      <c r="J239" s="23">
        <v>8</v>
      </c>
      <c r="K239" s="23">
        <v>192</v>
      </c>
    </row>
    <row r="240" spans="4:11">
      <c r="D240" s="20">
        <v>46217</v>
      </c>
      <c r="E240" s="21">
        <v>1620136</v>
      </c>
      <c r="F240" s="21" t="s">
        <v>21</v>
      </c>
      <c r="G240" s="22">
        <v>20314990</v>
      </c>
      <c r="H240" s="21" t="s">
        <v>54</v>
      </c>
      <c r="I240" s="22">
        <v>4</v>
      </c>
      <c r="J240" s="23">
        <v>8</v>
      </c>
      <c r="K240" s="23">
        <v>32</v>
      </c>
    </row>
    <row r="241" spans="4:11">
      <c r="D241" s="20">
        <v>46217</v>
      </c>
      <c r="E241" s="21">
        <v>1620136</v>
      </c>
      <c r="F241" s="21" t="s">
        <v>21</v>
      </c>
      <c r="G241" s="22">
        <v>20005849</v>
      </c>
      <c r="H241" s="21" t="s">
        <v>51</v>
      </c>
      <c r="I241" s="22">
        <v>14</v>
      </c>
      <c r="J241" s="23">
        <v>8</v>
      </c>
      <c r="K241" s="23">
        <v>112</v>
      </c>
    </row>
    <row r="242" spans="4:11">
      <c r="D242" s="20">
        <v>46217</v>
      </c>
      <c r="E242" s="21">
        <v>1620136</v>
      </c>
      <c r="F242" s="21" t="s">
        <v>13</v>
      </c>
      <c r="G242" s="22">
        <v>20008026</v>
      </c>
      <c r="H242" s="21" t="s">
        <v>88</v>
      </c>
      <c r="I242" s="22">
        <v>5</v>
      </c>
      <c r="J242" s="23">
        <v>16.5</v>
      </c>
      <c r="K242" s="23">
        <v>82.5</v>
      </c>
    </row>
    <row r="243" spans="4:11">
      <c r="D243" s="20">
        <v>46217</v>
      </c>
      <c r="E243" s="21">
        <v>1620136</v>
      </c>
      <c r="F243" s="21" t="s">
        <v>16</v>
      </c>
      <c r="G243" s="22">
        <v>20302879</v>
      </c>
      <c r="H243" s="21" t="s">
        <v>84</v>
      </c>
      <c r="I243" s="22">
        <v>2</v>
      </c>
      <c r="J243" s="23">
        <v>4</v>
      </c>
      <c r="K243" s="23">
        <v>8</v>
      </c>
    </row>
    <row r="244" ht="0.05" customHeight="1"/>
  </sheetData>
  <mergeCells count="5">
    <mergeCell ref="D8:H8"/>
    <mergeCell ref="C7:C243"/>
    <mergeCell ref="B4:H5"/>
    <mergeCell ref="A7:B243"/>
    <mergeCell ref="C1:H2"/>
  </mergeCells>
  <pageMargins left="0.25" right="0.25" top="0.75" bottom="0.75" header="0.298611111111111" footer="0.298611111111111"/>
  <pageSetup paperSize="9" scale="9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8:31 
&amp;"-,Bold"&amp;10 黑龙江省铂康医疗灭菌有限公司 &amp;R&amp;"Droid Sans Fallback"&amp;9第&amp;P页，共&amp;N页 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5"/>
  <sheetViews>
    <sheetView showGridLines="0" view="pageBreakPreview" zoomScaleNormal="100" workbookViewId="0">
      <pane ySplit="6" topLeftCell="A9" activePane="bottomLeft" state="frozen"/>
      <selection/>
      <selection pane="bottomLeft" activeCell="K9" sqref="K9:K4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1.25" customWidth="1"/>
    <col min="10" max="10" width="12.2083333333333" customWidth="1"/>
    <col min="11" max="11" width="10.875" customWidth="1"/>
  </cols>
  <sheetData>
    <row r="1" spans="1:11">
      <c r="C1" s="10" t="s">
        <v>0</v>
      </c>
    </row>
    <row r="2" ht="23.05" customHeight="1"/>
    <row r="3" ht="2" customHeight="1"/>
    <row r="4" ht="15.2" customHeight="1" spans="1:11">
      <c r="B4" s="11" t="s">
        <v>1</v>
      </c>
    </row>
    <row r="6" ht="2.95" customHeight="1"/>
    <row r="7" spans="1:11">
      <c r="A7" s="12" t="s">
        <v>2</v>
      </c>
      <c r="B7" s="13" t="s">
        <v>2</v>
      </c>
      <c r="C7" s="14" t="s">
        <v>2</v>
      </c>
      <c r="D7" s="15" t="s">
        <v>4</v>
      </c>
      <c r="E7" s="15" t="s">
        <v>5</v>
      </c>
      <c r="F7" s="15" t="s">
        <v>6</v>
      </c>
      <c r="G7" s="15" t="s">
        <v>7</v>
      </c>
      <c r="H7" s="15" t="s">
        <v>8</v>
      </c>
      <c r="I7" s="15" t="s">
        <v>9</v>
      </c>
      <c r="J7" s="15" t="s">
        <v>10</v>
      </c>
      <c r="K7" s="15" t="s">
        <v>11</v>
      </c>
    </row>
    <row r="8" ht="14.25" spans="1:11">
      <c r="D8" s="16" t="s">
        <v>93</v>
      </c>
      <c r="E8" s="17" t="s">
        <v>2</v>
      </c>
      <c r="F8" s="17" t="s">
        <v>2</v>
      </c>
      <c r="G8" s="17" t="s">
        <v>2</v>
      </c>
      <c r="H8" s="17" t="s">
        <v>2</v>
      </c>
      <c r="I8" s="18">
        <v>46</v>
      </c>
      <c r="J8" s="19"/>
      <c r="K8" s="19">
        <v>1371</v>
      </c>
    </row>
    <row r="9" spans="1:11">
      <c r="D9" s="20">
        <v>46198</v>
      </c>
      <c r="E9" s="21">
        <v>1615073</v>
      </c>
      <c r="F9" s="21" t="s">
        <v>94</v>
      </c>
      <c r="G9" s="22">
        <v>20394765</v>
      </c>
      <c r="H9" s="21" t="s">
        <v>95</v>
      </c>
      <c r="I9" s="22">
        <v>1</v>
      </c>
      <c r="J9" s="23">
        <v>38.5</v>
      </c>
      <c r="K9" s="23">
        <v>38.5</v>
      </c>
    </row>
    <row r="10" spans="1:11">
      <c r="D10" s="20">
        <v>46198</v>
      </c>
      <c r="E10" s="21">
        <v>1615073</v>
      </c>
      <c r="F10" s="21" t="s">
        <v>21</v>
      </c>
      <c r="G10" s="22">
        <v>20394788</v>
      </c>
      <c r="H10" s="21" t="s">
        <v>96</v>
      </c>
      <c r="I10" s="22">
        <v>1</v>
      </c>
      <c r="J10" s="23">
        <v>8</v>
      </c>
      <c r="K10" s="23">
        <v>8</v>
      </c>
    </row>
    <row r="11" spans="1:11">
      <c r="D11" s="20">
        <v>46198</v>
      </c>
      <c r="E11" s="21">
        <v>1615073</v>
      </c>
      <c r="F11" s="21" t="s">
        <v>21</v>
      </c>
      <c r="G11" s="22">
        <v>20377357</v>
      </c>
      <c r="H11" s="21" t="s">
        <v>31</v>
      </c>
      <c r="I11" s="22">
        <v>1</v>
      </c>
      <c r="J11" s="23">
        <v>8</v>
      </c>
      <c r="K11" s="23">
        <v>8</v>
      </c>
    </row>
    <row r="12" spans="1:11">
      <c r="D12" s="20">
        <v>46198</v>
      </c>
      <c r="E12" s="21">
        <v>1615073</v>
      </c>
      <c r="F12" s="21" t="s">
        <v>97</v>
      </c>
      <c r="G12" s="22">
        <v>20394771</v>
      </c>
      <c r="H12" s="21" t="s">
        <v>98</v>
      </c>
      <c r="I12" s="22">
        <v>1</v>
      </c>
      <c r="J12" s="23">
        <v>88</v>
      </c>
      <c r="K12" s="23">
        <v>88</v>
      </c>
    </row>
    <row r="13" spans="1:11">
      <c r="D13" s="20">
        <v>46198</v>
      </c>
      <c r="E13" s="21">
        <v>1615073</v>
      </c>
      <c r="F13" s="21" t="s">
        <v>13</v>
      </c>
      <c r="G13" s="22">
        <v>20005838</v>
      </c>
      <c r="H13" s="21" t="s">
        <v>99</v>
      </c>
      <c r="I13" s="22">
        <v>1</v>
      </c>
      <c r="J13" s="23">
        <v>16.5</v>
      </c>
      <c r="K13" s="23">
        <v>16.5</v>
      </c>
    </row>
    <row r="14" spans="1:11">
      <c r="D14" s="20">
        <v>46198</v>
      </c>
      <c r="E14" s="21">
        <v>1615073</v>
      </c>
      <c r="F14" s="21" t="s">
        <v>13</v>
      </c>
      <c r="G14" s="22">
        <v>20394766</v>
      </c>
      <c r="H14" s="21" t="s">
        <v>100</v>
      </c>
      <c r="I14" s="22">
        <v>1</v>
      </c>
      <c r="J14" s="23">
        <v>16.5</v>
      </c>
      <c r="K14" s="23">
        <v>16.5</v>
      </c>
    </row>
    <row r="15" spans="1:11">
      <c r="D15" s="20">
        <v>46200</v>
      </c>
      <c r="E15" s="21">
        <v>1615731</v>
      </c>
      <c r="F15" s="21" t="s">
        <v>94</v>
      </c>
      <c r="G15" s="22">
        <v>20394765</v>
      </c>
      <c r="H15" s="21" t="s">
        <v>95</v>
      </c>
      <c r="I15" s="22">
        <v>1</v>
      </c>
      <c r="J15" s="23">
        <v>38.5</v>
      </c>
      <c r="K15" s="23">
        <v>38.5</v>
      </c>
    </row>
    <row r="16" spans="1:11">
      <c r="D16" s="20">
        <v>46200</v>
      </c>
      <c r="E16" s="21">
        <v>1615731</v>
      </c>
      <c r="F16" s="21" t="s">
        <v>21</v>
      </c>
      <c r="G16" s="22">
        <v>20404922</v>
      </c>
      <c r="H16" s="21" t="s">
        <v>101</v>
      </c>
      <c r="I16" s="22">
        <v>1</v>
      </c>
      <c r="J16" s="23">
        <v>8</v>
      </c>
      <c r="K16" s="23">
        <v>8</v>
      </c>
    </row>
    <row r="17" spans="4:11">
      <c r="D17" s="20">
        <v>46200</v>
      </c>
      <c r="E17" s="21">
        <v>1615731</v>
      </c>
      <c r="F17" s="21" t="s">
        <v>21</v>
      </c>
      <c r="G17" s="22">
        <v>20394788</v>
      </c>
      <c r="H17" s="21" t="s">
        <v>96</v>
      </c>
      <c r="I17" s="22">
        <v>1</v>
      </c>
      <c r="J17" s="23">
        <v>8</v>
      </c>
      <c r="K17" s="23">
        <v>8</v>
      </c>
    </row>
    <row r="18" spans="4:11">
      <c r="D18" s="20">
        <v>46200</v>
      </c>
      <c r="E18" s="21">
        <v>1615731</v>
      </c>
      <c r="F18" s="21" t="s">
        <v>21</v>
      </c>
      <c r="G18" s="22">
        <v>20377357</v>
      </c>
      <c r="H18" s="21" t="s">
        <v>31</v>
      </c>
      <c r="I18" s="22">
        <v>1</v>
      </c>
      <c r="J18" s="23">
        <v>8</v>
      </c>
      <c r="K18" s="23">
        <v>8</v>
      </c>
    </row>
    <row r="19" spans="4:11">
      <c r="D19" s="20">
        <v>46200</v>
      </c>
      <c r="E19" s="21">
        <v>1615731</v>
      </c>
      <c r="F19" s="21" t="s">
        <v>97</v>
      </c>
      <c r="G19" s="22">
        <v>20394771</v>
      </c>
      <c r="H19" s="21" t="s">
        <v>98</v>
      </c>
      <c r="I19" s="22">
        <v>1</v>
      </c>
      <c r="J19" s="23">
        <v>88</v>
      </c>
      <c r="K19" s="23">
        <v>88</v>
      </c>
    </row>
    <row r="20" spans="4:11">
      <c r="D20" s="20">
        <v>46202</v>
      </c>
      <c r="E20" s="21">
        <v>1616100</v>
      </c>
      <c r="F20" s="21" t="s">
        <v>13</v>
      </c>
      <c r="G20" s="22">
        <v>20428180</v>
      </c>
      <c r="H20" s="21" t="s">
        <v>102</v>
      </c>
      <c r="I20" s="22">
        <v>1</v>
      </c>
      <c r="J20" s="23">
        <v>27.5</v>
      </c>
      <c r="K20" s="23">
        <v>27.5</v>
      </c>
    </row>
    <row r="21" spans="4:11">
      <c r="D21" s="20">
        <v>46205</v>
      </c>
      <c r="E21" s="21">
        <v>1617108</v>
      </c>
      <c r="F21" s="21" t="s">
        <v>16</v>
      </c>
      <c r="G21" s="22">
        <v>20302879</v>
      </c>
      <c r="H21" s="21" t="s">
        <v>84</v>
      </c>
      <c r="I21" s="22">
        <v>2</v>
      </c>
      <c r="J21" s="23">
        <v>4</v>
      </c>
      <c r="K21" s="23">
        <v>8</v>
      </c>
    </row>
    <row r="22" spans="4:11">
      <c r="D22" s="20">
        <v>46206</v>
      </c>
      <c r="E22" s="21">
        <v>1617277</v>
      </c>
      <c r="F22" s="21" t="s">
        <v>94</v>
      </c>
      <c r="G22" s="22">
        <v>20394765</v>
      </c>
      <c r="H22" s="21" t="s">
        <v>95</v>
      </c>
      <c r="I22" s="22">
        <v>1</v>
      </c>
      <c r="J22" s="23">
        <v>38.5</v>
      </c>
      <c r="K22" s="23">
        <v>38.5</v>
      </c>
    </row>
    <row r="23" spans="4:11">
      <c r="D23" s="20">
        <v>46206</v>
      </c>
      <c r="E23" s="21">
        <v>1617277</v>
      </c>
      <c r="F23" s="21" t="s">
        <v>21</v>
      </c>
      <c r="G23" s="22">
        <v>20401665</v>
      </c>
      <c r="H23" s="21" t="s">
        <v>103</v>
      </c>
      <c r="I23" s="22">
        <v>1</v>
      </c>
      <c r="J23" s="23">
        <v>11</v>
      </c>
      <c r="K23" s="23">
        <v>11</v>
      </c>
    </row>
    <row r="24" spans="4:11">
      <c r="D24" s="20">
        <v>46206</v>
      </c>
      <c r="E24" s="21">
        <v>1617277</v>
      </c>
      <c r="F24" s="21" t="s">
        <v>21</v>
      </c>
      <c r="G24" s="22">
        <v>20394788</v>
      </c>
      <c r="H24" s="21" t="s">
        <v>96</v>
      </c>
      <c r="I24" s="22">
        <v>2</v>
      </c>
      <c r="J24" s="23">
        <v>8</v>
      </c>
      <c r="K24" s="23">
        <v>16</v>
      </c>
    </row>
    <row r="25" spans="4:11">
      <c r="D25" s="20">
        <v>46206</v>
      </c>
      <c r="E25" s="21">
        <v>1617277</v>
      </c>
      <c r="F25" s="21" t="s">
        <v>21</v>
      </c>
      <c r="G25" s="22">
        <v>20302876</v>
      </c>
      <c r="H25" s="21" t="s">
        <v>91</v>
      </c>
      <c r="I25" s="22">
        <v>2</v>
      </c>
      <c r="J25" s="23">
        <v>16</v>
      </c>
      <c r="K25" s="23">
        <v>32</v>
      </c>
    </row>
    <row r="26" spans="4:11">
      <c r="D26" s="20">
        <v>46206</v>
      </c>
      <c r="E26" s="21">
        <v>1617277</v>
      </c>
      <c r="F26" s="21" t="s">
        <v>21</v>
      </c>
      <c r="G26" s="22">
        <v>20394764</v>
      </c>
      <c r="H26" s="21" t="s">
        <v>104</v>
      </c>
      <c r="I26" s="22">
        <v>2</v>
      </c>
      <c r="J26" s="23">
        <v>8</v>
      </c>
      <c r="K26" s="23">
        <v>16</v>
      </c>
    </row>
    <row r="27" spans="4:11">
      <c r="D27" s="20">
        <v>46206</v>
      </c>
      <c r="E27" s="21">
        <v>1617277</v>
      </c>
      <c r="F27" s="21" t="s">
        <v>97</v>
      </c>
      <c r="G27" s="22">
        <v>20394771</v>
      </c>
      <c r="H27" s="21" t="s">
        <v>98</v>
      </c>
      <c r="I27" s="22">
        <v>2</v>
      </c>
      <c r="J27" s="23">
        <v>88</v>
      </c>
      <c r="K27" s="23">
        <v>176</v>
      </c>
    </row>
    <row r="28" spans="4:11">
      <c r="D28" s="20">
        <v>46206</v>
      </c>
      <c r="E28" s="21">
        <v>1617277</v>
      </c>
      <c r="F28" s="21" t="s">
        <v>13</v>
      </c>
      <c r="G28" s="22">
        <v>20402571</v>
      </c>
      <c r="H28" s="21" t="s">
        <v>105</v>
      </c>
      <c r="I28" s="22">
        <v>1</v>
      </c>
      <c r="J28" s="23">
        <v>38.5</v>
      </c>
      <c r="K28" s="23">
        <v>38.5</v>
      </c>
    </row>
    <row r="29" spans="4:11">
      <c r="D29" s="20">
        <v>46206</v>
      </c>
      <c r="E29" s="21">
        <v>1617277</v>
      </c>
      <c r="F29" s="21" t="s">
        <v>13</v>
      </c>
      <c r="G29" s="22">
        <v>20428723</v>
      </c>
      <c r="H29" s="21" t="s">
        <v>106</v>
      </c>
      <c r="I29" s="22">
        <v>1</v>
      </c>
      <c r="J29" s="23">
        <v>126.5</v>
      </c>
      <c r="K29" s="23">
        <v>126.5</v>
      </c>
    </row>
    <row r="30" spans="4:11">
      <c r="D30" s="20">
        <v>46207</v>
      </c>
      <c r="E30" s="21">
        <v>1617724</v>
      </c>
      <c r="F30" s="21" t="s">
        <v>94</v>
      </c>
      <c r="G30" s="22">
        <v>20394765</v>
      </c>
      <c r="H30" s="21" t="s">
        <v>95</v>
      </c>
      <c r="I30" s="22">
        <v>1</v>
      </c>
      <c r="J30" s="23">
        <v>38.5</v>
      </c>
      <c r="K30" s="23">
        <v>38.5</v>
      </c>
    </row>
    <row r="31" spans="4:11">
      <c r="D31" s="20">
        <v>46207</v>
      </c>
      <c r="E31" s="21">
        <v>1617724</v>
      </c>
      <c r="F31" s="21" t="s">
        <v>21</v>
      </c>
      <c r="G31" s="22">
        <v>20404922</v>
      </c>
      <c r="H31" s="21" t="s">
        <v>101</v>
      </c>
      <c r="I31" s="22">
        <v>1</v>
      </c>
      <c r="J31" s="23">
        <v>8</v>
      </c>
      <c r="K31" s="23">
        <v>8</v>
      </c>
    </row>
    <row r="32" spans="4:11">
      <c r="D32" s="20">
        <v>46207</v>
      </c>
      <c r="E32" s="21">
        <v>1617724</v>
      </c>
      <c r="F32" s="21" t="s">
        <v>21</v>
      </c>
      <c r="G32" s="22">
        <v>20394788</v>
      </c>
      <c r="H32" s="21" t="s">
        <v>96</v>
      </c>
      <c r="I32" s="22">
        <v>1</v>
      </c>
      <c r="J32" s="23">
        <v>8</v>
      </c>
      <c r="K32" s="23">
        <v>8</v>
      </c>
    </row>
    <row r="33" spans="4:11">
      <c r="D33" s="20">
        <v>46207</v>
      </c>
      <c r="E33" s="21">
        <v>1617724</v>
      </c>
      <c r="F33" s="21" t="s">
        <v>21</v>
      </c>
      <c r="G33" s="22">
        <v>20377357</v>
      </c>
      <c r="H33" s="21" t="s">
        <v>31</v>
      </c>
      <c r="I33" s="22">
        <v>1</v>
      </c>
      <c r="J33" s="23">
        <v>8</v>
      </c>
      <c r="K33" s="23">
        <v>8</v>
      </c>
    </row>
    <row r="34" spans="4:11">
      <c r="D34" s="20">
        <v>46207</v>
      </c>
      <c r="E34" s="21">
        <v>1617724</v>
      </c>
      <c r="F34" s="21" t="s">
        <v>97</v>
      </c>
      <c r="G34" s="22">
        <v>20394771</v>
      </c>
      <c r="H34" s="21" t="s">
        <v>98</v>
      </c>
      <c r="I34" s="22">
        <v>1</v>
      </c>
      <c r="J34" s="23">
        <v>88</v>
      </c>
      <c r="K34" s="23">
        <v>88</v>
      </c>
    </row>
    <row r="35" spans="4:11">
      <c r="D35" s="20">
        <v>46207</v>
      </c>
      <c r="E35" s="21">
        <v>1617724</v>
      </c>
      <c r="F35" s="21" t="s">
        <v>13</v>
      </c>
      <c r="G35" s="22">
        <v>20402571</v>
      </c>
      <c r="H35" s="21" t="s">
        <v>105</v>
      </c>
      <c r="I35" s="22">
        <v>1</v>
      </c>
      <c r="J35" s="23">
        <v>38.5</v>
      </c>
      <c r="K35" s="23">
        <v>38.5</v>
      </c>
    </row>
    <row r="36" spans="4:11">
      <c r="D36" s="20">
        <v>46214</v>
      </c>
      <c r="E36" s="21">
        <v>1619724</v>
      </c>
      <c r="F36" s="21" t="s">
        <v>94</v>
      </c>
      <c r="G36" s="22">
        <v>20394765</v>
      </c>
      <c r="H36" s="21" t="s">
        <v>95</v>
      </c>
      <c r="I36" s="22">
        <v>2</v>
      </c>
      <c r="J36" s="23">
        <v>38.5</v>
      </c>
      <c r="K36" s="23">
        <v>77</v>
      </c>
    </row>
    <row r="37" spans="4:11">
      <c r="D37" s="20">
        <v>46214</v>
      </c>
      <c r="E37" s="21">
        <v>1619724</v>
      </c>
      <c r="F37" s="21" t="s">
        <v>21</v>
      </c>
      <c r="G37" s="22">
        <v>20404922</v>
      </c>
      <c r="H37" s="21" t="s">
        <v>101</v>
      </c>
      <c r="I37" s="22">
        <v>1</v>
      </c>
      <c r="J37" s="23">
        <v>8</v>
      </c>
      <c r="K37" s="23">
        <v>8</v>
      </c>
    </row>
    <row r="38" spans="4:11">
      <c r="D38" s="20">
        <v>46214</v>
      </c>
      <c r="E38" s="21">
        <v>1619724</v>
      </c>
      <c r="F38" s="21" t="s">
        <v>21</v>
      </c>
      <c r="G38" s="22">
        <v>20398274</v>
      </c>
      <c r="H38" s="21" t="s">
        <v>107</v>
      </c>
      <c r="I38" s="22">
        <v>1</v>
      </c>
      <c r="J38" s="23">
        <v>8</v>
      </c>
      <c r="K38" s="23">
        <v>8</v>
      </c>
    </row>
    <row r="39" spans="4:11">
      <c r="D39" s="20">
        <v>46214</v>
      </c>
      <c r="E39" s="21">
        <v>1619724</v>
      </c>
      <c r="F39" s="21" t="s">
        <v>21</v>
      </c>
      <c r="G39" s="22">
        <v>20394788</v>
      </c>
      <c r="H39" s="21" t="s">
        <v>96</v>
      </c>
      <c r="I39" s="22">
        <v>2</v>
      </c>
      <c r="J39" s="23">
        <v>8</v>
      </c>
      <c r="K39" s="23">
        <v>16</v>
      </c>
    </row>
    <row r="40" spans="4:11">
      <c r="D40" s="20">
        <v>46214</v>
      </c>
      <c r="E40" s="21">
        <v>1619724</v>
      </c>
      <c r="F40" s="21" t="s">
        <v>21</v>
      </c>
      <c r="G40" s="22">
        <v>20377357</v>
      </c>
      <c r="H40" s="21" t="s">
        <v>31</v>
      </c>
      <c r="I40" s="22">
        <v>2</v>
      </c>
      <c r="J40" s="23">
        <v>8</v>
      </c>
      <c r="K40" s="23">
        <v>16</v>
      </c>
    </row>
    <row r="41" spans="4:11">
      <c r="D41" s="20">
        <v>46214</v>
      </c>
      <c r="E41" s="21">
        <v>1619724</v>
      </c>
      <c r="F41" s="21" t="s">
        <v>21</v>
      </c>
      <c r="G41" s="22">
        <v>20302876</v>
      </c>
      <c r="H41" s="21" t="s">
        <v>91</v>
      </c>
      <c r="I41" s="22">
        <v>2</v>
      </c>
      <c r="J41" s="23">
        <v>16</v>
      </c>
      <c r="K41" s="23">
        <v>32</v>
      </c>
    </row>
    <row r="42" spans="4:11">
      <c r="D42" s="20">
        <v>46214</v>
      </c>
      <c r="E42" s="21">
        <v>1619724</v>
      </c>
      <c r="F42" s="21" t="s">
        <v>97</v>
      </c>
      <c r="G42" s="22">
        <v>20394771</v>
      </c>
      <c r="H42" s="21" t="s">
        <v>98</v>
      </c>
      <c r="I42" s="22">
        <v>2</v>
      </c>
      <c r="J42" s="23">
        <v>88</v>
      </c>
      <c r="K42" s="23">
        <v>176</v>
      </c>
    </row>
    <row r="43" spans="4:11">
      <c r="D43" s="20">
        <v>46214</v>
      </c>
      <c r="E43" s="21">
        <v>1619724</v>
      </c>
      <c r="F43" s="21" t="s">
        <v>13</v>
      </c>
      <c r="G43" s="22">
        <v>20005838</v>
      </c>
      <c r="H43" s="21" t="s">
        <v>99</v>
      </c>
      <c r="I43" s="22">
        <v>1</v>
      </c>
      <c r="J43" s="23">
        <v>16.5</v>
      </c>
      <c r="K43" s="23">
        <v>16.5</v>
      </c>
    </row>
    <row r="44" spans="4:11">
      <c r="D44" s="20">
        <v>46214</v>
      </c>
      <c r="E44" s="21">
        <v>1619724</v>
      </c>
      <c r="F44" s="21" t="s">
        <v>13</v>
      </c>
      <c r="G44" s="22">
        <v>20394766</v>
      </c>
      <c r="H44" s="21" t="s">
        <v>100</v>
      </c>
      <c r="I44" s="22">
        <v>1</v>
      </c>
      <c r="J44" s="23">
        <v>16.5</v>
      </c>
      <c r="K44" s="23">
        <v>16.5</v>
      </c>
    </row>
    <row r="45" ht="0.05" customHeight="1"/>
  </sheetData>
  <autoFilter xmlns:etc="http://www.wps.cn/officeDocument/2017/etCustomData" ref="A7:K44" etc:filterBottomFollowUsedRange="0">
    <extLst/>
  </autoFilter>
  <mergeCells count="5">
    <mergeCell ref="D8:H8"/>
    <mergeCell ref="C7:C44"/>
    <mergeCell ref="B4:H5"/>
    <mergeCell ref="A7:B44"/>
    <mergeCell ref="C1:H2"/>
  </mergeCells>
  <pageMargins left="0.25" right="0.25" top="0.75" bottom="0.75" header="0.298611111111111" footer="0.298611111111111"/>
  <pageSetup paperSize="9" scale="9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8:31 
&amp;"-,Bold"&amp;10 黑龙江省铂康医疗灭菌有限公司 &amp;R&amp;"Droid Sans Fallback"&amp;9第&amp;P页，共&amp;N页 </oddFoot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1.5" customWidth="1"/>
    <col min="9" max="9" width="11.25" customWidth="1"/>
    <col min="10" max="10" width="12.2083333333333" customWidth="1"/>
    <col min="11" max="11" width="10.875" customWidth="1"/>
  </cols>
  <sheetData>
    <row r="1" spans="1:11">
      <c r="C1" s="10" t="s">
        <v>0</v>
      </c>
    </row>
    <row r="2" ht="23.05" customHeight="1"/>
    <row r="3" ht="2" customHeight="1"/>
    <row r="4" ht="15.2" customHeight="1" spans="1:11">
      <c r="B4" s="11" t="s">
        <v>1</v>
      </c>
    </row>
    <row r="6" ht="2.95" customHeight="1"/>
    <row r="7" spans="1:11">
      <c r="A7" s="12" t="s">
        <v>2</v>
      </c>
      <c r="B7" s="13" t="s">
        <v>2</v>
      </c>
      <c r="C7" s="14" t="s">
        <v>2</v>
      </c>
      <c r="D7" s="15" t="s">
        <v>4</v>
      </c>
      <c r="E7" s="15" t="s">
        <v>5</v>
      </c>
      <c r="F7" s="15" t="s">
        <v>6</v>
      </c>
      <c r="G7" s="15" t="s">
        <v>7</v>
      </c>
      <c r="H7" s="15" t="s">
        <v>8</v>
      </c>
      <c r="I7" s="15" t="s">
        <v>9</v>
      </c>
      <c r="J7" s="15" t="s">
        <v>10</v>
      </c>
      <c r="K7" s="15" t="s">
        <v>11</v>
      </c>
    </row>
    <row r="8" ht="14.25" spans="1:11">
      <c r="D8" s="16" t="s">
        <v>108</v>
      </c>
      <c r="E8" s="17" t="s">
        <v>2</v>
      </c>
      <c r="F8" s="17" t="s">
        <v>2</v>
      </c>
      <c r="G8" s="17" t="s">
        <v>2</v>
      </c>
      <c r="H8" s="17" t="s">
        <v>2</v>
      </c>
      <c r="I8" s="18">
        <v>6</v>
      </c>
      <c r="J8" s="19"/>
      <c r="K8" s="19">
        <v>197</v>
      </c>
    </row>
    <row r="9" spans="1:11">
      <c r="D9" s="20">
        <v>46216</v>
      </c>
      <c r="E9" s="21">
        <v>1620003</v>
      </c>
      <c r="F9" s="21" t="s">
        <v>97</v>
      </c>
      <c r="G9" s="22">
        <v>20006486</v>
      </c>
      <c r="H9" s="21" t="s">
        <v>109</v>
      </c>
      <c r="I9" s="22">
        <v>1</v>
      </c>
      <c r="J9" s="23">
        <v>126.5</v>
      </c>
      <c r="K9" s="23">
        <v>126.5</v>
      </c>
    </row>
    <row r="10" spans="1:11">
      <c r="D10" s="20">
        <v>46216</v>
      </c>
      <c r="E10" s="21">
        <v>1620066</v>
      </c>
      <c r="F10" s="21" t="s">
        <v>21</v>
      </c>
      <c r="G10" s="22">
        <v>20433021</v>
      </c>
      <c r="H10" s="21" t="s">
        <v>110</v>
      </c>
      <c r="I10" s="22">
        <v>1</v>
      </c>
      <c r="J10" s="23">
        <v>13</v>
      </c>
      <c r="K10" s="23">
        <v>13</v>
      </c>
    </row>
    <row r="11" spans="1:11">
      <c r="D11" s="20">
        <v>46217</v>
      </c>
      <c r="E11" s="21">
        <v>1620135</v>
      </c>
      <c r="F11" s="21" t="s">
        <v>21</v>
      </c>
      <c r="G11" s="22">
        <v>20013081</v>
      </c>
      <c r="H11" s="21" t="s">
        <v>111</v>
      </c>
      <c r="I11" s="22">
        <v>3</v>
      </c>
      <c r="J11" s="23">
        <v>16.5</v>
      </c>
      <c r="K11" s="23">
        <v>49.5</v>
      </c>
    </row>
    <row r="12" spans="1:11">
      <c r="D12" s="20">
        <v>46217</v>
      </c>
      <c r="E12" s="21">
        <v>1620135</v>
      </c>
      <c r="F12" s="21" t="s">
        <v>21</v>
      </c>
      <c r="G12" s="22">
        <v>20008051</v>
      </c>
      <c r="H12" s="21" t="s">
        <v>112</v>
      </c>
      <c r="I12" s="22">
        <v>1</v>
      </c>
      <c r="J12" s="23">
        <v>8</v>
      </c>
      <c r="K12" s="23">
        <v>8</v>
      </c>
    </row>
    <row r="13" ht="0.05" customHeight="1"/>
  </sheetData>
  <mergeCells count="5">
    <mergeCell ref="D8:H8"/>
    <mergeCell ref="C7:C12"/>
    <mergeCell ref="B4:H5"/>
    <mergeCell ref="A7:B1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8:31 
&amp;"-,Bold"&amp;10 黑龙江省铂康医疗灭菌有限公司 &amp;R&amp;"Droid Sans Fallback"&amp;9第&amp;P页，共&amp;N页 </oddFoot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2.75" customWidth="1"/>
    <col min="9" max="9" width="11.25" customWidth="1"/>
    <col min="10" max="10" width="12.2083333333333" customWidth="1"/>
    <col min="11" max="11" width="10.875" customWidth="1"/>
  </cols>
  <sheetData>
    <row r="1" spans="1:11">
      <c r="C1" s="10" t="s">
        <v>0</v>
      </c>
    </row>
    <row r="2" ht="23.05" customHeight="1"/>
    <row r="3" ht="2" customHeight="1"/>
    <row r="4" ht="15.2" customHeight="1" spans="1:11">
      <c r="B4" s="11" t="s">
        <v>1</v>
      </c>
    </row>
    <row r="6" ht="2.95" customHeight="1"/>
    <row r="7" spans="1:11">
      <c r="A7" s="12" t="s">
        <v>2</v>
      </c>
      <c r="B7" s="13" t="s">
        <v>2</v>
      </c>
      <c r="C7" s="14" t="s">
        <v>2</v>
      </c>
      <c r="D7" s="15" t="s">
        <v>4</v>
      </c>
      <c r="E7" s="15" t="s">
        <v>5</v>
      </c>
      <c r="F7" s="15" t="s">
        <v>6</v>
      </c>
      <c r="G7" s="15" t="s">
        <v>7</v>
      </c>
      <c r="H7" s="15" t="s">
        <v>8</v>
      </c>
      <c r="I7" s="15" t="s">
        <v>9</v>
      </c>
      <c r="J7" s="15" t="s">
        <v>10</v>
      </c>
      <c r="K7" s="15" t="s">
        <v>11</v>
      </c>
    </row>
    <row r="8" ht="14.25" spans="1:11">
      <c r="D8" s="16" t="s">
        <v>113</v>
      </c>
      <c r="E8" s="17" t="s">
        <v>2</v>
      </c>
      <c r="F8" s="17" t="s">
        <v>2</v>
      </c>
      <c r="G8" s="17" t="s">
        <v>2</v>
      </c>
      <c r="H8" s="17" t="s">
        <v>2</v>
      </c>
      <c r="I8" s="18">
        <v>3</v>
      </c>
      <c r="J8" s="19"/>
      <c r="K8" s="19">
        <v>33</v>
      </c>
    </row>
    <row r="9" spans="1:11">
      <c r="D9" s="20">
        <v>46191</v>
      </c>
      <c r="E9" s="21">
        <v>1613198</v>
      </c>
      <c r="F9" s="21" t="s">
        <v>21</v>
      </c>
      <c r="G9" s="22">
        <v>20008039</v>
      </c>
      <c r="H9" s="21" t="s">
        <v>114</v>
      </c>
      <c r="I9" s="22">
        <v>1</v>
      </c>
      <c r="J9" s="23">
        <v>11</v>
      </c>
      <c r="K9" s="23">
        <v>11</v>
      </c>
    </row>
    <row r="10" spans="1:11">
      <c r="D10" s="20">
        <v>46191</v>
      </c>
      <c r="E10" s="21">
        <v>1613198</v>
      </c>
      <c r="F10" s="21" t="s">
        <v>21</v>
      </c>
      <c r="G10" s="22">
        <v>20313751</v>
      </c>
      <c r="H10" s="21" t="s">
        <v>115</v>
      </c>
      <c r="I10" s="22">
        <v>1</v>
      </c>
      <c r="J10" s="23">
        <v>11</v>
      </c>
      <c r="K10" s="23">
        <v>11</v>
      </c>
    </row>
    <row r="11" spans="1:11">
      <c r="D11" s="20">
        <v>46207</v>
      </c>
      <c r="E11" s="21">
        <v>1617725</v>
      </c>
      <c r="F11" s="21" t="s">
        <v>21</v>
      </c>
      <c r="G11" s="22">
        <v>20008039</v>
      </c>
      <c r="H11" s="21" t="s">
        <v>114</v>
      </c>
      <c r="I11" s="22">
        <v>1</v>
      </c>
      <c r="J11" s="23">
        <v>11</v>
      </c>
      <c r="K11" s="23">
        <v>11</v>
      </c>
    </row>
  </sheetData>
  <mergeCells count="5">
    <mergeCell ref="D8:H8"/>
    <mergeCell ref="C7:C11"/>
    <mergeCell ref="B4:H5"/>
    <mergeCell ref="A7:B1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8:31 
&amp;"-,Bold"&amp;10 黑龙江省铂康医疗灭菌有限公司 &amp;R&amp;"Droid Sans Fallback"&amp;9第&amp;P页，共&amp;N页 </oddFoot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3"/>
  <sheetViews>
    <sheetView showGridLines="0" view="pageBreakPreview" zoomScaleNormal="100" workbookViewId="0">
      <pane ySplit="6" topLeftCell="A137" activePane="bottomLeft" state="frozen"/>
      <selection/>
      <selection pane="bottomLeft" activeCell="K9" sqref="K9:K17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1.25" customWidth="1"/>
    <col min="10" max="10" width="12.2083333333333" customWidth="1"/>
    <col min="11" max="11" width="10.875" customWidth="1"/>
  </cols>
  <sheetData>
    <row r="1" spans="1:11">
      <c r="C1" s="10" t="s">
        <v>0</v>
      </c>
    </row>
    <row r="2" ht="23.05" customHeight="1"/>
    <row r="3" ht="2" customHeight="1"/>
    <row r="4" ht="15.2" customHeight="1" spans="1:11">
      <c r="B4" s="11" t="s">
        <v>1</v>
      </c>
    </row>
    <row r="6" ht="2.95" customHeight="1"/>
    <row r="7" spans="1:11">
      <c r="A7" s="12" t="s">
        <v>2</v>
      </c>
      <c r="B7" s="13" t="s">
        <v>2</v>
      </c>
      <c r="C7" s="14" t="s">
        <v>2</v>
      </c>
      <c r="D7" s="15" t="s">
        <v>4</v>
      </c>
      <c r="E7" s="15" t="s">
        <v>5</v>
      </c>
      <c r="F7" s="15" t="s">
        <v>6</v>
      </c>
      <c r="G7" s="15" t="s">
        <v>7</v>
      </c>
      <c r="H7" s="15" t="s">
        <v>8</v>
      </c>
      <c r="I7" s="15" t="s">
        <v>9</v>
      </c>
      <c r="J7" s="15" t="s">
        <v>10</v>
      </c>
      <c r="K7" s="15" t="s">
        <v>11</v>
      </c>
    </row>
    <row r="8" ht="14.25" spans="1:11">
      <c r="D8" s="16" t="s">
        <v>116</v>
      </c>
      <c r="E8" s="17" t="s">
        <v>2</v>
      </c>
      <c r="F8" s="17" t="s">
        <v>2</v>
      </c>
      <c r="G8" s="17" t="s">
        <v>2</v>
      </c>
      <c r="H8" s="17" t="s">
        <v>2</v>
      </c>
      <c r="I8" s="18">
        <v>266</v>
      </c>
      <c r="J8" s="19"/>
      <c r="K8" s="19">
        <v>11992.5</v>
      </c>
    </row>
    <row r="9" spans="1:11">
      <c r="D9" s="20">
        <v>46188</v>
      </c>
      <c r="E9" s="21">
        <v>1612271</v>
      </c>
      <c r="F9" s="21" t="s">
        <v>19</v>
      </c>
      <c r="G9" s="22">
        <v>20005228</v>
      </c>
      <c r="H9" s="21" t="s">
        <v>117</v>
      </c>
      <c r="I9" s="22">
        <v>5</v>
      </c>
      <c r="J9" s="23">
        <v>99</v>
      </c>
      <c r="K9" s="23">
        <v>495</v>
      </c>
    </row>
    <row r="10" spans="1:11">
      <c r="D10" s="20">
        <v>46188</v>
      </c>
      <c r="E10" s="21">
        <v>1612271</v>
      </c>
      <c r="F10" s="21" t="s">
        <v>21</v>
      </c>
      <c r="G10" s="22">
        <v>20005842</v>
      </c>
      <c r="H10" s="21" t="s">
        <v>118</v>
      </c>
      <c r="I10" s="22">
        <v>1</v>
      </c>
      <c r="J10" s="23">
        <v>16.5</v>
      </c>
      <c r="K10" s="23">
        <v>16.5</v>
      </c>
    </row>
    <row r="11" spans="1:11">
      <c r="D11" s="20">
        <v>46188</v>
      </c>
      <c r="E11" s="21">
        <v>1612271</v>
      </c>
      <c r="F11" s="21" t="s">
        <v>21</v>
      </c>
      <c r="G11" s="22">
        <v>20006047</v>
      </c>
      <c r="H11" s="21" t="s">
        <v>26</v>
      </c>
      <c r="I11" s="22">
        <v>1</v>
      </c>
      <c r="J11" s="23">
        <v>8</v>
      </c>
      <c r="K11" s="23">
        <v>8</v>
      </c>
    </row>
    <row r="12" spans="1:11">
      <c r="D12" s="20">
        <v>46188</v>
      </c>
      <c r="E12" s="21">
        <v>1612271</v>
      </c>
      <c r="F12" s="21" t="s">
        <v>13</v>
      </c>
      <c r="G12" s="22">
        <v>20346748</v>
      </c>
      <c r="H12" s="21" t="s">
        <v>119</v>
      </c>
      <c r="I12" s="22">
        <v>1</v>
      </c>
      <c r="J12" s="23">
        <v>22</v>
      </c>
      <c r="K12" s="23">
        <v>22</v>
      </c>
    </row>
    <row r="13" spans="1:11">
      <c r="D13" s="20">
        <v>46188</v>
      </c>
      <c r="E13" s="21">
        <v>1612271</v>
      </c>
      <c r="F13" s="21" t="s">
        <v>13</v>
      </c>
      <c r="G13" s="22">
        <v>20005226</v>
      </c>
      <c r="H13" s="21" t="s">
        <v>120</v>
      </c>
      <c r="I13" s="22">
        <v>1</v>
      </c>
      <c r="J13" s="23">
        <v>27.5</v>
      </c>
      <c r="K13" s="23">
        <v>27.5</v>
      </c>
    </row>
    <row r="14" spans="1:11">
      <c r="D14" s="20">
        <v>46188</v>
      </c>
      <c r="E14" s="21">
        <v>1612271</v>
      </c>
      <c r="F14" s="21" t="s">
        <v>16</v>
      </c>
      <c r="G14" s="22">
        <v>20417496</v>
      </c>
      <c r="H14" s="21" t="s">
        <v>121</v>
      </c>
      <c r="I14" s="22">
        <v>1</v>
      </c>
      <c r="J14" s="23">
        <v>4</v>
      </c>
      <c r="K14" s="23">
        <v>4</v>
      </c>
    </row>
    <row r="15" spans="1:11">
      <c r="D15" s="20">
        <v>46188</v>
      </c>
      <c r="E15" s="21">
        <v>1612271</v>
      </c>
      <c r="F15" s="21" t="s">
        <v>16</v>
      </c>
      <c r="G15" s="22">
        <v>20320746</v>
      </c>
      <c r="H15" s="21" t="s">
        <v>122</v>
      </c>
      <c r="I15" s="22">
        <v>9</v>
      </c>
      <c r="J15" s="23">
        <v>4</v>
      </c>
      <c r="K15" s="23">
        <v>36</v>
      </c>
    </row>
    <row r="16" spans="1:11">
      <c r="D16" s="20">
        <v>46188</v>
      </c>
      <c r="E16" s="21">
        <v>1612271</v>
      </c>
      <c r="F16" s="21" t="s">
        <v>16</v>
      </c>
      <c r="G16" s="22">
        <v>20005332</v>
      </c>
      <c r="H16" s="21" t="s">
        <v>123</v>
      </c>
      <c r="I16" s="22">
        <v>9</v>
      </c>
      <c r="J16" s="23">
        <v>4</v>
      </c>
      <c r="K16" s="23">
        <v>36</v>
      </c>
    </row>
    <row r="17" spans="4:11">
      <c r="D17" s="20">
        <v>46190</v>
      </c>
      <c r="E17" s="21">
        <v>1612784</v>
      </c>
      <c r="F17" s="21" t="s">
        <v>19</v>
      </c>
      <c r="G17" s="22">
        <v>20388031</v>
      </c>
      <c r="H17" s="21" t="s">
        <v>124</v>
      </c>
      <c r="I17" s="22">
        <v>1</v>
      </c>
      <c r="J17" s="23">
        <v>176</v>
      </c>
      <c r="K17" s="23">
        <v>176</v>
      </c>
    </row>
    <row r="18" spans="4:11">
      <c r="D18" s="20">
        <v>46190</v>
      </c>
      <c r="E18" s="21">
        <v>1613094</v>
      </c>
      <c r="F18" s="21" t="s">
        <v>19</v>
      </c>
      <c r="G18" s="22">
        <v>20005227</v>
      </c>
      <c r="H18" s="21" t="s">
        <v>125</v>
      </c>
      <c r="I18" s="22">
        <v>2</v>
      </c>
      <c r="J18" s="23">
        <v>82.5</v>
      </c>
      <c r="K18" s="23">
        <v>165</v>
      </c>
    </row>
    <row r="19" spans="4:11">
      <c r="D19" s="20">
        <v>46190</v>
      </c>
      <c r="E19" s="21">
        <v>1613094</v>
      </c>
      <c r="F19" s="21" t="s">
        <v>19</v>
      </c>
      <c r="G19" s="22">
        <v>20388031</v>
      </c>
      <c r="H19" s="21" t="s">
        <v>124</v>
      </c>
      <c r="I19" s="22">
        <v>1</v>
      </c>
      <c r="J19" s="23">
        <v>176</v>
      </c>
      <c r="K19" s="23">
        <v>176</v>
      </c>
    </row>
    <row r="20" spans="4:11">
      <c r="D20" s="20">
        <v>46190</v>
      </c>
      <c r="E20" s="21">
        <v>1613094</v>
      </c>
      <c r="F20" s="21" t="s">
        <v>19</v>
      </c>
      <c r="G20" s="22">
        <v>20005330</v>
      </c>
      <c r="H20" s="21" t="s">
        <v>126</v>
      </c>
      <c r="I20" s="22">
        <v>1</v>
      </c>
      <c r="J20" s="23">
        <v>170.5</v>
      </c>
      <c r="K20" s="23">
        <v>170.5</v>
      </c>
    </row>
    <row r="21" spans="4:11">
      <c r="D21" s="20">
        <v>46190</v>
      </c>
      <c r="E21" s="21">
        <v>1613094</v>
      </c>
      <c r="F21" s="21" t="s">
        <v>19</v>
      </c>
      <c r="G21" s="22">
        <v>20005230</v>
      </c>
      <c r="H21" s="21" t="s">
        <v>127</v>
      </c>
      <c r="I21" s="22">
        <v>1</v>
      </c>
      <c r="J21" s="23">
        <v>313.5</v>
      </c>
      <c r="K21" s="23">
        <v>313.5</v>
      </c>
    </row>
    <row r="22" spans="4:11">
      <c r="D22" s="20">
        <v>46190</v>
      </c>
      <c r="E22" s="21">
        <v>1613094</v>
      </c>
      <c r="F22" s="21" t="s">
        <v>21</v>
      </c>
      <c r="G22" s="22">
        <v>20005842</v>
      </c>
      <c r="H22" s="21" t="s">
        <v>118</v>
      </c>
      <c r="I22" s="22">
        <v>3</v>
      </c>
      <c r="J22" s="23">
        <v>16.5</v>
      </c>
      <c r="K22" s="23">
        <v>49.5</v>
      </c>
    </row>
    <row r="23" spans="4:11">
      <c r="D23" s="20">
        <v>46190</v>
      </c>
      <c r="E23" s="21">
        <v>1613094</v>
      </c>
      <c r="F23" s="21" t="s">
        <v>21</v>
      </c>
      <c r="G23" s="22">
        <v>20011346</v>
      </c>
      <c r="H23" s="21" t="s">
        <v>128</v>
      </c>
      <c r="I23" s="22">
        <v>1</v>
      </c>
      <c r="J23" s="23">
        <v>16.5</v>
      </c>
      <c r="K23" s="23">
        <v>16.5</v>
      </c>
    </row>
    <row r="24" spans="4:11">
      <c r="D24" s="20">
        <v>46190</v>
      </c>
      <c r="E24" s="21">
        <v>1613094</v>
      </c>
      <c r="F24" s="21" t="s">
        <v>13</v>
      </c>
      <c r="G24" s="22">
        <v>20005318</v>
      </c>
      <c r="H24" s="21" t="s">
        <v>129</v>
      </c>
      <c r="I24" s="22">
        <v>1</v>
      </c>
      <c r="J24" s="23">
        <v>16.5</v>
      </c>
      <c r="K24" s="23">
        <v>16.5</v>
      </c>
    </row>
    <row r="25" spans="4:11">
      <c r="D25" s="20">
        <v>46190</v>
      </c>
      <c r="E25" s="21">
        <v>1613094</v>
      </c>
      <c r="F25" s="21" t="s">
        <v>13</v>
      </c>
      <c r="G25" s="22">
        <v>20005222</v>
      </c>
      <c r="H25" s="21" t="s">
        <v>130</v>
      </c>
      <c r="I25" s="22">
        <v>1</v>
      </c>
      <c r="J25" s="23">
        <v>16.5</v>
      </c>
      <c r="K25" s="23">
        <v>16.5</v>
      </c>
    </row>
    <row r="26" spans="4:11">
      <c r="D26" s="20">
        <v>46190</v>
      </c>
      <c r="E26" s="21">
        <v>1613094</v>
      </c>
      <c r="F26" s="21" t="s">
        <v>13</v>
      </c>
      <c r="G26" s="22">
        <v>20346748</v>
      </c>
      <c r="H26" s="21" t="s">
        <v>119</v>
      </c>
      <c r="I26" s="22">
        <v>2</v>
      </c>
      <c r="J26" s="23">
        <v>22</v>
      </c>
      <c r="K26" s="23">
        <v>44</v>
      </c>
    </row>
    <row r="27" spans="4:11">
      <c r="D27" s="20">
        <v>46190</v>
      </c>
      <c r="E27" s="21">
        <v>1613094</v>
      </c>
      <c r="F27" s="21" t="s">
        <v>13</v>
      </c>
      <c r="G27" s="22">
        <v>20005226</v>
      </c>
      <c r="H27" s="21" t="s">
        <v>120</v>
      </c>
      <c r="I27" s="22">
        <v>1</v>
      </c>
      <c r="J27" s="23">
        <v>27.5</v>
      </c>
      <c r="K27" s="23">
        <v>27.5</v>
      </c>
    </row>
    <row r="28" spans="4:11">
      <c r="D28" s="20">
        <v>46190</v>
      </c>
      <c r="E28" s="21">
        <v>1613094</v>
      </c>
      <c r="F28" s="21" t="s">
        <v>16</v>
      </c>
      <c r="G28" s="22">
        <v>20006043</v>
      </c>
      <c r="H28" s="21" t="s">
        <v>131</v>
      </c>
      <c r="I28" s="22">
        <v>3</v>
      </c>
      <c r="J28" s="23">
        <v>4</v>
      </c>
      <c r="K28" s="23">
        <v>12</v>
      </c>
    </row>
    <row r="29" spans="4:11">
      <c r="D29" s="20">
        <v>46190</v>
      </c>
      <c r="E29" s="21">
        <v>1613094</v>
      </c>
      <c r="F29" s="21" t="s">
        <v>16</v>
      </c>
      <c r="G29" s="22">
        <v>20006044</v>
      </c>
      <c r="H29" s="21" t="s">
        <v>132</v>
      </c>
      <c r="I29" s="22">
        <v>1</v>
      </c>
      <c r="J29" s="23">
        <v>2.5</v>
      </c>
      <c r="K29" s="23">
        <v>2.5</v>
      </c>
    </row>
    <row r="30" spans="4:11">
      <c r="D30" s="20">
        <v>46191</v>
      </c>
      <c r="E30" s="21">
        <v>1613447</v>
      </c>
      <c r="F30" s="21" t="s">
        <v>19</v>
      </c>
      <c r="G30" s="22">
        <v>20005228</v>
      </c>
      <c r="H30" s="21" t="s">
        <v>117</v>
      </c>
      <c r="I30" s="22">
        <v>1</v>
      </c>
      <c r="J30" s="23">
        <v>99</v>
      </c>
      <c r="K30" s="23">
        <v>99</v>
      </c>
    </row>
    <row r="31" spans="4:11">
      <c r="D31" s="20">
        <v>46191</v>
      </c>
      <c r="E31" s="21">
        <v>1613447</v>
      </c>
      <c r="F31" s="21" t="s">
        <v>19</v>
      </c>
      <c r="G31" s="22">
        <v>20005230</v>
      </c>
      <c r="H31" s="21" t="s">
        <v>127</v>
      </c>
      <c r="I31" s="22">
        <v>2</v>
      </c>
      <c r="J31" s="23">
        <v>313.5</v>
      </c>
      <c r="K31" s="23">
        <v>627</v>
      </c>
    </row>
    <row r="32" spans="4:11">
      <c r="D32" s="20">
        <v>46191</v>
      </c>
      <c r="E32" s="21">
        <v>1613447</v>
      </c>
      <c r="F32" s="21" t="s">
        <v>21</v>
      </c>
      <c r="G32" s="22">
        <v>20005842</v>
      </c>
      <c r="H32" s="21" t="s">
        <v>118</v>
      </c>
      <c r="I32" s="22">
        <v>2</v>
      </c>
      <c r="J32" s="23">
        <v>16.5</v>
      </c>
      <c r="K32" s="23">
        <v>33</v>
      </c>
    </row>
    <row r="33" spans="4:11">
      <c r="D33" s="20">
        <v>46191</v>
      </c>
      <c r="E33" s="21">
        <v>1613447</v>
      </c>
      <c r="F33" s="21" t="s">
        <v>13</v>
      </c>
      <c r="G33" s="22">
        <v>20005222</v>
      </c>
      <c r="H33" s="21" t="s">
        <v>130</v>
      </c>
      <c r="I33" s="22">
        <v>2</v>
      </c>
      <c r="J33" s="23">
        <v>16.5</v>
      </c>
      <c r="K33" s="23">
        <v>33</v>
      </c>
    </row>
    <row r="34" spans="4:11">
      <c r="D34" s="20">
        <v>46191</v>
      </c>
      <c r="E34" s="21">
        <v>1613447</v>
      </c>
      <c r="F34" s="21" t="s">
        <v>13</v>
      </c>
      <c r="G34" s="22">
        <v>20430335</v>
      </c>
      <c r="H34" s="21" t="s">
        <v>133</v>
      </c>
      <c r="I34" s="22">
        <v>1</v>
      </c>
      <c r="J34" s="23">
        <v>33</v>
      </c>
      <c r="K34" s="23">
        <v>33</v>
      </c>
    </row>
    <row r="35" spans="4:11">
      <c r="D35" s="20">
        <v>46191</v>
      </c>
      <c r="E35" s="21">
        <v>1613447</v>
      </c>
      <c r="F35" s="21" t="s">
        <v>13</v>
      </c>
      <c r="G35" s="22">
        <v>20320898</v>
      </c>
      <c r="H35" s="21" t="s">
        <v>134</v>
      </c>
      <c r="I35" s="22">
        <v>1</v>
      </c>
      <c r="J35" s="23">
        <v>38.5</v>
      </c>
      <c r="K35" s="23">
        <v>38.5</v>
      </c>
    </row>
    <row r="36" spans="4:11">
      <c r="D36" s="20">
        <v>46191</v>
      </c>
      <c r="E36" s="21">
        <v>1613447</v>
      </c>
      <c r="F36" s="21" t="s">
        <v>13</v>
      </c>
      <c r="G36" s="22">
        <v>20005226</v>
      </c>
      <c r="H36" s="21" t="s">
        <v>120</v>
      </c>
      <c r="I36" s="22">
        <v>2</v>
      </c>
      <c r="J36" s="23">
        <v>27.5</v>
      </c>
      <c r="K36" s="23">
        <v>55</v>
      </c>
    </row>
    <row r="37" spans="4:11">
      <c r="D37" s="20">
        <v>46191</v>
      </c>
      <c r="E37" s="21">
        <v>1613447</v>
      </c>
      <c r="F37" s="21" t="s">
        <v>16</v>
      </c>
      <c r="G37" s="22">
        <v>20417496</v>
      </c>
      <c r="H37" s="21" t="s">
        <v>121</v>
      </c>
      <c r="I37" s="22">
        <v>1</v>
      </c>
      <c r="J37" s="23">
        <v>4</v>
      </c>
      <c r="K37" s="23">
        <v>4</v>
      </c>
    </row>
    <row r="38" spans="4:11">
      <c r="D38" s="20">
        <v>46191</v>
      </c>
      <c r="E38" s="21">
        <v>1613447</v>
      </c>
      <c r="F38" s="21" t="s">
        <v>16</v>
      </c>
      <c r="G38" s="22">
        <v>20006044</v>
      </c>
      <c r="H38" s="21" t="s">
        <v>132</v>
      </c>
      <c r="I38" s="22">
        <v>2</v>
      </c>
      <c r="J38" s="23">
        <v>2.5</v>
      </c>
      <c r="K38" s="23">
        <v>5</v>
      </c>
    </row>
    <row r="39" spans="4:11">
      <c r="D39" s="20">
        <v>46192</v>
      </c>
      <c r="E39" s="21">
        <v>1613730</v>
      </c>
      <c r="F39" s="21" t="s">
        <v>135</v>
      </c>
      <c r="G39" s="22">
        <v>20392610</v>
      </c>
      <c r="H39" s="21" t="s">
        <v>136</v>
      </c>
      <c r="I39" s="22">
        <v>1</v>
      </c>
      <c r="J39" s="23">
        <v>165</v>
      </c>
      <c r="K39" s="23">
        <v>165</v>
      </c>
    </row>
    <row r="40" spans="4:11">
      <c r="D40" s="20">
        <v>46192</v>
      </c>
      <c r="E40" s="21">
        <v>1613730</v>
      </c>
      <c r="F40" s="21" t="s">
        <v>137</v>
      </c>
      <c r="G40" s="22">
        <v>20392576</v>
      </c>
      <c r="H40" s="21" t="s">
        <v>138</v>
      </c>
      <c r="I40" s="22">
        <v>1</v>
      </c>
      <c r="J40" s="23">
        <v>28</v>
      </c>
      <c r="K40" s="23">
        <v>28</v>
      </c>
    </row>
    <row r="41" spans="4:11">
      <c r="D41" s="20">
        <v>46192</v>
      </c>
      <c r="E41" s="21">
        <v>1613732</v>
      </c>
      <c r="F41" s="21" t="s">
        <v>19</v>
      </c>
      <c r="G41" s="22">
        <v>20388031</v>
      </c>
      <c r="H41" s="21" t="s">
        <v>124</v>
      </c>
      <c r="I41" s="22">
        <v>1</v>
      </c>
      <c r="J41" s="23">
        <v>176</v>
      </c>
      <c r="K41" s="23">
        <v>176</v>
      </c>
    </row>
    <row r="42" spans="4:11">
      <c r="D42" s="20">
        <v>46192</v>
      </c>
      <c r="E42" s="21">
        <v>1613732</v>
      </c>
      <c r="F42" s="21" t="s">
        <v>21</v>
      </c>
      <c r="G42" s="22">
        <v>20005842</v>
      </c>
      <c r="H42" s="21" t="s">
        <v>118</v>
      </c>
      <c r="I42" s="22">
        <v>1</v>
      </c>
      <c r="J42" s="23">
        <v>16.5</v>
      </c>
      <c r="K42" s="23">
        <v>16.5</v>
      </c>
    </row>
    <row r="43" spans="4:11">
      <c r="D43" s="20">
        <v>46195</v>
      </c>
      <c r="E43" s="21">
        <v>1614025</v>
      </c>
      <c r="F43" s="21" t="s">
        <v>21</v>
      </c>
      <c r="G43" s="22">
        <v>20326126</v>
      </c>
      <c r="H43" s="21" t="s">
        <v>139</v>
      </c>
      <c r="I43" s="22">
        <v>1</v>
      </c>
      <c r="J43" s="23">
        <v>16.5</v>
      </c>
      <c r="K43" s="23">
        <v>16.5</v>
      </c>
    </row>
    <row r="44" spans="4:11">
      <c r="D44" s="20">
        <v>46195</v>
      </c>
      <c r="E44" s="21">
        <v>1614025</v>
      </c>
      <c r="F44" s="21" t="s">
        <v>13</v>
      </c>
      <c r="G44" s="22">
        <v>20005222</v>
      </c>
      <c r="H44" s="21" t="s">
        <v>130</v>
      </c>
      <c r="I44" s="22">
        <v>2</v>
      </c>
      <c r="J44" s="23">
        <v>16.5</v>
      </c>
      <c r="K44" s="23">
        <v>33</v>
      </c>
    </row>
    <row r="45" spans="4:11">
      <c r="D45" s="20">
        <v>46195</v>
      </c>
      <c r="E45" s="21">
        <v>1614025</v>
      </c>
      <c r="F45" s="21" t="s">
        <v>13</v>
      </c>
      <c r="G45" s="22">
        <v>20005206</v>
      </c>
      <c r="H45" s="21" t="s">
        <v>140</v>
      </c>
      <c r="I45" s="22">
        <v>1</v>
      </c>
      <c r="J45" s="23">
        <v>44</v>
      </c>
      <c r="K45" s="23">
        <v>44</v>
      </c>
    </row>
    <row r="46" spans="4:11">
      <c r="D46" s="20">
        <v>46195</v>
      </c>
      <c r="E46" s="21">
        <v>1614025</v>
      </c>
      <c r="F46" s="21" t="s">
        <v>13</v>
      </c>
      <c r="G46" s="22">
        <v>20005226</v>
      </c>
      <c r="H46" s="21" t="s">
        <v>120</v>
      </c>
      <c r="I46" s="22">
        <v>2</v>
      </c>
      <c r="J46" s="23">
        <v>27.5</v>
      </c>
      <c r="K46" s="23">
        <v>55</v>
      </c>
    </row>
    <row r="47" spans="4:11">
      <c r="D47" s="20">
        <v>46195</v>
      </c>
      <c r="E47" s="21">
        <v>1614025</v>
      </c>
      <c r="F47" s="21" t="s">
        <v>16</v>
      </c>
      <c r="G47" s="22">
        <v>20006044</v>
      </c>
      <c r="H47" s="21" t="s">
        <v>132</v>
      </c>
      <c r="I47" s="22">
        <v>2</v>
      </c>
      <c r="J47" s="23">
        <v>2.5</v>
      </c>
      <c r="K47" s="23">
        <v>5</v>
      </c>
    </row>
    <row r="48" spans="4:11">
      <c r="D48" s="20">
        <v>46195</v>
      </c>
      <c r="E48" s="21">
        <v>1614123</v>
      </c>
      <c r="F48" s="21" t="s">
        <v>19</v>
      </c>
      <c r="G48" s="22">
        <v>20005227</v>
      </c>
      <c r="H48" s="21" t="s">
        <v>125</v>
      </c>
      <c r="I48" s="22">
        <v>1</v>
      </c>
      <c r="J48" s="23">
        <v>82.5</v>
      </c>
      <c r="K48" s="23">
        <v>82.5</v>
      </c>
    </row>
    <row r="49" spans="4:11">
      <c r="D49" s="20">
        <v>46195</v>
      </c>
      <c r="E49" s="21">
        <v>1614123</v>
      </c>
      <c r="F49" s="21" t="s">
        <v>19</v>
      </c>
      <c r="G49" s="22">
        <v>20005228</v>
      </c>
      <c r="H49" s="21" t="s">
        <v>117</v>
      </c>
      <c r="I49" s="22">
        <v>1</v>
      </c>
      <c r="J49" s="23">
        <v>99</v>
      </c>
      <c r="K49" s="23">
        <v>99</v>
      </c>
    </row>
    <row r="50" spans="4:11">
      <c r="D50" s="20">
        <v>46195</v>
      </c>
      <c r="E50" s="21">
        <v>1614123</v>
      </c>
      <c r="F50" s="21" t="s">
        <v>19</v>
      </c>
      <c r="G50" s="22">
        <v>20005230</v>
      </c>
      <c r="H50" s="21" t="s">
        <v>127</v>
      </c>
      <c r="I50" s="22">
        <v>2</v>
      </c>
      <c r="J50" s="23">
        <v>313.5</v>
      </c>
      <c r="K50" s="23">
        <v>627</v>
      </c>
    </row>
    <row r="51" spans="4:11">
      <c r="D51" s="20">
        <v>46195</v>
      </c>
      <c r="E51" s="21">
        <v>1614123</v>
      </c>
      <c r="F51" s="21" t="s">
        <v>21</v>
      </c>
      <c r="G51" s="22">
        <v>20005842</v>
      </c>
      <c r="H51" s="21" t="s">
        <v>118</v>
      </c>
      <c r="I51" s="22">
        <v>2</v>
      </c>
      <c r="J51" s="23">
        <v>16.5</v>
      </c>
      <c r="K51" s="23">
        <v>33</v>
      </c>
    </row>
    <row r="52" spans="4:11">
      <c r="D52" s="20">
        <v>46195</v>
      </c>
      <c r="E52" s="21">
        <v>1614123</v>
      </c>
      <c r="F52" s="21" t="s">
        <v>13</v>
      </c>
      <c r="G52" s="22">
        <v>20005318</v>
      </c>
      <c r="H52" s="21" t="s">
        <v>129</v>
      </c>
      <c r="I52" s="22">
        <v>1</v>
      </c>
      <c r="J52" s="23">
        <v>16.5</v>
      </c>
      <c r="K52" s="23">
        <v>16.5</v>
      </c>
    </row>
    <row r="53" spans="4:11">
      <c r="D53" s="20">
        <v>46195</v>
      </c>
      <c r="E53" s="21">
        <v>1614123</v>
      </c>
      <c r="F53" s="21" t="s">
        <v>13</v>
      </c>
      <c r="G53" s="22">
        <v>20005376</v>
      </c>
      <c r="H53" s="21" t="s">
        <v>141</v>
      </c>
      <c r="I53" s="22">
        <v>1</v>
      </c>
      <c r="J53" s="23">
        <v>60.5</v>
      </c>
      <c r="K53" s="23">
        <v>60.5</v>
      </c>
    </row>
    <row r="54" spans="4:11">
      <c r="D54" s="20">
        <v>46198</v>
      </c>
      <c r="E54" s="21">
        <v>1615157</v>
      </c>
      <c r="F54" s="21" t="s">
        <v>19</v>
      </c>
      <c r="G54" s="22">
        <v>20005227</v>
      </c>
      <c r="H54" s="21" t="s">
        <v>125</v>
      </c>
      <c r="I54" s="22">
        <v>1</v>
      </c>
      <c r="J54" s="23">
        <v>82.5</v>
      </c>
      <c r="K54" s="23">
        <v>82.5</v>
      </c>
    </row>
    <row r="55" spans="4:11">
      <c r="D55" s="20">
        <v>46198</v>
      </c>
      <c r="E55" s="21">
        <v>1615157</v>
      </c>
      <c r="F55" s="21" t="s">
        <v>19</v>
      </c>
      <c r="G55" s="22">
        <v>20005228</v>
      </c>
      <c r="H55" s="21" t="s">
        <v>117</v>
      </c>
      <c r="I55" s="22">
        <v>2</v>
      </c>
      <c r="J55" s="23">
        <v>99</v>
      </c>
      <c r="K55" s="23">
        <v>198</v>
      </c>
    </row>
    <row r="56" spans="4:11">
      <c r="D56" s="20">
        <v>46198</v>
      </c>
      <c r="E56" s="21">
        <v>1615157</v>
      </c>
      <c r="F56" s="21" t="s">
        <v>19</v>
      </c>
      <c r="G56" s="22">
        <v>20009721</v>
      </c>
      <c r="H56" s="21" t="s">
        <v>142</v>
      </c>
      <c r="I56" s="22">
        <v>1</v>
      </c>
      <c r="J56" s="23">
        <v>93.5</v>
      </c>
      <c r="K56" s="23">
        <v>93.5</v>
      </c>
    </row>
    <row r="57" spans="4:11">
      <c r="D57" s="20">
        <v>46198</v>
      </c>
      <c r="E57" s="21">
        <v>1615157</v>
      </c>
      <c r="F57" s="21" t="s">
        <v>21</v>
      </c>
      <c r="G57" s="22">
        <v>20383973</v>
      </c>
      <c r="H57" s="21" t="s">
        <v>143</v>
      </c>
      <c r="I57" s="22">
        <v>1</v>
      </c>
      <c r="J57" s="23">
        <v>13.5</v>
      </c>
      <c r="K57" s="23">
        <v>13.5</v>
      </c>
    </row>
    <row r="58" spans="4:11">
      <c r="D58" s="20">
        <v>46198</v>
      </c>
      <c r="E58" s="21">
        <v>1615157</v>
      </c>
      <c r="F58" s="21" t="s">
        <v>21</v>
      </c>
      <c r="G58" s="22">
        <v>20330627</v>
      </c>
      <c r="H58" s="21" t="s">
        <v>144</v>
      </c>
      <c r="I58" s="22">
        <v>1</v>
      </c>
      <c r="J58" s="23">
        <v>8</v>
      </c>
      <c r="K58" s="23">
        <v>8</v>
      </c>
    </row>
    <row r="59" spans="4:11">
      <c r="D59" s="20">
        <v>46198</v>
      </c>
      <c r="E59" s="21">
        <v>1615157</v>
      </c>
      <c r="F59" s="21" t="s">
        <v>21</v>
      </c>
      <c r="G59" s="22">
        <v>20008030</v>
      </c>
      <c r="H59" s="21" t="s">
        <v>145</v>
      </c>
      <c r="I59" s="22">
        <v>1</v>
      </c>
      <c r="J59" s="23">
        <v>13.5</v>
      </c>
      <c r="K59" s="23">
        <v>13.5</v>
      </c>
    </row>
    <row r="60" spans="4:11">
      <c r="D60" s="20">
        <v>46198</v>
      </c>
      <c r="E60" s="21">
        <v>1615157</v>
      </c>
      <c r="F60" s="21" t="s">
        <v>21</v>
      </c>
      <c r="G60" s="22">
        <v>20008027</v>
      </c>
      <c r="H60" s="21" t="s">
        <v>146</v>
      </c>
      <c r="I60" s="22">
        <v>2</v>
      </c>
      <c r="J60" s="23">
        <v>22</v>
      </c>
      <c r="K60" s="23">
        <v>44</v>
      </c>
    </row>
    <row r="61" spans="4:11">
      <c r="D61" s="20">
        <v>46198</v>
      </c>
      <c r="E61" s="21">
        <v>1615157</v>
      </c>
      <c r="F61" s="21" t="s">
        <v>21</v>
      </c>
      <c r="G61" s="22">
        <v>20005842</v>
      </c>
      <c r="H61" s="21" t="s">
        <v>118</v>
      </c>
      <c r="I61" s="22">
        <v>1</v>
      </c>
      <c r="J61" s="23">
        <v>16.5</v>
      </c>
      <c r="K61" s="23">
        <v>16.5</v>
      </c>
    </row>
    <row r="62" spans="4:11">
      <c r="D62" s="20">
        <v>46198</v>
      </c>
      <c r="E62" s="21">
        <v>1615157</v>
      </c>
      <c r="F62" s="21" t="s">
        <v>21</v>
      </c>
      <c r="G62" s="22">
        <v>20013630</v>
      </c>
      <c r="H62" s="21" t="s">
        <v>86</v>
      </c>
      <c r="I62" s="22">
        <v>1</v>
      </c>
      <c r="J62" s="23">
        <v>8</v>
      </c>
      <c r="K62" s="23">
        <v>8</v>
      </c>
    </row>
    <row r="63" spans="4:11">
      <c r="D63" s="20">
        <v>46198</v>
      </c>
      <c r="E63" s="21">
        <v>1615157</v>
      </c>
      <c r="F63" s="21" t="s">
        <v>21</v>
      </c>
      <c r="G63" s="22">
        <v>20007927</v>
      </c>
      <c r="H63" s="21" t="s">
        <v>147</v>
      </c>
      <c r="I63" s="22">
        <v>2</v>
      </c>
      <c r="J63" s="23">
        <v>16.5</v>
      </c>
      <c r="K63" s="23">
        <v>33</v>
      </c>
    </row>
    <row r="64" spans="4:11">
      <c r="D64" s="20">
        <v>46198</v>
      </c>
      <c r="E64" s="21">
        <v>1615157</v>
      </c>
      <c r="F64" s="21" t="s">
        <v>21</v>
      </c>
      <c r="G64" s="22">
        <v>20343931</v>
      </c>
      <c r="H64" s="21" t="s">
        <v>148</v>
      </c>
      <c r="I64" s="22">
        <v>1</v>
      </c>
      <c r="J64" s="23">
        <v>11</v>
      </c>
      <c r="K64" s="23">
        <v>11</v>
      </c>
    </row>
    <row r="65" spans="4:11">
      <c r="D65" s="20">
        <v>46198</v>
      </c>
      <c r="E65" s="21">
        <v>1615157</v>
      </c>
      <c r="F65" s="21" t="s">
        <v>21</v>
      </c>
      <c r="G65" s="22">
        <v>20011348</v>
      </c>
      <c r="H65" s="21" t="s">
        <v>149</v>
      </c>
      <c r="I65" s="22">
        <v>1</v>
      </c>
      <c r="J65" s="23">
        <v>8</v>
      </c>
      <c r="K65" s="23">
        <v>8</v>
      </c>
    </row>
    <row r="66" spans="4:11">
      <c r="D66" s="20">
        <v>46198</v>
      </c>
      <c r="E66" s="21">
        <v>1615157</v>
      </c>
      <c r="F66" s="21" t="s">
        <v>21</v>
      </c>
      <c r="G66" s="22">
        <v>20406365</v>
      </c>
      <c r="H66" s="21" t="s">
        <v>150</v>
      </c>
      <c r="I66" s="22">
        <v>1</v>
      </c>
      <c r="J66" s="23">
        <v>16.5</v>
      </c>
      <c r="K66" s="23">
        <v>16.5</v>
      </c>
    </row>
    <row r="67" spans="4:11">
      <c r="D67" s="20">
        <v>46198</v>
      </c>
      <c r="E67" s="21">
        <v>1615157</v>
      </c>
      <c r="F67" s="21" t="s">
        <v>21</v>
      </c>
      <c r="G67" s="22">
        <v>20007929</v>
      </c>
      <c r="H67" s="21" t="s">
        <v>151</v>
      </c>
      <c r="I67" s="22">
        <v>1</v>
      </c>
      <c r="J67" s="23">
        <v>8</v>
      </c>
      <c r="K67" s="23">
        <v>8</v>
      </c>
    </row>
    <row r="68" spans="4:11">
      <c r="D68" s="20">
        <v>46198</v>
      </c>
      <c r="E68" s="21">
        <v>1615157</v>
      </c>
      <c r="F68" s="21" t="s">
        <v>21</v>
      </c>
      <c r="G68" s="22">
        <v>20006047</v>
      </c>
      <c r="H68" s="21" t="s">
        <v>26</v>
      </c>
      <c r="I68" s="22">
        <v>1</v>
      </c>
      <c r="J68" s="23">
        <v>8</v>
      </c>
      <c r="K68" s="23">
        <v>8</v>
      </c>
    </row>
    <row r="69" spans="4:11">
      <c r="D69" s="20">
        <v>46198</v>
      </c>
      <c r="E69" s="21">
        <v>1615157</v>
      </c>
      <c r="F69" s="21" t="s">
        <v>21</v>
      </c>
      <c r="G69" s="22">
        <v>20007925</v>
      </c>
      <c r="H69" s="21" t="s">
        <v>152</v>
      </c>
      <c r="I69" s="22">
        <v>1</v>
      </c>
      <c r="J69" s="23">
        <v>13</v>
      </c>
      <c r="K69" s="23">
        <v>13</v>
      </c>
    </row>
    <row r="70" spans="4:11">
      <c r="D70" s="20">
        <v>46198</v>
      </c>
      <c r="E70" s="21">
        <v>1615157</v>
      </c>
      <c r="F70" s="21" t="s">
        <v>21</v>
      </c>
      <c r="G70" s="22">
        <v>20012809</v>
      </c>
      <c r="H70" s="21" t="s">
        <v>153</v>
      </c>
      <c r="I70" s="22">
        <v>1</v>
      </c>
      <c r="J70" s="23">
        <v>13.5</v>
      </c>
      <c r="K70" s="23">
        <v>13.5</v>
      </c>
    </row>
    <row r="71" spans="4:11">
      <c r="D71" s="20">
        <v>46198</v>
      </c>
      <c r="E71" s="21">
        <v>1615157</v>
      </c>
      <c r="F71" s="21" t="s">
        <v>21</v>
      </c>
      <c r="G71" s="22">
        <v>20005213</v>
      </c>
      <c r="H71" s="21" t="s">
        <v>154</v>
      </c>
      <c r="I71" s="22">
        <v>1</v>
      </c>
      <c r="J71" s="23">
        <v>11</v>
      </c>
      <c r="K71" s="23">
        <v>11</v>
      </c>
    </row>
    <row r="72" spans="4:11">
      <c r="D72" s="20">
        <v>46198</v>
      </c>
      <c r="E72" s="21">
        <v>1615157</v>
      </c>
      <c r="F72" s="21" t="s">
        <v>21</v>
      </c>
      <c r="G72" s="22">
        <v>20007928</v>
      </c>
      <c r="H72" s="21" t="s">
        <v>155</v>
      </c>
      <c r="I72" s="22">
        <v>1</v>
      </c>
      <c r="J72" s="23">
        <v>11</v>
      </c>
      <c r="K72" s="23">
        <v>11</v>
      </c>
    </row>
    <row r="73" spans="4:11">
      <c r="D73" s="20">
        <v>46198</v>
      </c>
      <c r="E73" s="21">
        <v>1615157</v>
      </c>
      <c r="F73" s="21" t="s">
        <v>21</v>
      </c>
      <c r="G73" s="22">
        <v>20008051</v>
      </c>
      <c r="H73" s="21" t="s">
        <v>112</v>
      </c>
      <c r="I73" s="22">
        <v>1</v>
      </c>
      <c r="J73" s="23">
        <v>8</v>
      </c>
      <c r="K73" s="23">
        <v>8</v>
      </c>
    </row>
    <row r="74" spans="4:11">
      <c r="D74" s="20">
        <v>46198</v>
      </c>
      <c r="E74" s="21">
        <v>1615157</v>
      </c>
      <c r="F74" s="21" t="s">
        <v>21</v>
      </c>
      <c r="G74" s="22">
        <v>20005840</v>
      </c>
      <c r="H74" s="21" t="s">
        <v>156</v>
      </c>
      <c r="I74" s="22">
        <v>1</v>
      </c>
      <c r="J74" s="23">
        <v>11</v>
      </c>
      <c r="K74" s="23">
        <v>11</v>
      </c>
    </row>
    <row r="75" spans="4:11">
      <c r="D75" s="20">
        <v>46198</v>
      </c>
      <c r="E75" s="21">
        <v>1615157</v>
      </c>
      <c r="F75" s="21" t="s">
        <v>21</v>
      </c>
      <c r="G75" s="22">
        <v>20008045</v>
      </c>
      <c r="H75" s="21" t="s">
        <v>157</v>
      </c>
      <c r="I75" s="22">
        <v>1</v>
      </c>
      <c r="J75" s="23">
        <v>16.5</v>
      </c>
      <c r="K75" s="23">
        <v>16.5</v>
      </c>
    </row>
    <row r="76" spans="4:11">
      <c r="D76" s="20">
        <v>46198</v>
      </c>
      <c r="E76" s="21">
        <v>1615157</v>
      </c>
      <c r="F76" s="21" t="s">
        <v>21</v>
      </c>
      <c r="G76" s="22">
        <v>20005930</v>
      </c>
      <c r="H76" s="21" t="s">
        <v>23</v>
      </c>
      <c r="I76" s="22">
        <v>1</v>
      </c>
      <c r="J76" s="23">
        <v>8</v>
      </c>
      <c r="K76" s="23">
        <v>8</v>
      </c>
    </row>
    <row r="77" spans="4:11">
      <c r="D77" s="20">
        <v>46198</v>
      </c>
      <c r="E77" s="21">
        <v>1615157</v>
      </c>
      <c r="F77" s="21" t="s">
        <v>13</v>
      </c>
      <c r="G77" s="22">
        <v>20008054</v>
      </c>
      <c r="H77" s="21" t="s">
        <v>158</v>
      </c>
      <c r="I77" s="22">
        <v>1</v>
      </c>
      <c r="J77" s="23">
        <v>16.5</v>
      </c>
      <c r="K77" s="23">
        <v>16.5</v>
      </c>
    </row>
    <row r="78" spans="4:11">
      <c r="D78" s="20">
        <v>46198</v>
      </c>
      <c r="E78" s="21">
        <v>1615157</v>
      </c>
      <c r="F78" s="21" t="s">
        <v>13</v>
      </c>
      <c r="G78" s="22">
        <v>20013717</v>
      </c>
      <c r="H78" s="21" t="s">
        <v>159</v>
      </c>
      <c r="I78" s="22">
        <v>1</v>
      </c>
      <c r="J78" s="23">
        <v>60.5</v>
      </c>
      <c r="K78" s="23">
        <v>60.5</v>
      </c>
    </row>
    <row r="79" spans="4:11">
      <c r="D79" s="20">
        <v>46198</v>
      </c>
      <c r="E79" s="21">
        <v>1615157</v>
      </c>
      <c r="F79" s="21" t="s">
        <v>13</v>
      </c>
      <c r="G79" s="22">
        <v>20346748</v>
      </c>
      <c r="H79" s="21" t="s">
        <v>119</v>
      </c>
      <c r="I79" s="22">
        <v>1</v>
      </c>
      <c r="J79" s="23">
        <v>22</v>
      </c>
      <c r="K79" s="23">
        <v>22</v>
      </c>
    </row>
    <row r="80" spans="4:11">
      <c r="D80" s="20">
        <v>46198</v>
      </c>
      <c r="E80" s="21">
        <v>1615157</v>
      </c>
      <c r="F80" s="21" t="s">
        <v>13</v>
      </c>
      <c r="G80" s="22">
        <v>20007931</v>
      </c>
      <c r="H80" s="21" t="s">
        <v>160</v>
      </c>
      <c r="I80" s="22">
        <v>1</v>
      </c>
      <c r="J80" s="23">
        <v>16.5</v>
      </c>
      <c r="K80" s="23">
        <v>16.5</v>
      </c>
    </row>
    <row r="81" spans="4:11">
      <c r="D81" s="20">
        <v>46198</v>
      </c>
      <c r="E81" s="21">
        <v>1615157</v>
      </c>
      <c r="F81" s="21" t="s">
        <v>13</v>
      </c>
      <c r="G81" s="22">
        <v>20007904</v>
      </c>
      <c r="H81" s="21" t="s">
        <v>161</v>
      </c>
      <c r="I81" s="22">
        <v>1</v>
      </c>
      <c r="J81" s="23">
        <v>55</v>
      </c>
      <c r="K81" s="23">
        <v>55</v>
      </c>
    </row>
    <row r="82" spans="4:11">
      <c r="D82" s="20">
        <v>46198</v>
      </c>
      <c r="E82" s="21">
        <v>1615157</v>
      </c>
      <c r="F82" s="21" t="s">
        <v>13</v>
      </c>
      <c r="G82" s="22">
        <v>20005376</v>
      </c>
      <c r="H82" s="21" t="s">
        <v>141</v>
      </c>
      <c r="I82" s="22">
        <v>1</v>
      </c>
      <c r="J82" s="23">
        <v>60.5</v>
      </c>
      <c r="K82" s="23">
        <v>60.5</v>
      </c>
    </row>
    <row r="83" spans="4:11">
      <c r="D83" s="20">
        <v>46198</v>
      </c>
      <c r="E83" s="21">
        <v>1615157</v>
      </c>
      <c r="F83" s="21" t="s">
        <v>13</v>
      </c>
      <c r="G83" s="22">
        <v>20007923</v>
      </c>
      <c r="H83" s="21" t="s">
        <v>162</v>
      </c>
      <c r="I83" s="22">
        <v>1</v>
      </c>
      <c r="J83" s="23">
        <v>16.5</v>
      </c>
      <c r="K83" s="23">
        <v>16.5</v>
      </c>
    </row>
    <row r="84" spans="4:11">
      <c r="D84" s="20">
        <v>46198</v>
      </c>
      <c r="E84" s="21">
        <v>1615157</v>
      </c>
      <c r="F84" s="21" t="s">
        <v>13</v>
      </c>
      <c r="G84" s="22">
        <v>20007905</v>
      </c>
      <c r="H84" s="21" t="s">
        <v>163</v>
      </c>
      <c r="I84" s="22">
        <v>1</v>
      </c>
      <c r="J84" s="23">
        <v>16.5</v>
      </c>
      <c r="K84" s="23">
        <v>16.5</v>
      </c>
    </row>
    <row r="85" spans="4:11">
      <c r="D85" s="20">
        <v>46198</v>
      </c>
      <c r="E85" s="21">
        <v>1615157</v>
      </c>
      <c r="F85" s="21" t="s">
        <v>13</v>
      </c>
      <c r="G85" s="22">
        <v>20005836</v>
      </c>
      <c r="H85" s="21" t="s">
        <v>164</v>
      </c>
      <c r="I85" s="22">
        <v>1</v>
      </c>
      <c r="J85" s="23">
        <v>16.5</v>
      </c>
      <c r="K85" s="23">
        <v>16.5</v>
      </c>
    </row>
    <row r="86" spans="4:11">
      <c r="D86" s="20">
        <v>46198</v>
      </c>
      <c r="E86" s="21">
        <v>1615157</v>
      </c>
      <c r="F86" s="21" t="s">
        <v>13</v>
      </c>
      <c r="G86" s="22">
        <v>20005837</v>
      </c>
      <c r="H86" s="21" t="s">
        <v>165</v>
      </c>
      <c r="I86" s="22">
        <v>2</v>
      </c>
      <c r="J86" s="23">
        <v>16.5</v>
      </c>
      <c r="K86" s="23">
        <v>33</v>
      </c>
    </row>
    <row r="87" spans="4:11">
      <c r="D87" s="20">
        <v>46198</v>
      </c>
      <c r="E87" s="21">
        <v>1615157</v>
      </c>
      <c r="F87" s="21" t="s">
        <v>13</v>
      </c>
      <c r="G87" s="22">
        <v>20007938</v>
      </c>
      <c r="H87" s="21" t="s">
        <v>166</v>
      </c>
      <c r="I87" s="22">
        <v>1</v>
      </c>
      <c r="J87" s="23">
        <v>38.5</v>
      </c>
      <c r="K87" s="23">
        <v>38.5</v>
      </c>
    </row>
    <row r="88" spans="4:11">
      <c r="D88" s="20">
        <v>46198</v>
      </c>
      <c r="E88" s="21">
        <v>1615218</v>
      </c>
      <c r="F88" s="21" t="s">
        <v>21</v>
      </c>
      <c r="G88" s="22">
        <v>20005842</v>
      </c>
      <c r="H88" s="21" t="s">
        <v>118</v>
      </c>
      <c r="I88" s="22">
        <v>1</v>
      </c>
      <c r="J88" s="23">
        <v>16.5</v>
      </c>
      <c r="K88" s="23">
        <v>16.5</v>
      </c>
    </row>
    <row r="89" spans="4:11">
      <c r="D89" s="20">
        <v>46198</v>
      </c>
      <c r="E89" s="21">
        <v>1615218</v>
      </c>
      <c r="F89" s="21" t="s">
        <v>21</v>
      </c>
      <c r="G89" s="22">
        <v>20343931</v>
      </c>
      <c r="H89" s="21" t="s">
        <v>148</v>
      </c>
      <c r="I89" s="22">
        <v>1</v>
      </c>
      <c r="J89" s="23">
        <v>11</v>
      </c>
      <c r="K89" s="23">
        <v>11</v>
      </c>
    </row>
    <row r="90" spans="4:11">
      <c r="D90" s="20">
        <v>46198</v>
      </c>
      <c r="E90" s="21">
        <v>1615220</v>
      </c>
      <c r="F90" s="21" t="s">
        <v>167</v>
      </c>
      <c r="G90" s="22">
        <v>20392594</v>
      </c>
      <c r="H90" s="21" t="s">
        <v>168</v>
      </c>
      <c r="I90" s="22">
        <v>2</v>
      </c>
      <c r="J90" s="23">
        <v>28</v>
      </c>
      <c r="K90" s="23">
        <v>56</v>
      </c>
    </row>
    <row r="91" spans="4:11">
      <c r="D91" s="20">
        <v>46202</v>
      </c>
      <c r="E91" s="21">
        <v>1616016</v>
      </c>
      <c r="F91" s="21" t="s">
        <v>19</v>
      </c>
      <c r="G91" s="22">
        <v>20005227</v>
      </c>
      <c r="H91" s="21" t="s">
        <v>125</v>
      </c>
      <c r="I91" s="22">
        <v>1</v>
      </c>
      <c r="J91" s="23">
        <v>82.5</v>
      </c>
      <c r="K91" s="23">
        <v>82.5</v>
      </c>
    </row>
    <row r="92" spans="4:11">
      <c r="D92" s="20">
        <v>46202</v>
      </c>
      <c r="E92" s="21">
        <v>1616016</v>
      </c>
      <c r="F92" s="21" t="s">
        <v>19</v>
      </c>
      <c r="G92" s="22">
        <v>20005228</v>
      </c>
      <c r="H92" s="21" t="s">
        <v>117</v>
      </c>
      <c r="I92" s="22">
        <v>2</v>
      </c>
      <c r="J92" s="23">
        <v>99</v>
      </c>
      <c r="K92" s="23">
        <v>198</v>
      </c>
    </row>
    <row r="93" spans="4:11">
      <c r="D93" s="20">
        <v>46202</v>
      </c>
      <c r="E93" s="21">
        <v>1616016</v>
      </c>
      <c r="F93" s="21" t="s">
        <v>21</v>
      </c>
      <c r="G93" s="22">
        <v>20005842</v>
      </c>
      <c r="H93" s="21" t="s">
        <v>118</v>
      </c>
      <c r="I93" s="22">
        <v>2</v>
      </c>
      <c r="J93" s="23">
        <v>16.5</v>
      </c>
      <c r="K93" s="23">
        <v>33</v>
      </c>
    </row>
    <row r="94" spans="4:11">
      <c r="D94" s="20">
        <v>46202</v>
      </c>
      <c r="E94" s="21">
        <v>1616016</v>
      </c>
      <c r="F94" s="21" t="s">
        <v>13</v>
      </c>
      <c r="G94" s="22">
        <v>20346748</v>
      </c>
      <c r="H94" s="21" t="s">
        <v>119</v>
      </c>
      <c r="I94" s="22">
        <v>1</v>
      </c>
      <c r="J94" s="23">
        <v>22</v>
      </c>
      <c r="K94" s="23">
        <v>22</v>
      </c>
    </row>
    <row r="95" spans="4:11">
      <c r="D95" s="20">
        <v>46204</v>
      </c>
      <c r="E95" s="21">
        <v>1616821</v>
      </c>
      <c r="F95" s="21" t="s">
        <v>19</v>
      </c>
      <c r="G95" s="22">
        <v>20005227</v>
      </c>
      <c r="H95" s="21" t="s">
        <v>125</v>
      </c>
      <c r="I95" s="22">
        <v>3</v>
      </c>
      <c r="J95" s="23">
        <v>82.5</v>
      </c>
      <c r="K95" s="23">
        <v>247.5</v>
      </c>
    </row>
    <row r="96" spans="4:11">
      <c r="D96" s="20">
        <v>46204</v>
      </c>
      <c r="E96" s="21">
        <v>1616821</v>
      </c>
      <c r="F96" s="21" t="s">
        <v>19</v>
      </c>
      <c r="G96" s="22">
        <v>20005228</v>
      </c>
      <c r="H96" s="21" t="s">
        <v>117</v>
      </c>
      <c r="I96" s="22">
        <v>4</v>
      </c>
      <c r="J96" s="23">
        <v>99</v>
      </c>
      <c r="K96" s="23">
        <v>396</v>
      </c>
    </row>
    <row r="97" spans="4:11">
      <c r="D97" s="20">
        <v>46204</v>
      </c>
      <c r="E97" s="21">
        <v>1616821</v>
      </c>
      <c r="F97" s="21" t="s">
        <v>19</v>
      </c>
      <c r="G97" s="22">
        <v>20005230</v>
      </c>
      <c r="H97" s="21" t="s">
        <v>127</v>
      </c>
      <c r="I97" s="22">
        <v>1</v>
      </c>
      <c r="J97" s="23">
        <v>313.5</v>
      </c>
      <c r="K97" s="23">
        <v>313.5</v>
      </c>
    </row>
    <row r="98" spans="4:11">
      <c r="D98" s="20">
        <v>46204</v>
      </c>
      <c r="E98" s="21">
        <v>1616821</v>
      </c>
      <c r="F98" s="21" t="s">
        <v>21</v>
      </c>
      <c r="G98" s="22">
        <v>20005842</v>
      </c>
      <c r="H98" s="21" t="s">
        <v>118</v>
      </c>
      <c r="I98" s="22">
        <v>1</v>
      </c>
      <c r="J98" s="23">
        <v>16.5</v>
      </c>
      <c r="K98" s="23">
        <v>16.5</v>
      </c>
    </row>
    <row r="99" spans="4:11">
      <c r="D99" s="20">
        <v>46204</v>
      </c>
      <c r="E99" s="21">
        <v>1616821</v>
      </c>
      <c r="F99" s="21" t="s">
        <v>13</v>
      </c>
      <c r="G99" s="22">
        <v>20005206</v>
      </c>
      <c r="H99" s="21" t="s">
        <v>140</v>
      </c>
      <c r="I99" s="22">
        <v>1</v>
      </c>
      <c r="J99" s="23">
        <v>44</v>
      </c>
      <c r="K99" s="23">
        <v>44</v>
      </c>
    </row>
    <row r="100" spans="4:11">
      <c r="D100" s="20">
        <v>46204</v>
      </c>
      <c r="E100" s="21">
        <v>1616821</v>
      </c>
      <c r="F100" s="21" t="s">
        <v>13</v>
      </c>
      <c r="G100" s="22">
        <v>20005226</v>
      </c>
      <c r="H100" s="21" t="s">
        <v>120</v>
      </c>
      <c r="I100" s="22">
        <v>1</v>
      </c>
      <c r="J100" s="23">
        <v>27.5</v>
      </c>
      <c r="K100" s="23">
        <v>27.5</v>
      </c>
    </row>
    <row r="101" spans="4:11">
      <c r="D101" s="20">
        <v>46205</v>
      </c>
      <c r="E101" s="21">
        <v>1616870</v>
      </c>
      <c r="F101" s="21" t="s">
        <v>19</v>
      </c>
      <c r="G101" s="22">
        <v>20005228</v>
      </c>
      <c r="H101" s="21" t="s">
        <v>117</v>
      </c>
      <c r="I101" s="22">
        <v>1</v>
      </c>
      <c r="J101" s="23">
        <v>99</v>
      </c>
      <c r="K101" s="23">
        <v>99</v>
      </c>
    </row>
    <row r="102" spans="4:11">
      <c r="D102" s="20">
        <v>46205</v>
      </c>
      <c r="E102" s="21">
        <v>1616870</v>
      </c>
      <c r="F102" s="21" t="s">
        <v>21</v>
      </c>
      <c r="G102" s="22">
        <v>20005842</v>
      </c>
      <c r="H102" s="21" t="s">
        <v>118</v>
      </c>
      <c r="I102" s="22">
        <v>1</v>
      </c>
      <c r="J102" s="23">
        <v>16.5</v>
      </c>
      <c r="K102" s="23">
        <v>16.5</v>
      </c>
    </row>
    <row r="103" spans="4:11">
      <c r="D103" s="20">
        <v>46205</v>
      </c>
      <c r="E103" s="21">
        <v>1616870</v>
      </c>
      <c r="F103" s="21" t="s">
        <v>21</v>
      </c>
      <c r="G103" s="22">
        <v>20006047</v>
      </c>
      <c r="H103" s="21" t="s">
        <v>26</v>
      </c>
      <c r="I103" s="22">
        <v>1</v>
      </c>
      <c r="J103" s="23">
        <v>8</v>
      </c>
      <c r="K103" s="23">
        <v>8</v>
      </c>
    </row>
    <row r="104" spans="4:11">
      <c r="D104" s="20">
        <v>46205</v>
      </c>
      <c r="E104" s="21">
        <v>1616870</v>
      </c>
      <c r="F104" s="21" t="s">
        <v>13</v>
      </c>
      <c r="G104" s="22">
        <v>20005206</v>
      </c>
      <c r="H104" s="21" t="s">
        <v>140</v>
      </c>
      <c r="I104" s="22">
        <v>1</v>
      </c>
      <c r="J104" s="23">
        <v>44</v>
      </c>
      <c r="K104" s="23">
        <v>44</v>
      </c>
    </row>
    <row r="105" spans="4:11">
      <c r="D105" s="20">
        <v>46205</v>
      </c>
      <c r="E105" s="21">
        <v>1616975</v>
      </c>
      <c r="F105" s="21" t="s">
        <v>135</v>
      </c>
      <c r="G105" s="22">
        <v>20392603</v>
      </c>
      <c r="H105" s="21" t="s">
        <v>169</v>
      </c>
      <c r="I105" s="22">
        <v>1</v>
      </c>
      <c r="J105" s="23">
        <v>300</v>
      </c>
      <c r="K105" s="23">
        <v>300</v>
      </c>
    </row>
    <row r="106" spans="4:11">
      <c r="D106" s="20">
        <v>46205</v>
      </c>
      <c r="E106" s="21">
        <v>1616975</v>
      </c>
      <c r="F106" s="21" t="s">
        <v>137</v>
      </c>
      <c r="G106" s="22">
        <v>20392576</v>
      </c>
      <c r="H106" s="21" t="s">
        <v>138</v>
      </c>
      <c r="I106" s="22">
        <v>1</v>
      </c>
      <c r="J106" s="23">
        <v>28</v>
      </c>
      <c r="K106" s="23">
        <v>28</v>
      </c>
    </row>
    <row r="107" spans="4:11">
      <c r="D107" s="20">
        <v>46205</v>
      </c>
      <c r="E107" s="21">
        <v>1617109</v>
      </c>
      <c r="F107" s="21" t="s">
        <v>19</v>
      </c>
      <c r="G107" s="22">
        <v>20388031</v>
      </c>
      <c r="H107" s="21" t="s">
        <v>124</v>
      </c>
      <c r="I107" s="22">
        <v>1</v>
      </c>
      <c r="J107" s="23">
        <v>176</v>
      </c>
      <c r="K107" s="23">
        <v>176</v>
      </c>
    </row>
    <row r="108" spans="4:11">
      <c r="D108" s="20">
        <v>46205</v>
      </c>
      <c r="E108" s="21">
        <v>1617109</v>
      </c>
      <c r="F108" s="21" t="s">
        <v>19</v>
      </c>
      <c r="G108" s="22">
        <v>20005230</v>
      </c>
      <c r="H108" s="21" t="s">
        <v>127</v>
      </c>
      <c r="I108" s="22">
        <v>2</v>
      </c>
      <c r="J108" s="23">
        <v>313.5</v>
      </c>
      <c r="K108" s="23">
        <v>627</v>
      </c>
    </row>
    <row r="109" spans="4:11">
      <c r="D109" s="20">
        <v>46205</v>
      </c>
      <c r="E109" s="21">
        <v>1617109</v>
      </c>
      <c r="F109" s="21" t="s">
        <v>13</v>
      </c>
      <c r="G109" s="22">
        <v>20346748</v>
      </c>
      <c r="H109" s="21" t="s">
        <v>119</v>
      </c>
      <c r="I109" s="22">
        <v>1</v>
      </c>
      <c r="J109" s="23">
        <v>22</v>
      </c>
      <c r="K109" s="23">
        <v>22</v>
      </c>
    </row>
    <row r="110" spans="4:11">
      <c r="D110" s="20">
        <v>46205</v>
      </c>
      <c r="E110" s="21">
        <v>1617109</v>
      </c>
      <c r="F110" s="21" t="s">
        <v>13</v>
      </c>
      <c r="G110" s="22">
        <v>20005226</v>
      </c>
      <c r="H110" s="21" t="s">
        <v>120</v>
      </c>
      <c r="I110" s="22">
        <v>3</v>
      </c>
      <c r="J110" s="23">
        <v>27.5</v>
      </c>
      <c r="K110" s="23">
        <v>82.5</v>
      </c>
    </row>
    <row r="111" spans="4:11">
      <c r="D111" s="20">
        <v>46205</v>
      </c>
      <c r="E111" s="21">
        <v>1617109</v>
      </c>
      <c r="F111" s="21" t="s">
        <v>16</v>
      </c>
      <c r="G111" s="22">
        <v>20417496</v>
      </c>
      <c r="H111" s="21" t="s">
        <v>121</v>
      </c>
      <c r="I111" s="22">
        <v>1</v>
      </c>
      <c r="J111" s="23">
        <v>4</v>
      </c>
      <c r="K111" s="23">
        <v>4</v>
      </c>
    </row>
    <row r="112" spans="4:11">
      <c r="D112" s="20">
        <v>46206</v>
      </c>
      <c r="E112" s="21">
        <v>1617197</v>
      </c>
      <c r="F112" s="21" t="s">
        <v>21</v>
      </c>
      <c r="G112" s="22">
        <v>20005842</v>
      </c>
      <c r="H112" s="21" t="s">
        <v>118</v>
      </c>
      <c r="I112" s="22">
        <v>2</v>
      </c>
      <c r="J112" s="23">
        <v>16.5</v>
      </c>
      <c r="K112" s="23">
        <v>33</v>
      </c>
    </row>
    <row r="113" spans="4:11">
      <c r="D113" s="20">
        <v>46206</v>
      </c>
      <c r="E113" s="21">
        <v>1617197</v>
      </c>
      <c r="F113" s="21" t="s">
        <v>21</v>
      </c>
      <c r="G113" s="22">
        <v>20343931</v>
      </c>
      <c r="H113" s="21" t="s">
        <v>148</v>
      </c>
      <c r="I113" s="22">
        <v>1</v>
      </c>
      <c r="J113" s="23">
        <v>11</v>
      </c>
      <c r="K113" s="23">
        <v>11</v>
      </c>
    </row>
    <row r="114" spans="4:11">
      <c r="D114" s="20">
        <v>46206</v>
      </c>
      <c r="E114" s="21">
        <v>1617197</v>
      </c>
      <c r="F114" s="21" t="s">
        <v>21</v>
      </c>
      <c r="G114" s="22">
        <v>20326126</v>
      </c>
      <c r="H114" s="21" t="s">
        <v>139</v>
      </c>
      <c r="I114" s="22">
        <v>1</v>
      </c>
      <c r="J114" s="23">
        <v>16.5</v>
      </c>
      <c r="K114" s="23">
        <v>16.5</v>
      </c>
    </row>
    <row r="115" spans="4:11">
      <c r="D115" s="20">
        <v>46206</v>
      </c>
      <c r="E115" s="21">
        <v>1617197</v>
      </c>
      <c r="F115" s="21" t="s">
        <v>13</v>
      </c>
      <c r="G115" s="22">
        <v>20430335</v>
      </c>
      <c r="H115" s="21" t="s">
        <v>133</v>
      </c>
      <c r="I115" s="22">
        <v>1</v>
      </c>
      <c r="J115" s="23">
        <v>33</v>
      </c>
      <c r="K115" s="23">
        <v>33</v>
      </c>
    </row>
    <row r="116" spans="4:11">
      <c r="D116" s="20">
        <v>46209</v>
      </c>
      <c r="E116" s="21">
        <v>1617964</v>
      </c>
      <c r="F116" s="21" t="s">
        <v>19</v>
      </c>
      <c r="G116" s="22">
        <v>20005227</v>
      </c>
      <c r="H116" s="21" t="s">
        <v>125</v>
      </c>
      <c r="I116" s="22">
        <v>1</v>
      </c>
      <c r="J116" s="23">
        <v>82.5</v>
      </c>
      <c r="K116" s="23">
        <v>82.5</v>
      </c>
    </row>
    <row r="117" spans="4:11">
      <c r="D117" s="20">
        <v>46209</v>
      </c>
      <c r="E117" s="21">
        <v>1617964</v>
      </c>
      <c r="F117" s="21" t="s">
        <v>19</v>
      </c>
      <c r="G117" s="22">
        <v>20388031</v>
      </c>
      <c r="H117" s="21" t="s">
        <v>124</v>
      </c>
      <c r="I117" s="22">
        <v>1</v>
      </c>
      <c r="J117" s="23">
        <v>176</v>
      </c>
      <c r="K117" s="23">
        <v>176</v>
      </c>
    </row>
    <row r="118" spans="4:11">
      <c r="D118" s="20">
        <v>46209</v>
      </c>
      <c r="E118" s="21">
        <v>1617964</v>
      </c>
      <c r="F118" s="21" t="s">
        <v>19</v>
      </c>
      <c r="G118" s="22">
        <v>20005228</v>
      </c>
      <c r="H118" s="21" t="s">
        <v>117</v>
      </c>
      <c r="I118" s="22">
        <v>1</v>
      </c>
      <c r="J118" s="23">
        <v>99</v>
      </c>
      <c r="K118" s="23">
        <v>99</v>
      </c>
    </row>
    <row r="119" spans="4:11">
      <c r="D119" s="20">
        <v>46209</v>
      </c>
      <c r="E119" s="21">
        <v>1617964</v>
      </c>
      <c r="F119" s="21" t="s">
        <v>19</v>
      </c>
      <c r="G119" s="22">
        <v>20005230</v>
      </c>
      <c r="H119" s="21" t="s">
        <v>127</v>
      </c>
      <c r="I119" s="22">
        <v>1</v>
      </c>
      <c r="J119" s="23">
        <v>313.5</v>
      </c>
      <c r="K119" s="23">
        <v>313.5</v>
      </c>
    </row>
    <row r="120" spans="4:11">
      <c r="D120" s="20">
        <v>46209</v>
      </c>
      <c r="E120" s="21">
        <v>1617964</v>
      </c>
      <c r="F120" s="21" t="s">
        <v>21</v>
      </c>
      <c r="G120" s="22">
        <v>20005842</v>
      </c>
      <c r="H120" s="21" t="s">
        <v>118</v>
      </c>
      <c r="I120" s="22">
        <v>4</v>
      </c>
      <c r="J120" s="23">
        <v>16.5</v>
      </c>
      <c r="K120" s="23">
        <v>66</v>
      </c>
    </row>
    <row r="121" spans="4:11">
      <c r="D121" s="20">
        <v>46209</v>
      </c>
      <c r="E121" s="21">
        <v>1617964</v>
      </c>
      <c r="F121" s="21" t="s">
        <v>13</v>
      </c>
      <c r="G121" s="22">
        <v>20005222</v>
      </c>
      <c r="H121" s="21" t="s">
        <v>130</v>
      </c>
      <c r="I121" s="22">
        <v>1</v>
      </c>
      <c r="J121" s="23">
        <v>16.5</v>
      </c>
      <c r="K121" s="23">
        <v>16.5</v>
      </c>
    </row>
    <row r="122" spans="4:11">
      <c r="D122" s="20">
        <v>46209</v>
      </c>
      <c r="E122" s="21">
        <v>1617964</v>
      </c>
      <c r="F122" s="21" t="s">
        <v>13</v>
      </c>
      <c r="G122" s="22">
        <v>20005226</v>
      </c>
      <c r="H122" s="21" t="s">
        <v>120</v>
      </c>
      <c r="I122" s="22">
        <v>1</v>
      </c>
      <c r="J122" s="23">
        <v>27.5</v>
      </c>
      <c r="K122" s="23">
        <v>27.5</v>
      </c>
    </row>
    <row r="123" spans="4:11">
      <c r="D123" s="20">
        <v>46209</v>
      </c>
      <c r="E123" s="21">
        <v>1617964</v>
      </c>
      <c r="F123" s="21" t="s">
        <v>16</v>
      </c>
      <c r="G123" s="22">
        <v>20417496</v>
      </c>
      <c r="H123" s="21" t="s">
        <v>121</v>
      </c>
      <c r="I123" s="22">
        <v>1</v>
      </c>
      <c r="J123" s="23">
        <v>4</v>
      </c>
      <c r="K123" s="23">
        <v>4</v>
      </c>
    </row>
    <row r="124" spans="4:11">
      <c r="D124" s="20">
        <v>46209</v>
      </c>
      <c r="E124" s="21">
        <v>1617964</v>
      </c>
      <c r="F124" s="21" t="s">
        <v>16</v>
      </c>
      <c r="G124" s="22">
        <v>20006044</v>
      </c>
      <c r="H124" s="21" t="s">
        <v>132</v>
      </c>
      <c r="I124" s="22">
        <v>1</v>
      </c>
      <c r="J124" s="23">
        <v>2.5</v>
      </c>
      <c r="K124" s="23">
        <v>2.5</v>
      </c>
    </row>
    <row r="125" spans="4:11">
      <c r="D125" s="20">
        <v>46210</v>
      </c>
      <c r="E125" s="21">
        <v>1618270</v>
      </c>
      <c r="F125" s="21" t="s">
        <v>167</v>
      </c>
      <c r="G125" s="22">
        <v>20395652</v>
      </c>
      <c r="H125" s="21" t="s">
        <v>170</v>
      </c>
      <c r="I125" s="22">
        <v>1</v>
      </c>
      <c r="J125" s="23">
        <v>25</v>
      </c>
      <c r="K125" s="23">
        <v>25</v>
      </c>
    </row>
    <row r="126" spans="4:11">
      <c r="D126" s="20">
        <v>46210</v>
      </c>
      <c r="E126" s="21">
        <v>1618270</v>
      </c>
      <c r="F126" s="21" t="s">
        <v>167</v>
      </c>
      <c r="G126" s="22">
        <v>20011858</v>
      </c>
      <c r="H126" s="21" t="s">
        <v>171</v>
      </c>
      <c r="I126" s="22">
        <v>1</v>
      </c>
      <c r="J126" s="23">
        <v>28</v>
      </c>
      <c r="K126" s="23">
        <v>28</v>
      </c>
    </row>
    <row r="127" spans="4:11">
      <c r="D127" s="20">
        <v>46210</v>
      </c>
      <c r="E127" s="21">
        <v>1618270</v>
      </c>
      <c r="F127" s="21" t="s">
        <v>167</v>
      </c>
      <c r="G127" s="22">
        <v>20348132</v>
      </c>
      <c r="H127" s="21" t="s">
        <v>172</v>
      </c>
      <c r="I127" s="22">
        <v>7</v>
      </c>
      <c r="J127" s="23">
        <v>25</v>
      </c>
      <c r="K127" s="23">
        <v>175</v>
      </c>
    </row>
    <row r="128" spans="4:11">
      <c r="D128" s="20">
        <v>46210</v>
      </c>
      <c r="E128" s="21">
        <v>1618270</v>
      </c>
      <c r="F128" s="21" t="s">
        <v>167</v>
      </c>
      <c r="G128" s="22">
        <v>20348133</v>
      </c>
      <c r="H128" s="21" t="s">
        <v>173</v>
      </c>
      <c r="I128" s="22">
        <v>2</v>
      </c>
      <c r="J128" s="23">
        <v>66</v>
      </c>
      <c r="K128" s="23">
        <v>132</v>
      </c>
    </row>
    <row r="129" spans="4:11">
      <c r="D129" s="20">
        <v>46210</v>
      </c>
      <c r="E129" s="21">
        <v>1618270</v>
      </c>
      <c r="F129" s="21" t="s">
        <v>135</v>
      </c>
      <c r="G129" s="22">
        <v>20392610</v>
      </c>
      <c r="H129" s="21" t="s">
        <v>136</v>
      </c>
      <c r="I129" s="22">
        <v>1</v>
      </c>
      <c r="J129" s="23">
        <v>165</v>
      </c>
      <c r="K129" s="23">
        <v>165</v>
      </c>
    </row>
    <row r="130" spans="4:11">
      <c r="D130" s="20">
        <v>46210</v>
      </c>
      <c r="E130" s="21">
        <v>1618270</v>
      </c>
      <c r="F130" s="21" t="s">
        <v>137</v>
      </c>
      <c r="G130" s="22">
        <v>20392576</v>
      </c>
      <c r="H130" s="21" t="s">
        <v>138</v>
      </c>
      <c r="I130" s="22">
        <v>1</v>
      </c>
      <c r="J130" s="23">
        <v>28</v>
      </c>
      <c r="K130" s="23">
        <v>28</v>
      </c>
    </row>
    <row r="131" spans="4:11">
      <c r="D131" s="20">
        <v>46210</v>
      </c>
      <c r="E131" s="21">
        <v>1618375</v>
      </c>
      <c r="F131" s="21" t="s">
        <v>19</v>
      </c>
      <c r="G131" s="22">
        <v>20005227</v>
      </c>
      <c r="H131" s="21" t="s">
        <v>125</v>
      </c>
      <c r="I131" s="22">
        <v>2</v>
      </c>
      <c r="J131" s="23">
        <v>82.5</v>
      </c>
      <c r="K131" s="23">
        <v>165</v>
      </c>
    </row>
    <row r="132" spans="4:11">
      <c r="D132" s="20">
        <v>46210</v>
      </c>
      <c r="E132" s="21">
        <v>1618375</v>
      </c>
      <c r="F132" s="21" t="s">
        <v>19</v>
      </c>
      <c r="G132" s="22">
        <v>20388031</v>
      </c>
      <c r="H132" s="21" t="s">
        <v>124</v>
      </c>
      <c r="I132" s="22">
        <v>1</v>
      </c>
      <c r="J132" s="23">
        <v>176</v>
      </c>
      <c r="K132" s="23">
        <v>176</v>
      </c>
    </row>
    <row r="133" spans="4:11">
      <c r="D133" s="20">
        <v>46210</v>
      </c>
      <c r="E133" s="21">
        <v>1618375</v>
      </c>
      <c r="F133" s="21" t="s">
        <v>21</v>
      </c>
      <c r="G133" s="22">
        <v>20005843</v>
      </c>
      <c r="H133" s="21" t="s">
        <v>174</v>
      </c>
      <c r="I133" s="22">
        <v>1</v>
      </c>
      <c r="J133" s="23">
        <v>8</v>
      </c>
      <c r="K133" s="23">
        <v>8</v>
      </c>
    </row>
    <row r="134" spans="4:11">
      <c r="D134" s="20">
        <v>46210</v>
      </c>
      <c r="E134" s="21">
        <v>1618375</v>
      </c>
      <c r="F134" s="21" t="s">
        <v>21</v>
      </c>
      <c r="G134" s="22">
        <v>20005842</v>
      </c>
      <c r="H134" s="21" t="s">
        <v>118</v>
      </c>
      <c r="I134" s="22">
        <v>1</v>
      </c>
      <c r="J134" s="23">
        <v>16.5</v>
      </c>
      <c r="K134" s="23">
        <v>16.5</v>
      </c>
    </row>
    <row r="135" spans="4:11">
      <c r="D135" s="20">
        <v>46210</v>
      </c>
      <c r="E135" s="21">
        <v>1618375</v>
      </c>
      <c r="F135" s="21" t="s">
        <v>21</v>
      </c>
      <c r="G135" s="22">
        <v>20366595</v>
      </c>
      <c r="H135" s="21" t="s">
        <v>175</v>
      </c>
      <c r="I135" s="22">
        <v>1</v>
      </c>
      <c r="J135" s="23">
        <v>16.5</v>
      </c>
      <c r="K135" s="23">
        <v>16.5</v>
      </c>
    </row>
    <row r="136" spans="4:11">
      <c r="D136" s="20">
        <v>46210</v>
      </c>
      <c r="E136" s="21">
        <v>1618375</v>
      </c>
      <c r="F136" s="21" t="s">
        <v>21</v>
      </c>
      <c r="G136" s="22">
        <v>20008048</v>
      </c>
      <c r="H136" s="21" t="s">
        <v>176</v>
      </c>
      <c r="I136" s="22">
        <v>1</v>
      </c>
      <c r="J136" s="23">
        <v>16.5</v>
      </c>
      <c r="K136" s="23">
        <v>16.5</v>
      </c>
    </row>
    <row r="137" spans="4:11">
      <c r="D137" s="20">
        <v>46210</v>
      </c>
      <c r="E137" s="21">
        <v>1618375</v>
      </c>
      <c r="F137" s="21" t="s">
        <v>21</v>
      </c>
      <c r="G137" s="22">
        <v>20006047</v>
      </c>
      <c r="H137" s="21" t="s">
        <v>26</v>
      </c>
      <c r="I137" s="22">
        <v>1</v>
      </c>
      <c r="J137" s="23">
        <v>8</v>
      </c>
      <c r="K137" s="23">
        <v>8</v>
      </c>
    </row>
    <row r="138" spans="4:11">
      <c r="D138" s="20">
        <v>46210</v>
      </c>
      <c r="E138" s="21">
        <v>1618375</v>
      </c>
      <c r="F138" s="21" t="s">
        <v>21</v>
      </c>
      <c r="G138" s="22">
        <v>20328068</v>
      </c>
      <c r="H138" s="21" t="s">
        <v>177</v>
      </c>
      <c r="I138" s="22">
        <v>1</v>
      </c>
      <c r="J138" s="23">
        <v>8</v>
      </c>
      <c r="K138" s="23">
        <v>8</v>
      </c>
    </row>
    <row r="139" spans="4:11">
      <c r="D139" s="20">
        <v>46210</v>
      </c>
      <c r="E139" s="21">
        <v>1618375</v>
      </c>
      <c r="F139" s="21" t="s">
        <v>21</v>
      </c>
      <c r="G139" s="22">
        <v>20005212</v>
      </c>
      <c r="H139" s="21" t="s">
        <v>178</v>
      </c>
      <c r="I139" s="22">
        <v>1</v>
      </c>
      <c r="J139" s="23">
        <v>16.5</v>
      </c>
      <c r="K139" s="23">
        <v>16.5</v>
      </c>
    </row>
    <row r="140" spans="4:11">
      <c r="D140" s="20">
        <v>46210</v>
      </c>
      <c r="E140" s="21">
        <v>1618375</v>
      </c>
      <c r="F140" s="21" t="s">
        <v>13</v>
      </c>
      <c r="G140" s="22">
        <v>20005327</v>
      </c>
      <c r="H140" s="21" t="s">
        <v>179</v>
      </c>
      <c r="I140" s="22">
        <v>1</v>
      </c>
      <c r="J140" s="23">
        <v>22</v>
      </c>
      <c r="K140" s="23">
        <v>22</v>
      </c>
    </row>
    <row r="141" spans="4:11">
      <c r="D141" s="20">
        <v>46210</v>
      </c>
      <c r="E141" s="21">
        <v>1618375</v>
      </c>
      <c r="F141" s="21" t="s">
        <v>13</v>
      </c>
      <c r="G141" s="22">
        <v>20315101</v>
      </c>
      <c r="H141" s="21" t="s">
        <v>180</v>
      </c>
      <c r="I141" s="22">
        <v>1</v>
      </c>
      <c r="J141" s="23">
        <v>44</v>
      </c>
      <c r="K141" s="23">
        <v>44</v>
      </c>
    </row>
    <row r="142" spans="4:11">
      <c r="D142" s="20">
        <v>46210</v>
      </c>
      <c r="E142" s="21">
        <v>1618375</v>
      </c>
      <c r="F142" s="21" t="s">
        <v>13</v>
      </c>
      <c r="G142" s="22">
        <v>20008828</v>
      </c>
      <c r="H142" s="21" t="s">
        <v>181</v>
      </c>
      <c r="I142" s="22">
        <v>1</v>
      </c>
      <c r="J142" s="23">
        <v>16.5</v>
      </c>
      <c r="K142" s="23">
        <v>16.5</v>
      </c>
    </row>
    <row r="143" spans="4:11">
      <c r="D143" s="20">
        <v>46210</v>
      </c>
      <c r="E143" s="21">
        <v>1618375</v>
      </c>
      <c r="F143" s="21" t="s">
        <v>16</v>
      </c>
      <c r="G143" s="22">
        <v>20417496</v>
      </c>
      <c r="H143" s="21" t="s">
        <v>121</v>
      </c>
      <c r="I143" s="22">
        <v>1</v>
      </c>
      <c r="J143" s="23">
        <v>4</v>
      </c>
      <c r="K143" s="23">
        <v>4</v>
      </c>
    </row>
    <row r="144" spans="4:11">
      <c r="D144" s="20">
        <v>46212</v>
      </c>
      <c r="E144" s="21">
        <v>1619114</v>
      </c>
      <c r="F144" s="21" t="s">
        <v>19</v>
      </c>
      <c r="G144" s="22">
        <v>20005227</v>
      </c>
      <c r="H144" s="21" t="s">
        <v>125</v>
      </c>
      <c r="I144" s="22">
        <v>1</v>
      </c>
      <c r="J144" s="23">
        <v>82.5</v>
      </c>
      <c r="K144" s="23">
        <v>82.5</v>
      </c>
    </row>
    <row r="145" spans="4:11">
      <c r="D145" s="20">
        <v>46212</v>
      </c>
      <c r="E145" s="21">
        <v>1619114</v>
      </c>
      <c r="F145" s="21" t="s">
        <v>19</v>
      </c>
      <c r="G145" s="22">
        <v>20005228</v>
      </c>
      <c r="H145" s="21" t="s">
        <v>117</v>
      </c>
      <c r="I145" s="22">
        <v>3</v>
      </c>
      <c r="J145" s="23">
        <v>99</v>
      </c>
      <c r="K145" s="23">
        <v>297</v>
      </c>
    </row>
    <row r="146" spans="4:11">
      <c r="D146" s="20">
        <v>46212</v>
      </c>
      <c r="E146" s="21">
        <v>1619114</v>
      </c>
      <c r="F146" s="21" t="s">
        <v>13</v>
      </c>
      <c r="G146" s="22">
        <v>20346748</v>
      </c>
      <c r="H146" s="21" t="s">
        <v>119</v>
      </c>
      <c r="I146" s="22">
        <v>1</v>
      </c>
      <c r="J146" s="23">
        <v>22</v>
      </c>
      <c r="K146" s="23">
        <v>22</v>
      </c>
    </row>
    <row r="147" spans="4:11">
      <c r="D147" s="20">
        <v>46212</v>
      </c>
      <c r="E147" s="21">
        <v>1619114</v>
      </c>
      <c r="F147" s="21" t="s">
        <v>13</v>
      </c>
      <c r="G147" s="22">
        <v>20433020</v>
      </c>
      <c r="H147" s="21" t="s">
        <v>182</v>
      </c>
      <c r="I147" s="22">
        <v>1</v>
      </c>
      <c r="J147" s="23">
        <v>16.5</v>
      </c>
      <c r="K147" s="23">
        <v>16.5</v>
      </c>
    </row>
    <row r="148" spans="4:11">
      <c r="D148" s="20">
        <v>46212</v>
      </c>
      <c r="E148" s="21">
        <v>1619114</v>
      </c>
      <c r="F148" s="21" t="s">
        <v>13</v>
      </c>
      <c r="G148" s="22">
        <v>20005206</v>
      </c>
      <c r="H148" s="21" t="s">
        <v>140</v>
      </c>
      <c r="I148" s="22">
        <v>1</v>
      </c>
      <c r="J148" s="23">
        <v>44</v>
      </c>
      <c r="K148" s="23">
        <v>44</v>
      </c>
    </row>
    <row r="149" spans="4:11">
      <c r="D149" s="20">
        <v>46212</v>
      </c>
      <c r="E149" s="21">
        <v>1619120</v>
      </c>
      <c r="F149" s="21" t="s">
        <v>21</v>
      </c>
      <c r="G149" s="22">
        <v>20005842</v>
      </c>
      <c r="H149" s="21" t="s">
        <v>118</v>
      </c>
      <c r="I149" s="22">
        <v>3</v>
      </c>
      <c r="J149" s="23">
        <v>16.5</v>
      </c>
      <c r="K149" s="23">
        <v>49.5</v>
      </c>
    </row>
    <row r="150" spans="4:11">
      <c r="D150" s="20">
        <v>46212</v>
      </c>
      <c r="E150" s="21">
        <v>1619120</v>
      </c>
      <c r="F150" s="21" t="s">
        <v>21</v>
      </c>
      <c r="G150" s="22">
        <v>20343931</v>
      </c>
      <c r="H150" s="21" t="s">
        <v>148</v>
      </c>
      <c r="I150" s="22">
        <v>1</v>
      </c>
      <c r="J150" s="23">
        <v>11</v>
      </c>
      <c r="K150" s="23">
        <v>11</v>
      </c>
    </row>
    <row r="151" spans="4:11">
      <c r="D151" s="20">
        <v>46212</v>
      </c>
      <c r="E151" s="21">
        <v>1619120</v>
      </c>
      <c r="F151" s="21" t="s">
        <v>21</v>
      </c>
      <c r="G151" s="22">
        <v>20006047</v>
      </c>
      <c r="H151" s="21" t="s">
        <v>26</v>
      </c>
      <c r="I151" s="22">
        <v>2</v>
      </c>
      <c r="J151" s="23">
        <v>8</v>
      </c>
      <c r="K151" s="23">
        <v>16</v>
      </c>
    </row>
    <row r="152" spans="4:11">
      <c r="D152" s="20">
        <v>46212</v>
      </c>
      <c r="E152" s="21">
        <v>1619120</v>
      </c>
      <c r="F152" s="21" t="s">
        <v>21</v>
      </c>
      <c r="G152" s="22">
        <v>20433021</v>
      </c>
      <c r="H152" s="21" t="s">
        <v>183</v>
      </c>
      <c r="I152" s="22">
        <v>1</v>
      </c>
      <c r="J152" s="23">
        <v>16.5</v>
      </c>
      <c r="K152" s="23">
        <v>16.5</v>
      </c>
    </row>
    <row r="153" spans="4:11">
      <c r="D153" s="20">
        <v>46214</v>
      </c>
      <c r="E153" s="21">
        <v>1619763</v>
      </c>
      <c r="F153" s="21" t="s">
        <v>19</v>
      </c>
      <c r="G153" s="22">
        <v>20388031</v>
      </c>
      <c r="H153" s="21" t="s">
        <v>124</v>
      </c>
      <c r="I153" s="22">
        <v>2</v>
      </c>
      <c r="J153" s="23">
        <v>176</v>
      </c>
      <c r="K153" s="23">
        <v>352</v>
      </c>
    </row>
    <row r="154" spans="4:11">
      <c r="D154" s="20">
        <v>46214</v>
      </c>
      <c r="E154" s="21">
        <v>1619763</v>
      </c>
      <c r="F154" s="21" t="s">
        <v>21</v>
      </c>
      <c r="G154" s="22">
        <v>20005842</v>
      </c>
      <c r="H154" s="21" t="s">
        <v>118</v>
      </c>
      <c r="I154" s="22">
        <v>1</v>
      </c>
      <c r="J154" s="23">
        <v>16.5</v>
      </c>
      <c r="K154" s="23">
        <v>16.5</v>
      </c>
    </row>
    <row r="155" spans="4:11">
      <c r="D155" s="20">
        <v>46216</v>
      </c>
      <c r="E155" s="21">
        <v>1619980</v>
      </c>
      <c r="F155" s="21" t="s">
        <v>19</v>
      </c>
      <c r="G155" s="22">
        <v>20005227</v>
      </c>
      <c r="H155" s="21" t="s">
        <v>125</v>
      </c>
      <c r="I155" s="22">
        <v>2</v>
      </c>
      <c r="J155" s="23">
        <v>82.5</v>
      </c>
      <c r="K155" s="23">
        <v>165</v>
      </c>
    </row>
    <row r="156" spans="4:11">
      <c r="D156" s="20">
        <v>46216</v>
      </c>
      <c r="E156" s="21">
        <v>1619980</v>
      </c>
      <c r="F156" s="21" t="s">
        <v>19</v>
      </c>
      <c r="G156" s="22">
        <v>20005228</v>
      </c>
      <c r="H156" s="21" t="s">
        <v>117</v>
      </c>
      <c r="I156" s="22">
        <v>1</v>
      </c>
      <c r="J156" s="23">
        <v>99</v>
      </c>
      <c r="K156" s="23">
        <v>99</v>
      </c>
    </row>
    <row r="157" spans="4:11">
      <c r="D157" s="20">
        <v>46216</v>
      </c>
      <c r="E157" s="21">
        <v>1619980</v>
      </c>
      <c r="F157" s="21" t="s">
        <v>16</v>
      </c>
      <c r="G157" s="22">
        <v>20417496</v>
      </c>
      <c r="H157" s="21" t="s">
        <v>121</v>
      </c>
      <c r="I157" s="22">
        <v>2</v>
      </c>
      <c r="J157" s="23">
        <v>4</v>
      </c>
      <c r="K157" s="23">
        <v>8</v>
      </c>
    </row>
    <row r="158" spans="4:11">
      <c r="D158" s="20">
        <v>46216</v>
      </c>
      <c r="E158" s="21">
        <v>1619980</v>
      </c>
      <c r="F158" s="21" t="s">
        <v>16</v>
      </c>
      <c r="G158" s="22">
        <v>20006044</v>
      </c>
      <c r="H158" s="21" t="s">
        <v>132</v>
      </c>
      <c r="I158" s="22">
        <v>1</v>
      </c>
      <c r="J158" s="23">
        <v>2.5</v>
      </c>
      <c r="K158" s="23">
        <v>2.5</v>
      </c>
    </row>
    <row r="159" spans="4:11">
      <c r="D159" s="20">
        <v>46216</v>
      </c>
      <c r="E159" s="21">
        <v>1620004</v>
      </c>
      <c r="F159" s="21" t="s">
        <v>19</v>
      </c>
      <c r="G159" s="22">
        <v>20005228</v>
      </c>
      <c r="H159" s="21" t="s">
        <v>117</v>
      </c>
      <c r="I159" s="22">
        <v>2</v>
      </c>
      <c r="J159" s="23">
        <v>99</v>
      </c>
      <c r="K159" s="23">
        <v>198</v>
      </c>
    </row>
    <row r="160" spans="4:11">
      <c r="D160" s="20">
        <v>46216</v>
      </c>
      <c r="E160" s="21">
        <v>1620004</v>
      </c>
      <c r="F160" s="21" t="s">
        <v>13</v>
      </c>
      <c r="G160" s="22">
        <v>20430335</v>
      </c>
      <c r="H160" s="21" t="s">
        <v>133</v>
      </c>
      <c r="I160" s="22">
        <v>1</v>
      </c>
      <c r="J160" s="23">
        <v>33</v>
      </c>
      <c r="K160" s="23">
        <v>33</v>
      </c>
    </row>
    <row r="161" spans="4:11">
      <c r="D161" s="20">
        <v>46216</v>
      </c>
      <c r="E161" s="21">
        <v>1620004</v>
      </c>
      <c r="F161" s="21" t="s">
        <v>13</v>
      </c>
      <c r="G161" s="22">
        <v>20320898</v>
      </c>
      <c r="H161" s="21" t="s">
        <v>134</v>
      </c>
      <c r="I161" s="22">
        <v>1</v>
      </c>
      <c r="J161" s="23">
        <v>38.5</v>
      </c>
      <c r="K161" s="23">
        <v>38.5</v>
      </c>
    </row>
    <row r="162" spans="4:11">
      <c r="D162" s="20">
        <v>46216</v>
      </c>
      <c r="E162" s="21">
        <v>1620004</v>
      </c>
      <c r="F162" s="21" t="s">
        <v>13</v>
      </c>
      <c r="G162" s="22">
        <v>20005206</v>
      </c>
      <c r="H162" s="21" t="s">
        <v>140</v>
      </c>
      <c r="I162" s="22">
        <v>1</v>
      </c>
      <c r="J162" s="23">
        <v>44</v>
      </c>
      <c r="K162" s="23">
        <v>44</v>
      </c>
    </row>
    <row r="163" spans="4:11">
      <c r="D163" s="20">
        <v>46216</v>
      </c>
      <c r="E163" s="21">
        <v>1620067</v>
      </c>
      <c r="F163" s="21" t="s">
        <v>21</v>
      </c>
      <c r="G163" s="22">
        <v>20005842</v>
      </c>
      <c r="H163" s="21" t="s">
        <v>118</v>
      </c>
      <c r="I163" s="22">
        <v>2</v>
      </c>
      <c r="J163" s="23">
        <v>16.5</v>
      </c>
      <c r="K163" s="23">
        <v>33</v>
      </c>
    </row>
    <row r="164" spans="4:11">
      <c r="D164" s="20">
        <v>46216</v>
      </c>
      <c r="E164" s="21">
        <v>1620067</v>
      </c>
      <c r="F164" s="21" t="s">
        <v>21</v>
      </c>
      <c r="G164" s="22">
        <v>20343931</v>
      </c>
      <c r="H164" s="21" t="s">
        <v>148</v>
      </c>
      <c r="I164" s="22">
        <v>1</v>
      </c>
      <c r="J164" s="23">
        <v>11</v>
      </c>
      <c r="K164" s="23">
        <v>11</v>
      </c>
    </row>
    <row r="165" spans="4:11">
      <c r="D165" s="20">
        <v>46216</v>
      </c>
      <c r="E165" s="21">
        <v>1620067</v>
      </c>
      <c r="F165" s="21" t="s">
        <v>21</v>
      </c>
      <c r="G165" s="22">
        <v>20324084</v>
      </c>
      <c r="H165" s="21" t="s">
        <v>22</v>
      </c>
      <c r="I165" s="22">
        <v>1</v>
      </c>
      <c r="J165" s="23">
        <v>8</v>
      </c>
      <c r="K165" s="23">
        <v>8</v>
      </c>
    </row>
    <row r="166" spans="4:11">
      <c r="D166" s="20">
        <v>46216</v>
      </c>
      <c r="E166" s="21">
        <v>1620067</v>
      </c>
      <c r="F166" s="21" t="s">
        <v>21</v>
      </c>
      <c r="G166" s="22">
        <v>20005840</v>
      </c>
      <c r="H166" s="21" t="s">
        <v>156</v>
      </c>
      <c r="I166" s="22">
        <v>1</v>
      </c>
      <c r="J166" s="23">
        <v>11</v>
      </c>
      <c r="K166" s="23">
        <v>11</v>
      </c>
    </row>
    <row r="167" spans="4:11">
      <c r="D167" s="20">
        <v>46216</v>
      </c>
      <c r="E167" s="21">
        <v>1620067</v>
      </c>
      <c r="F167" s="21" t="s">
        <v>13</v>
      </c>
      <c r="G167" s="22">
        <v>20005222</v>
      </c>
      <c r="H167" s="21" t="s">
        <v>130</v>
      </c>
      <c r="I167" s="22">
        <v>1</v>
      </c>
      <c r="J167" s="23">
        <v>16.5</v>
      </c>
      <c r="K167" s="23">
        <v>16.5</v>
      </c>
    </row>
    <row r="168" spans="4:11">
      <c r="D168" s="20">
        <v>46216</v>
      </c>
      <c r="E168" s="21">
        <v>1620067</v>
      </c>
      <c r="F168" s="21" t="s">
        <v>13</v>
      </c>
      <c r="G168" s="22">
        <v>20354665</v>
      </c>
      <c r="H168" s="21" t="s">
        <v>184</v>
      </c>
      <c r="I168" s="22">
        <v>1</v>
      </c>
      <c r="J168" s="23">
        <v>16.5</v>
      </c>
      <c r="K168" s="23">
        <v>16.5</v>
      </c>
    </row>
    <row r="169" spans="4:11">
      <c r="D169" s="20">
        <v>46216</v>
      </c>
      <c r="E169" s="21">
        <v>1620067</v>
      </c>
      <c r="F169" s="21" t="s">
        <v>13</v>
      </c>
      <c r="G169" s="22">
        <v>20005327</v>
      </c>
      <c r="H169" s="21" t="s">
        <v>179</v>
      </c>
      <c r="I169" s="22">
        <v>1</v>
      </c>
      <c r="J169" s="23">
        <v>22</v>
      </c>
      <c r="K169" s="23">
        <v>22</v>
      </c>
    </row>
    <row r="170" spans="4:11">
      <c r="D170" s="20">
        <v>46216</v>
      </c>
      <c r="E170" s="21">
        <v>1620067</v>
      </c>
      <c r="F170" s="21" t="s">
        <v>13</v>
      </c>
      <c r="G170" s="22">
        <v>20346748</v>
      </c>
      <c r="H170" s="21" t="s">
        <v>119</v>
      </c>
      <c r="I170" s="22">
        <v>1</v>
      </c>
      <c r="J170" s="23">
        <v>22</v>
      </c>
      <c r="K170" s="23">
        <v>22</v>
      </c>
    </row>
    <row r="171" spans="4:11">
      <c r="D171" s="20">
        <v>46216</v>
      </c>
      <c r="E171" s="21">
        <v>1620067</v>
      </c>
      <c r="F171" s="21" t="s">
        <v>13</v>
      </c>
      <c r="G171" s="22">
        <v>20009083</v>
      </c>
      <c r="H171" s="21" t="s">
        <v>185</v>
      </c>
      <c r="I171" s="22">
        <v>1</v>
      </c>
      <c r="J171" s="23">
        <v>16.5</v>
      </c>
      <c r="K171" s="23">
        <v>16.5</v>
      </c>
    </row>
    <row r="172" spans="4:11">
      <c r="D172" s="20">
        <v>46217</v>
      </c>
      <c r="E172" s="21">
        <v>1620197</v>
      </c>
      <c r="F172" s="21" t="s">
        <v>167</v>
      </c>
      <c r="G172" s="22">
        <v>20336881</v>
      </c>
      <c r="H172" s="21" t="s">
        <v>186</v>
      </c>
      <c r="I172" s="22">
        <v>10</v>
      </c>
      <c r="J172" s="23">
        <v>28</v>
      </c>
      <c r="K172" s="23">
        <v>280</v>
      </c>
    </row>
    <row r="173" ht="0.05" customHeight="1"/>
  </sheetData>
  <autoFilter xmlns:etc="http://www.wps.cn/officeDocument/2017/etCustomData" ref="A7:K172" etc:filterBottomFollowUsedRange="0">
    <extLst/>
  </autoFilter>
  <mergeCells count="5">
    <mergeCell ref="D8:H8"/>
    <mergeCell ref="C7:C172"/>
    <mergeCell ref="B4:H5"/>
    <mergeCell ref="C1:H2"/>
    <mergeCell ref="A7:B172"/>
  </mergeCells>
  <pageMargins left="0.25" right="0.25" top="0.75" bottom="0.75" header="0.298611111111111" footer="0.298611111111111"/>
  <pageSetup paperSize="9" scale="9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8:31 
&amp;"-,Bold"&amp;10 黑龙江省铂康医疗灭菌有限公司 &amp;R&amp;"Droid Sans Fallback"&amp;9第&amp;P页，共&amp;N页 </oddFoot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"/>
  <sheetViews>
    <sheetView showGridLines="0" view="pageBreakPreview" zoomScaleNormal="100" workbookViewId="0">
      <pane ySplit="6" topLeftCell="A7" activePane="bottomLeft" state="frozen"/>
      <selection/>
      <selection pane="bottomLeft" activeCell="K29" sqref="K9:K2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1.25" customWidth="1"/>
    <col min="10" max="10" width="12.2083333333333" customWidth="1"/>
    <col min="11" max="11" width="10.875" customWidth="1"/>
  </cols>
  <sheetData>
    <row r="1" spans="1:11">
      <c r="C1" s="10" t="s">
        <v>0</v>
      </c>
    </row>
    <row r="2" ht="23.05" customHeight="1"/>
    <row r="3" ht="2" customHeight="1"/>
    <row r="4" ht="15.2" customHeight="1" spans="1:11">
      <c r="B4" s="11" t="s">
        <v>1</v>
      </c>
    </row>
    <row r="6" ht="2.95" customHeight="1"/>
    <row r="7" spans="1:11">
      <c r="A7" s="12" t="s">
        <v>2</v>
      </c>
      <c r="B7" s="13" t="s">
        <v>2</v>
      </c>
      <c r="C7" s="14" t="s">
        <v>2</v>
      </c>
      <c r="D7" s="15" t="s">
        <v>4</v>
      </c>
      <c r="E7" s="15" t="s">
        <v>5</v>
      </c>
      <c r="F7" s="15" t="s">
        <v>6</v>
      </c>
      <c r="G7" s="15" t="s">
        <v>7</v>
      </c>
      <c r="H7" s="15" t="s">
        <v>8</v>
      </c>
      <c r="I7" s="15" t="s">
        <v>9</v>
      </c>
      <c r="J7" s="15" t="s">
        <v>10</v>
      </c>
      <c r="K7" s="15" t="s">
        <v>11</v>
      </c>
    </row>
    <row r="8" ht="14.25" spans="1:11">
      <c r="D8" s="16" t="s">
        <v>187</v>
      </c>
      <c r="E8" s="17" t="s">
        <v>2</v>
      </c>
      <c r="F8" s="17" t="s">
        <v>2</v>
      </c>
      <c r="G8" s="17" t="s">
        <v>2</v>
      </c>
      <c r="H8" s="17" t="s">
        <v>2</v>
      </c>
      <c r="I8" s="18">
        <v>61</v>
      </c>
      <c r="J8" s="19"/>
      <c r="K8" s="19">
        <v>786</v>
      </c>
    </row>
    <row r="9" spans="1:11">
      <c r="D9" s="20">
        <v>46188</v>
      </c>
      <c r="E9" s="21">
        <v>1612273</v>
      </c>
      <c r="F9" s="21" t="s">
        <v>21</v>
      </c>
      <c r="G9" s="22">
        <v>20008039</v>
      </c>
      <c r="H9" s="21" t="s">
        <v>114</v>
      </c>
      <c r="I9" s="22">
        <v>1</v>
      </c>
      <c r="J9" s="23">
        <v>11</v>
      </c>
      <c r="K9" s="23">
        <v>11</v>
      </c>
    </row>
    <row r="10" spans="1:11">
      <c r="D10" s="20">
        <v>46188</v>
      </c>
      <c r="E10" s="21">
        <v>1612273</v>
      </c>
      <c r="F10" s="21" t="s">
        <v>13</v>
      </c>
      <c r="G10" s="22">
        <v>20014275</v>
      </c>
      <c r="H10" s="21" t="s">
        <v>188</v>
      </c>
      <c r="I10" s="22">
        <v>2</v>
      </c>
      <c r="J10" s="23">
        <v>33</v>
      </c>
      <c r="K10" s="23">
        <v>66</v>
      </c>
    </row>
    <row r="11" spans="1:11">
      <c r="D11" s="20">
        <v>46190</v>
      </c>
      <c r="E11" s="21">
        <v>1613095</v>
      </c>
      <c r="F11" s="21" t="s">
        <v>21</v>
      </c>
      <c r="G11" s="22">
        <v>20324084</v>
      </c>
      <c r="H11" s="21" t="s">
        <v>22</v>
      </c>
      <c r="I11" s="22">
        <v>1</v>
      </c>
      <c r="J11" s="23">
        <v>8</v>
      </c>
      <c r="K11" s="23">
        <v>8</v>
      </c>
    </row>
    <row r="12" spans="1:11">
      <c r="D12" s="20">
        <v>46190</v>
      </c>
      <c r="E12" s="21">
        <v>1613095</v>
      </c>
      <c r="F12" s="21" t="s">
        <v>13</v>
      </c>
      <c r="G12" s="22">
        <v>20014275</v>
      </c>
      <c r="H12" s="21" t="s">
        <v>188</v>
      </c>
      <c r="I12" s="22">
        <v>1</v>
      </c>
      <c r="J12" s="23">
        <v>33</v>
      </c>
      <c r="K12" s="23">
        <v>33</v>
      </c>
    </row>
    <row r="13" spans="1:11">
      <c r="D13" s="20">
        <v>46195</v>
      </c>
      <c r="E13" s="21">
        <v>1614026</v>
      </c>
      <c r="F13" s="21" t="s">
        <v>21</v>
      </c>
      <c r="G13" s="22">
        <v>20324084</v>
      </c>
      <c r="H13" s="21" t="s">
        <v>22</v>
      </c>
      <c r="I13" s="22">
        <v>3</v>
      </c>
      <c r="J13" s="23">
        <v>8</v>
      </c>
      <c r="K13" s="23">
        <v>24</v>
      </c>
    </row>
    <row r="14" spans="1:11">
      <c r="D14" s="20">
        <v>46195</v>
      </c>
      <c r="E14" s="21">
        <v>1614026</v>
      </c>
      <c r="F14" s="21" t="s">
        <v>13</v>
      </c>
      <c r="G14" s="22">
        <v>20014275</v>
      </c>
      <c r="H14" s="21" t="s">
        <v>188</v>
      </c>
      <c r="I14" s="22">
        <v>2</v>
      </c>
      <c r="J14" s="23">
        <v>33</v>
      </c>
      <c r="K14" s="23">
        <v>66</v>
      </c>
    </row>
    <row r="15" spans="1:11">
      <c r="D15" s="20">
        <v>46198</v>
      </c>
      <c r="E15" s="21">
        <v>1615154</v>
      </c>
      <c r="F15" s="21" t="s">
        <v>21</v>
      </c>
      <c r="G15" s="22">
        <v>20324084</v>
      </c>
      <c r="H15" s="21" t="s">
        <v>22</v>
      </c>
      <c r="I15" s="22">
        <v>2</v>
      </c>
      <c r="J15" s="23">
        <v>8</v>
      </c>
      <c r="K15" s="23">
        <v>16</v>
      </c>
    </row>
    <row r="16" spans="1:11">
      <c r="D16" s="20">
        <v>46198</v>
      </c>
      <c r="E16" s="21">
        <v>1615154</v>
      </c>
      <c r="F16" s="21" t="s">
        <v>13</v>
      </c>
      <c r="G16" s="22">
        <v>20014275</v>
      </c>
      <c r="H16" s="21" t="s">
        <v>188</v>
      </c>
      <c r="I16" s="22">
        <v>2</v>
      </c>
      <c r="J16" s="23">
        <v>33</v>
      </c>
      <c r="K16" s="23">
        <v>66</v>
      </c>
    </row>
    <row r="17" spans="4:11">
      <c r="D17" s="20">
        <v>46198</v>
      </c>
      <c r="E17" s="21">
        <v>1615154</v>
      </c>
      <c r="F17" s="21" t="s">
        <v>16</v>
      </c>
      <c r="G17" s="22">
        <v>20320746</v>
      </c>
      <c r="H17" s="21" t="s">
        <v>122</v>
      </c>
      <c r="I17" s="22">
        <v>25</v>
      </c>
      <c r="J17" s="23">
        <v>4</v>
      </c>
      <c r="K17" s="23">
        <v>100</v>
      </c>
    </row>
    <row r="18" spans="4:11">
      <c r="D18" s="20">
        <v>46202</v>
      </c>
      <c r="E18" s="21">
        <v>1616013</v>
      </c>
      <c r="F18" s="21" t="s">
        <v>21</v>
      </c>
      <c r="G18" s="22">
        <v>20324084</v>
      </c>
      <c r="H18" s="21" t="s">
        <v>22</v>
      </c>
      <c r="I18" s="22">
        <v>3</v>
      </c>
      <c r="J18" s="23">
        <v>8</v>
      </c>
      <c r="K18" s="23">
        <v>24</v>
      </c>
    </row>
    <row r="19" spans="4:11">
      <c r="D19" s="20">
        <v>46202</v>
      </c>
      <c r="E19" s="21">
        <v>1616013</v>
      </c>
      <c r="F19" s="21" t="s">
        <v>13</v>
      </c>
      <c r="G19" s="22">
        <v>20014275</v>
      </c>
      <c r="H19" s="21" t="s">
        <v>188</v>
      </c>
      <c r="I19" s="22">
        <v>2</v>
      </c>
      <c r="J19" s="23">
        <v>33</v>
      </c>
      <c r="K19" s="23">
        <v>66</v>
      </c>
    </row>
    <row r="20" spans="4:11">
      <c r="D20" s="20">
        <v>46206</v>
      </c>
      <c r="E20" s="21">
        <v>1617198</v>
      </c>
      <c r="F20" s="21" t="s">
        <v>21</v>
      </c>
      <c r="G20" s="22">
        <v>20324084</v>
      </c>
      <c r="H20" s="21" t="s">
        <v>22</v>
      </c>
      <c r="I20" s="22">
        <v>1</v>
      </c>
      <c r="J20" s="23">
        <v>8</v>
      </c>
      <c r="K20" s="23">
        <v>8</v>
      </c>
    </row>
    <row r="21" spans="4:11">
      <c r="D21" s="20">
        <v>46206</v>
      </c>
      <c r="E21" s="21">
        <v>1617198</v>
      </c>
      <c r="F21" s="21" t="s">
        <v>13</v>
      </c>
      <c r="G21" s="22">
        <v>20014275</v>
      </c>
      <c r="H21" s="21" t="s">
        <v>188</v>
      </c>
      <c r="I21" s="22">
        <v>3</v>
      </c>
      <c r="J21" s="23">
        <v>33</v>
      </c>
      <c r="K21" s="23">
        <v>99</v>
      </c>
    </row>
    <row r="22" spans="4:11">
      <c r="D22" s="20">
        <v>46206</v>
      </c>
      <c r="E22" s="21">
        <v>1617305</v>
      </c>
      <c r="F22" s="21" t="s">
        <v>167</v>
      </c>
      <c r="G22" s="22">
        <v>20343277</v>
      </c>
      <c r="H22" s="21" t="s">
        <v>189</v>
      </c>
      <c r="I22" s="22">
        <v>1</v>
      </c>
      <c r="J22" s="23">
        <v>28</v>
      </c>
      <c r="K22" s="23">
        <v>28</v>
      </c>
    </row>
    <row r="23" spans="4:11">
      <c r="D23" s="20">
        <v>46209</v>
      </c>
      <c r="E23" s="21">
        <v>1617965</v>
      </c>
      <c r="F23" s="21" t="s">
        <v>21</v>
      </c>
      <c r="G23" s="22">
        <v>20324084</v>
      </c>
      <c r="H23" s="21" t="s">
        <v>22</v>
      </c>
      <c r="I23" s="22">
        <v>4</v>
      </c>
      <c r="J23" s="23">
        <v>8</v>
      </c>
      <c r="K23" s="23">
        <v>32</v>
      </c>
    </row>
    <row r="24" spans="4:11">
      <c r="D24" s="20">
        <v>46209</v>
      </c>
      <c r="E24" s="21">
        <v>1617965</v>
      </c>
      <c r="F24" s="21" t="s">
        <v>13</v>
      </c>
      <c r="G24" s="22">
        <v>20014275</v>
      </c>
      <c r="H24" s="21" t="s">
        <v>188</v>
      </c>
      <c r="I24" s="22">
        <v>1</v>
      </c>
      <c r="J24" s="23">
        <v>33</v>
      </c>
      <c r="K24" s="23">
        <v>33</v>
      </c>
    </row>
    <row r="25" spans="4:11">
      <c r="D25" s="20">
        <v>46212</v>
      </c>
      <c r="E25" s="21">
        <v>1619119</v>
      </c>
      <c r="F25" s="21" t="s">
        <v>21</v>
      </c>
      <c r="G25" s="22">
        <v>20011348</v>
      </c>
      <c r="H25" s="21" t="s">
        <v>149</v>
      </c>
      <c r="I25" s="22">
        <v>1</v>
      </c>
      <c r="J25" s="23">
        <v>8</v>
      </c>
      <c r="K25" s="23">
        <v>8</v>
      </c>
    </row>
    <row r="26" spans="4:11">
      <c r="D26" s="20">
        <v>46212</v>
      </c>
      <c r="E26" s="21">
        <v>1619119</v>
      </c>
      <c r="F26" s="21" t="s">
        <v>21</v>
      </c>
      <c r="G26" s="22">
        <v>20324084</v>
      </c>
      <c r="H26" s="21" t="s">
        <v>22</v>
      </c>
      <c r="I26" s="22">
        <v>1</v>
      </c>
      <c r="J26" s="23">
        <v>8</v>
      </c>
      <c r="K26" s="23">
        <v>8</v>
      </c>
    </row>
    <row r="27" spans="4:11">
      <c r="D27" s="20">
        <v>46212</v>
      </c>
      <c r="E27" s="21">
        <v>1619119</v>
      </c>
      <c r="F27" s="21" t="s">
        <v>13</v>
      </c>
      <c r="G27" s="22">
        <v>20014275</v>
      </c>
      <c r="H27" s="21" t="s">
        <v>188</v>
      </c>
      <c r="I27" s="22">
        <v>1</v>
      </c>
      <c r="J27" s="23">
        <v>33</v>
      </c>
      <c r="K27" s="23">
        <v>33</v>
      </c>
    </row>
    <row r="28" spans="4:11">
      <c r="D28" s="20">
        <v>46216</v>
      </c>
      <c r="E28" s="21">
        <v>1620000</v>
      </c>
      <c r="F28" s="21" t="s">
        <v>21</v>
      </c>
      <c r="G28" s="22">
        <v>20324084</v>
      </c>
      <c r="H28" s="21" t="s">
        <v>22</v>
      </c>
      <c r="I28" s="22">
        <v>3</v>
      </c>
      <c r="J28" s="23">
        <v>8</v>
      </c>
      <c r="K28" s="23">
        <v>24</v>
      </c>
    </row>
    <row r="29" spans="4:11">
      <c r="D29" s="20">
        <v>46216</v>
      </c>
      <c r="E29" s="21">
        <v>1620000</v>
      </c>
      <c r="F29" s="21" t="s">
        <v>13</v>
      </c>
      <c r="G29" s="22">
        <v>20014275</v>
      </c>
      <c r="H29" s="21" t="s">
        <v>188</v>
      </c>
      <c r="I29" s="22">
        <v>1</v>
      </c>
      <c r="J29" s="23">
        <v>33</v>
      </c>
      <c r="K29" s="23">
        <v>33</v>
      </c>
    </row>
    <row r="30" ht="0.05" customHeight="1"/>
  </sheetData>
  <mergeCells count="5">
    <mergeCell ref="D8:H8"/>
    <mergeCell ref="C7:C29"/>
    <mergeCell ref="B4:H5"/>
    <mergeCell ref="A7:B29"/>
    <mergeCell ref="C1:H2"/>
  </mergeCells>
  <pageMargins left="0.25" right="0.25" top="0.75" bottom="0.75" header="0.298611111111111" footer="0.298611111111111"/>
  <pageSetup paperSize="9" scale="9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8:31 
&amp;"-,Bold"&amp;10 黑龙江省铂康医疗灭菌有限公司 &amp;R&amp;"Droid Sans Fallback"&amp;9第&amp;P页，共&amp;N页 </oddFoot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7"/>
  <sheetViews>
    <sheetView showGridLines="0" view="pageBreakPreview" zoomScaleNormal="100" workbookViewId="0">
      <pane ySplit="6" topLeftCell="A61" activePane="bottomLeft" state="frozen"/>
      <selection/>
      <selection pane="bottomLeft" activeCell="K9" sqref="K9:K9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1.25" customWidth="1"/>
    <col min="10" max="10" width="12.2083333333333" customWidth="1"/>
    <col min="11" max="11" width="10.875" customWidth="1"/>
  </cols>
  <sheetData>
    <row r="1" spans="1:11">
      <c r="C1" s="10" t="s">
        <v>0</v>
      </c>
    </row>
    <row r="2" ht="23.05" customHeight="1"/>
    <row r="3" ht="2" customHeight="1"/>
    <row r="4" ht="15.2" customHeight="1" spans="1:11">
      <c r="B4" s="11" t="s">
        <v>1</v>
      </c>
    </row>
    <row r="6" ht="2.95" customHeight="1"/>
    <row r="7" spans="1:11">
      <c r="A7" s="12" t="s">
        <v>2</v>
      </c>
      <c r="B7" s="13" t="s">
        <v>2</v>
      </c>
      <c r="C7" s="14" t="s">
        <v>2</v>
      </c>
      <c r="D7" s="15" t="s">
        <v>4</v>
      </c>
      <c r="E7" s="15" t="s">
        <v>5</v>
      </c>
      <c r="F7" s="15" t="s">
        <v>6</v>
      </c>
      <c r="G7" s="15" t="s">
        <v>7</v>
      </c>
      <c r="H7" s="15" t="s">
        <v>8</v>
      </c>
      <c r="I7" s="15" t="s">
        <v>9</v>
      </c>
      <c r="J7" s="15" t="s">
        <v>10</v>
      </c>
      <c r="K7" s="15" t="s">
        <v>11</v>
      </c>
    </row>
    <row r="8" ht="14.25" spans="1:11">
      <c r="D8" s="16" t="s">
        <v>190</v>
      </c>
      <c r="E8" s="17" t="s">
        <v>2</v>
      </c>
      <c r="F8" s="17" t="s">
        <v>2</v>
      </c>
      <c r="G8" s="17" t="s">
        <v>2</v>
      </c>
      <c r="H8" s="17" t="s">
        <v>2</v>
      </c>
      <c r="I8" s="18">
        <v>538</v>
      </c>
      <c r="J8" s="19"/>
      <c r="K8" s="19">
        <v>5296</v>
      </c>
    </row>
    <row r="9" spans="1:11">
      <c r="D9" s="20">
        <v>46188</v>
      </c>
      <c r="E9" s="21">
        <v>1612274</v>
      </c>
      <c r="F9" s="21" t="s">
        <v>21</v>
      </c>
      <c r="G9" s="22">
        <v>20375845</v>
      </c>
      <c r="H9" s="21" t="s">
        <v>191</v>
      </c>
      <c r="I9" s="22">
        <v>9</v>
      </c>
      <c r="J9" s="23">
        <v>13.5</v>
      </c>
      <c r="K9" s="23">
        <v>121.5</v>
      </c>
    </row>
    <row r="10" spans="1:11">
      <c r="D10" s="20">
        <v>46188</v>
      </c>
      <c r="E10" s="21">
        <v>1612274</v>
      </c>
      <c r="F10" s="21" t="s">
        <v>21</v>
      </c>
      <c r="G10" s="22">
        <v>20393410</v>
      </c>
      <c r="H10" s="21" t="s">
        <v>192</v>
      </c>
      <c r="I10" s="22">
        <v>1</v>
      </c>
      <c r="J10" s="23">
        <v>8</v>
      </c>
      <c r="K10" s="23">
        <v>8</v>
      </c>
    </row>
    <row r="11" spans="1:11">
      <c r="D11" s="20">
        <v>46188</v>
      </c>
      <c r="E11" s="21">
        <v>1612274</v>
      </c>
      <c r="F11" s="21" t="s">
        <v>21</v>
      </c>
      <c r="G11" s="22">
        <v>20338181</v>
      </c>
      <c r="H11" s="21" t="s">
        <v>193</v>
      </c>
      <c r="I11" s="22">
        <v>26</v>
      </c>
      <c r="J11" s="23">
        <v>8</v>
      </c>
      <c r="K11" s="23">
        <v>208</v>
      </c>
    </row>
    <row r="12" spans="1:11">
      <c r="D12" s="20">
        <v>46188</v>
      </c>
      <c r="E12" s="21">
        <v>1612274</v>
      </c>
      <c r="F12" s="21" t="s">
        <v>21</v>
      </c>
      <c r="G12" s="22">
        <v>20324290</v>
      </c>
      <c r="H12" s="21" t="s">
        <v>194</v>
      </c>
      <c r="I12" s="22">
        <v>3</v>
      </c>
      <c r="J12" s="23">
        <v>13.5</v>
      </c>
      <c r="K12" s="23">
        <v>40.5</v>
      </c>
    </row>
    <row r="13" spans="1:11">
      <c r="D13" s="20">
        <v>46188</v>
      </c>
      <c r="E13" s="21">
        <v>1612285</v>
      </c>
      <c r="F13" s="21" t="s">
        <v>21</v>
      </c>
      <c r="G13" s="22">
        <v>20324290</v>
      </c>
      <c r="H13" s="21" t="s">
        <v>194</v>
      </c>
      <c r="I13" s="22">
        <v>1</v>
      </c>
      <c r="J13" s="23">
        <v>13.5</v>
      </c>
      <c r="K13" s="23">
        <v>13.5</v>
      </c>
    </row>
    <row r="14" spans="1:11">
      <c r="D14" s="20">
        <v>46189</v>
      </c>
      <c r="E14" s="21">
        <v>1612670</v>
      </c>
      <c r="F14" s="21" t="s">
        <v>21</v>
      </c>
      <c r="G14" s="22">
        <v>20375845</v>
      </c>
      <c r="H14" s="21" t="s">
        <v>191</v>
      </c>
      <c r="I14" s="22">
        <v>5</v>
      </c>
      <c r="J14" s="23">
        <v>13.5</v>
      </c>
      <c r="K14" s="23">
        <v>67.5</v>
      </c>
    </row>
    <row r="15" spans="1:11">
      <c r="D15" s="20">
        <v>46189</v>
      </c>
      <c r="E15" s="21">
        <v>1612670</v>
      </c>
      <c r="F15" s="21" t="s">
        <v>21</v>
      </c>
      <c r="G15" s="22">
        <v>20338181</v>
      </c>
      <c r="H15" s="21" t="s">
        <v>193</v>
      </c>
      <c r="I15" s="22">
        <v>12</v>
      </c>
      <c r="J15" s="23">
        <v>8</v>
      </c>
      <c r="K15" s="23">
        <v>96</v>
      </c>
    </row>
    <row r="16" spans="1:11">
      <c r="D16" s="20">
        <v>46190</v>
      </c>
      <c r="E16" s="21">
        <v>1613096</v>
      </c>
      <c r="F16" s="21" t="s">
        <v>21</v>
      </c>
      <c r="G16" s="22">
        <v>20375845</v>
      </c>
      <c r="H16" s="21" t="s">
        <v>191</v>
      </c>
      <c r="I16" s="22">
        <v>7</v>
      </c>
      <c r="J16" s="23">
        <v>13.5</v>
      </c>
      <c r="K16" s="23">
        <v>94.5</v>
      </c>
    </row>
    <row r="17" spans="4:11">
      <c r="D17" s="20">
        <v>46190</v>
      </c>
      <c r="E17" s="21">
        <v>1613096</v>
      </c>
      <c r="F17" s="21" t="s">
        <v>21</v>
      </c>
      <c r="G17" s="22">
        <v>20338181</v>
      </c>
      <c r="H17" s="21" t="s">
        <v>193</v>
      </c>
      <c r="I17" s="22">
        <v>26</v>
      </c>
      <c r="J17" s="23">
        <v>8</v>
      </c>
      <c r="K17" s="23">
        <v>208</v>
      </c>
    </row>
    <row r="18" spans="4:11">
      <c r="D18" s="20">
        <v>46190</v>
      </c>
      <c r="E18" s="21">
        <v>1613096</v>
      </c>
      <c r="F18" s="21" t="s">
        <v>21</v>
      </c>
      <c r="G18" s="22">
        <v>20324290</v>
      </c>
      <c r="H18" s="21" t="s">
        <v>194</v>
      </c>
      <c r="I18" s="22">
        <v>2</v>
      </c>
      <c r="J18" s="23">
        <v>13.5</v>
      </c>
      <c r="K18" s="23">
        <v>27</v>
      </c>
    </row>
    <row r="19" spans="4:11">
      <c r="D19" s="20">
        <v>46190</v>
      </c>
      <c r="E19" s="21">
        <v>1613100</v>
      </c>
      <c r="F19" s="21" t="s">
        <v>21</v>
      </c>
      <c r="G19" s="22">
        <v>20338181</v>
      </c>
      <c r="H19" s="21" t="s">
        <v>193</v>
      </c>
      <c r="I19" s="22">
        <v>1</v>
      </c>
      <c r="J19" s="23">
        <v>8</v>
      </c>
      <c r="K19" s="23">
        <v>8</v>
      </c>
    </row>
    <row r="20" spans="4:11">
      <c r="D20" s="20">
        <v>46191</v>
      </c>
      <c r="E20" s="21">
        <v>1613448</v>
      </c>
      <c r="F20" s="21" t="s">
        <v>21</v>
      </c>
      <c r="G20" s="22">
        <v>20375845</v>
      </c>
      <c r="H20" s="21" t="s">
        <v>191</v>
      </c>
      <c r="I20" s="22">
        <v>3</v>
      </c>
      <c r="J20" s="23">
        <v>13.5</v>
      </c>
      <c r="K20" s="23">
        <v>40.5</v>
      </c>
    </row>
    <row r="21" spans="4:11">
      <c r="D21" s="20">
        <v>46191</v>
      </c>
      <c r="E21" s="21">
        <v>1613448</v>
      </c>
      <c r="F21" s="21" t="s">
        <v>21</v>
      </c>
      <c r="G21" s="22">
        <v>20338181</v>
      </c>
      <c r="H21" s="21" t="s">
        <v>193</v>
      </c>
      <c r="I21" s="22">
        <v>24</v>
      </c>
      <c r="J21" s="23">
        <v>8</v>
      </c>
      <c r="K21" s="23">
        <v>192</v>
      </c>
    </row>
    <row r="22" spans="4:11">
      <c r="D22" s="20">
        <v>46191</v>
      </c>
      <c r="E22" s="21">
        <v>1613448</v>
      </c>
      <c r="F22" s="21" t="s">
        <v>21</v>
      </c>
      <c r="G22" s="22">
        <v>20345588</v>
      </c>
      <c r="H22" s="21" t="s">
        <v>195</v>
      </c>
      <c r="I22" s="22">
        <v>2</v>
      </c>
      <c r="J22" s="23">
        <v>8</v>
      </c>
      <c r="K22" s="23">
        <v>16</v>
      </c>
    </row>
    <row r="23" spans="4:11">
      <c r="D23" s="20">
        <v>46191</v>
      </c>
      <c r="E23" s="21">
        <v>1613448</v>
      </c>
      <c r="F23" s="21" t="s">
        <v>21</v>
      </c>
      <c r="G23" s="22">
        <v>20324290</v>
      </c>
      <c r="H23" s="21" t="s">
        <v>194</v>
      </c>
      <c r="I23" s="22">
        <v>1</v>
      </c>
      <c r="J23" s="23">
        <v>13.5</v>
      </c>
      <c r="K23" s="23">
        <v>13.5</v>
      </c>
    </row>
    <row r="24" spans="4:11">
      <c r="D24" s="20">
        <v>46192</v>
      </c>
      <c r="E24" s="21">
        <v>1613698</v>
      </c>
      <c r="F24" s="21" t="s">
        <v>21</v>
      </c>
      <c r="G24" s="22">
        <v>20375845</v>
      </c>
      <c r="H24" s="21" t="s">
        <v>191</v>
      </c>
      <c r="I24" s="22">
        <v>4</v>
      </c>
      <c r="J24" s="23">
        <v>13.5</v>
      </c>
      <c r="K24" s="23">
        <v>54</v>
      </c>
    </row>
    <row r="25" spans="4:11">
      <c r="D25" s="20">
        <v>46192</v>
      </c>
      <c r="E25" s="21">
        <v>1613698</v>
      </c>
      <c r="F25" s="21" t="s">
        <v>21</v>
      </c>
      <c r="G25" s="22">
        <v>20338181</v>
      </c>
      <c r="H25" s="21" t="s">
        <v>193</v>
      </c>
      <c r="I25" s="22">
        <v>14</v>
      </c>
      <c r="J25" s="23">
        <v>8</v>
      </c>
      <c r="K25" s="23">
        <v>112</v>
      </c>
    </row>
    <row r="26" spans="4:11">
      <c r="D26" s="20">
        <v>46192</v>
      </c>
      <c r="E26" s="21">
        <v>1613698</v>
      </c>
      <c r="F26" s="21" t="s">
        <v>21</v>
      </c>
      <c r="G26" s="22">
        <v>20324290</v>
      </c>
      <c r="H26" s="21" t="s">
        <v>194</v>
      </c>
      <c r="I26" s="22">
        <v>2</v>
      </c>
      <c r="J26" s="23">
        <v>13.5</v>
      </c>
      <c r="K26" s="23">
        <v>27</v>
      </c>
    </row>
    <row r="27" spans="4:11">
      <c r="D27" s="20">
        <v>46192</v>
      </c>
      <c r="E27" s="21">
        <v>1613698</v>
      </c>
      <c r="F27" s="21" t="s">
        <v>21</v>
      </c>
      <c r="G27" s="22">
        <v>20005930</v>
      </c>
      <c r="H27" s="21" t="s">
        <v>23</v>
      </c>
      <c r="I27" s="22">
        <v>1</v>
      </c>
      <c r="J27" s="23">
        <v>8</v>
      </c>
      <c r="K27" s="23">
        <v>8</v>
      </c>
    </row>
    <row r="28" spans="4:11">
      <c r="D28" s="20">
        <v>46195</v>
      </c>
      <c r="E28" s="21">
        <v>1614027</v>
      </c>
      <c r="F28" s="21" t="s">
        <v>21</v>
      </c>
      <c r="G28" s="22">
        <v>20375845</v>
      </c>
      <c r="H28" s="21" t="s">
        <v>191</v>
      </c>
      <c r="I28" s="22">
        <v>8</v>
      </c>
      <c r="J28" s="23">
        <v>13.5</v>
      </c>
      <c r="K28" s="23">
        <v>108</v>
      </c>
    </row>
    <row r="29" spans="4:11">
      <c r="D29" s="20">
        <v>46195</v>
      </c>
      <c r="E29" s="21">
        <v>1614027</v>
      </c>
      <c r="F29" s="21" t="s">
        <v>21</v>
      </c>
      <c r="G29" s="22">
        <v>20338181</v>
      </c>
      <c r="H29" s="21" t="s">
        <v>193</v>
      </c>
      <c r="I29" s="22">
        <v>8</v>
      </c>
      <c r="J29" s="23">
        <v>8</v>
      </c>
      <c r="K29" s="23">
        <v>64</v>
      </c>
    </row>
    <row r="30" spans="4:11">
      <c r="D30" s="20">
        <v>46195</v>
      </c>
      <c r="E30" s="21">
        <v>1614027</v>
      </c>
      <c r="F30" s="21" t="s">
        <v>21</v>
      </c>
      <c r="G30" s="22">
        <v>20324290</v>
      </c>
      <c r="H30" s="21" t="s">
        <v>194</v>
      </c>
      <c r="I30" s="22">
        <v>5</v>
      </c>
      <c r="J30" s="23">
        <v>13.5</v>
      </c>
      <c r="K30" s="23">
        <v>67.5</v>
      </c>
    </row>
    <row r="31" spans="4:11">
      <c r="D31" s="20">
        <v>46196</v>
      </c>
      <c r="E31" s="21">
        <v>1614438</v>
      </c>
      <c r="F31" s="21" t="s">
        <v>21</v>
      </c>
      <c r="G31" s="22">
        <v>20375845</v>
      </c>
      <c r="H31" s="21" t="s">
        <v>191</v>
      </c>
      <c r="I31" s="22">
        <v>5</v>
      </c>
      <c r="J31" s="23">
        <v>13.5</v>
      </c>
      <c r="K31" s="23">
        <v>67.5</v>
      </c>
    </row>
    <row r="32" spans="4:11">
      <c r="D32" s="20">
        <v>46196</v>
      </c>
      <c r="E32" s="21">
        <v>1614438</v>
      </c>
      <c r="F32" s="21" t="s">
        <v>21</v>
      </c>
      <c r="G32" s="22">
        <v>20338181</v>
      </c>
      <c r="H32" s="21" t="s">
        <v>193</v>
      </c>
      <c r="I32" s="22">
        <v>14</v>
      </c>
      <c r="J32" s="23">
        <v>8</v>
      </c>
      <c r="K32" s="23">
        <v>112</v>
      </c>
    </row>
    <row r="33" spans="4:11">
      <c r="D33" s="20">
        <v>46196</v>
      </c>
      <c r="E33" s="21">
        <v>1614438</v>
      </c>
      <c r="F33" s="21" t="s">
        <v>21</v>
      </c>
      <c r="G33" s="22">
        <v>20324290</v>
      </c>
      <c r="H33" s="21" t="s">
        <v>194</v>
      </c>
      <c r="I33" s="22">
        <v>2</v>
      </c>
      <c r="J33" s="23">
        <v>13.5</v>
      </c>
      <c r="K33" s="23">
        <v>27</v>
      </c>
    </row>
    <row r="34" spans="4:11">
      <c r="D34" s="20">
        <v>46197</v>
      </c>
      <c r="E34" s="21">
        <v>1614788</v>
      </c>
      <c r="F34" s="21" t="s">
        <v>21</v>
      </c>
      <c r="G34" s="22">
        <v>20375845</v>
      </c>
      <c r="H34" s="21" t="s">
        <v>191</v>
      </c>
      <c r="I34" s="22">
        <v>6</v>
      </c>
      <c r="J34" s="23">
        <v>13.5</v>
      </c>
      <c r="K34" s="23">
        <v>81</v>
      </c>
    </row>
    <row r="35" spans="4:11">
      <c r="D35" s="20">
        <v>46197</v>
      </c>
      <c r="E35" s="21">
        <v>1614788</v>
      </c>
      <c r="F35" s="21" t="s">
        <v>21</v>
      </c>
      <c r="G35" s="22">
        <v>20393410</v>
      </c>
      <c r="H35" s="21" t="s">
        <v>192</v>
      </c>
      <c r="I35" s="22">
        <v>1</v>
      </c>
      <c r="J35" s="23">
        <v>8</v>
      </c>
      <c r="K35" s="23">
        <v>8</v>
      </c>
    </row>
    <row r="36" spans="4:11">
      <c r="D36" s="20">
        <v>46197</v>
      </c>
      <c r="E36" s="21">
        <v>1614788</v>
      </c>
      <c r="F36" s="21" t="s">
        <v>21</v>
      </c>
      <c r="G36" s="22">
        <v>20338181</v>
      </c>
      <c r="H36" s="21" t="s">
        <v>193</v>
      </c>
      <c r="I36" s="22">
        <v>18</v>
      </c>
      <c r="J36" s="23">
        <v>8</v>
      </c>
      <c r="K36" s="23">
        <v>144</v>
      </c>
    </row>
    <row r="37" spans="4:11">
      <c r="D37" s="20">
        <v>46197</v>
      </c>
      <c r="E37" s="21">
        <v>1614788</v>
      </c>
      <c r="F37" s="21" t="s">
        <v>21</v>
      </c>
      <c r="G37" s="22">
        <v>20324290</v>
      </c>
      <c r="H37" s="21" t="s">
        <v>194</v>
      </c>
      <c r="I37" s="22">
        <v>2</v>
      </c>
      <c r="J37" s="23">
        <v>13.5</v>
      </c>
      <c r="K37" s="23">
        <v>27</v>
      </c>
    </row>
    <row r="38" spans="4:11">
      <c r="D38" s="20">
        <v>46198</v>
      </c>
      <c r="E38" s="21">
        <v>1615153</v>
      </c>
      <c r="F38" s="21" t="s">
        <v>21</v>
      </c>
      <c r="G38" s="22">
        <v>20375845</v>
      </c>
      <c r="H38" s="21" t="s">
        <v>191</v>
      </c>
      <c r="I38" s="22">
        <v>4</v>
      </c>
      <c r="J38" s="23">
        <v>13.5</v>
      </c>
      <c r="K38" s="23">
        <v>54</v>
      </c>
    </row>
    <row r="39" spans="4:11">
      <c r="D39" s="20">
        <v>46198</v>
      </c>
      <c r="E39" s="21">
        <v>1615153</v>
      </c>
      <c r="F39" s="21" t="s">
        <v>21</v>
      </c>
      <c r="G39" s="22">
        <v>20338181</v>
      </c>
      <c r="H39" s="21" t="s">
        <v>193</v>
      </c>
      <c r="I39" s="22">
        <v>16</v>
      </c>
      <c r="J39" s="23">
        <v>8</v>
      </c>
      <c r="K39" s="23">
        <v>128</v>
      </c>
    </row>
    <row r="40" spans="4:11">
      <c r="D40" s="20">
        <v>46198</v>
      </c>
      <c r="E40" s="21">
        <v>1615153</v>
      </c>
      <c r="F40" s="21" t="s">
        <v>21</v>
      </c>
      <c r="G40" s="22">
        <v>20324290</v>
      </c>
      <c r="H40" s="21" t="s">
        <v>194</v>
      </c>
      <c r="I40" s="22">
        <v>2</v>
      </c>
      <c r="J40" s="23">
        <v>13.5</v>
      </c>
      <c r="K40" s="23">
        <v>27</v>
      </c>
    </row>
    <row r="41" spans="4:11">
      <c r="D41" s="20">
        <v>46199</v>
      </c>
      <c r="E41" s="21">
        <v>1615480</v>
      </c>
      <c r="F41" s="21" t="s">
        <v>21</v>
      </c>
      <c r="G41" s="22">
        <v>20375845</v>
      </c>
      <c r="H41" s="21" t="s">
        <v>191</v>
      </c>
      <c r="I41" s="22">
        <v>4</v>
      </c>
      <c r="J41" s="23">
        <v>13.5</v>
      </c>
      <c r="K41" s="23">
        <v>54</v>
      </c>
    </row>
    <row r="42" spans="4:11">
      <c r="D42" s="20">
        <v>46199</v>
      </c>
      <c r="E42" s="21">
        <v>1615480</v>
      </c>
      <c r="F42" s="21" t="s">
        <v>21</v>
      </c>
      <c r="G42" s="22">
        <v>20338181</v>
      </c>
      <c r="H42" s="21" t="s">
        <v>193</v>
      </c>
      <c r="I42" s="22">
        <v>10</v>
      </c>
      <c r="J42" s="23">
        <v>8</v>
      </c>
      <c r="K42" s="23">
        <v>80</v>
      </c>
    </row>
    <row r="43" spans="4:11">
      <c r="D43" s="20">
        <v>46199</v>
      </c>
      <c r="E43" s="21">
        <v>1615480</v>
      </c>
      <c r="F43" s="21" t="s">
        <v>21</v>
      </c>
      <c r="G43" s="22">
        <v>20324290</v>
      </c>
      <c r="H43" s="21" t="s">
        <v>194</v>
      </c>
      <c r="I43" s="22">
        <v>5</v>
      </c>
      <c r="J43" s="23">
        <v>13.5</v>
      </c>
      <c r="K43" s="23">
        <v>67.5</v>
      </c>
    </row>
    <row r="44" spans="4:11">
      <c r="D44" s="20">
        <v>46202</v>
      </c>
      <c r="E44" s="21">
        <v>1616015</v>
      </c>
      <c r="F44" s="21" t="s">
        <v>21</v>
      </c>
      <c r="G44" s="22">
        <v>20375845</v>
      </c>
      <c r="H44" s="21" t="s">
        <v>191</v>
      </c>
      <c r="I44" s="22">
        <v>11</v>
      </c>
      <c r="J44" s="23">
        <v>13.5</v>
      </c>
      <c r="K44" s="23">
        <v>148.5</v>
      </c>
    </row>
    <row r="45" spans="4:11">
      <c r="D45" s="20">
        <v>46202</v>
      </c>
      <c r="E45" s="21">
        <v>1616015</v>
      </c>
      <c r="F45" s="21" t="s">
        <v>21</v>
      </c>
      <c r="G45" s="22">
        <v>20338181</v>
      </c>
      <c r="H45" s="21" t="s">
        <v>193</v>
      </c>
      <c r="I45" s="22">
        <v>12</v>
      </c>
      <c r="J45" s="23">
        <v>8</v>
      </c>
      <c r="K45" s="23">
        <v>96</v>
      </c>
    </row>
    <row r="46" spans="4:11">
      <c r="D46" s="20">
        <v>46202</v>
      </c>
      <c r="E46" s="21">
        <v>1616015</v>
      </c>
      <c r="F46" s="21" t="s">
        <v>21</v>
      </c>
      <c r="G46" s="22">
        <v>20324290</v>
      </c>
      <c r="H46" s="21" t="s">
        <v>194</v>
      </c>
      <c r="I46" s="22">
        <v>3</v>
      </c>
      <c r="J46" s="23">
        <v>13.5</v>
      </c>
      <c r="K46" s="23">
        <v>40.5</v>
      </c>
    </row>
    <row r="47" spans="4:11">
      <c r="D47" s="20">
        <v>46203</v>
      </c>
      <c r="E47" s="21">
        <v>1616389</v>
      </c>
      <c r="F47" s="21" t="s">
        <v>21</v>
      </c>
      <c r="G47" s="22">
        <v>20375845</v>
      </c>
      <c r="H47" s="21" t="s">
        <v>191</v>
      </c>
      <c r="I47" s="22">
        <v>6</v>
      </c>
      <c r="J47" s="23">
        <v>13.5</v>
      </c>
      <c r="K47" s="23">
        <v>81</v>
      </c>
    </row>
    <row r="48" spans="4:11">
      <c r="D48" s="20">
        <v>46203</v>
      </c>
      <c r="E48" s="21">
        <v>1616389</v>
      </c>
      <c r="F48" s="21" t="s">
        <v>21</v>
      </c>
      <c r="G48" s="22">
        <v>20338181</v>
      </c>
      <c r="H48" s="21" t="s">
        <v>193</v>
      </c>
      <c r="I48" s="22">
        <v>11</v>
      </c>
      <c r="J48" s="23">
        <v>8</v>
      </c>
      <c r="K48" s="23">
        <v>88</v>
      </c>
    </row>
    <row r="49" spans="4:11">
      <c r="D49" s="20">
        <v>46203</v>
      </c>
      <c r="E49" s="21">
        <v>1616389</v>
      </c>
      <c r="F49" s="21" t="s">
        <v>21</v>
      </c>
      <c r="G49" s="22">
        <v>20324290</v>
      </c>
      <c r="H49" s="21" t="s">
        <v>194</v>
      </c>
      <c r="I49" s="22">
        <v>1</v>
      </c>
      <c r="J49" s="23">
        <v>13.5</v>
      </c>
      <c r="K49" s="23">
        <v>13.5</v>
      </c>
    </row>
    <row r="50" spans="4:11">
      <c r="D50" s="20">
        <v>46204</v>
      </c>
      <c r="E50" s="21">
        <v>1616669</v>
      </c>
      <c r="F50" s="21" t="s">
        <v>21</v>
      </c>
      <c r="G50" s="22">
        <v>20375845</v>
      </c>
      <c r="H50" s="21" t="s">
        <v>191</v>
      </c>
      <c r="I50" s="22">
        <v>3</v>
      </c>
      <c r="J50" s="23">
        <v>13.5</v>
      </c>
      <c r="K50" s="23">
        <v>40.5</v>
      </c>
    </row>
    <row r="51" spans="4:11">
      <c r="D51" s="20">
        <v>46204</v>
      </c>
      <c r="E51" s="21">
        <v>1616669</v>
      </c>
      <c r="F51" s="21" t="s">
        <v>21</v>
      </c>
      <c r="G51" s="22">
        <v>20338181</v>
      </c>
      <c r="H51" s="21" t="s">
        <v>193</v>
      </c>
      <c r="I51" s="22">
        <v>19</v>
      </c>
      <c r="J51" s="23">
        <v>8</v>
      </c>
      <c r="K51" s="23">
        <v>152</v>
      </c>
    </row>
    <row r="52" spans="4:11">
      <c r="D52" s="20">
        <v>46204</v>
      </c>
      <c r="E52" s="21">
        <v>1616669</v>
      </c>
      <c r="F52" s="21" t="s">
        <v>21</v>
      </c>
      <c r="G52" s="22">
        <v>20324290</v>
      </c>
      <c r="H52" s="21" t="s">
        <v>194</v>
      </c>
      <c r="I52" s="22">
        <v>2</v>
      </c>
      <c r="J52" s="23">
        <v>13.5</v>
      </c>
      <c r="K52" s="23">
        <v>27</v>
      </c>
    </row>
    <row r="53" spans="4:11">
      <c r="D53" s="20">
        <v>46205</v>
      </c>
      <c r="E53" s="21">
        <v>1617110</v>
      </c>
      <c r="F53" s="21" t="s">
        <v>21</v>
      </c>
      <c r="G53" s="22">
        <v>20375845</v>
      </c>
      <c r="H53" s="21" t="s">
        <v>191</v>
      </c>
      <c r="I53" s="22">
        <v>3</v>
      </c>
      <c r="J53" s="23">
        <v>13.5</v>
      </c>
      <c r="K53" s="23">
        <v>40.5</v>
      </c>
    </row>
    <row r="54" spans="4:11">
      <c r="D54" s="20">
        <v>46205</v>
      </c>
      <c r="E54" s="21">
        <v>1617110</v>
      </c>
      <c r="F54" s="21" t="s">
        <v>21</v>
      </c>
      <c r="G54" s="22">
        <v>20338181</v>
      </c>
      <c r="H54" s="21" t="s">
        <v>193</v>
      </c>
      <c r="I54" s="22">
        <v>8</v>
      </c>
      <c r="J54" s="23">
        <v>8</v>
      </c>
      <c r="K54" s="23">
        <v>64</v>
      </c>
    </row>
    <row r="55" spans="4:11">
      <c r="D55" s="20">
        <v>46205</v>
      </c>
      <c r="E55" s="21">
        <v>1617110</v>
      </c>
      <c r="F55" s="21" t="s">
        <v>21</v>
      </c>
      <c r="G55" s="22">
        <v>20345588</v>
      </c>
      <c r="H55" s="21" t="s">
        <v>195</v>
      </c>
      <c r="I55" s="22">
        <v>1</v>
      </c>
      <c r="J55" s="23">
        <v>8</v>
      </c>
      <c r="K55" s="23">
        <v>8</v>
      </c>
    </row>
    <row r="56" spans="4:11">
      <c r="D56" s="20">
        <v>46205</v>
      </c>
      <c r="E56" s="21">
        <v>1617110</v>
      </c>
      <c r="F56" s="21" t="s">
        <v>21</v>
      </c>
      <c r="G56" s="22">
        <v>20324290</v>
      </c>
      <c r="H56" s="21" t="s">
        <v>194</v>
      </c>
      <c r="I56" s="22">
        <v>1</v>
      </c>
      <c r="J56" s="23">
        <v>13.5</v>
      </c>
      <c r="K56" s="23">
        <v>13.5</v>
      </c>
    </row>
    <row r="57" spans="4:11">
      <c r="D57" s="20">
        <v>46206</v>
      </c>
      <c r="E57" s="21">
        <v>1617199</v>
      </c>
      <c r="F57" s="21" t="s">
        <v>21</v>
      </c>
      <c r="G57" s="22">
        <v>20338181</v>
      </c>
      <c r="H57" s="21" t="s">
        <v>193</v>
      </c>
      <c r="I57" s="22">
        <v>2</v>
      </c>
      <c r="J57" s="23">
        <v>8</v>
      </c>
      <c r="K57" s="23">
        <v>16</v>
      </c>
    </row>
    <row r="58" spans="4:11">
      <c r="D58" s="20">
        <v>46206</v>
      </c>
      <c r="E58" s="21">
        <v>1617515</v>
      </c>
      <c r="F58" s="21" t="s">
        <v>21</v>
      </c>
      <c r="G58" s="22">
        <v>20375845</v>
      </c>
      <c r="H58" s="21" t="s">
        <v>191</v>
      </c>
      <c r="I58" s="22">
        <v>5</v>
      </c>
      <c r="J58" s="23">
        <v>13.5</v>
      </c>
      <c r="K58" s="23">
        <v>67.5</v>
      </c>
    </row>
    <row r="59" spans="4:11">
      <c r="D59" s="20">
        <v>46206</v>
      </c>
      <c r="E59" s="21">
        <v>1617515</v>
      </c>
      <c r="F59" s="21" t="s">
        <v>21</v>
      </c>
      <c r="G59" s="22">
        <v>20338181</v>
      </c>
      <c r="H59" s="21" t="s">
        <v>193</v>
      </c>
      <c r="I59" s="22">
        <v>19</v>
      </c>
      <c r="J59" s="23">
        <v>8</v>
      </c>
      <c r="K59" s="23">
        <v>152</v>
      </c>
    </row>
    <row r="60" spans="4:11">
      <c r="D60" s="20">
        <v>46206</v>
      </c>
      <c r="E60" s="21">
        <v>1617515</v>
      </c>
      <c r="F60" s="21" t="s">
        <v>21</v>
      </c>
      <c r="G60" s="22">
        <v>20324290</v>
      </c>
      <c r="H60" s="21" t="s">
        <v>194</v>
      </c>
      <c r="I60" s="22">
        <v>2</v>
      </c>
      <c r="J60" s="23">
        <v>13.5</v>
      </c>
      <c r="K60" s="23">
        <v>27</v>
      </c>
    </row>
    <row r="61" spans="4:11">
      <c r="D61" s="20">
        <v>46209</v>
      </c>
      <c r="E61" s="21">
        <v>1617966</v>
      </c>
      <c r="F61" s="21" t="s">
        <v>21</v>
      </c>
      <c r="G61" s="22">
        <v>20375845</v>
      </c>
      <c r="H61" s="21" t="s">
        <v>191</v>
      </c>
      <c r="I61" s="22">
        <v>8</v>
      </c>
      <c r="J61" s="23">
        <v>13.5</v>
      </c>
      <c r="K61" s="23">
        <v>108</v>
      </c>
    </row>
    <row r="62" spans="4:11">
      <c r="D62" s="20">
        <v>46209</v>
      </c>
      <c r="E62" s="21">
        <v>1617966</v>
      </c>
      <c r="F62" s="21" t="s">
        <v>21</v>
      </c>
      <c r="G62" s="22">
        <v>20338181</v>
      </c>
      <c r="H62" s="21" t="s">
        <v>193</v>
      </c>
      <c r="I62" s="22">
        <v>19</v>
      </c>
      <c r="J62" s="23">
        <v>8</v>
      </c>
      <c r="K62" s="23">
        <v>152</v>
      </c>
    </row>
    <row r="63" spans="4:11">
      <c r="D63" s="20">
        <v>46209</v>
      </c>
      <c r="E63" s="21">
        <v>1617966</v>
      </c>
      <c r="F63" s="21" t="s">
        <v>21</v>
      </c>
      <c r="G63" s="22">
        <v>20324290</v>
      </c>
      <c r="H63" s="21" t="s">
        <v>194</v>
      </c>
      <c r="I63" s="22">
        <v>3</v>
      </c>
      <c r="J63" s="23">
        <v>13.5</v>
      </c>
      <c r="K63" s="23">
        <v>40.5</v>
      </c>
    </row>
    <row r="64" spans="4:11">
      <c r="D64" s="20">
        <v>46209</v>
      </c>
      <c r="E64" s="21">
        <v>1617966</v>
      </c>
      <c r="F64" s="21" t="s">
        <v>21</v>
      </c>
      <c r="G64" s="22">
        <v>20005930</v>
      </c>
      <c r="H64" s="21" t="s">
        <v>23</v>
      </c>
      <c r="I64" s="22">
        <v>1</v>
      </c>
      <c r="J64" s="23">
        <v>8</v>
      </c>
      <c r="K64" s="23">
        <v>8</v>
      </c>
    </row>
    <row r="65" spans="4:11">
      <c r="D65" s="20">
        <v>46210</v>
      </c>
      <c r="E65" s="21">
        <v>1618374</v>
      </c>
      <c r="F65" s="21" t="s">
        <v>21</v>
      </c>
      <c r="G65" s="22">
        <v>20375845</v>
      </c>
      <c r="H65" s="21" t="s">
        <v>191</v>
      </c>
      <c r="I65" s="22">
        <v>5</v>
      </c>
      <c r="J65" s="23">
        <v>13.5</v>
      </c>
      <c r="K65" s="23">
        <v>67.5</v>
      </c>
    </row>
    <row r="66" spans="4:11">
      <c r="D66" s="20">
        <v>46210</v>
      </c>
      <c r="E66" s="21">
        <v>1618374</v>
      </c>
      <c r="F66" s="21" t="s">
        <v>21</v>
      </c>
      <c r="G66" s="22">
        <v>20394409</v>
      </c>
      <c r="H66" s="21" t="s">
        <v>196</v>
      </c>
      <c r="I66" s="22">
        <v>1</v>
      </c>
      <c r="J66" s="23">
        <v>11</v>
      </c>
      <c r="K66" s="23">
        <v>11</v>
      </c>
    </row>
    <row r="67" spans="4:11">
      <c r="D67" s="20">
        <v>46210</v>
      </c>
      <c r="E67" s="21">
        <v>1618374</v>
      </c>
      <c r="F67" s="21" t="s">
        <v>21</v>
      </c>
      <c r="G67" s="22">
        <v>20393410</v>
      </c>
      <c r="H67" s="21" t="s">
        <v>192</v>
      </c>
      <c r="I67" s="22">
        <v>3</v>
      </c>
      <c r="J67" s="23">
        <v>8</v>
      </c>
      <c r="K67" s="23">
        <v>24</v>
      </c>
    </row>
    <row r="68" spans="4:11">
      <c r="D68" s="20">
        <v>46210</v>
      </c>
      <c r="E68" s="21">
        <v>1618374</v>
      </c>
      <c r="F68" s="21" t="s">
        <v>21</v>
      </c>
      <c r="G68" s="22">
        <v>20338181</v>
      </c>
      <c r="H68" s="21" t="s">
        <v>193</v>
      </c>
      <c r="I68" s="22">
        <v>16</v>
      </c>
      <c r="J68" s="23">
        <v>8</v>
      </c>
      <c r="K68" s="23">
        <v>128</v>
      </c>
    </row>
    <row r="69" spans="4:11">
      <c r="D69" s="20">
        <v>46210</v>
      </c>
      <c r="E69" s="21">
        <v>1618374</v>
      </c>
      <c r="F69" s="21" t="s">
        <v>21</v>
      </c>
      <c r="G69" s="22">
        <v>20324290</v>
      </c>
      <c r="H69" s="21" t="s">
        <v>194</v>
      </c>
      <c r="I69" s="22">
        <v>1</v>
      </c>
      <c r="J69" s="23">
        <v>13.5</v>
      </c>
      <c r="K69" s="23">
        <v>13.5</v>
      </c>
    </row>
    <row r="70" spans="4:11">
      <c r="D70" s="20">
        <v>46210</v>
      </c>
      <c r="E70" s="21">
        <v>1618374</v>
      </c>
      <c r="F70" s="21" t="s">
        <v>21</v>
      </c>
      <c r="G70" s="22">
        <v>20005930</v>
      </c>
      <c r="H70" s="21" t="s">
        <v>23</v>
      </c>
      <c r="I70" s="22">
        <v>1</v>
      </c>
      <c r="J70" s="23">
        <v>8</v>
      </c>
      <c r="K70" s="23">
        <v>8</v>
      </c>
    </row>
    <row r="71" spans="4:11">
      <c r="D71" s="20">
        <v>46211</v>
      </c>
      <c r="E71" s="21">
        <v>1618563</v>
      </c>
      <c r="F71" s="21" t="s">
        <v>167</v>
      </c>
      <c r="G71" s="22">
        <v>20406712</v>
      </c>
      <c r="H71" s="21" t="s">
        <v>197</v>
      </c>
      <c r="I71" s="22">
        <v>1</v>
      </c>
      <c r="J71" s="23">
        <v>35</v>
      </c>
      <c r="K71" s="23">
        <v>35</v>
      </c>
    </row>
    <row r="72" spans="4:11">
      <c r="D72" s="20">
        <v>46211</v>
      </c>
      <c r="E72" s="21">
        <v>1618563</v>
      </c>
      <c r="F72" s="21" t="s">
        <v>167</v>
      </c>
      <c r="G72" s="22">
        <v>20406713</v>
      </c>
      <c r="H72" s="21" t="s">
        <v>198</v>
      </c>
      <c r="I72" s="22">
        <v>1</v>
      </c>
      <c r="J72" s="23">
        <v>35</v>
      </c>
      <c r="K72" s="23">
        <v>35</v>
      </c>
    </row>
    <row r="73" spans="4:11">
      <c r="D73" s="20">
        <v>46211</v>
      </c>
      <c r="E73" s="21">
        <v>1618715</v>
      </c>
      <c r="F73" s="21" t="s">
        <v>21</v>
      </c>
      <c r="G73" s="22">
        <v>20375845</v>
      </c>
      <c r="H73" s="21" t="s">
        <v>191</v>
      </c>
      <c r="I73" s="22">
        <v>5</v>
      </c>
      <c r="J73" s="23">
        <v>13.5</v>
      </c>
      <c r="K73" s="23">
        <v>67.5</v>
      </c>
    </row>
    <row r="74" spans="4:11">
      <c r="D74" s="20">
        <v>46211</v>
      </c>
      <c r="E74" s="21">
        <v>1618715</v>
      </c>
      <c r="F74" s="21" t="s">
        <v>21</v>
      </c>
      <c r="G74" s="22">
        <v>20338181</v>
      </c>
      <c r="H74" s="21" t="s">
        <v>193</v>
      </c>
      <c r="I74" s="22">
        <v>8</v>
      </c>
      <c r="J74" s="23">
        <v>8</v>
      </c>
      <c r="K74" s="23">
        <v>64</v>
      </c>
    </row>
    <row r="75" spans="4:11">
      <c r="D75" s="20">
        <v>46211</v>
      </c>
      <c r="E75" s="21">
        <v>1618715</v>
      </c>
      <c r="F75" s="21" t="s">
        <v>21</v>
      </c>
      <c r="G75" s="22">
        <v>20324290</v>
      </c>
      <c r="H75" s="21" t="s">
        <v>194</v>
      </c>
      <c r="I75" s="22">
        <v>2</v>
      </c>
      <c r="J75" s="23">
        <v>13.5</v>
      </c>
      <c r="K75" s="23">
        <v>27</v>
      </c>
    </row>
    <row r="76" spans="4:11">
      <c r="D76" s="20">
        <v>46211</v>
      </c>
      <c r="E76" s="21">
        <v>1618715</v>
      </c>
      <c r="F76" s="21" t="s">
        <v>21</v>
      </c>
      <c r="G76" s="22">
        <v>20005930</v>
      </c>
      <c r="H76" s="21" t="s">
        <v>23</v>
      </c>
      <c r="I76" s="22">
        <v>1</v>
      </c>
      <c r="J76" s="23">
        <v>8</v>
      </c>
      <c r="K76" s="23">
        <v>8</v>
      </c>
    </row>
    <row r="77" spans="4:11">
      <c r="D77" s="20">
        <v>46212</v>
      </c>
      <c r="E77" s="21">
        <v>1619111</v>
      </c>
      <c r="F77" s="21" t="s">
        <v>21</v>
      </c>
      <c r="G77" s="22">
        <v>20375845</v>
      </c>
      <c r="H77" s="21" t="s">
        <v>191</v>
      </c>
      <c r="I77" s="22">
        <v>5</v>
      </c>
      <c r="J77" s="23">
        <v>13.5</v>
      </c>
      <c r="K77" s="23">
        <v>67.5</v>
      </c>
    </row>
    <row r="78" spans="4:11">
      <c r="D78" s="20">
        <v>46212</v>
      </c>
      <c r="E78" s="21">
        <v>1619111</v>
      </c>
      <c r="F78" s="21" t="s">
        <v>21</v>
      </c>
      <c r="G78" s="22">
        <v>20338181</v>
      </c>
      <c r="H78" s="21" t="s">
        <v>193</v>
      </c>
      <c r="I78" s="22">
        <v>11</v>
      </c>
      <c r="J78" s="23">
        <v>8</v>
      </c>
      <c r="K78" s="23">
        <v>88</v>
      </c>
    </row>
    <row r="79" spans="4:11">
      <c r="D79" s="20">
        <v>46212</v>
      </c>
      <c r="E79" s="21">
        <v>1619111</v>
      </c>
      <c r="F79" s="21" t="s">
        <v>21</v>
      </c>
      <c r="G79" s="22">
        <v>20324290</v>
      </c>
      <c r="H79" s="21" t="s">
        <v>194</v>
      </c>
      <c r="I79" s="22">
        <v>1</v>
      </c>
      <c r="J79" s="23">
        <v>13.5</v>
      </c>
      <c r="K79" s="23">
        <v>13.5</v>
      </c>
    </row>
    <row r="80" spans="4:11">
      <c r="D80" s="20">
        <v>46213</v>
      </c>
      <c r="E80" s="21">
        <v>1619453</v>
      </c>
      <c r="F80" s="21" t="s">
        <v>21</v>
      </c>
      <c r="G80" s="22">
        <v>20375845</v>
      </c>
      <c r="H80" s="21" t="s">
        <v>191</v>
      </c>
      <c r="I80" s="22">
        <v>5</v>
      </c>
      <c r="J80" s="23">
        <v>13.5</v>
      </c>
      <c r="K80" s="23">
        <v>67.5</v>
      </c>
    </row>
    <row r="81" spans="4:11">
      <c r="D81" s="20">
        <v>46213</v>
      </c>
      <c r="E81" s="21">
        <v>1619453</v>
      </c>
      <c r="F81" s="21" t="s">
        <v>21</v>
      </c>
      <c r="G81" s="22">
        <v>20338181</v>
      </c>
      <c r="H81" s="21" t="s">
        <v>193</v>
      </c>
      <c r="I81" s="22">
        <v>12</v>
      </c>
      <c r="J81" s="23">
        <v>8</v>
      </c>
      <c r="K81" s="23">
        <v>96</v>
      </c>
    </row>
    <row r="82" spans="4:11">
      <c r="D82" s="20">
        <v>46213</v>
      </c>
      <c r="E82" s="21">
        <v>1619453</v>
      </c>
      <c r="F82" s="21" t="s">
        <v>21</v>
      </c>
      <c r="G82" s="22">
        <v>20345588</v>
      </c>
      <c r="H82" s="21" t="s">
        <v>195</v>
      </c>
      <c r="I82" s="22">
        <v>1</v>
      </c>
      <c r="J82" s="23">
        <v>8</v>
      </c>
      <c r="K82" s="23">
        <v>8</v>
      </c>
    </row>
    <row r="83" spans="4:11">
      <c r="D83" s="20">
        <v>46213</v>
      </c>
      <c r="E83" s="21">
        <v>1619453</v>
      </c>
      <c r="F83" s="21" t="s">
        <v>21</v>
      </c>
      <c r="G83" s="22">
        <v>20324290</v>
      </c>
      <c r="H83" s="21" t="s">
        <v>194</v>
      </c>
      <c r="I83" s="22">
        <v>1</v>
      </c>
      <c r="J83" s="23">
        <v>13.5</v>
      </c>
      <c r="K83" s="23">
        <v>13.5</v>
      </c>
    </row>
    <row r="84" spans="4:11">
      <c r="D84" s="20">
        <v>46213</v>
      </c>
      <c r="E84" s="21">
        <v>1619453</v>
      </c>
      <c r="F84" s="21" t="s">
        <v>21</v>
      </c>
      <c r="G84" s="22">
        <v>20005930</v>
      </c>
      <c r="H84" s="21" t="s">
        <v>23</v>
      </c>
      <c r="I84" s="22">
        <v>1</v>
      </c>
      <c r="J84" s="23">
        <v>8</v>
      </c>
      <c r="K84" s="23">
        <v>8</v>
      </c>
    </row>
    <row r="85" spans="4:11">
      <c r="D85" s="20">
        <v>46213</v>
      </c>
      <c r="E85" s="21">
        <v>1619491</v>
      </c>
      <c r="F85" s="21" t="s">
        <v>21</v>
      </c>
      <c r="G85" s="22">
        <v>20338181</v>
      </c>
      <c r="H85" s="21" t="s">
        <v>193</v>
      </c>
      <c r="I85" s="22">
        <v>1</v>
      </c>
      <c r="J85" s="23">
        <v>8</v>
      </c>
      <c r="K85" s="23">
        <v>8</v>
      </c>
    </row>
    <row r="86" spans="4:11">
      <c r="D86" s="20">
        <v>46216</v>
      </c>
      <c r="E86" s="21">
        <v>1620002</v>
      </c>
      <c r="F86" s="21" t="s">
        <v>21</v>
      </c>
      <c r="G86" s="22">
        <v>20375845</v>
      </c>
      <c r="H86" s="21" t="s">
        <v>191</v>
      </c>
      <c r="I86" s="22">
        <v>10</v>
      </c>
      <c r="J86" s="23">
        <v>13.5</v>
      </c>
      <c r="K86" s="23">
        <v>135</v>
      </c>
    </row>
    <row r="87" spans="4:11">
      <c r="D87" s="20">
        <v>46216</v>
      </c>
      <c r="E87" s="21">
        <v>1620002</v>
      </c>
      <c r="F87" s="21" t="s">
        <v>21</v>
      </c>
      <c r="G87" s="22">
        <v>20393410</v>
      </c>
      <c r="H87" s="21" t="s">
        <v>192</v>
      </c>
      <c r="I87" s="22">
        <v>1</v>
      </c>
      <c r="J87" s="23">
        <v>8</v>
      </c>
      <c r="K87" s="23">
        <v>8</v>
      </c>
    </row>
    <row r="88" spans="4:11">
      <c r="D88" s="20">
        <v>46216</v>
      </c>
      <c r="E88" s="21">
        <v>1620002</v>
      </c>
      <c r="F88" s="21" t="s">
        <v>21</v>
      </c>
      <c r="G88" s="22">
        <v>20338181</v>
      </c>
      <c r="H88" s="21" t="s">
        <v>193</v>
      </c>
      <c r="I88" s="22">
        <v>10</v>
      </c>
      <c r="J88" s="23">
        <v>8</v>
      </c>
      <c r="K88" s="23">
        <v>80</v>
      </c>
    </row>
    <row r="89" spans="4:11">
      <c r="D89" s="20">
        <v>46216</v>
      </c>
      <c r="E89" s="21">
        <v>1620002</v>
      </c>
      <c r="F89" s="21" t="s">
        <v>21</v>
      </c>
      <c r="G89" s="22">
        <v>20396550</v>
      </c>
      <c r="H89" s="21" t="s">
        <v>199</v>
      </c>
      <c r="I89" s="22">
        <v>1</v>
      </c>
      <c r="J89" s="23">
        <v>8</v>
      </c>
      <c r="K89" s="23">
        <v>8</v>
      </c>
    </row>
    <row r="90" spans="4:11">
      <c r="D90" s="20">
        <v>46216</v>
      </c>
      <c r="E90" s="21">
        <v>1620002</v>
      </c>
      <c r="F90" s="21" t="s">
        <v>21</v>
      </c>
      <c r="G90" s="22">
        <v>20324290</v>
      </c>
      <c r="H90" s="21" t="s">
        <v>194</v>
      </c>
      <c r="I90" s="22">
        <v>1</v>
      </c>
      <c r="J90" s="23">
        <v>13.5</v>
      </c>
      <c r="K90" s="23">
        <v>13.5</v>
      </c>
    </row>
    <row r="91" spans="4:11">
      <c r="D91" s="20">
        <v>46217</v>
      </c>
      <c r="E91" s="21">
        <v>1620379</v>
      </c>
      <c r="F91" s="21" t="s">
        <v>21</v>
      </c>
      <c r="G91" s="22">
        <v>20375845</v>
      </c>
      <c r="H91" s="21" t="s">
        <v>191</v>
      </c>
      <c r="I91" s="22">
        <v>4</v>
      </c>
      <c r="J91" s="23">
        <v>13.5</v>
      </c>
      <c r="K91" s="23">
        <v>54</v>
      </c>
    </row>
    <row r="92" spans="4:11">
      <c r="D92" s="20">
        <v>46217</v>
      </c>
      <c r="E92" s="21">
        <v>1620379</v>
      </c>
      <c r="F92" s="21" t="s">
        <v>21</v>
      </c>
      <c r="G92" s="22">
        <v>20393410</v>
      </c>
      <c r="H92" s="21" t="s">
        <v>192</v>
      </c>
      <c r="I92" s="22">
        <v>1</v>
      </c>
      <c r="J92" s="23">
        <v>8</v>
      </c>
      <c r="K92" s="23">
        <v>8</v>
      </c>
    </row>
    <row r="93" spans="4:11">
      <c r="D93" s="20">
        <v>46217</v>
      </c>
      <c r="E93" s="21">
        <v>1620379</v>
      </c>
      <c r="F93" s="21" t="s">
        <v>21</v>
      </c>
      <c r="G93" s="22">
        <v>20338181</v>
      </c>
      <c r="H93" s="21" t="s">
        <v>193</v>
      </c>
      <c r="I93" s="22">
        <v>27</v>
      </c>
      <c r="J93" s="23">
        <v>8</v>
      </c>
      <c r="K93" s="23">
        <v>216</v>
      </c>
    </row>
    <row r="94" spans="4:11">
      <c r="D94" s="20">
        <v>46217</v>
      </c>
      <c r="E94" s="21">
        <v>1620379</v>
      </c>
      <c r="F94" s="21" t="s">
        <v>21</v>
      </c>
      <c r="G94" s="22">
        <v>20345588</v>
      </c>
      <c r="H94" s="21" t="s">
        <v>195</v>
      </c>
      <c r="I94" s="22">
        <v>3</v>
      </c>
      <c r="J94" s="23">
        <v>8</v>
      </c>
      <c r="K94" s="23">
        <v>24</v>
      </c>
    </row>
    <row r="95" spans="4:11">
      <c r="D95" s="20">
        <v>46217</v>
      </c>
      <c r="E95" s="21">
        <v>1620379</v>
      </c>
      <c r="F95" s="21" t="s">
        <v>21</v>
      </c>
      <c r="G95" s="22">
        <v>20324290</v>
      </c>
      <c r="H95" s="21" t="s">
        <v>194</v>
      </c>
      <c r="I95" s="22">
        <v>2</v>
      </c>
      <c r="J95" s="23">
        <v>13.5</v>
      </c>
      <c r="K95" s="23">
        <v>27</v>
      </c>
    </row>
    <row r="96" spans="4:11">
      <c r="D96" s="20">
        <v>46217</v>
      </c>
      <c r="E96" s="21">
        <v>1620379</v>
      </c>
      <c r="F96" s="21" t="s">
        <v>21</v>
      </c>
      <c r="G96" s="22">
        <v>20005845</v>
      </c>
      <c r="H96" s="21" t="s">
        <v>200</v>
      </c>
      <c r="I96" s="22">
        <v>1</v>
      </c>
      <c r="J96" s="23">
        <v>8</v>
      </c>
      <c r="K96" s="23">
        <v>8</v>
      </c>
    </row>
    <row r="97" ht="0.05" customHeight="1"/>
  </sheetData>
  <autoFilter xmlns:etc="http://www.wps.cn/officeDocument/2017/etCustomData" ref="J1:J96" etc:filterBottomFollowUsedRange="0">
    <extLst/>
  </autoFilter>
  <mergeCells count="5">
    <mergeCell ref="D8:H8"/>
    <mergeCell ref="C7:C96"/>
    <mergeCell ref="B4:H5"/>
    <mergeCell ref="A7:B96"/>
    <mergeCell ref="C1:H2"/>
  </mergeCells>
  <pageMargins left="0.25" right="0.25" top="0.75" bottom="0.75" header="0.298611111111111" footer="0.298611111111111"/>
  <pageSetup paperSize="9" scale="9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8:31 
&amp;"-,Bold"&amp;10 黑龙江省铂康医疗灭菌有限公司 &amp;R&amp;"Droid Sans Fallback"&amp;9第&amp;P页，共&amp;N页 </oddFoot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0"/>
  <sheetViews>
    <sheetView showGridLines="0" view="pageBreakPreview" zoomScaleNormal="100" workbookViewId="0">
      <pane ySplit="6" topLeftCell="A13" activePane="bottomLeft" state="frozen"/>
      <selection/>
      <selection pane="bottomLeft" activeCell="K9" sqref="K9:K5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0.5" customWidth="1"/>
    <col min="10" max="10" width="12.2083333333333" customWidth="1"/>
    <col min="11" max="11" width="10.75" customWidth="1"/>
  </cols>
  <sheetData>
    <row r="1" spans="1:11">
      <c r="C1" s="10" t="s">
        <v>0</v>
      </c>
    </row>
    <row r="2" ht="23.05" customHeight="1"/>
    <row r="3" ht="2" customHeight="1"/>
    <row r="4" ht="15.2" customHeight="1" spans="1:11">
      <c r="B4" s="11" t="s">
        <v>1</v>
      </c>
    </row>
    <row r="6" ht="2.95" customHeight="1"/>
    <row r="7" spans="1:11">
      <c r="A7" s="12" t="s">
        <v>2</v>
      </c>
      <c r="B7" s="13" t="s">
        <v>2</v>
      </c>
      <c r="C7" s="14" t="s">
        <v>2</v>
      </c>
      <c r="D7" s="15" t="s">
        <v>4</v>
      </c>
      <c r="E7" s="15" t="s">
        <v>5</v>
      </c>
      <c r="F7" s="15" t="s">
        <v>6</v>
      </c>
      <c r="G7" s="15" t="s">
        <v>7</v>
      </c>
      <c r="H7" s="15" t="s">
        <v>8</v>
      </c>
      <c r="I7" s="15" t="s">
        <v>9</v>
      </c>
      <c r="J7" s="15" t="s">
        <v>10</v>
      </c>
      <c r="K7" s="15" t="s">
        <v>11</v>
      </c>
    </row>
    <row r="8" ht="14.25" spans="1:11">
      <c r="D8" s="16" t="s">
        <v>201</v>
      </c>
      <c r="E8" s="17" t="s">
        <v>2</v>
      </c>
      <c r="F8" s="17" t="s">
        <v>2</v>
      </c>
      <c r="G8" s="17" t="s">
        <v>2</v>
      </c>
      <c r="H8" s="17" t="s">
        <v>2</v>
      </c>
      <c r="I8" s="18">
        <v>124</v>
      </c>
      <c r="J8" s="19"/>
      <c r="K8" s="19">
        <v>1492</v>
      </c>
    </row>
    <row r="9" spans="1:11">
      <c r="D9" s="20">
        <v>46188</v>
      </c>
      <c r="E9" s="21">
        <v>1612275</v>
      </c>
      <c r="F9" s="21" t="s">
        <v>21</v>
      </c>
      <c r="G9" s="22">
        <v>20013630</v>
      </c>
      <c r="H9" s="21" t="s">
        <v>86</v>
      </c>
      <c r="I9" s="22">
        <v>2</v>
      </c>
      <c r="J9" s="23">
        <v>8</v>
      </c>
      <c r="K9" s="23">
        <v>16</v>
      </c>
    </row>
    <row r="10" spans="1:11">
      <c r="D10" s="20">
        <v>46188</v>
      </c>
      <c r="E10" s="21">
        <v>1612275</v>
      </c>
      <c r="F10" s="21" t="s">
        <v>21</v>
      </c>
      <c r="G10" s="22">
        <v>20005255</v>
      </c>
      <c r="H10" s="21" t="s">
        <v>202</v>
      </c>
      <c r="I10" s="22">
        <v>1</v>
      </c>
      <c r="J10" s="23">
        <v>16.5</v>
      </c>
      <c r="K10" s="23">
        <v>16.5</v>
      </c>
    </row>
    <row r="11" spans="1:11">
      <c r="D11" s="20">
        <v>46188</v>
      </c>
      <c r="E11" s="21">
        <v>1612275</v>
      </c>
      <c r="F11" s="21" t="s">
        <v>21</v>
      </c>
      <c r="G11" s="22">
        <v>20324084</v>
      </c>
      <c r="H11" s="21" t="s">
        <v>22</v>
      </c>
      <c r="I11" s="22">
        <v>5</v>
      </c>
      <c r="J11" s="23">
        <v>8</v>
      </c>
      <c r="K11" s="23">
        <v>40</v>
      </c>
    </row>
    <row r="12" spans="1:11">
      <c r="D12" s="20">
        <v>46188</v>
      </c>
      <c r="E12" s="21">
        <v>1612275</v>
      </c>
      <c r="F12" s="21" t="s">
        <v>21</v>
      </c>
      <c r="G12" s="22">
        <v>20381090</v>
      </c>
      <c r="H12" s="21" t="s">
        <v>203</v>
      </c>
      <c r="I12" s="22">
        <v>3</v>
      </c>
      <c r="J12" s="23">
        <v>8</v>
      </c>
      <c r="K12" s="23">
        <v>24</v>
      </c>
    </row>
    <row r="13" spans="1:11">
      <c r="D13" s="20">
        <v>46188</v>
      </c>
      <c r="E13" s="21">
        <v>1612275</v>
      </c>
      <c r="F13" s="21" t="s">
        <v>21</v>
      </c>
      <c r="G13" s="22">
        <v>20381089</v>
      </c>
      <c r="H13" s="21" t="s">
        <v>204</v>
      </c>
      <c r="I13" s="22">
        <v>3</v>
      </c>
      <c r="J13" s="23">
        <v>8</v>
      </c>
      <c r="K13" s="23">
        <v>24</v>
      </c>
    </row>
    <row r="14" spans="1:11">
      <c r="D14" s="20">
        <v>46188</v>
      </c>
      <c r="E14" s="21">
        <v>1612275</v>
      </c>
      <c r="F14" s="21" t="s">
        <v>21</v>
      </c>
      <c r="G14" s="22">
        <v>20314990</v>
      </c>
      <c r="H14" s="21" t="s">
        <v>54</v>
      </c>
      <c r="I14" s="22">
        <v>5</v>
      </c>
      <c r="J14" s="23">
        <v>8</v>
      </c>
      <c r="K14" s="23">
        <v>40</v>
      </c>
    </row>
    <row r="15" spans="1:11">
      <c r="D15" s="20">
        <v>46188</v>
      </c>
      <c r="E15" s="21">
        <v>1612275</v>
      </c>
      <c r="F15" s="21" t="s">
        <v>21</v>
      </c>
      <c r="G15" s="22">
        <v>20005930</v>
      </c>
      <c r="H15" s="21" t="s">
        <v>23</v>
      </c>
      <c r="I15" s="22">
        <v>9</v>
      </c>
      <c r="J15" s="23">
        <v>8</v>
      </c>
      <c r="K15" s="23">
        <v>72</v>
      </c>
    </row>
    <row r="16" spans="1:11">
      <c r="D16" s="20">
        <v>46190</v>
      </c>
      <c r="E16" s="21">
        <v>1613097</v>
      </c>
      <c r="F16" s="21" t="s">
        <v>21</v>
      </c>
      <c r="G16" s="22">
        <v>20005255</v>
      </c>
      <c r="H16" s="21" t="s">
        <v>202</v>
      </c>
      <c r="I16" s="22">
        <v>1</v>
      </c>
      <c r="J16" s="23">
        <v>16.5</v>
      </c>
      <c r="K16" s="23">
        <v>16.5</v>
      </c>
    </row>
    <row r="17" spans="4:11">
      <c r="D17" s="20">
        <v>46190</v>
      </c>
      <c r="E17" s="21">
        <v>1613097</v>
      </c>
      <c r="F17" s="21" t="s">
        <v>21</v>
      </c>
      <c r="G17" s="22">
        <v>20324084</v>
      </c>
      <c r="H17" s="21" t="s">
        <v>22</v>
      </c>
      <c r="I17" s="22">
        <v>1</v>
      </c>
      <c r="J17" s="23">
        <v>8</v>
      </c>
      <c r="K17" s="23">
        <v>8</v>
      </c>
    </row>
    <row r="18" spans="4:11">
      <c r="D18" s="20">
        <v>46190</v>
      </c>
      <c r="E18" s="21">
        <v>1613097</v>
      </c>
      <c r="F18" s="21" t="s">
        <v>21</v>
      </c>
      <c r="G18" s="22">
        <v>20005930</v>
      </c>
      <c r="H18" s="21" t="s">
        <v>23</v>
      </c>
      <c r="I18" s="22">
        <v>1</v>
      </c>
      <c r="J18" s="23">
        <v>8</v>
      </c>
      <c r="K18" s="23">
        <v>8</v>
      </c>
    </row>
    <row r="19" spans="4:11">
      <c r="D19" s="20">
        <v>46191</v>
      </c>
      <c r="E19" s="21">
        <v>1613449</v>
      </c>
      <c r="F19" s="21" t="s">
        <v>21</v>
      </c>
      <c r="G19" s="22">
        <v>20381093</v>
      </c>
      <c r="H19" s="21" t="s">
        <v>205</v>
      </c>
      <c r="I19" s="22">
        <v>3</v>
      </c>
      <c r="J19" s="23">
        <v>8</v>
      </c>
      <c r="K19" s="23">
        <v>24</v>
      </c>
    </row>
    <row r="20" spans="4:11">
      <c r="D20" s="20">
        <v>46191</v>
      </c>
      <c r="E20" s="21">
        <v>1613449</v>
      </c>
      <c r="F20" s="21" t="s">
        <v>21</v>
      </c>
      <c r="G20" s="22">
        <v>20381092</v>
      </c>
      <c r="H20" s="21" t="s">
        <v>206</v>
      </c>
      <c r="I20" s="22">
        <v>2</v>
      </c>
      <c r="J20" s="23">
        <v>8</v>
      </c>
      <c r="K20" s="23">
        <v>16</v>
      </c>
    </row>
    <row r="21" spans="4:11">
      <c r="D21" s="20">
        <v>46191</v>
      </c>
      <c r="E21" s="21">
        <v>1613449</v>
      </c>
      <c r="F21" s="21" t="s">
        <v>21</v>
      </c>
      <c r="G21" s="22">
        <v>20005930</v>
      </c>
      <c r="H21" s="21" t="s">
        <v>23</v>
      </c>
      <c r="I21" s="22">
        <v>2</v>
      </c>
      <c r="J21" s="23">
        <v>8</v>
      </c>
      <c r="K21" s="23">
        <v>16</v>
      </c>
    </row>
    <row r="22" spans="4:11">
      <c r="D22" s="20">
        <v>46191</v>
      </c>
      <c r="E22" s="21">
        <v>1613449</v>
      </c>
      <c r="F22" s="21" t="s">
        <v>97</v>
      </c>
      <c r="G22" s="22">
        <v>20381087</v>
      </c>
      <c r="H22" s="21" t="s">
        <v>207</v>
      </c>
      <c r="I22" s="22">
        <v>8</v>
      </c>
      <c r="J22" s="23">
        <v>38.5</v>
      </c>
      <c r="K22" s="23">
        <v>308</v>
      </c>
    </row>
    <row r="23" spans="4:11">
      <c r="D23" s="20">
        <v>46195</v>
      </c>
      <c r="E23" s="21">
        <v>1614125</v>
      </c>
      <c r="F23" s="21" t="s">
        <v>21</v>
      </c>
      <c r="G23" s="22">
        <v>20324084</v>
      </c>
      <c r="H23" s="21" t="s">
        <v>22</v>
      </c>
      <c r="I23" s="22">
        <v>5</v>
      </c>
      <c r="J23" s="23">
        <v>8</v>
      </c>
      <c r="K23" s="23">
        <v>40</v>
      </c>
    </row>
    <row r="24" spans="4:11">
      <c r="D24" s="20">
        <v>46195</v>
      </c>
      <c r="E24" s="21">
        <v>1614125</v>
      </c>
      <c r="F24" s="21" t="s">
        <v>21</v>
      </c>
      <c r="G24" s="22">
        <v>20381090</v>
      </c>
      <c r="H24" s="21" t="s">
        <v>203</v>
      </c>
      <c r="I24" s="22">
        <v>1</v>
      </c>
      <c r="J24" s="23">
        <v>8</v>
      </c>
      <c r="K24" s="23">
        <v>8</v>
      </c>
    </row>
    <row r="25" spans="4:11">
      <c r="D25" s="20">
        <v>46195</v>
      </c>
      <c r="E25" s="21">
        <v>1614125</v>
      </c>
      <c r="F25" s="21" t="s">
        <v>21</v>
      </c>
      <c r="G25" s="22">
        <v>20314990</v>
      </c>
      <c r="H25" s="21" t="s">
        <v>54</v>
      </c>
      <c r="I25" s="22">
        <v>2</v>
      </c>
      <c r="J25" s="23">
        <v>8</v>
      </c>
      <c r="K25" s="23">
        <v>16</v>
      </c>
    </row>
    <row r="26" spans="4:11">
      <c r="D26" s="20">
        <v>46195</v>
      </c>
      <c r="E26" s="21">
        <v>1614125</v>
      </c>
      <c r="F26" s="21" t="s">
        <v>21</v>
      </c>
      <c r="G26" s="22">
        <v>20005930</v>
      </c>
      <c r="H26" s="21" t="s">
        <v>23</v>
      </c>
      <c r="I26" s="22">
        <v>8</v>
      </c>
      <c r="J26" s="23">
        <v>8</v>
      </c>
      <c r="K26" s="23">
        <v>64</v>
      </c>
    </row>
    <row r="27" spans="4:11">
      <c r="D27" s="20">
        <v>46198</v>
      </c>
      <c r="E27" s="21">
        <v>1615152</v>
      </c>
      <c r="F27" s="21" t="s">
        <v>21</v>
      </c>
      <c r="G27" s="22">
        <v>20324084</v>
      </c>
      <c r="H27" s="21" t="s">
        <v>22</v>
      </c>
      <c r="I27" s="22">
        <v>2</v>
      </c>
      <c r="J27" s="23">
        <v>8</v>
      </c>
      <c r="K27" s="23">
        <v>16</v>
      </c>
    </row>
    <row r="28" spans="4:11">
      <c r="D28" s="20">
        <v>46198</v>
      </c>
      <c r="E28" s="21">
        <v>1615152</v>
      </c>
      <c r="F28" s="21" t="s">
        <v>21</v>
      </c>
      <c r="G28" s="22">
        <v>20322689</v>
      </c>
      <c r="H28" s="21" t="s">
        <v>208</v>
      </c>
      <c r="I28" s="22">
        <v>1</v>
      </c>
      <c r="J28" s="23">
        <v>16.5</v>
      </c>
      <c r="K28" s="23">
        <v>16.5</v>
      </c>
    </row>
    <row r="29" spans="4:11">
      <c r="D29" s="20">
        <v>46198</v>
      </c>
      <c r="E29" s="21">
        <v>1615152</v>
      </c>
      <c r="F29" s="21" t="s">
        <v>21</v>
      </c>
      <c r="G29" s="22">
        <v>20381093</v>
      </c>
      <c r="H29" s="21" t="s">
        <v>205</v>
      </c>
      <c r="I29" s="22">
        <v>1</v>
      </c>
      <c r="J29" s="23">
        <v>8</v>
      </c>
      <c r="K29" s="23">
        <v>8</v>
      </c>
    </row>
    <row r="30" spans="4:11">
      <c r="D30" s="20">
        <v>46198</v>
      </c>
      <c r="E30" s="21">
        <v>1615152</v>
      </c>
      <c r="F30" s="21" t="s">
        <v>21</v>
      </c>
      <c r="G30" s="22">
        <v>20314990</v>
      </c>
      <c r="H30" s="21" t="s">
        <v>54</v>
      </c>
      <c r="I30" s="22">
        <v>2</v>
      </c>
      <c r="J30" s="23">
        <v>8</v>
      </c>
      <c r="K30" s="23">
        <v>16</v>
      </c>
    </row>
    <row r="31" spans="4:11">
      <c r="D31" s="20">
        <v>46198</v>
      </c>
      <c r="E31" s="21">
        <v>1615152</v>
      </c>
      <c r="F31" s="21" t="s">
        <v>21</v>
      </c>
      <c r="G31" s="22">
        <v>20005930</v>
      </c>
      <c r="H31" s="21" t="s">
        <v>23</v>
      </c>
      <c r="I31" s="22">
        <v>5</v>
      </c>
      <c r="J31" s="23">
        <v>8</v>
      </c>
      <c r="K31" s="23">
        <v>40</v>
      </c>
    </row>
    <row r="32" spans="4:11">
      <c r="D32" s="20">
        <v>46198</v>
      </c>
      <c r="E32" s="21">
        <v>1615152</v>
      </c>
      <c r="F32" s="21" t="s">
        <v>97</v>
      </c>
      <c r="G32" s="22">
        <v>20381087</v>
      </c>
      <c r="H32" s="21" t="s">
        <v>207</v>
      </c>
      <c r="I32" s="22">
        <v>4</v>
      </c>
      <c r="J32" s="23">
        <v>38.5</v>
      </c>
      <c r="K32" s="23">
        <v>154</v>
      </c>
    </row>
    <row r="33" spans="4:11">
      <c r="D33" s="20">
        <v>46202</v>
      </c>
      <c r="E33" s="21">
        <v>1616014</v>
      </c>
      <c r="F33" s="21" t="s">
        <v>21</v>
      </c>
      <c r="G33" s="22">
        <v>20324084</v>
      </c>
      <c r="H33" s="21" t="s">
        <v>22</v>
      </c>
      <c r="I33" s="22">
        <v>2</v>
      </c>
      <c r="J33" s="23">
        <v>8</v>
      </c>
      <c r="K33" s="23">
        <v>16</v>
      </c>
    </row>
    <row r="34" spans="4:11">
      <c r="D34" s="20">
        <v>46202</v>
      </c>
      <c r="E34" s="21">
        <v>1616014</v>
      </c>
      <c r="F34" s="21" t="s">
        <v>21</v>
      </c>
      <c r="G34" s="22">
        <v>20314990</v>
      </c>
      <c r="H34" s="21" t="s">
        <v>54</v>
      </c>
      <c r="I34" s="22">
        <v>3</v>
      </c>
      <c r="J34" s="23">
        <v>8</v>
      </c>
      <c r="K34" s="23">
        <v>24</v>
      </c>
    </row>
    <row r="35" spans="4:11">
      <c r="D35" s="20">
        <v>46202</v>
      </c>
      <c r="E35" s="21">
        <v>1616014</v>
      </c>
      <c r="F35" s="21" t="s">
        <v>21</v>
      </c>
      <c r="G35" s="22">
        <v>20005930</v>
      </c>
      <c r="H35" s="21" t="s">
        <v>23</v>
      </c>
      <c r="I35" s="22">
        <v>3</v>
      </c>
      <c r="J35" s="23">
        <v>8</v>
      </c>
      <c r="K35" s="23">
        <v>24</v>
      </c>
    </row>
    <row r="36" spans="4:11">
      <c r="D36" s="20">
        <v>46205</v>
      </c>
      <c r="E36" s="21">
        <v>1617111</v>
      </c>
      <c r="F36" s="21" t="s">
        <v>97</v>
      </c>
      <c r="G36" s="22">
        <v>20381087</v>
      </c>
      <c r="H36" s="21" t="s">
        <v>207</v>
      </c>
      <c r="I36" s="22">
        <v>1</v>
      </c>
      <c r="J36" s="23">
        <v>38.5</v>
      </c>
      <c r="K36" s="23">
        <v>38.5</v>
      </c>
    </row>
    <row r="37" spans="4:11">
      <c r="D37" s="20">
        <v>46206</v>
      </c>
      <c r="E37" s="21">
        <v>1617200</v>
      </c>
      <c r="F37" s="21" t="s">
        <v>21</v>
      </c>
      <c r="G37" s="22">
        <v>20381091</v>
      </c>
      <c r="H37" s="21" t="s">
        <v>209</v>
      </c>
      <c r="I37" s="22">
        <v>1</v>
      </c>
      <c r="J37" s="23">
        <v>8</v>
      </c>
      <c r="K37" s="23">
        <v>8</v>
      </c>
    </row>
    <row r="38" spans="4:11">
      <c r="D38" s="20">
        <v>46206</v>
      </c>
      <c r="E38" s="21">
        <v>1617200</v>
      </c>
      <c r="F38" s="21" t="s">
        <v>21</v>
      </c>
      <c r="G38" s="22">
        <v>20005255</v>
      </c>
      <c r="H38" s="21" t="s">
        <v>202</v>
      </c>
      <c r="I38" s="22">
        <v>2</v>
      </c>
      <c r="J38" s="23">
        <v>16.5</v>
      </c>
      <c r="K38" s="23">
        <v>33</v>
      </c>
    </row>
    <row r="39" spans="4:11">
      <c r="D39" s="20">
        <v>46206</v>
      </c>
      <c r="E39" s="21">
        <v>1617200</v>
      </c>
      <c r="F39" s="21" t="s">
        <v>21</v>
      </c>
      <c r="G39" s="22">
        <v>20381093</v>
      </c>
      <c r="H39" s="21" t="s">
        <v>205</v>
      </c>
      <c r="I39" s="22">
        <v>2</v>
      </c>
      <c r="J39" s="23">
        <v>8</v>
      </c>
      <c r="K39" s="23">
        <v>16</v>
      </c>
    </row>
    <row r="40" spans="4:11">
      <c r="D40" s="20">
        <v>46206</v>
      </c>
      <c r="E40" s="21">
        <v>1617200</v>
      </c>
      <c r="F40" s="21" t="s">
        <v>21</v>
      </c>
      <c r="G40" s="22">
        <v>20314990</v>
      </c>
      <c r="H40" s="21" t="s">
        <v>54</v>
      </c>
      <c r="I40" s="22">
        <v>3</v>
      </c>
      <c r="J40" s="23">
        <v>8</v>
      </c>
      <c r="K40" s="23">
        <v>24</v>
      </c>
    </row>
    <row r="41" spans="4:11">
      <c r="D41" s="20">
        <v>46206</v>
      </c>
      <c r="E41" s="21">
        <v>1617200</v>
      </c>
      <c r="F41" s="21" t="s">
        <v>21</v>
      </c>
      <c r="G41" s="22">
        <v>20005930</v>
      </c>
      <c r="H41" s="21" t="s">
        <v>23</v>
      </c>
      <c r="I41" s="22">
        <v>4</v>
      </c>
      <c r="J41" s="23">
        <v>8</v>
      </c>
      <c r="K41" s="23">
        <v>32</v>
      </c>
    </row>
    <row r="42" spans="4:11">
      <c r="D42" s="20">
        <v>46209</v>
      </c>
      <c r="E42" s="21">
        <v>1617967</v>
      </c>
      <c r="F42" s="21" t="s">
        <v>21</v>
      </c>
      <c r="G42" s="22">
        <v>20314990</v>
      </c>
      <c r="H42" s="21" t="s">
        <v>54</v>
      </c>
      <c r="I42" s="22">
        <v>4</v>
      </c>
      <c r="J42" s="23">
        <v>8</v>
      </c>
      <c r="K42" s="23">
        <v>32</v>
      </c>
    </row>
    <row r="43" spans="4:11">
      <c r="D43" s="20">
        <v>46209</v>
      </c>
      <c r="E43" s="21">
        <v>1617967</v>
      </c>
      <c r="F43" s="21" t="s">
        <v>21</v>
      </c>
      <c r="G43" s="22">
        <v>20005930</v>
      </c>
      <c r="H43" s="21" t="s">
        <v>23</v>
      </c>
      <c r="I43" s="22">
        <v>5</v>
      </c>
      <c r="J43" s="23">
        <v>8</v>
      </c>
      <c r="K43" s="23">
        <v>40</v>
      </c>
    </row>
    <row r="44" spans="4:11">
      <c r="D44" s="20">
        <v>46212</v>
      </c>
      <c r="E44" s="21">
        <v>1619112</v>
      </c>
      <c r="F44" s="21" t="s">
        <v>21</v>
      </c>
      <c r="G44" s="22">
        <v>20324084</v>
      </c>
      <c r="H44" s="21" t="s">
        <v>22</v>
      </c>
      <c r="I44" s="22">
        <v>1</v>
      </c>
      <c r="J44" s="23">
        <v>8</v>
      </c>
      <c r="K44" s="23">
        <v>8</v>
      </c>
    </row>
    <row r="45" spans="4:11">
      <c r="D45" s="20">
        <v>46212</v>
      </c>
      <c r="E45" s="21">
        <v>1619112</v>
      </c>
      <c r="F45" s="21" t="s">
        <v>21</v>
      </c>
      <c r="G45" s="22">
        <v>20381092</v>
      </c>
      <c r="H45" s="21" t="s">
        <v>206</v>
      </c>
      <c r="I45" s="22">
        <v>2</v>
      </c>
      <c r="J45" s="23">
        <v>8</v>
      </c>
      <c r="K45" s="23">
        <v>16</v>
      </c>
    </row>
    <row r="46" spans="4:11">
      <c r="D46" s="20">
        <v>46212</v>
      </c>
      <c r="E46" s="21">
        <v>1619112</v>
      </c>
      <c r="F46" s="21" t="s">
        <v>21</v>
      </c>
      <c r="G46" s="22">
        <v>20005930</v>
      </c>
      <c r="H46" s="21" t="s">
        <v>23</v>
      </c>
      <c r="I46" s="22">
        <v>5</v>
      </c>
      <c r="J46" s="23">
        <v>8</v>
      </c>
      <c r="K46" s="23">
        <v>40</v>
      </c>
    </row>
    <row r="47" spans="4:11">
      <c r="D47" s="20">
        <v>46212</v>
      </c>
      <c r="E47" s="21">
        <v>1619112</v>
      </c>
      <c r="F47" s="21" t="s">
        <v>97</v>
      </c>
      <c r="G47" s="22">
        <v>20381087</v>
      </c>
      <c r="H47" s="21" t="s">
        <v>207</v>
      </c>
      <c r="I47" s="22">
        <v>2</v>
      </c>
      <c r="J47" s="23">
        <v>38.5</v>
      </c>
      <c r="K47" s="23">
        <v>77</v>
      </c>
    </row>
    <row r="48" spans="4:11">
      <c r="D48" s="20">
        <v>46216</v>
      </c>
      <c r="E48" s="21">
        <v>1620001</v>
      </c>
      <c r="F48" s="21" t="s">
        <v>21</v>
      </c>
      <c r="G48" s="22">
        <v>20381092</v>
      </c>
      <c r="H48" s="21" t="s">
        <v>206</v>
      </c>
      <c r="I48" s="22">
        <v>2</v>
      </c>
      <c r="J48" s="23">
        <v>8</v>
      </c>
      <c r="K48" s="23">
        <v>16</v>
      </c>
    </row>
    <row r="49" spans="4:11">
      <c r="D49" s="20">
        <v>46216</v>
      </c>
      <c r="E49" s="21">
        <v>1620001</v>
      </c>
      <c r="F49" s="21" t="s">
        <v>21</v>
      </c>
      <c r="G49" s="22">
        <v>20005930</v>
      </c>
      <c r="H49" s="21" t="s">
        <v>23</v>
      </c>
      <c r="I49" s="22">
        <v>5</v>
      </c>
      <c r="J49" s="23">
        <v>8</v>
      </c>
      <c r="K49" s="23">
        <v>40</v>
      </c>
    </row>
    <row r="50" ht="0.05" customHeight="1"/>
  </sheetData>
  <mergeCells count="5">
    <mergeCell ref="D8:H8"/>
    <mergeCell ref="C7:C49"/>
    <mergeCell ref="B4:H5"/>
    <mergeCell ref="A7:B49"/>
    <mergeCell ref="C1:H2"/>
  </mergeCells>
  <pageMargins left="0.25" right="0.25" top="0.75" bottom="0.75" header="0.298611111111111" footer="0.298611111111111"/>
  <pageSetup paperSize="9" scale="9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8:31 
&amp;"-,Bold"&amp;10 黑龙江省铂康医疗灭菌有限公司 &amp;R&amp;"Droid Sans Fallback"&amp;9第&amp;P页，共&amp;N页 </oddFooter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45"/>
  <sheetViews>
    <sheetView tabSelected="1" view="pageBreakPreview" zoomScaleNormal="100" workbookViewId="0">
      <selection activeCell="I4" sqref="I4:K46"/>
    </sheetView>
  </sheetViews>
  <sheetFormatPr defaultColWidth="9" defaultRowHeight="13.5"/>
  <cols>
    <col min="3" max="3" width="19.75" customWidth="1"/>
    <col min="5" max="5" width="24.875" customWidth="1"/>
    <col min="6" max="6" width="10.25" customWidth="1"/>
    <col min="8" max="8" width="12.625" customWidth="1"/>
  </cols>
  <sheetData>
    <row r="2" ht="36" customHeight="1" spans="1:9">
      <c r="A2" s="1" t="s">
        <v>210</v>
      </c>
      <c r="B2" s="1"/>
      <c r="C2" s="1"/>
      <c r="D2" s="1"/>
      <c r="E2" s="1"/>
      <c r="F2" s="1"/>
      <c r="G2" s="1"/>
      <c r="H2" s="1"/>
    </row>
    <row r="4" ht="33" customHeight="1" spans="1:9">
      <c r="A4" s="2" t="s">
        <v>211</v>
      </c>
      <c r="B4" s="2"/>
      <c r="C4" s="2"/>
      <c r="D4" s="2"/>
      <c r="E4" s="2"/>
      <c r="F4" s="2"/>
      <c r="G4" s="2"/>
      <c r="H4" s="2"/>
    </row>
    <row r="5" spans="1:9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</row>
    <row r="6" spans="1:9">
      <c r="A6" s="4">
        <v>46189</v>
      </c>
      <c r="B6" s="5">
        <v>1612720</v>
      </c>
      <c r="C6" s="5" t="s">
        <v>135</v>
      </c>
      <c r="D6" s="6">
        <v>20392610</v>
      </c>
      <c r="E6" s="5" t="s">
        <v>136</v>
      </c>
      <c r="F6" s="6">
        <v>1</v>
      </c>
      <c r="G6" s="7">
        <v>165</v>
      </c>
      <c r="H6" s="7">
        <v>165</v>
      </c>
      <c r="I6">
        <f>193*1.25</f>
        <v>241.25</v>
      </c>
    </row>
    <row r="7" spans="1:9">
      <c r="A7" s="4">
        <v>46189</v>
      </c>
      <c r="B7" s="5">
        <v>1612720</v>
      </c>
      <c r="C7" s="5" t="s">
        <v>137</v>
      </c>
      <c r="D7" s="6">
        <v>20392576</v>
      </c>
      <c r="E7" s="5" t="s">
        <v>138</v>
      </c>
      <c r="F7" s="6">
        <v>1</v>
      </c>
      <c r="G7" s="7">
        <v>28</v>
      </c>
      <c r="H7" s="7">
        <v>28</v>
      </c>
    </row>
    <row r="8" spans="1:9">
      <c r="A8" s="8" t="s">
        <v>212</v>
      </c>
      <c r="B8" s="8"/>
      <c r="C8" s="8"/>
      <c r="D8" s="8"/>
      <c r="E8" s="8"/>
      <c r="F8" s="8"/>
      <c r="G8" s="8"/>
      <c r="H8" s="7">
        <v>193</v>
      </c>
    </row>
    <row r="11" ht="27" customHeight="1" spans="1:9">
      <c r="A11" s="2" t="s">
        <v>213</v>
      </c>
      <c r="B11" s="2"/>
      <c r="C11" s="2"/>
      <c r="D11" s="2"/>
      <c r="E11" s="2"/>
      <c r="F11" s="2"/>
      <c r="G11" s="2"/>
      <c r="H11" s="2"/>
    </row>
    <row r="12" spans="1:9">
      <c r="A12" s="3" t="s">
        <v>4</v>
      </c>
      <c r="B12" s="3" t="s">
        <v>5</v>
      </c>
      <c r="C12" s="3" t="s">
        <v>6</v>
      </c>
      <c r="D12" s="3" t="s">
        <v>7</v>
      </c>
      <c r="E12" s="3" t="s">
        <v>8</v>
      </c>
      <c r="F12" s="3" t="s">
        <v>9</v>
      </c>
      <c r="G12" s="3" t="s">
        <v>10</v>
      </c>
      <c r="H12" s="3" t="s">
        <v>11</v>
      </c>
    </row>
    <row r="13" spans="1:9">
      <c r="A13" s="4">
        <v>46190</v>
      </c>
      <c r="B13" s="5">
        <v>1612972</v>
      </c>
      <c r="C13" s="5" t="s">
        <v>135</v>
      </c>
      <c r="D13" s="6">
        <v>20392603</v>
      </c>
      <c r="E13" s="5" t="s">
        <v>169</v>
      </c>
      <c r="F13" s="6">
        <v>1</v>
      </c>
      <c r="G13" s="7">
        <v>300</v>
      </c>
      <c r="H13" s="7">
        <v>300</v>
      </c>
      <c r="I13">
        <f>328*1.25</f>
        <v>410</v>
      </c>
    </row>
    <row r="14" spans="1:9">
      <c r="A14" s="4">
        <v>46190</v>
      </c>
      <c r="B14" s="5">
        <v>1612972</v>
      </c>
      <c r="C14" s="5" t="s">
        <v>137</v>
      </c>
      <c r="D14" s="6">
        <v>20392576</v>
      </c>
      <c r="E14" s="5" t="s">
        <v>138</v>
      </c>
      <c r="F14" s="6">
        <v>1</v>
      </c>
      <c r="G14" s="7">
        <v>28</v>
      </c>
      <c r="H14" s="7">
        <v>28</v>
      </c>
    </row>
    <row r="15" spans="1:9">
      <c r="A15" s="8" t="s">
        <v>212</v>
      </c>
      <c r="B15" s="8"/>
      <c r="C15" s="8"/>
      <c r="D15" s="8"/>
      <c r="E15" s="8"/>
      <c r="F15" s="8"/>
      <c r="G15" s="8"/>
      <c r="H15" s="7">
        <v>328</v>
      </c>
    </row>
    <row r="18" ht="29" customHeight="1" spans="1:9">
      <c r="A18" s="2" t="s">
        <v>214</v>
      </c>
      <c r="B18" s="2"/>
      <c r="C18" s="2"/>
      <c r="D18" s="2"/>
      <c r="E18" s="2"/>
      <c r="F18" s="2"/>
      <c r="G18" s="2"/>
      <c r="H18" s="2"/>
    </row>
    <row r="19" spans="1:9">
      <c r="A19" s="3" t="s">
        <v>4</v>
      </c>
      <c r="B19" s="3" t="s">
        <v>5</v>
      </c>
      <c r="C19" s="3" t="s">
        <v>6</v>
      </c>
      <c r="D19" s="3" t="s">
        <v>7</v>
      </c>
      <c r="E19" s="3" t="s">
        <v>8</v>
      </c>
      <c r="F19" s="3" t="s">
        <v>9</v>
      </c>
      <c r="G19" s="3" t="s">
        <v>10</v>
      </c>
      <c r="H19" s="3" t="s">
        <v>11</v>
      </c>
    </row>
    <row r="20" spans="1:9">
      <c r="A20" s="4">
        <v>46209</v>
      </c>
      <c r="B20" s="5">
        <v>1617846</v>
      </c>
      <c r="C20" s="5" t="s">
        <v>167</v>
      </c>
      <c r="D20" s="6">
        <v>20336882</v>
      </c>
      <c r="E20" s="5" t="s">
        <v>215</v>
      </c>
      <c r="F20" s="6">
        <v>1</v>
      </c>
      <c r="G20" s="7">
        <v>28</v>
      </c>
      <c r="H20" s="7">
        <v>28</v>
      </c>
    </row>
    <row r="21" spans="1:9">
      <c r="A21" s="4">
        <v>46209</v>
      </c>
      <c r="B21" s="5">
        <v>1617846</v>
      </c>
      <c r="C21" s="5" t="s">
        <v>135</v>
      </c>
      <c r="D21" s="6">
        <v>20392610</v>
      </c>
      <c r="E21" s="5" t="s">
        <v>136</v>
      </c>
      <c r="F21" s="6">
        <v>1</v>
      </c>
      <c r="G21" s="7">
        <v>165</v>
      </c>
      <c r="H21" s="7">
        <v>165</v>
      </c>
      <c r="I21">
        <f>221*1.25</f>
        <v>276.25</v>
      </c>
    </row>
    <row r="22" spans="1:9">
      <c r="A22" s="4">
        <v>46209</v>
      </c>
      <c r="B22" s="5">
        <v>1617846</v>
      </c>
      <c r="C22" s="5" t="s">
        <v>137</v>
      </c>
      <c r="D22" s="6">
        <v>20392576</v>
      </c>
      <c r="E22" s="5" t="s">
        <v>138</v>
      </c>
      <c r="F22" s="6">
        <v>1</v>
      </c>
      <c r="G22" s="7">
        <v>28</v>
      </c>
      <c r="H22" s="7">
        <v>28</v>
      </c>
    </row>
    <row r="23" spans="1:9">
      <c r="A23" s="8" t="s">
        <v>212</v>
      </c>
      <c r="B23" s="8"/>
      <c r="C23" s="8"/>
      <c r="D23" s="8"/>
      <c r="E23" s="8"/>
      <c r="F23" s="8"/>
      <c r="G23" s="8"/>
      <c r="H23" s="7">
        <v>221</v>
      </c>
    </row>
    <row r="26" ht="26" customHeight="1" spans="1:9">
      <c r="A26" s="2" t="s">
        <v>216</v>
      </c>
      <c r="B26" s="2"/>
      <c r="C26" s="2"/>
      <c r="D26" s="2"/>
      <c r="E26" s="2"/>
      <c r="F26" s="2"/>
      <c r="G26" s="2"/>
      <c r="H26" s="2"/>
    </row>
    <row r="27" spans="1:9">
      <c r="A27" s="3" t="s">
        <v>4</v>
      </c>
      <c r="B27" s="3" t="s">
        <v>5</v>
      </c>
      <c r="C27" s="3" t="s">
        <v>6</v>
      </c>
      <c r="D27" s="3" t="s">
        <v>7</v>
      </c>
      <c r="E27" s="3" t="s">
        <v>8</v>
      </c>
      <c r="F27" s="3" t="s">
        <v>9</v>
      </c>
      <c r="G27" s="3" t="s">
        <v>10</v>
      </c>
      <c r="H27" s="3" t="s">
        <v>11</v>
      </c>
    </row>
    <row r="28" spans="1:9">
      <c r="A28" s="4">
        <v>46213</v>
      </c>
      <c r="B28" s="5">
        <v>1619512</v>
      </c>
      <c r="C28" s="5" t="s">
        <v>167</v>
      </c>
      <c r="D28" s="6">
        <v>20433215</v>
      </c>
      <c r="E28" s="5" t="s">
        <v>217</v>
      </c>
      <c r="F28" s="6">
        <v>1</v>
      </c>
      <c r="G28" s="7">
        <v>28</v>
      </c>
      <c r="H28" s="7">
        <v>28</v>
      </c>
    </row>
    <row r="29" spans="1:9">
      <c r="A29" s="4">
        <v>46213</v>
      </c>
      <c r="B29" s="5">
        <v>1619512</v>
      </c>
      <c r="C29" s="5" t="s">
        <v>167</v>
      </c>
      <c r="D29" s="6">
        <v>20392597</v>
      </c>
      <c r="E29" s="5" t="s">
        <v>218</v>
      </c>
      <c r="F29" s="6">
        <v>1</v>
      </c>
      <c r="G29" s="7">
        <v>28</v>
      </c>
      <c r="H29" s="7">
        <v>28</v>
      </c>
    </row>
    <row r="30" spans="1:9">
      <c r="A30" s="4">
        <v>46213</v>
      </c>
      <c r="B30" s="5">
        <v>1619512</v>
      </c>
      <c r="C30" s="5" t="s">
        <v>167</v>
      </c>
      <c r="D30" s="6">
        <v>20433221</v>
      </c>
      <c r="E30" s="5" t="s">
        <v>219</v>
      </c>
      <c r="F30" s="6">
        <v>1</v>
      </c>
      <c r="G30" s="7">
        <v>28</v>
      </c>
      <c r="H30" s="7">
        <v>28</v>
      </c>
    </row>
    <row r="31" spans="1:9">
      <c r="A31" s="4">
        <v>46213</v>
      </c>
      <c r="B31" s="5">
        <v>1619512</v>
      </c>
      <c r="C31" s="5" t="s">
        <v>167</v>
      </c>
      <c r="D31" s="6">
        <v>20433212</v>
      </c>
      <c r="E31" s="5" t="s">
        <v>220</v>
      </c>
      <c r="F31" s="6">
        <v>1</v>
      </c>
      <c r="G31" s="7">
        <v>28</v>
      </c>
      <c r="H31" s="7">
        <v>28</v>
      </c>
    </row>
    <row r="32" spans="1:9">
      <c r="A32" s="4">
        <v>46213</v>
      </c>
      <c r="B32" s="5">
        <v>1619512</v>
      </c>
      <c r="C32" s="5" t="s">
        <v>167</v>
      </c>
      <c r="D32" s="6">
        <v>20433211</v>
      </c>
      <c r="E32" s="5" t="s">
        <v>221</v>
      </c>
      <c r="F32" s="6">
        <v>1</v>
      </c>
      <c r="G32" s="7">
        <v>28</v>
      </c>
      <c r="H32" s="7">
        <v>28</v>
      </c>
      <c r="I32">
        <f>417*1.25</f>
        <v>521.25</v>
      </c>
    </row>
    <row r="33" spans="1:9">
      <c r="A33" s="4">
        <v>46213</v>
      </c>
      <c r="B33" s="5">
        <v>1619512</v>
      </c>
      <c r="C33" s="5" t="s">
        <v>167</v>
      </c>
      <c r="D33" s="6">
        <v>20433222</v>
      </c>
      <c r="E33" s="5" t="s">
        <v>222</v>
      </c>
      <c r="F33" s="6">
        <v>1</v>
      </c>
      <c r="G33" s="7">
        <v>28</v>
      </c>
      <c r="H33" s="7">
        <v>28</v>
      </c>
    </row>
    <row r="34" spans="1:9">
      <c r="A34" s="4">
        <v>46213</v>
      </c>
      <c r="B34" s="5">
        <v>1619512</v>
      </c>
      <c r="C34" s="5" t="s">
        <v>167</v>
      </c>
      <c r="D34" s="6">
        <v>20392598</v>
      </c>
      <c r="E34" s="5" t="s">
        <v>223</v>
      </c>
      <c r="F34" s="6">
        <v>2</v>
      </c>
      <c r="G34" s="7">
        <v>28</v>
      </c>
      <c r="H34" s="7">
        <v>56</v>
      </c>
    </row>
    <row r="35" spans="1:9">
      <c r="A35" s="4">
        <v>46213</v>
      </c>
      <c r="B35" s="5">
        <v>1619512</v>
      </c>
      <c r="C35" s="5" t="s">
        <v>135</v>
      </c>
      <c r="D35" s="6">
        <v>20392603</v>
      </c>
      <c r="E35" s="5" t="s">
        <v>224</v>
      </c>
      <c r="F35" s="6">
        <v>1</v>
      </c>
      <c r="G35" s="7">
        <v>165</v>
      </c>
      <c r="H35" s="7">
        <v>165</v>
      </c>
    </row>
    <row r="36" spans="1:9">
      <c r="A36" s="4">
        <v>46213</v>
      </c>
      <c r="B36" s="5">
        <v>1619512</v>
      </c>
      <c r="C36" s="5" t="s">
        <v>137</v>
      </c>
      <c r="D36" s="6">
        <v>20392576</v>
      </c>
      <c r="E36" s="5" t="s">
        <v>138</v>
      </c>
      <c r="F36" s="6">
        <v>1</v>
      </c>
      <c r="G36" s="7">
        <v>28</v>
      </c>
      <c r="H36" s="7">
        <v>28</v>
      </c>
    </row>
    <row r="37" spans="1:9">
      <c r="A37" s="8" t="s">
        <v>212</v>
      </c>
      <c r="B37" s="8"/>
      <c r="C37" s="8"/>
      <c r="D37" s="8"/>
      <c r="E37" s="8"/>
      <c r="F37" s="8"/>
      <c r="G37" s="8"/>
      <c r="H37" s="7">
        <v>417</v>
      </c>
    </row>
    <row r="39" spans="1:9">
      <c r="A39" s="9"/>
      <c r="B39" s="9"/>
      <c r="C39" s="9"/>
      <c r="D39" s="9"/>
      <c r="E39" s="9"/>
      <c r="F39" s="9"/>
      <c r="G39" s="9"/>
      <c r="H39" s="9"/>
    </row>
    <row r="40" ht="24" customHeight="1" spans="1:9">
      <c r="A40" s="2" t="s">
        <v>225</v>
      </c>
      <c r="B40" s="2"/>
      <c r="C40" s="2"/>
      <c r="D40" s="2"/>
      <c r="E40" s="2"/>
      <c r="F40" s="2"/>
      <c r="G40" s="2"/>
      <c r="H40" s="2"/>
    </row>
    <row r="41" spans="1:9">
      <c r="A41" s="3" t="s">
        <v>4</v>
      </c>
      <c r="B41" s="3" t="s">
        <v>5</v>
      </c>
      <c r="C41" s="3" t="s">
        <v>6</v>
      </c>
      <c r="D41" s="3" t="s">
        <v>7</v>
      </c>
      <c r="E41" s="3" t="s">
        <v>8</v>
      </c>
      <c r="F41" s="3" t="s">
        <v>9</v>
      </c>
      <c r="G41" s="3" t="s">
        <v>10</v>
      </c>
      <c r="H41" s="3" t="s">
        <v>11</v>
      </c>
    </row>
    <row r="42" spans="1:9">
      <c r="A42" s="4">
        <v>46214</v>
      </c>
      <c r="B42" s="5">
        <v>1619747</v>
      </c>
      <c r="C42" s="5" t="s">
        <v>167</v>
      </c>
      <c r="D42" s="6">
        <v>20417853</v>
      </c>
      <c r="E42" s="5" t="s">
        <v>226</v>
      </c>
      <c r="F42" s="6">
        <v>1</v>
      </c>
      <c r="G42" s="7">
        <v>44</v>
      </c>
      <c r="H42" s="7">
        <v>44</v>
      </c>
    </row>
    <row r="43" spans="1:9">
      <c r="A43" s="4">
        <v>46214</v>
      </c>
      <c r="B43" s="5">
        <v>1619747</v>
      </c>
      <c r="C43" s="5" t="s">
        <v>135</v>
      </c>
      <c r="D43" s="6">
        <v>20392610</v>
      </c>
      <c r="E43" s="5" t="s">
        <v>136</v>
      </c>
      <c r="F43" s="6">
        <v>1</v>
      </c>
      <c r="G43" s="7">
        <v>165</v>
      </c>
      <c r="H43" s="7">
        <v>165</v>
      </c>
      <c r="I43">
        <f>237*1.25</f>
        <v>296.25</v>
      </c>
    </row>
    <row r="44" spans="1:9">
      <c r="A44" s="4">
        <v>46214</v>
      </c>
      <c r="B44" s="5">
        <v>1619747</v>
      </c>
      <c r="C44" s="5" t="s">
        <v>137</v>
      </c>
      <c r="D44" s="6">
        <v>20392576</v>
      </c>
      <c r="E44" s="5" t="s">
        <v>138</v>
      </c>
      <c r="F44" s="6">
        <v>1</v>
      </c>
      <c r="G44" s="7">
        <v>28</v>
      </c>
      <c r="H44" s="7">
        <v>28</v>
      </c>
    </row>
    <row r="45" spans="1:9">
      <c r="A45" s="8" t="s">
        <v>212</v>
      </c>
      <c r="B45" s="8"/>
      <c r="C45" s="8"/>
      <c r="D45" s="8"/>
      <c r="E45" s="8"/>
      <c r="F45" s="8"/>
      <c r="G45" s="8"/>
      <c r="H45" s="7">
        <v>237</v>
      </c>
    </row>
  </sheetData>
  <mergeCells count="11">
    <mergeCell ref="A2:H2"/>
    <mergeCell ref="A4:H4"/>
    <mergeCell ref="A8:G8"/>
    <mergeCell ref="A11:H11"/>
    <mergeCell ref="A15:G15"/>
    <mergeCell ref="A18:H18"/>
    <mergeCell ref="A23:G23"/>
    <mergeCell ref="A26:H26"/>
    <mergeCell ref="A37:G37"/>
    <mergeCell ref="A40:H40"/>
    <mergeCell ref="A45:G45"/>
  </mergeCells>
  <pageMargins left="0.25" right="0.25" top="0.75" bottom="0.75" header="0.298611111111111" footer="0.298611111111111"/>
  <pageSetup paperSize="9" scale="97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妇科门诊</vt:lpstr>
      <vt:lpstr>急诊科</vt:lpstr>
      <vt:lpstr>口腔科（4楼陈斌）</vt:lpstr>
      <vt:lpstr>口腔科（4楼韩宗凯）</vt:lpstr>
      <vt:lpstr>口腔科（4楼姜杨杨）</vt:lpstr>
      <vt:lpstr>口腔科（4楼金华）</vt:lpstr>
      <vt:lpstr>口腔科（4楼宋雪婧）</vt:lpstr>
      <vt:lpstr>口腔科（4楼于金彪）</vt:lpstr>
      <vt:lpstr>口腔科（5楼白雪）</vt:lpstr>
      <vt:lpstr>口腔科（5楼刘冰）</vt:lpstr>
      <vt:lpstr>口腔科（5楼刘升臣）</vt:lpstr>
      <vt:lpstr>口腔科（5楼穆美玲）</vt:lpstr>
      <vt:lpstr>口腔科（5楼姚金辉）</vt:lpstr>
      <vt:lpstr>口腔科（5楼张冬青）</vt:lpstr>
      <vt:lpstr>口腔科（5楼钟志奇）</vt:lpstr>
      <vt:lpstr>口腔科（5楼朱晓丽）</vt:lpstr>
      <vt:lpstr>口腔科（公共二）</vt:lpstr>
      <vt:lpstr>口腔科（公共一）</vt:lpstr>
      <vt:lpstr>口腔科（种植诊室）</vt:lpstr>
      <vt:lpstr>内三</vt:lpstr>
      <vt:lpstr>内一科</vt:lpstr>
      <vt:lpstr>手术室</vt:lpstr>
      <vt:lpstr>外科病房</vt:lpstr>
      <vt:lpstr>五官科</vt:lpstr>
      <vt:lpstr>中医皮肤</vt:lpstr>
      <vt:lpstr>加急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2026-07-15T00:30:00Z</dcterms:created>
  <dcterms:modified xsi:type="dcterms:W3CDTF">2026-07-16T02:09:30Z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9D2A0DC40ADE4F11AFADC3F17BDB5089_13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