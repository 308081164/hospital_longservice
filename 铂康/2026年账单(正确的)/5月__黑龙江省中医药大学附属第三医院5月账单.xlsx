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83" firstSheet="2" activeTab="12"/>
  </bookViews>
  <sheets>
    <sheet name="耳科" sheetId="1" r:id="rId1"/>
    <sheet name="妇科病房（一病区）" sheetId="2" r:id="rId2"/>
    <sheet name="妇科门诊（一病区）" sheetId="3" r:id="rId3"/>
    <sheet name="急诊" sheetId="5" r:id="rId4"/>
    <sheet name="口腔科" sheetId="6" r:id="rId5"/>
    <sheet name="泌外科" sheetId="7" r:id="rId6"/>
    <sheet name="皮肤科" sheetId="8" r:id="rId7"/>
    <sheet name="普外科" sheetId="9" r:id="rId8"/>
    <sheet name="手术室" sheetId="10" r:id="rId9"/>
    <sheet name="透析科" sheetId="11" r:id="rId10"/>
    <sheet name="眼科" sheetId="12" r:id="rId11"/>
    <sheet name="重症医学" sheetId="13" r:id="rId12"/>
    <sheet name="外来器械" sheetId="15" r:id="rId13"/>
  </sheets>
  <definedNames>
    <definedName name="_xlnm._FilterDatabase" localSheetId="8" hidden="1">手术室!$A$7:$L$218</definedName>
    <definedName name="_xlnm.Print_Titles" localSheetId="0">耳科!$1:$6</definedName>
    <definedName name="_xlnm.Print_Titles" localSheetId="1">'妇科病房（一病区）'!$1:$6</definedName>
    <definedName name="_xlnm.Print_Titles" localSheetId="2">'妇科门诊（一病区）'!$1:$6</definedName>
    <definedName name="_xlnm.Print_Titles" localSheetId="3">急诊!$1:$6</definedName>
    <definedName name="_xlnm.Print_Titles" localSheetId="4">口腔科!$1:$6</definedName>
    <definedName name="_xlnm.Print_Titles" localSheetId="5">泌外科!$1:$6</definedName>
    <definedName name="_xlnm.Print_Titles" localSheetId="6">皮肤科!$1:$6</definedName>
    <definedName name="_xlnm.Print_Titles" localSheetId="7">普外科!$1:$6</definedName>
    <definedName name="_xlnm.Print_Titles" localSheetId="8">手术室!$1:$6</definedName>
    <definedName name="_xlnm.Print_Titles" localSheetId="9">透析科!$1:$6</definedName>
    <definedName name="_xlnm.Print_Titles" localSheetId="10">眼科!$1:$6</definedName>
    <definedName name="_xlnm.Print_Titles" localSheetId="11">重症医学!$1:$6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<sst xmlns="http://schemas.openxmlformats.org/spreadsheetml/2006/main" count="1349" uniqueCount="217">
  <si>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</si>
  <si>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</si>
  <si>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</si>
  <si>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黑龙江省中医药大学附属第三医院（电力）</t>
  </si>
  <si>
    <t>发货日期</t>
  </si>
  <si>
    <t>发货单号</t>
  </si>
  <si>
    <t>类型</t>
  </si>
  <si>
    <t>包类别号</t>
  </si>
  <si>
    <t>包名</t>
  </si>
  <si>
    <t>包数</t>
  </si>
  <si>
    <t>器械数</t>
  </si>
  <si>
    <t>单价</t>
  </si>
  <si>
    <t>总价</t>
  </si>
  <si>
    <t>耳科</t>
  </si>
  <si>
    <t>额外包(纸塑袋)</t>
  </si>
  <si>
    <t>枪状镊-8/z1026</t>
  </si>
  <si>
    <t>枪状镊-9/z1026</t>
  </si>
  <si>
    <t>敷料包(纸塑袋)</t>
  </si>
  <si>
    <t>卷棉子/Z1026</t>
  </si>
  <si>
    <t>枪状镊-11/z1026</t>
  </si>
  <si>
    <t>压舌板--1/Z7526</t>
  </si>
  <si>
    <t>器械包(ZSD)</t>
  </si>
  <si>
    <t>缝合包-耳科</t>
  </si>
  <si>
    <t>妇科病房（一病区）</t>
  </si>
  <si>
    <t>吸头-1/z7534</t>
  </si>
  <si>
    <t>小刮宫包</t>
  </si>
  <si>
    <t>换药包（钩镊1剪刀1）/z1526</t>
  </si>
  <si>
    <t>前庭大腺</t>
  </si>
  <si>
    <t>妇科门诊（一病区）</t>
  </si>
  <si>
    <t>凹凸钳-1/z1035</t>
  </si>
  <si>
    <t>换药包-3件/z1526</t>
  </si>
  <si>
    <t>额外包(ETO)</t>
  </si>
  <si>
    <t>水管-1/z3040</t>
  </si>
  <si>
    <t>单包装包(EO)</t>
  </si>
  <si>
    <t>宫腔镜-3件/z2060</t>
  </si>
  <si>
    <t>宫颈钳-1/z1535</t>
  </si>
  <si>
    <t>扩棒-1/z7530</t>
  </si>
  <si>
    <t>取环钩-1/z7537</t>
  </si>
  <si>
    <t>leep刀头-1/z7526</t>
  </si>
  <si>
    <t>扩棒（3.5号）-1/Z7526</t>
  </si>
  <si>
    <t>额外包(无纺布)</t>
  </si>
  <si>
    <t>取环-4件/W6050</t>
  </si>
  <si>
    <t>窥器-1/z1526</t>
  </si>
  <si>
    <t>扩棒（4号）-1/Z7526</t>
  </si>
  <si>
    <t>带线棉球/Z1530</t>
  </si>
  <si>
    <t>妇科探针-1/z7537</t>
  </si>
  <si>
    <t>活检钳-1/z2032</t>
  </si>
  <si>
    <t>镊子-1/z7526</t>
  </si>
  <si>
    <t>急诊</t>
  </si>
  <si>
    <t>单包装包</t>
  </si>
  <si>
    <t>持物钳罐-2/z2044</t>
  </si>
  <si>
    <t>无菌缸-1/z2530</t>
  </si>
  <si>
    <t>器械包</t>
  </si>
  <si>
    <t>缝合包-急诊</t>
  </si>
  <si>
    <t>钩镊-1/z7526</t>
  </si>
  <si>
    <t>平镊（小）-1/z7526</t>
  </si>
  <si>
    <t>止血钳-1/z1029</t>
  </si>
  <si>
    <t>换药包</t>
  </si>
  <si>
    <t>持针器-1/z1029</t>
  </si>
  <si>
    <t>刀柄-1/z7526</t>
  </si>
  <si>
    <t>剪刀-1/z1029</t>
  </si>
  <si>
    <t>口腔科</t>
  </si>
  <si>
    <t>拔牙钳-1/z1029</t>
  </si>
  <si>
    <t>拔牙挺-1/z7526</t>
  </si>
  <si>
    <t>成型片-15/Z7520</t>
  </si>
  <si>
    <t>成型片-20/Z7520</t>
  </si>
  <si>
    <t>充填器-1/Z7526</t>
  </si>
  <si>
    <t>唇钩-5/z7520</t>
  </si>
  <si>
    <t>光敏刀-1/Z7530</t>
  </si>
  <si>
    <t>洁牙机柄-1/z7526</t>
  </si>
  <si>
    <t>洁牙尖-5/z7520</t>
  </si>
  <si>
    <t>手机-1/z7526</t>
  </si>
  <si>
    <t>挖匙-1/z7526</t>
  </si>
  <si>
    <t>针类一包（数量不定）/z7520</t>
  </si>
  <si>
    <t>成型夹-3/z1526</t>
  </si>
  <si>
    <t>泌外科</t>
  </si>
  <si>
    <t>加件-3/z2044</t>
  </si>
  <si>
    <t>膀胱镜-2/z2060</t>
  </si>
  <si>
    <t>膀胱软镜-1/W12050</t>
  </si>
  <si>
    <t>膀胱镜-1/z2060</t>
  </si>
  <si>
    <t>激光镜-4件 盒1</t>
  </si>
  <si>
    <t>镜头-1/双/保/z2050</t>
  </si>
  <si>
    <t>探针-1/Z7580</t>
  </si>
  <si>
    <t>抓钳-1/z2060</t>
  </si>
  <si>
    <t>扩张器-8件/W9050</t>
  </si>
  <si>
    <t>皮肤科</t>
  </si>
  <si>
    <t>弯盘-1件/z2032</t>
  </si>
  <si>
    <t>无钩直镊-1/z7526</t>
  </si>
  <si>
    <t>止血钳（弯）-1/z1029</t>
  </si>
  <si>
    <t>止血钳（直）-1/z1029</t>
  </si>
  <si>
    <t>排针-1/z7526</t>
  </si>
  <si>
    <t>弯盘-1/z2032</t>
  </si>
  <si>
    <t>普外科</t>
  </si>
  <si>
    <t>平镊-1/z7526</t>
  </si>
  <si>
    <t>手术室</t>
  </si>
  <si>
    <t>长镜头-1/双/保/z2080</t>
  </si>
  <si>
    <t>钳子 长（EO）/Z2060</t>
  </si>
  <si>
    <t>TUR包</t>
  </si>
  <si>
    <t>胆囊腔镜包</t>
  </si>
  <si>
    <t>碗1盘1杯1/z2530</t>
  </si>
  <si>
    <t>盆1盘2杯1/W9050</t>
  </si>
  <si>
    <t>毛巾/z3044</t>
  </si>
  <si>
    <t>小缝合-32</t>
  </si>
  <si>
    <t>小手术包</t>
  </si>
  <si>
    <t>解剖钳1剪刀1/z1535</t>
  </si>
  <si>
    <t>盆1盘1杯1/z3032</t>
  </si>
  <si>
    <t>冲洗瓶-1/z2035</t>
  </si>
  <si>
    <t>等离子套件-4/z2044</t>
  </si>
  <si>
    <t>腹腔镜30度-1件/z2060</t>
  </si>
  <si>
    <t>剪刀（EO）-1/z2060</t>
  </si>
  <si>
    <t>阑尾钳-1/z2060</t>
  </si>
  <si>
    <t>气腹管-1/z3040</t>
  </si>
  <si>
    <t>弯头分离钳-1/z2060</t>
  </si>
  <si>
    <t>吸引器（EO）-1/z1560</t>
  </si>
  <si>
    <t>血管扣钳-1/z2060</t>
  </si>
  <si>
    <t>体表包△</t>
  </si>
  <si>
    <t>置管包</t>
  </si>
  <si>
    <t>镜头-1/双/z2060</t>
  </si>
  <si>
    <t>气腹针-1/z7530</t>
  </si>
  <si>
    <t>取石钳-1/z2060</t>
  </si>
  <si>
    <t>显微镜套-5/z2032</t>
  </si>
  <si>
    <t>等离子镜-1/z2060</t>
  </si>
  <si>
    <t>巾钳子-2/Z1526</t>
  </si>
  <si>
    <t>脓肿切开包-6件</t>
  </si>
  <si>
    <t>骨急A包-26件</t>
  </si>
  <si>
    <t>骨急B包-54件</t>
  </si>
  <si>
    <t>全髋后路A包-18件</t>
  </si>
  <si>
    <t>电钻-4/W9050</t>
  </si>
  <si>
    <t>灯罩（小）-1/z1530</t>
  </si>
  <si>
    <t>全髋后路B包-44件</t>
  </si>
  <si>
    <t>内六角-3/w6050</t>
  </si>
  <si>
    <t>包皮包</t>
  </si>
  <si>
    <t>冲洗管-1/z3040</t>
  </si>
  <si>
    <t>镜头-1（盒1）/z2060</t>
  </si>
  <si>
    <t>电钻-3件/W7050</t>
  </si>
  <si>
    <t>融合加件-6件/W6050</t>
  </si>
  <si>
    <t>肾镜-1/保/z2060</t>
  </si>
  <si>
    <t>鸭嘴钳-1/z2060</t>
  </si>
  <si>
    <t>骨科显微加件</t>
  </si>
  <si>
    <t>痔切除</t>
  </si>
  <si>
    <t>针板-12/Z7520</t>
  </si>
  <si>
    <t>肛门加件-6件/W6050</t>
  </si>
  <si>
    <t>蚊式-10件/w6050</t>
  </si>
  <si>
    <t>绷带/Z1029</t>
  </si>
  <si>
    <t>间盘A包31件</t>
  </si>
  <si>
    <t>间盘B包-43件</t>
  </si>
  <si>
    <t>持针器（EO）-1/z2060</t>
  </si>
  <si>
    <t>倒齿抓钳-1/z2060</t>
  </si>
  <si>
    <t>双极电凝-1/z2060</t>
  </si>
  <si>
    <t>无损伤钳-1/z2060</t>
  </si>
  <si>
    <t>直角分离钳-1/z2060</t>
  </si>
  <si>
    <t>骨折包（大）</t>
  </si>
  <si>
    <t>内固定取出包</t>
  </si>
  <si>
    <t>造瘘器-4/z1526</t>
  </si>
  <si>
    <t>钻头-9件/Z7526</t>
  </si>
  <si>
    <t>单头牵开器-2/保/w6050</t>
  </si>
  <si>
    <t>气管套管-14件/w6050</t>
  </si>
  <si>
    <t>中弯-10/w6050</t>
  </si>
  <si>
    <t>自动拉钩-1/w9050</t>
  </si>
  <si>
    <t>透析科</t>
  </si>
  <si>
    <t>眼科</t>
  </si>
  <si>
    <t>刮匙-1/Z7530</t>
  </si>
  <si>
    <t>睑板夹-1/z7526</t>
  </si>
  <si>
    <t>开睑器-1/z7520</t>
  </si>
  <si>
    <t>显微持针器-1-z7526</t>
  </si>
  <si>
    <t>显微剪刀-1/z7526</t>
  </si>
  <si>
    <t>显微无钩直镊-1/z7526</t>
  </si>
  <si>
    <t>显微有钩直镊-1/z7526</t>
  </si>
  <si>
    <t>眼科显微器械</t>
  </si>
  <si>
    <t>测试套帽-2/Z7520</t>
  </si>
  <si>
    <t>超乳管道（高温）/Z3040</t>
  </si>
  <si>
    <t>超声乳化手柄-1/Z2035</t>
  </si>
  <si>
    <t>冲洗针头-3件/Z7526</t>
  </si>
  <si>
    <t>灌注手柄-1/Z7526</t>
  </si>
  <si>
    <t>泪道探针-1/z7520</t>
  </si>
  <si>
    <t>重症医学</t>
  </si>
  <si>
    <t>缝合包-7件</t>
  </si>
  <si>
    <t>缝合包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</si>
  <si>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</si>
  <si>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</si>
  <si>
    <t>基本类型</t>
  </si>
  <si>
    <t>包编号</t>
  </si>
  <si>
    <t>包数量</t>
  </si>
  <si>
    <t>器械数量</t>
  </si>
  <si>
    <t>合计</t>
  </si>
  <si>
    <t>黑龙江健捷医疗器械有限公司</t>
  </si>
  <si>
    <t>黑龙江中医药大学附属第三医院（骨二科）</t>
  </si>
  <si>
    <t>骨科租赁器械包</t>
  </si>
  <si>
    <t>骨科租赁器械包-不带植入物</t>
  </si>
  <si>
    <t>孟淑清-单侧膝关节骨性关节病1/4</t>
  </si>
  <si>
    <t>孟淑清-单侧膝关节骨性关节病2/4</t>
  </si>
  <si>
    <t>孟淑清-单侧膝关节骨性关节病3/4</t>
  </si>
  <si>
    <t>孟淑清-单侧膝关节骨性关节病4/4</t>
  </si>
  <si>
    <t>沈阳鑫美辰商贸有限公司</t>
  </si>
  <si>
    <t>包淑芬-股骨颈骨折1/4</t>
  </si>
  <si>
    <t>包淑芬-股骨颈骨折2/4</t>
  </si>
  <si>
    <t>包淑芬-股骨颈骨折3/4</t>
  </si>
  <si>
    <t>包淑芬-股骨颈骨折4/4</t>
  </si>
  <si>
    <t>孟淑清-单侧膝关节骨性关节病1/5</t>
  </si>
  <si>
    <t>孟淑清-单侧膝关节骨性关节病2/5</t>
  </si>
  <si>
    <t>孟淑清-单侧膝关节骨性关节病3/5</t>
  </si>
  <si>
    <t>孟淑清-单侧膝关节骨性关节病4/5</t>
  </si>
  <si>
    <t>孟淑清-单侧膝关节骨性关节病5/5</t>
  </si>
  <si>
    <t>柳峰-创伤后股骨头坏死1/4</t>
  </si>
  <si>
    <t>柳峰-创伤后股骨头坏死2/4</t>
  </si>
  <si>
    <t>柳峰-创伤后股骨头坏死3/4</t>
  </si>
  <si>
    <t>柳峰-创伤后股骨头坏死4/4</t>
  </si>
  <si>
    <t>张强-根骨骨折  1/2</t>
  </si>
  <si>
    <t>张强-根骨骨折  2/2</t>
  </si>
  <si>
    <t>史艳春-股骨头缺血性坏死1/2</t>
  </si>
  <si>
    <t>史艳春-股骨头缺血性坏死2/2</t>
  </si>
  <si>
    <t>史艳春-股骨头缺血性坏死1/3</t>
  </si>
  <si>
    <t>史艳春-股骨头缺血性坏死2/3</t>
  </si>
  <si>
    <t>史艳春-股骨头缺血性坏死3/3</t>
  </si>
  <si>
    <t>马军庆-肱骨外科颈骨折2/2</t>
  </si>
  <si>
    <t>骨科租赁器械包-带植入物</t>
  </si>
  <si>
    <t>马军庆-肱骨外科颈骨折1/2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</si>
</sst>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  <numFmt numFmtId="178" formatCode="[$-10804]yyyy/m/d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rgb="FF000000"/>
      <name val="宋体"/>
      <charset val="134"/>
    </font>
    <font>
      <b/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35">
    <xf numFmtId="0" fontId="0" fillId="0" borderId="0" xfId="49" applyFont="1" applyFill="1" applyBorder="1"/>
    <xf numFmtId="0" fontId="0" fillId="0" borderId="0" xfId="49" applyFont="1" applyFill="1" applyBorder="1" applyAlignment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4" fillId="2" borderId="1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5" fillId="2" borderId="1" xfId="49" applyNumberFormat="1" applyFont="1" applyFill="1" applyBorder="1" applyAlignment="1">
      <alignment horizontal="center" vertical="top" wrapText="1" readingOrder="1"/>
    </xf>
    <xf numFmtId="176" fontId="5" fillId="2" borderId="1" xfId="49" applyNumberFormat="1" applyFont="1" applyFill="1" applyBorder="1" applyAlignment="1">
      <alignment horizontal="center" vertical="top" wrapText="1" readingOrder="1"/>
    </xf>
    <xf numFmtId="177" fontId="5" fillId="2" borderId="1" xfId="49" applyNumberFormat="1" applyFont="1" applyFill="1" applyBorder="1" applyAlignment="1">
      <alignment vertical="top" wrapText="1" readingOrder="1"/>
    </xf>
    <xf numFmtId="0" fontId="6" fillId="3" borderId="1" xfId="49" applyNumberFormat="1" applyFont="1" applyFill="1" applyBorder="1" applyAlignment="1">
      <alignment vertical="top" wrapText="1" readingOrder="1"/>
    </xf>
    <xf numFmtId="0" fontId="7" fillId="3" borderId="1" xfId="49" applyNumberFormat="1" applyFont="1" applyFill="1" applyBorder="1" applyAlignment="1">
      <alignment vertical="top" wrapText="1" readingOrder="1"/>
    </xf>
    <xf numFmtId="0" fontId="8" fillId="3" borderId="1" xfId="49" applyNumberFormat="1" applyFont="1" applyFill="1" applyBorder="1" applyAlignment="1">
      <alignment horizontal="center" vertical="top" wrapText="1" readingOrder="1"/>
    </xf>
    <xf numFmtId="176" fontId="8" fillId="3" borderId="1" xfId="49" applyNumberFormat="1" applyFont="1" applyFill="1" applyBorder="1" applyAlignment="1">
      <alignment horizontal="center" vertical="top" wrapText="1" readingOrder="1"/>
    </xf>
    <xf numFmtId="177" fontId="8" fillId="3" borderId="1" xfId="49" applyNumberFormat="1" applyFont="1" applyFill="1" applyBorder="1" applyAlignment="1">
      <alignment vertical="top" wrapText="1" readingOrder="1"/>
    </xf>
    <xf numFmtId="178" fontId="3" fillId="0" borderId="2" xfId="49" applyNumberFormat="1" applyFont="1" applyFill="1" applyBorder="1" applyAlignment="1">
      <alignment horizontal="left" vertical="top" wrapText="1" readingOrder="1"/>
    </xf>
    <xf numFmtId="0" fontId="3" fillId="0" borderId="2" xfId="49" applyNumberFormat="1" applyFont="1" applyFill="1" applyBorder="1" applyAlignment="1">
      <alignment horizontal="left"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0" fontId="8" fillId="0" borderId="2" xfId="49" applyNumberFormat="1" applyFont="1" applyFill="1" applyBorder="1" applyAlignment="1">
      <alignment horizontal="center" vertical="top" wrapText="1" readingOrder="1"/>
    </xf>
    <xf numFmtId="176" fontId="8" fillId="0" borderId="2" xfId="49" applyNumberFormat="1" applyFont="1" applyFill="1" applyBorder="1" applyAlignment="1">
      <alignment horizontal="center" vertical="top" wrapText="1" readingOrder="1"/>
    </xf>
    <xf numFmtId="177" fontId="8" fillId="0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4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7" fontId="6" fillId="3" borderId="2" xfId="49" applyNumberFormat="1" applyFont="1" applyFill="1" applyBorder="1" applyAlignment="1">
      <alignment horizontal="center" vertical="top" wrapText="1" readingOrder="1"/>
    </xf>
    <xf numFmtId="178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horizontal="center" vertical="top" wrapText="1" readingOrder="1"/>
    </xf>
    <xf numFmtId="0" fontId="9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7" fontId="4" fillId="2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171450</xdr:colOff>
      <xdr:row>1</xdr:row>
      <xdr:rowOff>28575</xdr:rowOff>
    </xdr:from>
    <xdr:to>
      <xdr:col>11</xdr:col>
      <xdr:colOff>681438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320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228600</xdr:colOff>
      <xdr:row>0</xdr:row>
      <xdr:rowOff>142875</xdr:rowOff>
    </xdr:from>
    <xdr:to>
      <xdr:col>11</xdr:col>
      <xdr:colOff>738588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7966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247650</xdr:colOff>
      <xdr:row>0</xdr:row>
      <xdr:rowOff>133350</xdr:rowOff>
    </xdr:from>
    <xdr:to>
      <xdr:col>11</xdr:col>
      <xdr:colOff>757638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7014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104775</xdr:colOff>
      <xdr:row>0</xdr:row>
      <xdr:rowOff>123825</xdr:rowOff>
    </xdr:from>
    <xdr:to>
      <xdr:col>11</xdr:col>
      <xdr:colOff>614763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6536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314325</xdr:colOff>
      <xdr:row>0</xdr:row>
      <xdr:rowOff>104775</xdr:rowOff>
    </xdr:from>
    <xdr:to>
      <xdr:col>11</xdr:col>
      <xdr:colOff>824313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36815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209550</xdr:colOff>
      <xdr:row>0</xdr:row>
      <xdr:rowOff>152400</xdr:rowOff>
    </xdr:from>
    <xdr:to>
      <xdr:col>11</xdr:col>
      <xdr:colOff>719538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4601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171450</xdr:colOff>
      <xdr:row>1</xdr:row>
      <xdr:rowOff>28575</xdr:rowOff>
    </xdr:from>
    <xdr:to>
      <xdr:col>11</xdr:col>
      <xdr:colOff>681438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034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247650</xdr:colOff>
      <xdr:row>0</xdr:row>
      <xdr:rowOff>152400</xdr:rowOff>
    </xdr:from>
    <xdr:to>
      <xdr:col>11</xdr:col>
      <xdr:colOff>757638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1743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266700</xdr:colOff>
      <xdr:row>0</xdr:row>
      <xdr:rowOff>123825</xdr:rowOff>
    </xdr:from>
    <xdr:to>
      <xdr:col>11</xdr:col>
      <xdr:colOff>776688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3681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228600</xdr:colOff>
      <xdr:row>0</xdr:row>
      <xdr:rowOff>114300</xdr:rowOff>
    </xdr:from>
    <xdr:to>
      <xdr:col>11</xdr:col>
      <xdr:colOff>738588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3204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314325</xdr:colOff>
      <xdr:row>0</xdr:row>
      <xdr:rowOff>161925</xdr:rowOff>
    </xdr:from>
    <xdr:to>
      <xdr:col>11</xdr:col>
      <xdr:colOff>824313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8444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228600</xdr:colOff>
      <xdr:row>1</xdr:row>
      <xdr:rowOff>9525</xdr:rowOff>
    </xdr:from>
    <xdr:to>
      <xdr:col>11</xdr:col>
      <xdr:colOff>738588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5553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133350</xdr:colOff>
      <xdr:row>1</xdr:row>
      <xdr:rowOff>38100</xdr:rowOff>
    </xdr:from>
    <xdr:to>
      <xdr:col>10</xdr:col>
      <xdr:colOff>643338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0125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showGridLines="0" view="pageBreakPreview" zoomScaleNormal="100" workbookViewId="0">
      <pane ySplit="6" topLeftCell="A7" activePane="bottomLeft" state="frozen"/>
      <selection/>
      <selection pane="bottomLeft" activeCell="N23" sqref="N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2" width="11.125" customWidth="1"/>
  </cols>
  <sheetData>
    <row r="1" spans="2:12">
      <c r="C1" s="2" t="s">
        <v>0</v>
      </c>
    </row>
    <row r="2" ht="23.05" customHeight="1"/>
    <row r="3" ht="2" customHeight="1"/>
    <row r="4" ht="15.2" customHeight="1" spans="2:12">
      <c r="B4" s="3" t="s">
        <v>1</v>
      </c>
    </row>
    <row r="6" ht="2.95" customHeight="1"/>
    <row r="7" ht="3.95" customHeight="1" spans="2:12">
      <c r="B7" s="22" t="s">
        <v>2</v>
      </c>
      <c r="C7" s="22" t="s">
        <v>2</v>
      </c>
      <c r="D7" s="22" t="s">
        <v>2</v>
      </c>
      <c r="E7" s="22" t="s">
        <v>2</v>
      </c>
      <c r="F7" s="22" t="s">
        <v>2</v>
      </c>
      <c r="G7" s="22" t="s">
        <v>2</v>
      </c>
      <c r="H7" s="22" t="s">
        <v>2</v>
      </c>
      <c r="I7" s="22" t="s">
        <v>2</v>
      </c>
      <c r="J7" s="22" t="s">
        <v>2</v>
      </c>
      <c r="K7" s="22" t="s">
        <v>2</v>
      </c>
      <c r="L7" s="22" t="s">
        <v>2</v>
      </c>
    </row>
    <row r="8" ht="15" spans="2:12">
      <c r="C8" s="4" t="s">
        <v>2</v>
      </c>
      <c r="D8" s="32" t="s">
        <v>3</v>
      </c>
      <c r="E8" s="26" t="s">
        <v>2</v>
      </c>
      <c r="F8" s="26" t="s">
        <v>2</v>
      </c>
      <c r="G8" s="26" t="s">
        <v>2</v>
      </c>
      <c r="H8" s="26" t="s">
        <v>2</v>
      </c>
      <c r="I8" s="33"/>
      <c r="J8" s="33"/>
      <c r="K8" s="34"/>
      <c r="L8" s="34"/>
    </row>
    <row r="9" spans="2:12">
      <c r="C9" s="4" t="s">
        <v>2</v>
      </c>
      <c r="D9" s="30" t="s">
        <v>4</v>
      </c>
      <c r="E9" s="30" t="s">
        <v>5</v>
      </c>
      <c r="F9" s="30" t="s">
        <v>6</v>
      </c>
      <c r="G9" s="30" t="s">
        <v>7</v>
      </c>
      <c r="H9" s="30" t="s">
        <v>8</v>
      </c>
      <c r="I9" s="30" t="s">
        <v>9</v>
      </c>
      <c r="J9" s="30" t="s">
        <v>10</v>
      </c>
      <c r="K9" s="30" t="s">
        <v>11</v>
      </c>
      <c r="L9" s="30" t="s">
        <v>12</v>
      </c>
    </row>
    <row r="10" ht="14.25" spans="2:12">
      <c r="D10" s="25" t="s">
        <v>13</v>
      </c>
      <c r="E10" s="26" t="s">
        <v>2</v>
      </c>
      <c r="F10" s="26" t="s">
        <v>2</v>
      </c>
      <c r="G10" s="26" t="s">
        <v>2</v>
      </c>
      <c r="H10" s="26" t="s">
        <v>2</v>
      </c>
      <c r="I10" s="27">
        <v>31</v>
      </c>
      <c r="J10" s="27">
        <v>64</v>
      </c>
      <c r="K10" s="28"/>
      <c r="L10" s="28">
        <v>412</v>
      </c>
    </row>
    <row r="11" spans="2:12">
      <c r="D11" s="29">
        <v>46155</v>
      </c>
      <c r="E11" s="18">
        <v>1602589</v>
      </c>
      <c r="F11" s="18" t="s">
        <v>14</v>
      </c>
      <c r="G11" s="30">
        <v>20423321</v>
      </c>
      <c r="H11" s="18" t="s">
        <v>15</v>
      </c>
      <c r="I11" s="30">
        <v>2</v>
      </c>
      <c r="J11" s="30">
        <v>16</v>
      </c>
      <c r="K11" s="31">
        <v>44</v>
      </c>
      <c r="L11" s="31">
        <v>88</v>
      </c>
    </row>
    <row r="12" spans="2:12">
      <c r="D12" s="29">
        <v>46155</v>
      </c>
      <c r="E12" s="18">
        <v>1602589</v>
      </c>
      <c r="F12" s="18" t="s">
        <v>14</v>
      </c>
      <c r="G12" s="30">
        <v>20423324</v>
      </c>
      <c r="H12" s="18" t="s">
        <v>16</v>
      </c>
      <c r="I12" s="30">
        <v>1</v>
      </c>
      <c r="J12" s="30">
        <v>9</v>
      </c>
      <c r="K12" s="31">
        <v>49.5</v>
      </c>
      <c r="L12" s="31">
        <v>49.5</v>
      </c>
    </row>
    <row r="13" spans="2:12">
      <c r="D13" s="29">
        <v>46155</v>
      </c>
      <c r="E13" s="18">
        <v>1602589</v>
      </c>
      <c r="F13" s="18" t="s">
        <v>17</v>
      </c>
      <c r="G13" s="30">
        <v>20410292</v>
      </c>
      <c r="H13" s="18" t="s">
        <v>18</v>
      </c>
      <c r="I13" s="30">
        <v>3</v>
      </c>
      <c r="J13" s="30">
        <v>0</v>
      </c>
      <c r="K13" s="31">
        <v>2.5</v>
      </c>
      <c r="L13" s="31">
        <v>7.5</v>
      </c>
    </row>
    <row r="14" spans="2:12">
      <c r="D14" s="29">
        <v>46157</v>
      </c>
      <c r="E14" s="18">
        <v>1603319</v>
      </c>
      <c r="F14" s="18" t="s">
        <v>17</v>
      </c>
      <c r="G14" s="30">
        <v>20410292</v>
      </c>
      <c r="H14" s="18" t="s">
        <v>18</v>
      </c>
      <c r="I14" s="30">
        <v>20</v>
      </c>
      <c r="J14" s="30">
        <v>0</v>
      </c>
      <c r="K14" s="31">
        <v>2.5</v>
      </c>
      <c r="L14" s="31">
        <v>50</v>
      </c>
    </row>
    <row r="15" spans="2:12">
      <c r="D15" s="29">
        <v>46169</v>
      </c>
      <c r="E15" s="18">
        <v>1606710</v>
      </c>
      <c r="F15" s="18" t="s">
        <v>14</v>
      </c>
      <c r="G15" s="30">
        <v>20423324</v>
      </c>
      <c r="H15" s="18" t="s">
        <v>19</v>
      </c>
      <c r="I15" s="30">
        <v>3</v>
      </c>
      <c r="J15" s="30">
        <v>33</v>
      </c>
      <c r="K15" s="31">
        <v>60.5</v>
      </c>
      <c r="L15" s="31">
        <v>181.5</v>
      </c>
    </row>
    <row r="16" spans="2:12">
      <c r="D16" s="29">
        <v>46169</v>
      </c>
      <c r="E16" s="18">
        <v>1606710</v>
      </c>
      <c r="F16" s="18" t="s">
        <v>14</v>
      </c>
      <c r="G16" s="30">
        <v>20007306</v>
      </c>
      <c r="H16" s="18" t="s">
        <v>20</v>
      </c>
      <c r="I16" s="30">
        <v>1</v>
      </c>
      <c r="J16" s="30">
        <v>1</v>
      </c>
      <c r="K16" s="31">
        <v>8</v>
      </c>
      <c r="L16" s="31">
        <v>8</v>
      </c>
    </row>
    <row r="17" spans="4:12">
      <c r="D17" s="29">
        <v>46169</v>
      </c>
      <c r="E17" s="18">
        <v>1606710</v>
      </c>
      <c r="F17" s="18" t="s">
        <v>21</v>
      </c>
      <c r="G17" s="30">
        <v>20007338</v>
      </c>
      <c r="H17" s="18" t="s">
        <v>22</v>
      </c>
      <c r="I17" s="30">
        <v>1</v>
      </c>
      <c r="J17" s="30">
        <v>5</v>
      </c>
      <c r="K17" s="31">
        <v>27.5</v>
      </c>
      <c r="L17" s="31">
        <v>27.5</v>
      </c>
    </row>
    <row r="18" ht="0.05" customHeight="1"/>
  </sheetData>
  <mergeCells count="6">
    <mergeCell ref="D8:H8"/>
    <mergeCell ref="D10:H10"/>
    <mergeCell ref="C9:C17"/>
    <mergeCell ref="B4:H5"/>
    <mergeCell ref="C1:H2"/>
    <mergeCell ref="A8:B17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view="pageBreakPreview" zoomScaleNormal="100" workbookViewId="0">
      <pane ySplit="6" topLeftCell="A7" activePane="bottomLeft" state="frozen"/>
      <selection/>
      <selection pane="bottomLeft" activeCell="P11" sqref="P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" customWidth="1"/>
    <col min="12" max="12" width="11.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23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5</v>
      </c>
      <c r="J8" s="27">
        <v>40</v>
      </c>
      <c r="K8" s="28"/>
      <c r="L8" s="28">
        <v>228</v>
      </c>
    </row>
    <row r="9" spans="1:12">
      <c r="D9" s="29">
        <v>46155</v>
      </c>
      <c r="E9" s="18">
        <v>1602590</v>
      </c>
      <c r="F9" s="18" t="s">
        <v>14</v>
      </c>
      <c r="G9" s="30">
        <v>20013968</v>
      </c>
      <c r="H9" s="18" t="s">
        <v>24</v>
      </c>
      <c r="I9" s="30">
        <v>1</v>
      </c>
      <c r="J9" s="30">
        <v>1</v>
      </c>
      <c r="K9" s="31">
        <v>8</v>
      </c>
      <c r="L9" s="31">
        <v>8</v>
      </c>
    </row>
    <row r="10" spans="1:12">
      <c r="D10" s="29">
        <v>46155</v>
      </c>
      <c r="E10" s="18">
        <v>1602590</v>
      </c>
      <c r="F10" s="18" t="s">
        <v>21</v>
      </c>
      <c r="G10" s="30">
        <v>20008398</v>
      </c>
      <c r="H10" s="18" t="s">
        <v>25</v>
      </c>
      <c r="I10" s="30">
        <v>1</v>
      </c>
      <c r="J10" s="30">
        <v>15</v>
      </c>
      <c r="K10" s="31">
        <v>82.5</v>
      </c>
      <c r="L10" s="31">
        <v>82.5</v>
      </c>
    </row>
    <row r="11" spans="1:12">
      <c r="D11" s="29">
        <v>46161</v>
      </c>
      <c r="E11" s="18">
        <v>1604241</v>
      </c>
      <c r="F11" s="18" t="s">
        <v>14</v>
      </c>
      <c r="G11" s="30">
        <v>20371556</v>
      </c>
      <c r="H11" s="18" t="s">
        <v>26</v>
      </c>
      <c r="I11" s="30">
        <v>1</v>
      </c>
      <c r="J11" s="30">
        <v>2</v>
      </c>
      <c r="K11" s="31">
        <v>16.5</v>
      </c>
      <c r="L11" s="31">
        <v>16.5</v>
      </c>
    </row>
    <row r="12" spans="1:12">
      <c r="D12" s="29">
        <v>46161</v>
      </c>
      <c r="E12" s="18">
        <v>1604241</v>
      </c>
      <c r="F12" s="18" t="s">
        <v>21</v>
      </c>
      <c r="G12" s="30">
        <v>20007314</v>
      </c>
      <c r="H12" s="18" t="s">
        <v>27</v>
      </c>
      <c r="I12" s="30">
        <v>1</v>
      </c>
      <c r="J12" s="30">
        <v>7</v>
      </c>
      <c r="K12" s="31">
        <v>38.5</v>
      </c>
      <c r="L12" s="31">
        <v>38.5</v>
      </c>
    </row>
    <row r="13" spans="1:12">
      <c r="D13" s="29">
        <v>46171</v>
      </c>
      <c r="E13" s="18">
        <v>1607434</v>
      </c>
      <c r="F13" s="18" t="s">
        <v>21</v>
      </c>
      <c r="G13" s="30">
        <v>20008398</v>
      </c>
      <c r="H13" s="18" t="s">
        <v>25</v>
      </c>
      <c r="I13" s="30">
        <v>1</v>
      </c>
      <c r="J13" s="30">
        <v>15</v>
      </c>
      <c r="K13" s="31">
        <v>82.5</v>
      </c>
      <c r="L13" s="31">
        <v>82.5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showGridLines="0" view="pageBreakPreview" zoomScaleNormal="100" workbookViewId="0">
      <pane ySplit="6" topLeftCell="A7" activePane="bottomLeft" state="frozen"/>
      <selection/>
      <selection pane="bottomLeft" activeCell="N12" sqref="N11: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0.625" customWidth="1"/>
    <col min="12" max="12" width="12.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28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55</v>
      </c>
      <c r="J8" s="27">
        <v>135</v>
      </c>
      <c r="K8" s="28"/>
      <c r="L8" s="28">
        <v>982.5</v>
      </c>
    </row>
    <row r="9" spans="1:12">
      <c r="D9" s="29">
        <v>46148</v>
      </c>
      <c r="E9" s="18">
        <v>1600596</v>
      </c>
      <c r="F9" s="18" t="s">
        <v>14</v>
      </c>
      <c r="G9" s="30">
        <v>20008018</v>
      </c>
      <c r="H9" s="18" t="s">
        <v>29</v>
      </c>
      <c r="I9" s="30">
        <v>1</v>
      </c>
      <c r="J9" s="30">
        <v>1</v>
      </c>
      <c r="K9" s="31">
        <v>8</v>
      </c>
      <c r="L9" s="31">
        <v>8</v>
      </c>
    </row>
    <row r="10" spans="1:12">
      <c r="D10" s="29">
        <v>46148</v>
      </c>
      <c r="E10" s="18">
        <v>1600596</v>
      </c>
      <c r="F10" s="18" t="s">
        <v>14</v>
      </c>
      <c r="G10" s="30">
        <v>20012244</v>
      </c>
      <c r="H10" s="18" t="s">
        <v>30</v>
      </c>
      <c r="I10" s="30">
        <v>1</v>
      </c>
      <c r="J10" s="30">
        <v>3</v>
      </c>
      <c r="K10" s="31">
        <v>16.5</v>
      </c>
      <c r="L10" s="31">
        <v>16.5</v>
      </c>
    </row>
    <row r="11" spans="1:12">
      <c r="D11" s="29">
        <v>46148</v>
      </c>
      <c r="E11" s="18">
        <v>1600596</v>
      </c>
      <c r="F11" s="18" t="s">
        <v>21</v>
      </c>
      <c r="G11" s="30">
        <v>20008398</v>
      </c>
      <c r="H11" s="18" t="s">
        <v>25</v>
      </c>
      <c r="I11" s="30">
        <v>1</v>
      </c>
      <c r="J11" s="30">
        <v>15</v>
      </c>
      <c r="K11" s="31">
        <v>82.5</v>
      </c>
      <c r="L11" s="31">
        <v>82.5</v>
      </c>
    </row>
    <row r="12" spans="1:12">
      <c r="D12" s="29">
        <v>46148</v>
      </c>
      <c r="E12" s="18">
        <v>1600599</v>
      </c>
      <c r="F12" s="18" t="s">
        <v>21</v>
      </c>
      <c r="G12" s="30">
        <v>20008398</v>
      </c>
      <c r="H12" s="18" t="s">
        <v>25</v>
      </c>
      <c r="I12" s="30">
        <v>1</v>
      </c>
      <c r="J12" s="30">
        <v>15</v>
      </c>
      <c r="K12" s="31">
        <v>82.5</v>
      </c>
      <c r="L12" s="31">
        <v>82.5</v>
      </c>
    </row>
    <row r="13" spans="1:12">
      <c r="D13" s="29">
        <v>46149</v>
      </c>
      <c r="E13" s="18">
        <v>1600714</v>
      </c>
      <c r="F13" s="18" t="s">
        <v>31</v>
      </c>
      <c r="G13" s="30">
        <v>20007465</v>
      </c>
      <c r="H13" s="18" t="s">
        <v>32</v>
      </c>
      <c r="I13" s="30">
        <v>1</v>
      </c>
      <c r="J13" s="30">
        <v>1</v>
      </c>
      <c r="K13" s="31">
        <v>35</v>
      </c>
      <c r="L13" s="31">
        <v>35</v>
      </c>
    </row>
    <row r="14" spans="1:12">
      <c r="D14" s="29">
        <v>46149</v>
      </c>
      <c r="E14" s="18">
        <v>1600714</v>
      </c>
      <c r="F14" s="18" t="s">
        <v>33</v>
      </c>
      <c r="G14" s="30">
        <v>20324939</v>
      </c>
      <c r="H14" s="18" t="s">
        <v>34</v>
      </c>
      <c r="I14" s="30">
        <v>1</v>
      </c>
      <c r="J14" s="30">
        <v>3</v>
      </c>
      <c r="K14" s="31">
        <v>66</v>
      </c>
      <c r="L14" s="31">
        <v>66</v>
      </c>
    </row>
    <row r="15" spans="1:12">
      <c r="D15" s="29">
        <v>46151</v>
      </c>
      <c r="E15" s="18">
        <v>1601518</v>
      </c>
      <c r="F15" s="18" t="s">
        <v>14</v>
      </c>
      <c r="G15" s="30">
        <v>20008019</v>
      </c>
      <c r="H15" s="18" t="s">
        <v>35</v>
      </c>
      <c r="I15" s="30">
        <v>2</v>
      </c>
      <c r="J15" s="30">
        <v>2</v>
      </c>
      <c r="K15" s="31">
        <v>11</v>
      </c>
      <c r="L15" s="31">
        <v>22</v>
      </c>
    </row>
    <row r="16" spans="1:12">
      <c r="D16" s="29">
        <v>46151</v>
      </c>
      <c r="E16" s="18">
        <v>1601518</v>
      </c>
      <c r="F16" s="18" t="s">
        <v>14</v>
      </c>
      <c r="G16" s="30">
        <v>20012989</v>
      </c>
      <c r="H16" s="18" t="s">
        <v>36</v>
      </c>
      <c r="I16" s="30">
        <v>1</v>
      </c>
      <c r="J16" s="30">
        <v>1</v>
      </c>
      <c r="K16" s="31">
        <v>8</v>
      </c>
      <c r="L16" s="31">
        <v>8</v>
      </c>
    </row>
    <row r="17" spans="4:12">
      <c r="D17" s="29">
        <v>46151</v>
      </c>
      <c r="E17" s="18">
        <v>1601518</v>
      </c>
      <c r="F17" s="18" t="s">
        <v>14</v>
      </c>
      <c r="G17" s="30">
        <v>20008020</v>
      </c>
      <c r="H17" s="18" t="s">
        <v>37</v>
      </c>
      <c r="I17" s="30">
        <v>1</v>
      </c>
      <c r="J17" s="30">
        <v>1</v>
      </c>
      <c r="K17" s="31">
        <v>8</v>
      </c>
      <c r="L17" s="31">
        <v>8</v>
      </c>
    </row>
    <row r="18" spans="4:12">
      <c r="D18" s="29">
        <v>46151</v>
      </c>
      <c r="E18" s="18">
        <v>1601567</v>
      </c>
      <c r="F18" s="18" t="s">
        <v>31</v>
      </c>
      <c r="G18" s="30">
        <v>20008273</v>
      </c>
      <c r="H18" s="18" t="s">
        <v>38</v>
      </c>
      <c r="I18" s="30">
        <v>1</v>
      </c>
      <c r="J18" s="30">
        <v>1</v>
      </c>
      <c r="K18" s="31">
        <v>22</v>
      </c>
      <c r="L18" s="31">
        <v>22</v>
      </c>
    </row>
    <row r="19" spans="4:12">
      <c r="D19" s="29">
        <v>46151</v>
      </c>
      <c r="E19" s="18">
        <v>1601786</v>
      </c>
      <c r="F19" s="18" t="s">
        <v>14</v>
      </c>
      <c r="G19" s="30">
        <v>20008019</v>
      </c>
      <c r="H19" s="18" t="s">
        <v>35</v>
      </c>
      <c r="I19" s="30">
        <v>1</v>
      </c>
      <c r="J19" s="30">
        <v>1</v>
      </c>
      <c r="K19" s="31">
        <v>11</v>
      </c>
      <c r="L19" s="31">
        <v>11</v>
      </c>
    </row>
    <row r="20" spans="4:12">
      <c r="D20" s="29">
        <v>46151</v>
      </c>
      <c r="E20" s="18">
        <v>1601786</v>
      </c>
      <c r="F20" s="18" t="s">
        <v>14</v>
      </c>
      <c r="G20" s="30">
        <v>20408952</v>
      </c>
      <c r="H20" s="18" t="s">
        <v>39</v>
      </c>
      <c r="I20" s="30">
        <v>1</v>
      </c>
      <c r="J20" s="30">
        <v>1</v>
      </c>
      <c r="K20" s="31">
        <v>8</v>
      </c>
      <c r="L20" s="31">
        <v>8</v>
      </c>
    </row>
    <row r="21" spans="4:12">
      <c r="D21" s="29">
        <v>46151</v>
      </c>
      <c r="E21" s="18">
        <v>1601786</v>
      </c>
      <c r="F21" s="18" t="s">
        <v>14</v>
      </c>
      <c r="G21" s="30">
        <v>20008020</v>
      </c>
      <c r="H21" s="18" t="s">
        <v>37</v>
      </c>
      <c r="I21" s="30">
        <v>1</v>
      </c>
      <c r="J21" s="30">
        <v>1</v>
      </c>
      <c r="K21" s="31">
        <v>8</v>
      </c>
      <c r="L21" s="31">
        <v>8</v>
      </c>
    </row>
    <row r="22" spans="4:12">
      <c r="D22" s="29">
        <v>46151</v>
      </c>
      <c r="E22" s="18">
        <v>1601786</v>
      </c>
      <c r="F22" s="18" t="s">
        <v>40</v>
      </c>
      <c r="G22" s="30">
        <v>20390991</v>
      </c>
      <c r="H22" s="18" t="s">
        <v>41</v>
      </c>
      <c r="I22" s="30">
        <v>1</v>
      </c>
      <c r="J22" s="30">
        <v>4</v>
      </c>
      <c r="K22" s="31">
        <v>22</v>
      </c>
      <c r="L22" s="31">
        <v>22</v>
      </c>
    </row>
    <row r="23" spans="4:12">
      <c r="D23" s="29">
        <v>46154</v>
      </c>
      <c r="E23" s="18">
        <v>1602207</v>
      </c>
      <c r="F23" s="18" t="s">
        <v>14</v>
      </c>
      <c r="G23" s="30">
        <v>20008019</v>
      </c>
      <c r="H23" s="18" t="s">
        <v>35</v>
      </c>
      <c r="I23" s="30">
        <v>1</v>
      </c>
      <c r="J23" s="30">
        <v>1</v>
      </c>
      <c r="K23" s="31">
        <v>11</v>
      </c>
      <c r="L23" s="31">
        <v>11</v>
      </c>
    </row>
    <row r="24" spans="4:12">
      <c r="D24" s="29">
        <v>46154</v>
      </c>
      <c r="E24" s="18">
        <v>1602207</v>
      </c>
      <c r="F24" s="18" t="s">
        <v>14</v>
      </c>
      <c r="G24" s="30">
        <v>20008016</v>
      </c>
      <c r="H24" s="18" t="s">
        <v>42</v>
      </c>
      <c r="I24" s="30">
        <v>1</v>
      </c>
      <c r="J24" s="30">
        <v>1</v>
      </c>
      <c r="K24" s="31">
        <v>11</v>
      </c>
      <c r="L24" s="31">
        <v>11</v>
      </c>
    </row>
    <row r="25" spans="4:12">
      <c r="D25" s="29">
        <v>46154</v>
      </c>
      <c r="E25" s="18">
        <v>1602207</v>
      </c>
      <c r="F25" s="18" t="s">
        <v>14</v>
      </c>
      <c r="G25" s="30">
        <v>20008020</v>
      </c>
      <c r="H25" s="18" t="s">
        <v>37</v>
      </c>
      <c r="I25" s="30">
        <v>1</v>
      </c>
      <c r="J25" s="30">
        <v>1</v>
      </c>
      <c r="K25" s="31">
        <v>8</v>
      </c>
      <c r="L25" s="31">
        <v>8</v>
      </c>
    </row>
    <row r="26" spans="4:12">
      <c r="D26" s="29">
        <v>46154</v>
      </c>
      <c r="E26" s="18">
        <v>1602207</v>
      </c>
      <c r="F26" s="18" t="s">
        <v>21</v>
      </c>
      <c r="G26" s="30">
        <v>20008398</v>
      </c>
      <c r="H26" s="18" t="s">
        <v>25</v>
      </c>
      <c r="I26" s="30">
        <v>1</v>
      </c>
      <c r="J26" s="30">
        <v>15</v>
      </c>
      <c r="K26" s="31">
        <v>82.5</v>
      </c>
      <c r="L26" s="31">
        <v>82.5</v>
      </c>
    </row>
    <row r="27" spans="4:12">
      <c r="D27" s="29">
        <v>46155</v>
      </c>
      <c r="E27" s="18">
        <v>1602591</v>
      </c>
      <c r="F27" s="18" t="s">
        <v>40</v>
      </c>
      <c r="G27" s="30">
        <v>20390991</v>
      </c>
      <c r="H27" s="18" t="s">
        <v>41</v>
      </c>
      <c r="I27" s="30">
        <v>1</v>
      </c>
      <c r="J27" s="30">
        <v>4</v>
      </c>
      <c r="K27" s="31">
        <v>22</v>
      </c>
      <c r="L27" s="31">
        <v>22</v>
      </c>
    </row>
    <row r="28" spans="4:12">
      <c r="D28" s="29">
        <v>46155</v>
      </c>
      <c r="E28" s="18">
        <v>1602876</v>
      </c>
      <c r="F28" s="18" t="s">
        <v>14</v>
      </c>
      <c r="G28" s="30">
        <v>20008019</v>
      </c>
      <c r="H28" s="18" t="s">
        <v>35</v>
      </c>
      <c r="I28" s="30">
        <v>1</v>
      </c>
      <c r="J28" s="30">
        <v>1</v>
      </c>
      <c r="K28" s="31">
        <v>11</v>
      </c>
      <c r="L28" s="31">
        <v>11</v>
      </c>
    </row>
    <row r="29" spans="4:12">
      <c r="D29" s="29">
        <v>46155</v>
      </c>
      <c r="E29" s="18">
        <v>1602876</v>
      </c>
      <c r="F29" s="18" t="s">
        <v>14</v>
      </c>
      <c r="G29" s="30">
        <v>20008020</v>
      </c>
      <c r="H29" s="18" t="s">
        <v>37</v>
      </c>
      <c r="I29" s="30">
        <v>1</v>
      </c>
      <c r="J29" s="30">
        <v>1</v>
      </c>
      <c r="K29" s="31">
        <v>8</v>
      </c>
      <c r="L29" s="31">
        <v>8</v>
      </c>
    </row>
    <row r="30" spans="4:12">
      <c r="D30" s="29">
        <v>46155</v>
      </c>
      <c r="E30" s="18">
        <v>1602876</v>
      </c>
      <c r="F30" s="18" t="s">
        <v>40</v>
      </c>
      <c r="G30" s="30">
        <v>20390991</v>
      </c>
      <c r="H30" s="18" t="s">
        <v>41</v>
      </c>
      <c r="I30" s="30">
        <v>1</v>
      </c>
      <c r="J30" s="30">
        <v>4</v>
      </c>
      <c r="K30" s="31">
        <v>22</v>
      </c>
      <c r="L30" s="31">
        <v>22</v>
      </c>
    </row>
    <row r="31" spans="4:12">
      <c r="D31" s="29">
        <v>46161</v>
      </c>
      <c r="E31" s="18">
        <v>1604242</v>
      </c>
      <c r="F31" s="18" t="s">
        <v>14</v>
      </c>
      <c r="G31" s="30">
        <v>20008018</v>
      </c>
      <c r="H31" s="18" t="s">
        <v>29</v>
      </c>
      <c r="I31" s="30">
        <v>1</v>
      </c>
      <c r="J31" s="30">
        <v>1</v>
      </c>
      <c r="K31" s="31">
        <v>8</v>
      </c>
      <c r="L31" s="31">
        <v>8</v>
      </c>
    </row>
    <row r="32" spans="4:12">
      <c r="D32" s="29">
        <v>46161</v>
      </c>
      <c r="E32" s="18">
        <v>1604242</v>
      </c>
      <c r="F32" s="18" t="s">
        <v>14</v>
      </c>
      <c r="G32" s="30">
        <v>20399397</v>
      </c>
      <c r="H32" s="18" t="s">
        <v>43</v>
      </c>
      <c r="I32" s="30">
        <v>1</v>
      </c>
      <c r="J32" s="30">
        <v>1</v>
      </c>
      <c r="K32" s="31">
        <v>8</v>
      </c>
      <c r="L32" s="31">
        <v>8</v>
      </c>
    </row>
    <row r="33" spans="4:12">
      <c r="D33" s="29">
        <v>46161</v>
      </c>
      <c r="E33" s="18">
        <v>1604242</v>
      </c>
      <c r="F33" s="18" t="s">
        <v>21</v>
      </c>
      <c r="G33" s="30">
        <v>20008398</v>
      </c>
      <c r="H33" s="18" t="s">
        <v>25</v>
      </c>
      <c r="I33" s="30">
        <v>1</v>
      </c>
      <c r="J33" s="30">
        <v>15</v>
      </c>
      <c r="K33" s="31">
        <v>82.5</v>
      </c>
      <c r="L33" s="31">
        <v>82.5</v>
      </c>
    </row>
    <row r="34" spans="4:12">
      <c r="D34" s="29">
        <v>46161</v>
      </c>
      <c r="E34" s="18">
        <v>1604242</v>
      </c>
      <c r="F34" s="18" t="s">
        <v>40</v>
      </c>
      <c r="G34" s="30">
        <v>20390991</v>
      </c>
      <c r="H34" s="18" t="s">
        <v>41</v>
      </c>
      <c r="I34" s="30">
        <v>1</v>
      </c>
      <c r="J34" s="30">
        <v>4</v>
      </c>
      <c r="K34" s="31">
        <v>22</v>
      </c>
      <c r="L34" s="31">
        <v>22</v>
      </c>
    </row>
    <row r="35" spans="4:12">
      <c r="D35" s="29">
        <v>46162</v>
      </c>
      <c r="E35" s="18">
        <v>1604566</v>
      </c>
      <c r="F35" s="18" t="s">
        <v>17</v>
      </c>
      <c r="G35" s="30">
        <v>20009142</v>
      </c>
      <c r="H35" s="18" t="s">
        <v>44</v>
      </c>
      <c r="I35" s="30">
        <v>4</v>
      </c>
      <c r="J35" s="30">
        <v>0</v>
      </c>
      <c r="K35" s="31">
        <v>2.5</v>
      </c>
      <c r="L35" s="31">
        <v>10</v>
      </c>
    </row>
    <row r="36" spans="4:12">
      <c r="D36" s="29">
        <v>46162</v>
      </c>
      <c r="E36" s="18">
        <v>1604607</v>
      </c>
      <c r="F36" s="18" t="s">
        <v>40</v>
      </c>
      <c r="G36" s="30">
        <v>20390991</v>
      </c>
      <c r="H36" s="18" t="s">
        <v>41</v>
      </c>
      <c r="I36" s="30">
        <v>1</v>
      </c>
      <c r="J36" s="30">
        <v>4</v>
      </c>
      <c r="K36" s="31">
        <v>22</v>
      </c>
      <c r="L36" s="31">
        <v>22</v>
      </c>
    </row>
    <row r="37" spans="4:12">
      <c r="D37" s="29">
        <v>46162</v>
      </c>
      <c r="E37" s="18">
        <v>1604929</v>
      </c>
      <c r="F37" s="18" t="s">
        <v>40</v>
      </c>
      <c r="G37" s="30">
        <v>20390991</v>
      </c>
      <c r="H37" s="18" t="s">
        <v>41</v>
      </c>
      <c r="I37" s="30">
        <v>1</v>
      </c>
      <c r="J37" s="30">
        <v>4</v>
      </c>
      <c r="K37" s="31">
        <v>22</v>
      </c>
      <c r="L37" s="31">
        <v>22</v>
      </c>
    </row>
    <row r="38" spans="4:12">
      <c r="D38" s="29">
        <v>46163</v>
      </c>
      <c r="E38" s="18">
        <v>1605319</v>
      </c>
      <c r="F38" s="18" t="s">
        <v>14</v>
      </c>
      <c r="G38" s="30">
        <v>20013201</v>
      </c>
      <c r="H38" s="18" t="s">
        <v>45</v>
      </c>
      <c r="I38" s="30">
        <v>1</v>
      </c>
      <c r="J38" s="30">
        <v>1</v>
      </c>
      <c r="K38" s="31">
        <v>8</v>
      </c>
      <c r="L38" s="31">
        <v>8</v>
      </c>
    </row>
    <row r="39" spans="4:12">
      <c r="D39" s="29">
        <v>46163</v>
      </c>
      <c r="E39" s="18">
        <v>1605319</v>
      </c>
      <c r="F39" s="18" t="s">
        <v>14</v>
      </c>
      <c r="G39" s="30">
        <v>20008019</v>
      </c>
      <c r="H39" s="18" t="s">
        <v>35</v>
      </c>
      <c r="I39" s="30">
        <v>1</v>
      </c>
      <c r="J39" s="30">
        <v>1</v>
      </c>
      <c r="K39" s="31">
        <v>11</v>
      </c>
      <c r="L39" s="31">
        <v>11</v>
      </c>
    </row>
    <row r="40" spans="4:12">
      <c r="D40" s="29">
        <v>46163</v>
      </c>
      <c r="E40" s="18">
        <v>1605319</v>
      </c>
      <c r="F40" s="18" t="s">
        <v>14</v>
      </c>
      <c r="G40" s="30">
        <v>20008016</v>
      </c>
      <c r="H40" s="18" t="s">
        <v>42</v>
      </c>
      <c r="I40" s="30">
        <v>1</v>
      </c>
      <c r="J40" s="30">
        <v>1</v>
      </c>
      <c r="K40" s="31">
        <v>11</v>
      </c>
      <c r="L40" s="31">
        <v>11</v>
      </c>
    </row>
    <row r="41" spans="4:12">
      <c r="D41" s="29">
        <v>46163</v>
      </c>
      <c r="E41" s="18">
        <v>1605319</v>
      </c>
      <c r="F41" s="18" t="s">
        <v>14</v>
      </c>
      <c r="G41" s="30">
        <v>20012989</v>
      </c>
      <c r="H41" s="18" t="s">
        <v>36</v>
      </c>
      <c r="I41" s="30">
        <v>1</v>
      </c>
      <c r="J41" s="30">
        <v>1</v>
      </c>
      <c r="K41" s="31">
        <v>8</v>
      </c>
      <c r="L41" s="31">
        <v>8</v>
      </c>
    </row>
    <row r="42" spans="4:12">
      <c r="D42" s="29">
        <v>46163</v>
      </c>
      <c r="E42" s="18">
        <v>1605319</v>
      </c>
      <c r="F42" s="18" t="s">
        <v>14</v>
      </c>
      <c r="G42" s="30">
        <v>20008020</v>
      </c>
      <c r="H42" s="18" t="s">
        <v>37</v>
      </c>
      <c r="I42" s="30">
        <v>1</v>
      </c>
      <c r="J42" s="30">
        <v>1</v>
      </c>
      <c r="K42" s="31">
        <v>8</v>
      </c>
      <c r="L42" s="31">
        <v>8</v>
      </c>
    </row>
    <row r="43" spans="4:12">
      <c r="D43" s="29">
        <v>46163</v>
      </c>
      <c r="E43" s="18">
        <v>1605319</v>
      </c>
      <c r="F43" s="18" t="s">
        <v>40</v>
      </c>
      <c r="G43" s="30">
        <v>20390991</v>
      </c>
      <c r="H43" s="18" t="s">
        <v>41</v>
      </c>
      <c r="I43" s="30">
        <v>2</v>
      </c>
      <c r="J43" s="30">
        <v>8</v>
      </c>
      <c r="K43" s="31">
        <v>22</v>
      </c>
      <c r="L43" s="31">
        <v>44</v>
      </c>
    </row>
    <row r="44" spans="4:12">
      <c r="D44" s="29">
        <v>46165</v>
      </c>
      <c r="E44" s="18">
        <v>1605753</v>
      </c>
      <c r="F44" s="18" t="s">
        <v>14</v>
      </c>
      <c r="G44" s="30">
        <v>20013201</v>
      </c>
      <c r="H44" s="18" t="s">
        <v>45</v>
      </c>
      <c r="I44" s="30">
        <v>1</v>
      </c>
      <c r="J44" s="30">
        <v>1</v>
      </c>
      <c r="K44" s="31">
        <v>8</v>
      </c>
      <c r="L44" s="31">
        <v>8</v>
      </c>
    </row>
    <row r="45" spans="4:12">
      <c r="D45" s="29">
        <v>46165</v>
      </c>
      <c r="E45" s="18">
        <v>1605753</v>
      </c>
      <c r="F45" s="18" t="s">
        <v>14</v>
      </c>
      <c r="G45" s="30">
        <v>20008019</v>
      </c>
      <c r="H45" s="18" t="s">
        <v>35</v>
      </c>
      <c r="I45" s="30">
        <v>2</v>
      </c>
      <c r="J45" s="30">
        <v>2</v>
      </c>
      <c r="K45" s="31">
        <v>11</v>
      </c>
      <c r="L45" s="31">
        <v>22</v>
      </c>
    </row>
    <row r="46" spans="4:12">
      <c r="D46" s="29">
        <v>46165</v>
      </c>
      <c r="E46" s="18">
        <v>1605753</v>
      </c>
      <c r="F46" s="18" t="s">
        <v>14</v>
      </c>
      <c r="G46" s="30">
        <v>20008016</v>
      </c>
      <c r="H46" s="18" t="s">
        <v>42</v>
      </c>
      <c r="I46" s="30">
        <v>1</v>
      </c>
      <c r="J46" s="30">
        <v>1</v>
      </c>
      <c r="K46" s="31">
        <v>11</v>
      </c>
      <c r="L46" s="31">
        <v>11</v>
      </c>
    </row>
    <row r="47" spans="4:12">
      <c r="D47" s="29">
        <v>46165</v>
      </c>
      <c r="E47" s="18">
        <v>1605753</v>
      </c>
      <c r="F47" s="18" t="s">
        <v>14</v>
      </c>
      <c r="G47" s="30">
        <v>20012989</v>
      </c>
      <c r="H47" s="18" t="s">
        <v>36</v>
      </c>
      <c r="I47" s="30">
        <v>1</v>
      </c>
      <c r="J47" s="30">
        <v>1</v>
      </c>
      <c r="K47" s="31">
        <v>8</v>
      </c>
      <c r="L47" s="31">
        <v>8</v>
      </c>
    </row>
    <row r="48" spans="4:12">
      <c r="D48" s="29">
        <v>46165</v>
      </c>
      <c r="E48" s="18">
        <v>1605753</v>
      </c>
      <c r="F48" s="18" t="s">
        <v>14</v>
      </c>
      <c r="G48" s="30">
        <v>20008020</v>
      </c>
      <c r="H48" s="18" t="s">
        <v>37</v>
      </c>
      <c r="I48" s="30">
        <v>2</v>
      </c>
      <c r="J48" s="30">
        <v>2</v>
      </c>
      <c r="K48" s="31">
        <v>8</v>
      </c>
      <c r="L48" s="31">
        <v>16</v>
      </c>
    </row>
    <row r="49" spans="4:12">
      <c r="D49" s="29">
        <v>46169</v>
      </c>
      <c r="E49" s="18">
        <v>1606711</v>
      </c>
      <c r="F49" s="18" t="s">
        <v>14</v>
      </c>
      <c r="G49" s="30">
        <v>20008460</v>
      </c>
      <c r="H49" s="18" t="s">
        <v>46</v>
      </c>
      <c r="I49" s="30">
        <v>1</v>
      </c>
      <c r="J49" s="30">
        <v>1</v>
      </c>
      <c r="K49" s="31">
        <v>13</v>
      </c>
      <c r="L49" s="31">
        <v>13</v>
      </c>
    </row>
    <row r="50" spans="4:12">
      <c r="D50" s="29">
        <v>46169</v>
      </c>
      <c r="E50" s="18">
        <v>1606966</v>
      </c>
      <c r="F50" s="18" t="s">
        <v>14</v>
      </c>
      <c r="G50" s="30">
        <v>20008018</v>
      </c>
      <c r="H50" s="18" t="s">
        <v>29</v>
      </c>
      <c r="I50" s="30">
        <v>1</v>
      </c>
      <c r="J50" s="30">
        <v>1</v>
      </c>
      <c r="K50" s="31">
        <v>8</v>
      </c>
      <c r="L50" s="31">
        <v>8</v>
      </c>
    </row>
    <row r="51" spans="4:12">
      <c r="D51" s="29">
        <v>46169</v>
      </c>
      <c r="E51" s="18">
        <v>1606966</v>
      </c>
      <c r="F51" s="18" t="s">
        <v>14</v>
      </c>
      <c r="G51" s="30">
        <v>20007351</v>
      </c>
      <c r="H51" s="18" t="s">
        <v>47</v>
      </c>
      <c r="I51" s="30">
        <v>1</v>
      </c>
      <c r="J51" s="30">
        <v>1</v>
      </c>
      <c r="K51" s="31">
        <v>8</v>
      </c>
      <c r="L51" s="31">
        <v>8</v>
      </c>
    </row>
    <row r="52" spans="4:12">
      <c r="D52" s="29">
        <v>46171</v>
      </c>
      <c r="E52" s="18">
        <v>1607435</v>
      </c>
      <c r="F52" s="18" t="s">
        <v>14</v>
      </c>
      <c r="G52" s="30">
        <v>20008019</v>
      </c>
      <c r="H52" s="18" t="s">
        <v>35</v>
      </c>
      <c r="I52" s="30">
        <v>1</v>
      </c>
      <c r="J52" s="30">
        <v>1</v>
      </c>
      <c r="K52" s="31">
        <v>11</v>
      </c>
      <c r="L52" s="31">
        <v>11</v>
      </c>
    </row>
    <row r="53" spans="4:12">
      <c r="D53" s="29">
        <v>46172</v>
      </c>
      <c r="E53" s="18">
        <v>1607756</v>
      </c>
      <c r="F53" s="18" t="s">
        <v>14</v>
      </c>
      <c r="G53" s="30">
        <v>20013201</v>
      </c>
      <c r="H53" s="18" t="s">
        <v>45</v>
      </c>
      <c r="I53" s="30">
        <v>1</v>
      </c>
      <c r="J53" s="30">
        <v>1</v>
      </c>
      <c r="K53" s="31">
        <v>8</v>
      </c>
      <c r="L53" s="31">
        <v>8</v>
      </c>
    </row>
    <row r="54" spans="4:12">
      <c r="D54" s="29">
        <v>46172</v>
      </c>
      <c r="E54" s="18">
        <v>1607756</v>
      </c>
      <c r="F54" s="18" t="s">
        <v>14</v>
      </c>
      <c r="G54" s="30">
        <v>20008019</v>
      </c>
      <c r="H54" s="18" t="s">
        <v>35</v>
      </c>
      <c r="I54" s="30">
        <v>1</v>
      </c>
      <c r="J54" s="30">
        <v>1</v>
      </c>
      <c r="K54" s="31">
        <v>11</v>
      </c>
      <c r="L54" s="31">
        <v>11</v>
      </c>
    </row>
    <row r="55" spans="4:12">
      <c r="D55" s="29">
        <v>46172</v>
      </c>
      <c r="E55" s="18">
        <v>1607756</v>
      </c>
      <c r="F55" s="18" t="s">
        <v>14</v>
      </c>
      <c r="G55" s="30">
        <v>20008016</v>
      </c>
      <c r="H55" s="18" t="s">
        <v>42</v>
      </c>
      <c r="I55" s="30">
        <v>1</v>
      </c>
      <c r="J55" s="30">
        <v>1</v>
      </c>
      <c r="K55" s="31">
        <v>11</v>
      </c>
      <c r="L55" s="31">
        <v>11</v>
      </c>
    </row>
    <row r="56" spans="4:12">
      <c r="D56" s="29">
        <v>46172</v>
      </c>
      <c r="E56" s="18">
        <v>1607756</v>
      </c>
      <c r="F56" s="18" t="s">
        <v>14</v>
      </c>
      <c r="G56" s="30">
        <v>20008020</v>
      </c>
      <c r="H56" s="18" t="s">
        <v>37</v>
      </c>
      <c r="I56" s="30">
        <v>1</v>
      </c>
      <c r="J56" s="30">
        <v>1</v>
      </c>
      <c r="K56" s="31">
        <v>8</v>
      </c>
      <c r="L56" s="31">
        <v>8</v>
      </c>
    </row>
  </sheetData>
  <mergeCells count="5">
    <mergeCell ref="D8:H8"/>
    <mergeCell ref="C7:C56"/>
    <mergeCell ref="B4:H5"/>
    <mergeCell ref="A7:B56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showGridLines="0" view="pageBreakPreview" zoomScaleNormal="100" workbookViewId="0">
      <pane ySplit="6" topLeftCell="A7" activePane="bottomLeft" state="frozen"/>
      <selection/>
      <selection pane="bottomLeft" activeCell="R11" sqref="R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.125" customWidth="1"/>
    <col min="12" max="12" width="11.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48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55</v>
      </c>
      <c r="J8" s="27">
        <v>132</v>
      </c>
      <c r="K8" s="28"/>
      <c r="L8" s="28">
        <v>1003.5</v>
      </c>
    </row>
    <row r="9" spans="1:12">
      <c r="D9" s="29">
        <v>46145</v>
      </c>
      <c r="E9" s="18">
        <v>1600134</v>
      </c>
      <c r="F9" s="18" t="s">
        <v>49</v>
      </c>
      <c r="G9" s="30">
        <v>20008605</v>
      </c>
      <c r="H9" s="18" t="s">
        <v>50</v>
      </c>
      <c r="I9" s="30">
        <v>3</v>
      </c>
      <c r="J9" s="30">
        <v>6</v>
      </c>
      <c r="K9" s="31">
        <v>16.5</v>
      </c>
      <c r="L9" s="31">
        <v>49.5</v>
      </c>
    </row>
    <row r="10" spans="1:12">
      <c r="D10" s="29">
        <v>46145</v>
      </c>
      <c r="E10" s="18">
        <v>1600134</v>
      </c>
      <c r="F10" s="18" t="s">
        <v>49</v>
      </c>
      <c r="G10" s="30">
        <v>20009149</v>
      </c>
      <c r="H10" s="18" t="s">
        <v>51</v>
      </c>
      <c r="I10" s="30">
        <v>2</v>
      </c>
      <c r="J10" s="30">
        <v>2</v>
      </c>
      <c r="K10" s="31">
        <v>16</v>
      </c>
      <c r="L10" s="31">
        <v>32</v>
      </c>
    </row>
    <row r="11" spans="1:12">
      <c r="D11" s="29">
        <v>46149</v>
      </c>
      <c r="E11" s="18">
        <v>1600992</v>
      </c>
      <c r="F11" s="18" t="s">
        <v>52</v>
      </c>
      <c r="G11" s="30">
        <v>20007398</v>
      </c>
      <c r="H11" s="18" t="s">
        <v>53</v>
      </c>
      <c r="I11" s="30">
        <v>1</v>
      </c>
      <c r="J11" s="30">
        <v>7</v>
      </c>
      <c r="K11" s="31">
        <v>38.5</v>
      </c>
      <c r="L11" s="31">
        <v>38.5</v>
      </c>
    </row>
    <row r="12" spans="1:12">
      <c r="D12" s="29">
        <v>46149</v>
      </c>
      <c r="E12" s="18">
        <v>1600992</v>
      </c>
      <c r="F12" s="18" t="s">
        <v>49</v>
      </c>
      <c r="G12" s="30">
        <v>20008605</v>
      </c>
      <c r="H12" s="18" t="s">
        <v>50</v>
      </c>
      <c r="I12" s="30">
        <v>3</v>
      </c>
      <c r="J12" s="30">
        <v>6</v>
      </c>
      <c r="K12" s="31">
        <v>16.5</v>
      </c>
      <c r="L12" s="31">
        <v>49.5</v>
      </c>
    </row>
    <row r="13" spans="1:12">
      <c r="D13" s="29">
        <v>46149</v>
      </c>
      <c r="E13" s="18">
        <v>1600992</v>
      </c>
      <c r="F13" s="18" t="s">
        <v>49</v>
      </c>
      <c r="G13" s="30">
        <v>20009149</v>
      </c>
      <c r="H13" s="18" t="s">
        <v>51</v>
      </c>
      <c r="I13" s="30">
        <v>1</v>
      </c>
      <c r="J13" s="30">
        <v>1</v>
      </c>
      <c r="K13" s="31">
        <v>16</v>
      </c>
      <c r="L13" s="31">
        <v>16</v>
      </c>
    </row>
    <row r="14" spans="1:12">
      <c r="D14" s="29">
        <v>46153</v>
      </c>
      <c r="E14" s="18">
        <v>1602158</v>
      </c>
      <c r="F14" s="18" t="s">
        <v>52</v>
      </c>
      <c r="G14" s="30">
        <v>20007398</v>
      </c>
      <c r="H14" s="18" t="s">
        <v>53</v>
      </c>
      <c r="I14" s="30">
        <v>2</v>
      </c>
      <c r="J14" s="30">
        <v>14</v>
      </c>
      <c r="K14" s="31">
        <v>38.5</v>
      </c>
      <c r="L14" s="31">
        <v>77</v>
      </c>
    </row>
    <row r="15" spans="1:12">
      <c r="D15" s="29">
        <v>46153</v>
      </c>
      <c r="E15" s="18">
        <v>1602158</v>
      </c>
      <c r="F15" s="18" t="s">
        <v>49</v>
      </c>
      <c r="G15" s="30">
        <v>20008605</v>
      </c>
      <c r="H15" s="18" t="s">
        <v>50</v>
      </c>
      <c r="I15" s="30">
        <v>3</v>
      </c>
      <c r="J15" s="30">
        <v>6</v>
      </c>
      <c r="K15" s="31">
        <v>16.5</v>
      </c>
      <c r="L15" s="31">
        <v>49.5</v>
      </c>
    </row>
    <row r="16" spans="1:12">
      <c r="D16" s="29">
        <v>46153</v>
      </c>
      <c r="E16" s="18">
        <v>1602158</v>
      </c>
      <c r="F16" s="18" t="s">
        <v>49</v>
      </c>
      <c r="G16" s="30">
        <v>20009149</v>
      </c>
      <c r="H16" s="18" t="s">
        <v>51</v>
      </c>
      <c r="I16" s="30">
        <v>1</v>
      </c>
      <c r="J16" s="30">
        <v>1</v>
      </c>
      <c r="K16" s="31">
        <v>16</v>
      </c>
      <c r="L16" s="31">
        <v>16</v>
      </c>
    </row>
    <row r="17" spans="4:12">
      <c r="D17" s="29">
        <v>46153</v>
      </c>
      <c r="E17" s="18">
        <v>1602158</v>
      </c>
      <c r="F17" s="18" t="s">
        <v>14</v>
      </c>
      <c r="G17" s="30">
        <v>20352877</v>
      </c>
      <c r="H17" s="18" t="s">
        <v>54</v>
      </c>
      <c r="I17" s="30">
        <v>2</v>
      </c>
      <c r="J17" s="30">
        <v>2</v>
      </c>
      <c r="K17" s="31">
        <v>8</v>
      </c>
      <c r="L17" s="31">
        <v>16</v>
      </c>
    </row>
    <row r="18" spans="4:12">
      <c r="D18" s="29">
        <v>46153</v>
      </c>
      <c r="E18" s="18">
        <v>1602158</v>
      </c>
      <c r="F18" s="18" t="s">
        <v>14</v>
      </c>
      <c r="G18" s="30">
        <v>20014128</v>
      </c>
      <c r="H18" s="18" t="s">
        <v>55</v>
      </c>
      <c r="I18" s="30">
        <v>1</v>
      </c>
      <c r="J18" s="30">
        <v>1</v>
      </c>
      <c r="K18" s="31">
        <v>8</v>
      </c>
      <c r="L18" s="31">
        <v>8</v>
      </c>
    </row>
    <row r="19" spans="4:12">
      <c r="D19" s="29">
        <v>46157</v>
      </c>
      <c r="E19" s="18">
        <v>1603320</v>
      </c>
      <c r="F19" s="18" t="s">
        <v>49</v>
      </c>
      <c r="G19" s="30">
        <v>20008605</v>
      </c>
      <c r="H19" s="18" t="s">
        <v>50</v>
      </c>
      <c r="I19" s="30">
        <v>3</v>
      </c>
      <c r="J19" s="30">
        <v>6</v>
      </c>
      <c r="K19" s="31">
        <v>16.5</v>
      </c>
      <c r="L19" s="31">
        <v>49.5</v>
      </c>
    </row>
    <row r="20" spans="4:12">
      <c r="D20" s="29">
        <v>46157</v>
      </c>
      <c r="E20" s="18">
        <v>1603320</v>
      </c>
      <c r="F20" s="18" t="s">
        <v>49</v>
      </c>
      <c r="G20" s="30">
        <v>20009149</v>
      </c>
      <c r="H20" s="18" t="s">
        <v>51</v>
      </c>
      <c r="I20" s="30">
        <v>3</v>
      </c>
      <c r="J20" s="30">
        <v>3</v>
      </c>
      <c r="K20" s="31">
        <v>16</v>
      </c>
      <c r="L20" s="31">
        <v>48</v>
      </c>
    </row>
    <row r="21" spans="4:12">
      <c r="D21" s="29">
        <v>46157</v>
      </c>
      <c r="E21" s="18">
        <v>1603320</v>
      </c>
      <c r="F21" s="18" t="s">
        <v>14</v>
      </c>
      <c r="G21" s="30">
        <v>20007417</v>
      </c>
      <c r="H21" s="18" t="s">
        <v>56</v>
      </c>
      <c r="I21" s="30">
        <v>1</v>
      </c>
      <c r="J21" s="30">
        <v>1</v>
      </c>
      <c r="K21" s="31">
        <v>8</v>
      </c>
      <c r="L21" s="31">
        <v>8</v>
      </c>
    </row>
    <row r="22" spans="4:12">
      <c r="D22" s="29">
        <v>46157</v>
      </c>
      <c r="E22" s="18">
        <v>1603320</v>
      </c>
      <c r="F22" s="18" t="s">
        <v>21</v>
      </c>
      <c r="G22" s="30">
        <v>20008943</v>
      </c>
      <c r="H22" s="18" t="s">
        <v>57</v>
      </c>
      <c r="I22" s="30">
        <v>1</v>
      </c>
      <c r="J22" s="30">
        <v>4</v>
      </c>
      <c r="K22" s="31">
        <v>22</v>
      </c>
      <c r="L22" s="31">
        <v>22</v>
      </c>
    </row>
    <row r="23" spans="4:12">
      <c r="D23" s="29">
        <v>46161</v>
      </c>
      <c r="E23" s="18">
        <v>1604243</v>
      </c>
      <c r="F23" s="18" t="s">
        <v>52</v>
      </c>
      <c r="G23" s="30">
        <v>20007398</v>
      </c>
      <c r="H23" s="18" t="s">
        <v>53</v>
      </c>
      <c r="I23" s="30">
        <v>1</v>
      </c>
      <c r="J23" s="30">
        <v>7</v>
      </c>
      <c r="K23" s="31">
        <v>38.5</v>
      </c>
      <c r="L23" s="31">
        <v>38.5</v>
      </c>
    </row>
    <row r="24" spans="4:12">
      <c r="D24" s="29">
        <v>46161</v>
      </c>
      <c r="E24" s="18">
        <v>1604243</v>
      </c>
      <c r="F24" s="18" t="s">
        <v>49</v>
      </c>
      <c r="G24" s="30">
        <v>20008605</v>
      </c>
      <c r="H24" s="18" t="s">
        <v>50</v>
      </c>
      <c r="I24" s="30">
        <v>2</v>
      </c>
      <c r="J24" s="30">
        <v>4</v>
      </c>
      <c r="K24" s="31">
        <v>16.5</v>
      </c>
      <c r="L24" s="31">
        <v>33</v>
      </c>
    </row>
    <row r="25" spans="4:12">
      <c r="D25" s="29">
        <v>46161</v>
      </c>
      <c r="E25" s="18">
        <v>1604243</v>
      </c>
      <c r="F25" s="18" t="s">
        <v>49</v>
      </c>
      <c r="G25" s="30">
        <v>20009149</v>
      </c>
      <c r="H25" s="18" t="s">
        <v>51</v>
      </c>
      <c r="I25" s="30">
        <v>1</v>
      </c>
      <c r="J25" s="30">
        <v>1</v>
      </c>
      <c r="K25" s="31">
        <v>16</v>
      </c>
      <c r="L25" s="31">
        <v>16</v>
      </c>
    </row>
    <row r="26" spans="4:12">
      <c r="D26" s="29">
        <v>46163</v>
      </c>
      <c r="E26" s="18">
        <v>1605318</v>
      </c>
      <c r="F26" s="18" t="s">
        <v>52</v>
      </c>
      <c r="G26" s="30">
        <v>20007398</v>
      </c>
      <c r="H26" s="18" t="s">
        <v>53</v>
      </c>
      <c r="I26" s="30">
        <v>2</v>
      </c>
      <c r="J26" s="30">
        <v>14</v>
      </c>
      <c r="K26" s="31">
        <v>38.5</v>
      </c>
      <c r="L26" s="31">
        <v>77</v>
      </c>
    </row>
    <row r="27" spans="4:12">
      <c r="D27" s="29">
        <v>46163</v>
      </c>
      <c r="E27" s="18">
        <v>1605318</v>
      </c>
      <c r="F27" s="18" t="s">
        <v>49</v>
      </c>
      <c r="G27" s="30">
        <v>20008605</v>
      </c>
      <c r="H27" s="18" t="s">
        <v>50</v>
      </c>
      <c r="I27" s="30">
        <v>2</v>
      </c>
      <c r="J27" s="30">
        <v>4</v>
      </c>
      <c r="K27" s="31">
        <v>16.5</v>
      </c>
      <c r="L27" s="31">
        <v>33</v>
      </c>
    </row>
    <row r="28" spans="4:12">
      <c r="D28" s="29">
        <v>46163</v>
      </c>
      <c r="E28" s="18">
        <v>1605318</v>
      </c>
      <c r="F28" s="18" t="s">
        <v>49</v>
      </c>
      <c r="G28" s="30">
        <v>20009149</v>
      </c>
      <c r="H28" s="18" t="s">
        <v>51</v>
      </c>
      <c r="I28" s="30">
        <v>1</v>
      </c>
      <c r="J28" s="30">
        <v>1</v>
      </c>
      <c r="K28" s="31">
        <v>16</v>
      </c>
      <c r="L28" s="31">
        <v>16</v>
      </c>
    </row>
    <row r="29" spans="4:12">
      <c r="D29" s="29">
        <v>46167</v>
      </c>
      <c r="E29" s="18">
        <v>1606231</v>
      </c>
      <c r="F29" s="18" t="s">
        <v>52</v>
      </c>
      <c r="G29" s="30">
        <v>20007398</v>
      </c>
      <c r="H29" s="18" t="s">
        <v>53</v>
      </c>
      <c r="I29" s="30">
        <v>1</v>
      </c>
      <c r="J29" s="30">
        <v>7</v>
      </c>
      <c r="K29" s="31">
        <v>38.5</v>
      </c>
      <c r="L29" s="31">
        <v>38.5</v>
      </c>
    </row>
    <row r="30" spans="4:12">
      <c r="D30" s="29">
        <v>46167</v>
      </c>
      <c r="E30" s="18">
        <v>1606231</v>
      </c>
      <c r="F30" s="18" t="s">
        <v>49</v>
      </c>
      <c r="G30" s="30">
        <v>20008605</v>
      </c>
      <c r="H30" s="18" t="s">
        <v>50</v>
      </c>
      <c r="I30" s="30">
        <v>4</v>
      </c>
      <c r="J30" s="30">
        <v>8</v>
      </c>
      <c r="K30" s="31">
        <v>16.5</v>
      </c>
      <c r="L30" s="31">
        <v>66</v>
      </c>
    </row>
    <row r="31" spans="4:12">
      <c r="D31" s="29">
        <v>46167</v>
      </c>
      <c r="E31" s="18">
        <v>1606231</v>
      </c>
      <c r="F31" s="18" t="s">
        <v>49</v>
      </c>
      <c r="G31" s="30">
        <v>20009149</v>
      </c>
      <c r="H31" s="18" t="s">
        <v>51</v>
      </c>
      <c r="I31" s="30">
        <v>2</v>
      </c>
      <c r="J31" s="30">
        <v>2</v>
      </c>
      <c r="K31" s="31">
        <v>16</v>
      </c>
      <c r="L31" s="31">
        <v>32</v>
      </c>
    </row>
    <row r="32" spans="4:12">
      <c r="D32" s="29">
        <v>46167</v>
      </c>
      <c r="E32" s="18">
        <v>1606231</v>
      </c>
      <c r="F32" s="18" t="s">
        <v>14</v>
      </c>
      <c r="G32" s="30">
        <v>20007417</v>
      </c>
      <c r="H32" s="18" t="s">
        <v>56</v>
      </c>
      <c r="I32" s="30">
        <v>1</v>
      </c>
      <c r="J32" s="30">
        <v>1</v>
      </c>
      <c r="K32" s="31">
        <v>8</v>
      </c>
      <c r="L32" s="31">
        <v>8</v>
      </c>
    </row>
    <row r="33" spans="4:12">
      <c r="D33" s="29">
        <v>46171</v>
      </c>
      <c r="E33" s="18">
        <v>1607436</v>
      </c>
      <c r="F33" s="18" t="s">
        <v>52</v>
      </c>
      <c r="G33" s="30">
        <v>20007398</v>
      </c>
      <c r="H33" s="18" t="s">
        <v>53</v>
      </c>
      <c r="I33" s="30">
        <v>1</v>
      </c>
      <c r="J33" s="30">
        <v>7</v>
      </c>
      <c r="K33" s="31">
        <v>38.5</v>
      </c>
      <c r="L33" s="31">
        <v>38.5</v>
      </c>
    </row>
    <row r="34" spans="4:12">
      <c r="D34" s="29">
        <v>46171</v>
      </c>
      <c r="E34" s="18">
        <v>1607436</v>
      </c>
      <c r="F34" s="18" t="s">
        <v>49</v>
      </c>
      <c r="G34" s="30">
        <v>20008605</v>
      </c>
      <c r="H34" s="18" t="s">
        <v>50</v>
      </c>
      <c r="I34" s="30">
        <v>3</v>
      </c>
      <c r="J34" s="30">
        <v>6</v>
      </c>
      <c r="K34" s="31">
        <v>16.5</v>
      </c>
      <c r="L34" s="31">
        <v>49.5</v>
      </c>
    </row>
    <row r="35" spans="4:12">
      <c r="D35" s="29">
        <v>46171</v>
      </c>
      <c r="E35" s="18">
        <v>1607436</v>
      </c>
      <c r="F35" s="18" t="s">
        <v>49</v>
      </c>
      <c r="G35" s="30">
        <v>20009149</v>
      </c>
      <c r="H35" s="18" t="s">
        <v>51</v>
      </c>
      <c r="I35" s="30">
        <v>1</v>
      </c>
      <c r="J35" s="30">
        <v>1</v>
      </c>
      <c r="K35" s="31">
        <v>16</v>
      </c>
      <c r="L35" s="31">
        <v>16</v>
      </c>
    </row>
    <row r="36" spans="4:12">
      <c r="D36" s="29">
        <v>46171</v>
      </c>
      <c r="E36" s="18">
        <v>1607436</v>
      </c>
      <c r="F36" s="18" t="s">
        <v>14</v>
      </c>
      <c r="G36" s="30">
        <v>20010965</v>
      </c>
      <c r="H36" s="18" t="s">
        <v>58</v>
      </c>
      <c r="I36" s="30">
        <v>1</v>
      </c>
      <c r="J36" s="30">
        <v>1</v>
      </c>
      <c r="K36" s="31">
        <v>8</v>
      </c>
      <c r="L36" s="31">
        <v>8</v>
      </c>
    </row>
    <row r="37" spans="4:12">
      <c r="D37" s="29">
        <v>46171</v>
      </c>
      <c r="E37" s="18">
        <v>1607436</v>
      </c>
      <c r="F37" s="18" t="s">
        <v>14</v>
      </c>
      <c r="G37" s="30">
        <v>20008717</v>
      </c>
      <c r="H37" s="18" t="s">
        <v>59</v>
      </c>
      <c r="I37" s="30">
        <v>2</v>
      </c>
      <c r="J37" s="30">
        <v>2</v>
      </c>
      <c r="K37" s="31">
        <v>8</v>
      </c>
      <c r="L37" s="31">
        <v>16</v>
      </c>
    </row>
    <row r="38" spans="4:12">
      <c r="D38" s="29">
        <v>46171</v>
      </c>
      <c r="E38" s="18">
        <v>1607436</v>
      </c>
      <c r="F38" s="18" t="s">
        <v>14</v>
      </c>
      <c r="G38" s="30">
        <v>20008591</v>
      </c>
      <c r="H38" s="18" t="s">
        <v>60</v>
      </c>
      <c r="I38" s="30">
        <v>1</v>
      </c>
      <c r="J38" s="30">
        <v>1</v>
      </c>
      <c r="K38" s="31">
        <v>8</v>
      </c>
      <c r="L38" s="31">
        <v>8</v>
      </c>
    </row>
    <row r="39" spans="4:12">
      <c r="D39" s="29">
        <v>46171</v>
      </c>
      <c r="E39" s="18">
        <v>1607436</v>
      </c>
      <c r="F39" s="18" t="s">
        <v>14</v>
      </c>
      <c r="G39" s="30">
        <v>20007417</v>
      </c>
      <c r="H39" s="18" t="s">
        <v>56</v>
      </c>
      <c r="I39" s="30">
        <v>1</v>
      </c>
      <c r="J39" s="30">
        <v>1</v>
      </c>
      <c r="K39" s="31">
        <v>8</v>
      </c>
      <c r="L39" s="31">
        <v>8</v>
      </c>
    </row>
    <row r="40" spans="4:12">
      <c r="D40" s="29">
        <v>46171</v>
      </c>
      <c r="E40" s="18">
        <v>1607436</v>
      </c>
      <c r="F40" s="18" t="s">
        <v>21</v>
      </c>
      <c r="G40" s="30">
        <v>20008943</v>
      </c>
      <c r="H40" s="18" t="s">
        <v>57</v>
      </c>
      <c r="I40" s="30">
        <v>1</v>
      </c>
      <c r="J40" s="30">
        <v>4</v>
      </c>
      <c r="K40" s="31">
        <v>22</v>
      </c>
      <c r="L40" s="31">
        <v>22</v>
      </c>
    </row>
    <row r="41" ht="0.05" customHeight="1"/>
  </sheetData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L9" sqref="L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0.625" customWidth="1"/>
    <col min="12" max="12" width="11.1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61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321</v>
      </c>
      <c r="J8" s="27">
        <v>415</v>
      </c>
      <c r="K8" s="28"/>
      <c r="L8" s="28">
        <f>SUM(L9:L52)</f>
        <v>2710.5</v>
      </c>
    </row>
    <row r="9" spans="1:12">
      <c r="D9" s="29">
        <v>46151</v>
      </c>
      <c r="E9" s="18">
        <v>1601519</v>
      </c>
      <c r="F9" s="18" t="s">
        <v>14</v>
      </c>
      <c r="G9" s="30">
        <v>20007400</v>
      </c>
      <c r="H9" s="18" t="s">
        <v>62</v>
      </c>
      <c r="I9" s="30">
        <v>3</v>
      </c>
      <c r="J9" s="30">
        <v>3</v>
      </c>
      <c r="K9" s="31">
        <v>8</v>
      </c>
      <c r="L9" s="31">
        <f>K9*I9</f>
        <v>24</v>
      </c>
    </row>
    <row r="10" spans="1:12">
      <c r="D10" s="29">
        <v>46151</v>
      </c>
      <c r="E10" s="18">
        <v>1601519</v>
      </c>
      <c r="F10" s="18" t="s">
        <v>14</v>
      </c>
      <c r="G10" s="30">
        <v>20007300</v>
      </c>
      <c r="H10" s="18" t="s">
        <v>63</v>
      </c>
      <c r="I10" s="30">
        <v>1</v>
      </c>
      <c r="J10" s="30">
        <v>1</v>
      </c>
      <c r="K10" s="31">
        <v>8</v>
      </c>
      <c r="L10" s="31">
        <f t="shared" ref="L10:L52" si="0">K10*I10</f>
        <v>8</v>
      </c>
    </row>
    <row r="11" spans="1:12">
      <c r="D11" s="29">
        <v>46151</v>
      </c>
      <c r="E11" s="18">
        <v>1601519</v>
      </c>
      <c r="F11" s="18" t="s">
        <v>14</v>
      </c>
      <c r="G11" s="30">
        <v>20349353</v>
      </c>
      <c r="H11" s="18" t="s">
        <v>64</v>
      </c>
      <c r="I11" s="30">
        <v>1</v>
      </c>
      <c r="J11" s="30">
        <v>15</v>
      </c>
      <c r="K11" s="31">
        <v>16.5</v>
      </c>
      <c r="L11" s="31">
        <f t="shared" si="0"/>
        <v>16.5</v>
      </c>
    </row>
    <row r="12" spans="1:12">
      <c r="D12" s="29">
        <v>46151</v>
      </c>
      <c r="E12" s="18">
        <v>1601519</v>
      </c>
      <c r="F12" s="18" t="s">
        <v>14</v>
      </c>
      <c r="G12" s="30">
        <v>20349353</v>
      </c>
      <c r="H12" s="18" t="s">
        <v>65</v>
      </c>
      <c r="I12" s="30">
        <v>1</v>
      </c>
      <c r="J12" s="30">
        <v>20</v>
      </c>
      <c r="K12" s="31">
        <f>4*5.5</f>
        <v>22</v>
      </c>
      <c r="L12" s="31">
        <f t="shared" si="0"/>
        <v>22</v>
      </c>
    </row>
    <row r="13" spans="1:12">
      <c r="D13" s="29">
        <v>46151</v>
      </c>
      <c r="E13" s="18">
        <v>1601519</v>
      </c>
      <c r="F13" s="18" t="s">
        <v>14</v>
      </c>
      <c r="G13" s="30">
        <v>20399748</v>
      </c>
      <c r="H13" s="18" t="s">
        <v>66</v>
      </c>
      <c r="I13" s="30">
        <v>2</v>
      </c>
      <c r="J13" s="30">
        <v>2</v>
      </c>
      <c r="K13" s="31">
        <v>8</v>
      </c>
      <c r="L13" s="31">
        <f t="shared" si="0"/>
        <v>16</v>
      </c>
    </row>
    <row r="14" spans="1:12">
      <c r="D14" s="29">
        <v>46151</v>
      </c>
      <c r="E14" s="18">
        <v>1601519</v>
      </c>
      <c r="F14" s="18" t="s">
        <v>14</v>
      </c>
      <c r="G14" s="30">
        <v>20012739</v>
      </c>
      <c r="H14" s="18" t="s">
        <v>67</v>
      </c>
      <c r="I14" s="30">
        <v>1</v>
      </c>
      <c r="J14" s="30">
        <v>5</v>
      </c>
      <c r="K14" s="31">
        <v>27.5</v>
      </c>
      <c r="L14" s="31">
        <f t="shared" si="0"/>
        <v>27.5</v>
      </c>
    </row>
    <row r="15" spans="1:12">
      <c r="D15" s="29">
        <v>46151</v>
      </c>
      <c r="E15" s="18">
        <v>1601519</v>
      </c>
      <c r="F15" s="18" t="s">
        <v>14</v>
      </c>
      <c r="G15" s="30">
        <v>20399747</v>
      </c>
      <c r="H15" s="18" t="s">
        <v>68</v>
      </c>
      <c r="I15" s="30">
        <v>9</v>
      </c>
      <c r="J15" s="30">
        <v>9</v>
      </c>
      <c r="K15" s="31">
        <v>8</v>
      </c>
      <c r="L15" s="31">
        <f t="shared" si="0"/>
        <v>72</v>
      </c>
    </row>
    <row r="16" spans="1:12">
      <c r="D16" s="29">
        <v>46151</v>
      </c>
      <c r="E16" s="18">
        <v>1601519</v>
      </c>
      <c r="F16" s="18" t="s">
        <v>14</v>
      </c>
      <c r="G16" s="30">
        <v>20007401</v>
      </c>
      <c r="H16" s="18" t="s">
        <v>69</v>
      </c>
      <c r="I16" s="30">
        <v>1</v>
      </c>
      <c r="J16" s="30">
        <v>1</v>
      </c>
      <c r="K16" s="31">
        <v>8</v>
      </c>
      <c r="L16" s="31">
        <f t="shared" si="0"/>
        <v>8</v>
      </c>
    </row>
    <row r="17" spans="4:12">
      <c r="D17" s="29">
        <v>46151</v>
      </c>
      <c r="E17" s="18">
        <v>1601519</v>
      </c>
      <c r="F17" s="18" t="s">
        <v>14</v>
      </c>
      <c r="G17" s="30">
        <v>20013631</v>
      </c>
      <c r="H17" s="18" t="s">
        <v>70</v>
      </c>
      <c r="I17" s="30">
        <v>2</v>
      </c>
      <c r="J17" s="30">
        <v>10</v>
      </c>
      <c r="K17" s="31">
        <v>8</v>
      </c>
      <c r="L17" s="31">
        <f t="shared" si="0"/>
        <v>16</v>
      </c>
    </row>
    <row r="18" spans="4:12">
      <c r="D18" s="29">
        <v>46151</v>
      </c>
      <c r="E18" s="18">
        <v>1601519</v>
      </c>
      <c r="F18" s="18" t="s">
        <v>14</v>
      </c>
      <c r="G18" s="30">
        <v>20007399</v>
      </c>
      <c r="H18" s="18" t="s">
        <v>71</v>
      </c>
      <c r="I18" s="30">
        <v>24</v>
      </c>
      <c r="J18" s="30">
        <v>24</v>
      </c>
      <c r="K18" s="31">
        <v>8</v>
      </c>
      <c r="L18" s="31">
        <f t="shared" si="0"/>
        <v>192</v>
      </c>
    </row>
    <row r="19" spans="4:12">
      <c r="D19" s="29">
        <v>46151</v>
      </c>
      <c r="E19" s="18">
        <v>1601519</v>
      </c>
      <c r="F19" s="18" t="s">
        <v>14</v>
      </c>
      <c r="G19" s="30">
        <v>20007299</v>
      </c>
      <c r="H19" s="18" t="s">
        <v>72</v>
      </c>
      <c r="I19" s="30">
        <v>3</v>
      </c>
      <c r="J19" s="30">
        <v>3</v>
      </c>
      <c r="K19" s="31">
        <v>8</v>
      </c>
      <c r="L19" s="31">
        <f t="shared" si="0"/>
        <v>24</v>
      </c>
    </row>
    <row r="20" spans="4:12">
      <c r="D20" s="29">
        <v>46151</v>
      </c>
      <c r="E20" s="18">
        <v>1601519</v>
      </c>
      <c r="F20" s="18" t="s">
        <v>14</v>
      </c>
      <c r="G20" s="30">
        <v>20008009</v>
      </c>
      <c r="H20" s="18" t="s">
        <v>73</v>
      </c>
      <c r="I20" s="30">
        <v>8</v>
      </c>
      <c r="J20" s="30">
        <v>8</v>
      </c>
      <c r="K20" s="31">
        <v>8</v>
      </c>
      <c r="L20" s="31">
        <f t="shared" si="0"/>
        <v>64</v>
      </c>
    </row>
    <row r="21" spans="4:12">
      <c r="D21" s="29">
        <v>46156</v>
      </c>
      <c r="E21" s="18">
        <v>1602906</v>
      </c>
      <c r="F21" s="18" t="s">
        <v>14</v>
      </c>
      <c r="G21" s="30">
        <v>20007400</v>
      </c>
      <c r="H21" s="18" t="s">
        <v>62</v>
      </c>
      <c r="I21" s="30">
        <v>3</v>
      </c>
      <c r="J21" s="30">
        <v>3</v>
      </c>
      <c r="K21" s="31">
        <v>8</v>
      </c>
      <c r="L21" s="31">
        <f t="shared" si="0"/>
        <v>24</v>
      </c>
    </row>
    <row r="22" spans="4:12">
      <c r="D22" s="29">
        <v>46156</v>
      </c>
      <c r="E22" s="18">
        <v>1602906</v>
      </c>
      <c r="F22" s="18" t="s">
        <v>14</v>
      </c>
      <c r="G22" s="30">
        <v>20007300</v>
      </c>
      <c r="H22" s="18" t="s">
        <v>63</v>
      </c>
      <c r="I22" s="30">
        <v>1</v>
      </c>
      <c r="J22" s="30">
        <v>1</v>
      </c>
      <c r="K22" s="31">
        <v>8</v>
      </c>
      <c r="L22" s="31">
        <f t="shared" si="0"/>
        <v>8</v>
      </c>
    </row>
    <row r="23" spans="4:12">
      <c r="D23" s="29">
        <v>46156</v>
      </c>
      <c r="E23" s="18">
        <v>1602906</v>
      </c>
      <c r="F23" s="18" t="s">
        <v>14</v>
      </c>
      <c r="G23" s="30">
        <v>20349353</v>
      </c>
      <c r="H23" s="18" t="s">
        <v>65</v>
      </c>
      <c r="I23" s="30">
        <v>1</v>
      </c>
      <c r="J23" s="30">
        <v>20</v>
      </c>
      <c r="K23" s="31">
        <f>4*5.5</f>
        <v>22</v>
      </c>
      <c r="L23" s="31">
        <f t="shared" si="0"/>
        <v>22</v>
      </c>
    </row>
    <row r="24" spans="4:12">
      <c r="D24" s="29">
        <v>46156</v>
      </c>
      <c r="E24" s="18">
        <v>1602906</v>
      </c>
      <c r="F24" s="18" t="s">
        <v>14</v>
      </c>
      <c r="G24" s="30">
        <v>20012739</v>
      </c>
      <c r="H24" s="18" t="s">
        <v>67</v>
      </c>
      <c r="I24" s="30">
        <v>2</v>
      </c>
      <c r="J24" s="30">
        <v>10</v>
      </c>
      <c r="K24" s="31">
        <v>27.5</v>
      </c>
      <c r="L24" s="31">
        <f t="shared" si="0"/>
        <v>55</v>
      </c>
    </row>
    <row r="25" spans="4:12">
      <c r="D25" s="29">
        <v>46156</v>
      </c>
      <c r="E25" s="18">
        <v>1602906</v>
      </c>
      <c r="F25" s="18" t="s">
        <v>14</v>
      </c>
      <c r="G25" s="30">
        <v>20399747</v>
      </c>
      <c r="H25" s="18" t="s">
        <v>68</v>
      </c>
      <c r="I25" s="30">
        <v>6</v>
      </c>
      <c r="J25" s="30">
        <v>6</v>
      </c>
      <c r="K25" s="31">
        <v>8</v>
      </c>
      <c r="L25" s="31">
        <f t="shared" si="0"/>
        <v>48</v>
      </c>
    </row>
    <row r="26" spans="4:12">
      <c r="D26" s="29">
        <v>46156</v>
      </c>
      <c r="E26" s="18">
        <v>1602906</v>
      </c>
      <c r="F26" s="18" t="s">
        <v>14</v>
      </c>
      <c r="G26" s="30">
        <v>20013631</v>
      </c>
      <c r="H26" s="18" t="s">
        <v>70</v>
      </c>
      <c r="I26" s="30">
        <v>1</v>
      </c>
      <c r="J26" s="30">
        <v>5</v>
      </c>
      <c r="K26" s="31">
        <v>8</v>
      </c>
      <c r="L26" s="31">
        <f t="shared" si="0"/>
        <v>8</v>
      </c>
    </row>
    <row r="27" spans="4:12">
      <c r="D27" s="29">
        <v>46156</v>
      </c>
      <c r="E27" s="18">
        <v>1602906</v>
      </c>
      <c r="F27" s="18" t="s">
        <v>14</v>
      </c>
      <c r="G27" s="30">
        <v>20007399</v>
      </c>
      <c r="H27" s="18" t="s">
        <v>71</v>
      </c>
      <c r="I27" s="30">
        <v>34</v>
      </c>
      <c r="J27" s="30">
        <v>34</v>
      </c>
      <c r="K27" s="31">
        <v>8</v>
      </c>
      <c r="L27" s="31">
        <f t="shared" si="0"/>
        <v>272</v>
      </c>
    </row>
    <row r="28" spans="4:12">
      <c r="D28" s="29">
        <v>46156</v>
      </c>
      <c r="E28" s="18">
        <v>1602906</v>
      </c>
      <c r="F28" s="18" t="s">
        <v>14</v>
      </c>
      <c r="G28" s="30">
        <v>20007299</v>
      </c>
      <c r="H28" s="18" t="s">
        <v>72</v>
      </c>
      <c r="I28" s="30">
        <v>14</v>
      </c>
      <c r="J28" s="30">
        <v>14</v>
      </c>
      <c r="K28" s="31">
        <v>8</v>
      </c>
      <c r="L28" s="31">
        <f t="shared" si="0"/>
        <v>112</v>
      </c>
    </row>
    <row r="29" spans="4:12">
      <c r="D29" s="29">
        <v>46156</v>
      </c>
      <c r="E29" s="18">
        <v>1602906</v>
      </c>
      <c r="F29" s="18" t="s">
        <v>14</v>
      </c>
      <c r="G29" s="30">
        <v>20008009</v>
      </c>
      <c r="H29" s="18" t="s">
        <v>73</v>
      </c>
      <c r="I29" s="30">
        <v>10</v>
      </c>
      <c r="J29" s="30">
        <v>10</v>
      </c>
      <c r="K29" s="31">
        <v>8</v>
      </c>
      <c r="L29" s="31">
        <f t="shared" si="0"/>
        <v>80</v>
      </c>
    </row>
    <row r="30" spans="4:12">
      <c r="D30" s="29">
        <v>46161</v>
      </c>
      <c r="E30" s="18">
        <v>1604244</v>
      </c>
      <c r="F30" s="18" t="s">
        <v>14</v>
      </c>
      <c r="G30" s="30">
        <v>20007400</v>
      </c>
      <c r="H30" s="18" t="s">
        <v>62</v>
      </c>
      <c r="I30" s="30">
        <v>5</v>
      </c>
      <c r="J30" s="30">
        <v>5</v>
      </c>
      <c r="K30" s="31">
        <v>8</v>
      </c>
      <c r="L30" s="31">
        <f t="shared" si="0"/>
        <v>40</v>
      </c>
    </row>
    <row r="31" spans="4:12">
      <c r="D31" s="29">
        <v>46161</v>
      </c>
      <c r="E31" s="18">
        <v>1604244</v>
      </c>
      <c r="F31" s="18" t="s">
        <v>14</v>
      </c>
      <c r="G31" s="30">
        <v>20007300</v>
      </c>
      <c r="H31" s="18" t="s">
        <v>63</v>
      </c>
      <c r="I31" s="30">
        <v>4</v>
      </c>
      <c r="J31" s="30">
        <v>4</v>
      </c>
      <c r="K31" s="31">
        <v>8</v>
      </c>
      <c r="L31" s="31">
        <f t="shared" si="0"/>
        <v>32</v>
      </c>
    </row>
    <row r="32" spans="4:12">
      <c r="D32" s="29">
        <v>46161</v>
      </c>
      <c r="E32" s="18">
        <v>1604244</v>
      </c>
      <c r="F32" s="18" t="s">
        <v>14</v>
      </c>
      <c r="G32" s="30">
        <v>20010965</v>
      </c>
      <c r="H32" s="18" t="s">
        <v>58</v>
      </c>
      <c r="I32" s="30">
        <v>1</v>
      </c>
      <c r="J32" s="30">
        <v>1</v>
      </c>
      <c r="K32" s="31">
        <v>8</v>
      </c>
      <c r="L32" s="31">
        <f t="shared" si="0"/>
        <v>8</v>
      </c>
    </row>
    <row r="33" spans="4:12">
      <c r="D33" s="29">
        <v>46161</v>
      </c>
      <c r="E33" s="18">
        <v>1604244</v>
      </c>
      <c r="F33" s="18" t="s">
        <v>14</v>
      </c>
      <c r="G33" s="30">
        <v>20399747</v>
      </c>
      <c r="H33" s="18" t="s">
        <v>68</v>
      </c>
      <c r="I33" s="30">
        <v>11</v>
      </c>
      <c r="J33" s="30">
        <v>11</v>
      </c>
      <c r="K33" s="31">
        <v>8</v>
      </c>
      <c r="L33" s="31">
        <f t="shared" si="0"/>
        <v>88</v>
      </c>
    </row>
    <row r="34" spans="4:12">
      <c r="D34" s="29">
        <v>46161</v>
      </c>
      <c r="E34" s="18">
        <v>1604244</v>
      </c>
      <c r="F34" s="18" t="s">
        <v>14</v>
      </c>
      <c r="G34" s="30">
        <v>20013631</v>
      </c>
      <c r="H34" s="18" t="s">
        <v>70</v>
      </c>
      <c r="I34" s="30">
        <v>1</v>
      </c>
      <c r="J34" s="30">
        <v>5</v>
      </c>
      <c r="K34" s="31">
        <v>8</v>
      </c>
      <c r="L34" s="31">
        <f t="shared" si="0"/>
        <v>8</v>
      </c>
    </row>
    <row r="35" spans="4:12">
      <c r="D35" s="29">
        <v>46161</v>
      </c>
      <c r="E35" s="18">
        <v>1604244</v>
      </c>
      <c r="F35" s="18" t="s">
        <v>14</v>
      </c>
      <c r="G35" s="30">
        <v>20007399</v>
      </c>
      <c r="H35" s="18" t="s">
        <v>71</v>
      </c>
      <c r="I35" s="30">
        <v>29</v>
      </c>
      <c r="J35" s="30">
        <v>29</v>
      </c>
      <c r="K35" s="31">
        <v>8</v>
      </c>
      <c r="L35" s="31">
        <f t="shared" si="0"/>
        <v>232</v>
      </c>
    </row>
    <row r="36" spans="4:12">
      <c r="D36" s="29">
        <v>46161</v>
      </c>
      <c r="E36" s="18">
        <v>1604244</v>
      </c>
      <c r="F36" s="18" t="s">
        <v>14</v>
      </c>
      <c r="G36" s="30">
        <v>20007299</v>
      </c>
      <c r="H36" s="18" t="s">
        <v>72</v>
      </c>
      <c r="I36" s="30">
        <v>9</v>
      </c>
      <c r="J36" s="30">
        <v>9</v>
      </c>
      <c r="K36" s="31">
        <v>8</v>
      </c>
      <c r="L36" s="31">
        <f t="shared" si="0"/>
        <v>72</v>
      </c>
    </row>
    <row r="37" spans="4:12">
      <c r="D37" s="29">
        <v>46161</v>
      </c>
      <c r="E37" s="18">
        <v>1604244</v>
      </c>
      <c r="F37" s="18" t="s">
        <v>14</v>
      </c>
      <c r="G37" s="30">
        <v>20008009</v>
      </c>
      <c r="H37" s="18" t="s">
        <v>73</v>
      </c>
      <c r="I37" s="30">
        <v>10</v>
      </c>
      <c r="J37" s="30">
        <v>10</v>
      </c>
      <c r="K37" s="31">
        <v>8</v>
      </c>
      <c r="L37" s="31">
        <f t="shared" si="0"/>
        <v>80</v>
      </c>
    </row>
    <row r="38" spans="4:12">
      <c r="D38" s="29">
        <v>46161</v>
      </c>
      <c r="E38" s="18">
        <v>1604244</v>
      </c>
      <c r="F38" s="18" t="s">
        <v>14</v>
      </c>
      <c r="G38" s="30">
        <v>20007417</v>
      </c>
      <c r="H38" s="18" t="s">
        <v>56</v>
      </c>
      <c r="I38" s="30">
        <v>1</v>
      </c>
      <c r="J38" s="30">
        <v>1</v>
      </c>
      <c r="K38" s="31">
        <v>8</v>
      </c>
      <c r="L38" s="31">
        <f t="shared" si="0"/>
        <v>8</v>
      </c>
    </row>
    <row r="39" spans="4:12">
      <c r="D39" s="29">
        <v>46164</v>
      </c>
      <c r="E39" s="18">
        <v>1605357</v>
      </c>
      <c r="F39" s="18" t="s">
        <v>14</v>
      </c>
      <c r="G39" s="30">
        <v>20007300</v>
      </c>
      <c r="H39" s="18" t="s">
        <v>63</v>
      </c>
      <c r="I39" s="30">
        <v>1</v>
      </c>
      <c r="J39" s="30">
        <v>1</v>
      </c>
      <c r="K39" s="31">
        <v>8</v>
      </c>
      <c r="L39" s="31">
        <f t="shared" si="0"/>
        <v>8</v>
      </c>
    </row>
    <row r="40" spans="4:12">
      <c r="D40" s="29">
        <v>46164</v>
      </c>
      <c r="E40" s="18">
        <v>1605357</v>
      </c>
      <c r="F40" s="18" t="s">
        <v>14</v>
      </c>
      <c r="G40" s="30">
        <v>20300283</v>
      </c>
      <c r="H40" s="18" t="s">
        <v>74</v>
      </c>
      <c r="I40" s="30">
        <v>1</v>
      </c>
      <c r="J40" s="30">
        <v>3</v>
      </c>
      <c r="K40" s="31">
        <v>16.5</v>
      </c>
      <c r="L40" s="31">
        <f t="shared" si="0"/>
        <v>16.5</v>
      </c>
    </row>
    <row r="41" spans="4:12">
      <c r="D41" s="29">
        <v>46164</v>
      </c>
      <c r="E41" s="18">
        <v>1605357</v>
      </c>
      <c r="F41" s="18" t="s">
        <v>14</v>
      </c>
      <c r="G41" s="30">
        <v>20399748</v>
      </c>
      <c r="H41" s="18" t="s">
        <v>66</v>
      </c>
      <c r="I41" s="30">
        <v>10</v>
      </c>
      <c r="J41" s="30">
        <v>10</v>
      </c>
      <c r="K41" s="31">
        <v>8</v>
      </c>
      <c r="L41" s="31">
        <f t="shared" si="0"/>
        <v>80</v>
      </c>
    </row>
    <row r="42" spans="4:12">
      <c r="D42" s="29">
        <v>46164</v>
      </c>
      <c r="E42" s="18">
        <v>1605357</v>
      </c>
      <c r="F42" s="18" t="s">
        <v>14</v>
      </c>
      <c r="G42" s="30">
        <v>20012739</v>
      </c>
      <c r="H42" s="18" t="s">
        <v>67</v>
      </c>
      <c r="I42" s="30">
        <v>1</v>
      </c>
      <c r="J42" s="30">
        <v>5</v>
      </c>
      <c r="K42" s="31">
        <v>27.5</v>
      </c>
      <c r="L42" s="31">
        <f t="shared" si="0"/>
        <v>27.5</v>
      </c>
    </row>
    <row r="43" spans="4:12">
      <c r="D43" s="29">
        <v>46164</v>
      </c>
      <c r="E43" s="18">
        <v>1605357</v>
      </c>
      <c r="F43" s="18" t="s">
        <v>14</v>
      </c>
      <c r="G43" s="30">
        <v>20399747</v>
      </c>
      <c r="H43" s="18" t="s">
        <v>68</v>
      </c>
      <c r="I43" s="30">
        <v>10</v>
      </c>
      <c r="J43" s="30">
        <v>10</v>
      </c>
      <c r="K43" s="31">
        <v>8</v>
      </c>
      <c r="L43" s="31">
        <f t="shared" si="0"/>
        <v>80</v>
      </c>
    </row>
    <row r="44" spans="4:12">
      <c r="D44" s="29">
        <v>46164</v>
      </c>
      <c r="E44" s="18">
        <v>1605357</v>
      </c>
      <c r="F44" s="18" t="s">
        <v>14</v>
      </c>
      <c r="G44" s="30">
        <v>20007399</v>
      </c>
      <c r="H44" s="18" t="s">
        <v>71</v>
      </c>
      <c r="I44" s="30">
        <v>27</v>
      </c>
      <c r="J44" s="30">
        <v>27</v>
      </c>
      <c r="K44" s="31">
        <v>8</v>
      </c>
      <c r="L44" s="31">
        <f t="shared" si="0"/>
        <v>216</v>
      </c>
    </row>
    <row r="45" spans="4:12">
      <c r="D45" s="29">
        <v>46164</v>
      </c>
      <c r="E45" s="18">
        <v>1605357</v>
      </c>
      <c r="F45" s="18" t="s">
        <v>14</v>
      </c>
      <c r="G45" s="30">
        <v>20007299</v>
      </c>
      <c r="H45" s="18" t="s">
        <v>72</v>
      </c>
      <c r="I45" s="30">
        <v>2</v>
      </c>
      <c r="J45" s="30">
        <v>2</v>
      </c>
      <c r="K45" s="31">
        <v>8</v>
      </c>
      <c r="L45" s="31">
        <f t="shared" si="0"/>
        <v>16</v>
      </c>
    </row>
    <row r="46" spans="4:12">
      <c r="D46" s="29">
        <v>46169</v>
      </c>
      <c r="E46" s="18">
        <v>1606712</v>
      </c>
      <c r="F46" s="18" t="s">
        <v>14</v>
      </c>
      <c r="G46" s="30">
        <v>20007400</v>
      </c>
      <c r="H46" s="18" t="s">
        <v>62</v>
      </c>
      <c r="I46" s="30">
        <v>6</v>
      </c>
      <c r="J46" s="30">
        <v>6</v>
      </c>
      <c r="K46" s="31">
        <v>8</v>
      </c>
      <c r="L46" s="31">
        <f t="shared" si="0"/>
        <v>48</v>
      </c>
    </row>
    <row r="47" spans="4:12">
      <c r="D47" s="29">
        <v>46169</v>
      </c>
      <c r="E47" s="18">
        <v>1606712</v>
      </c>
      <c r="F47" s="18" t="s">
        <v>14</v>
      </c>
      <c r="G47" s="30">
        <v>20007300</v>
      </c>
      <c r="H47" s="18" t="s">
        <v>63</v>
      </c>
      <c r="I47" s="30">
        <v>2</v>
      </c>
      <c r="J47" s="30">
        <v>2</v>
      </c>
      <c r="K47" s="31">
        <v>8</v>
      </c>
      <c r="L47" s="31">
        <f t="shared" si="0"/>
        <v>16</v>
      </c>
    </row>
    <row r="48" spans="4:12">
      <c r="D48" s="29">
        <v>46169</v>
      </c>
      <c r="E48" s="18">
        <v>1606712</v>
      </c>
      <c r="F48" s="18" t="s">
        <v>14</v>
      </c>
      <c r="G48" s="30">
        <v>20012739</v>
      </c>
      <c r="H48" s="18" t="s">
        <v>67</v>
      </c>
      <c r="I48" s="30">
        <v>1</v>
      </c>
      <c r="J48" s="30">
        <v>5</v>
      </c>
      <c r="K48" s="31">
        <v>27.5</v>
      </c>
      <c r="L48" s="31">
        <f t="shared" si="0"/>
        <v>27.5</v>
      </c>
    </row>
    <row r="49" spans="4:12">
      <c r="D49" s="29">
        <v>46169</v>
      </c>
      <c r="E49" s="18">
        <v>1606712</v>
      </c>
      <c r="F49" s="18" t="s">
        <v>14</v>
      </c>
      <c r="G49" s="30">
        <v>20399747</v>
      </c>
      <c r="H49" s="18" t="s">
        <v>68</v>
      </c>
      <c r="I49" s="30">
        <v>11</v>
      </c>
      <c r="J49" s="30">
        <v>11</v>
      </c>
      <c r="K49" s="31">
        <v>8</v>
      </c>
      <c r="L49" s="31">
        <f t="shared" si="0"/>
        <v>88</v>
      </c>
    </row>
    <row r="50" spans="4:12">
      <c r="D50" s="29">
        <v>46169</v>
      </c>
      <c r="E50" s="18">
        <v>1606712</v>
      </c>
      <c r="F50" s="18" t="s">
        <v>14</v>
      </c>
      <c r="G50" s="30">
        <v>20013631</v>
      </c>
      <c r="H50" s="18" t="s">
        <v>70</v>
      </c>
      <c r="I50" s="30">
        <v>1</v>
      </c>
      <c r="J50" s="30">
        <v>5</v>
      </c>
      <c r="K50" s="31">
        <v>8</v>
      </c>
      <c r="L50" s="31">
        <f t="shared" si="0"/>
        <v>8</v>
      </c>
    </row>
    <row r="51" spans="4:12">
      <c r="D51" s="29">
        <v>46169</v>
      </c>
      <c r="E51" s="18">
        <v>1606712</v>
      </c>
      <c r="F51" s="18" t="s">
        <v>14</v>
      </c>
      <c r="G51" s="30">
        <v>20007399</v>
      </c>
      <c r="H51" s="18" t="s">
        <v>71</v>
      </c>
      <c r="I51" s="30">
        <v>35</v>
      </c>
      <c r="J51" s="30">
        <v>35</v>
      </c>
      <c r="K51" s="31">
        <v>8</v>
      </c>
      <c r="L51" s="31">
        <f t="shared" si="0"/>
        <v>280</v>
      </c>
    </row>
    <row r="52" spans="4:12">
      <c r="D52" s="29">
        <v>46169</v>
      </c>
      <c r="E52" s="18">
        <v>1606712</v>
      </c>
      <c r="F52" s="18" t="s">
        <v>14</v>
      </c>
      <c r="G52" s="30">
        <v>20007299</v>
      </c>
      <c r="H52" s="18" t="s">
        <v>72</v>
      </c>
      <c r="I52" s="30">
        <v>14</v>
      </c>
      <c r="J52" s="30">
        <v>14</v>
      </c>
      <c r="K52" s="31">
        <v>8</v>
      </c>
      <c r="L52" s="31">
        <f t="shared" si="0"/>
        <v>112</v>
      </c>
    </row>
    <row r="53" ht="0.05" customHeight="1"/>
  </sheetData>
  <mergeCells count="5">
    <mergeCell ref="D8:H8"/>
    <mergeCell ref="C7:C52"/>
    <mergeCell ref="B4:H5"/>
    <mergeCell ref="A7:B52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showGridLines="0" view="pageBreakPreview" zoomScaleNormal="100" workbookViewId="0">
      <pane ySplit="6" topLeftCell="A7" activePane="bottomLeft" state="frozen"/>
      <selection/>
      <selection pane="bottomLeft" activeCell="P10" sqref="P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5" customWidth="1"/>
    <col min="9" max="9" width="6.475" customWidth="1"/>
    <col min="10" max="10" width="9.45" customWidth="1"/>
    <col min="11" max="11" width="11.125" customWidth="1"/>
    <col min="12" max="12" width="11.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75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36</v>
      </c>
      <c r="J8" s="27">
        <v>66</v>
      </c>
      <c r="K8" s="28"/>
      <c r="L8" s="28">
        <v>2028</v>
      </c>
    </row>
    <row r="9" spans="1:12">
      <c r="D9" s="29">
        <v>46143</v>
      </c>
      <c r="E9" s="18">
        <v>1599953</v>
      </c>
      <c r="F9" s="18" t="s">
        <v>31</v>
      </c>
      <c r="G9" s="30">
        <v>20009682</v>
      </c>
      <c r="H9" s="18" t="s">
        <v>76</v>
      </c>
      <c r="I9" s="30">
        <v>1</v>
      </c>
      <c r="J9" s="30">
        <v>3</v>
      </c>
      <c r="K9" s="31">
        <v>66</v>
      </c>
      <c r="L9" s="31">
        <v>66</v>
      </c>
    </row>
    <row r="10" spans="1:12">
      <c r="D10" s="29">
        <v>46143</v>
      </c>
      <c r="E10" s="18">
        <v>1599953</v>
      </c>
      <c r="F10" s="18" t="s">
        <v>33</v>
      </c>
      <c r="G10" s="30">
        <v>20007576</v>
      </c>
      <c r="H10" s="18" t="s">
        <v>77</v>
      </c>
      <c r="I10" s="30">
        <v>1</v>
      </c>
      <c r="J10" s="30">
        <v>2</v>
      </c>
      <c r="K10" s="31">
        <v>44</v>
      </c>
      <c r="L10" s="31">
        <v>44</v>
      </c>
    </row>
    <row r="11" spans="1:12">
      <c r="D11" s="29">
        <v>46143</v>
      </c>
      <c r="E11" s="18">
        <v>1599953</v>
      </c>
      <c r="F11" s="18" t="s">
        <v>33</v>
      </c>
      <c r="G11" s="30">
        <v>20388768</v>
      </c>
      <c r="H11" s="18" t="s">
        <v>78</v>
      </c>
      <c r="I11" s="30">
        <v>1</v>
      </c>
      <c r="J11" s="30">
        <v>1</v>
      </c>
      <c r="K11" s="31">
        <v>300</v>
      </c>
      <c r="L11" s="31">
        <v>300</v>
      </c>
    </row>
    <row r="12" spans="1:12">
      <c r="D12" s="29">
        <v>46149</v>
      </c>
      <c r="E12" s="18">
        <v>1600715</v>
      </c>
      <c r="F12" s="18" t="s">
        <v>33</v>
      </c>
      <c r="G12" s="30">
        <v>20324941</v>
      </c>
      <c r="H12" s="18" t="s">
        <v>79</v>
      </c>
      <c r="I12" s="30">
        <v>1</v>
      </c>
      <c r="J12" s="30">
        <v>1</v>
      </c>
      <c r="K12" s="31">
        <v>28</v>
      </c>
      <c r="L12" s="31">
        <v>28</v>
      </c>
    </row>
    <row r="13" spans="1:12">
      <c r="D13" s="29">
        <v>46149</v>
      </c>
      <c r="E13" s="18">
        <v>1600715</v>
      </c>
      <c r="F13" s="18" t="s">
        <v>33</v>
      </c>
      <c r="G13" s="30">
        <v>20388768</v>
      </c>
      <c r="H13" s="18" t="s">
        <v>78</v>
      </c>
      <c r="I13" s="30">
        <v>1</v>
      </c>
      <c r="J13" s="30">
        <v>1</v>
      </c>
      <c r="K13" s="31">
        <v>300</v>
      </c>
      <c r="L13" s="31">
        <v>300</v>
      </c>
    </row>
    <row r="14" spans="1:12">
      <c r="D14" s="29">
        <v>46149</v>
      </c>
      <c r="E14" s="18">
        <v>1600715</v>
      </c>
      <c r="F14" s="18" t="s">
        <v>33</v>
      </c>
      <c r="G14" s="30">
        <v>20379076</v>
      </c>
      <c r="H14" s="18" t="s">
        <v>80</v>
      </c>
      <c r="I14" s="30">
        <v>1</v>
      </c>
      <c r="J14" s="30">
        <v>4</v>
      </c>
      <c r="K14" s="31">
        <v>88</v>
      </c>
      <c r="L14" s="31">
        <v>88</v>
      </c>
    </row>
    <row r="15" spans="1:12">
      <c r="D15" s="29">
        <v>46149</v>
      </c>
      <c r="E15" s="18">
        <v>1600993</v>
      </c>
      <c r="F15" s="18" t="s">
        <v>14</v>
      </c>
      <c r="G15" s="30">
        <v>20008591</v>
      </c>
      <c r="H15" s="18" t="s">
        <v>60</v>
      </c>
      <c r="I15" s="30">
        <v>1</v>
      </c>
      <c r="J15" s="30">
        <v>1</v>
      </c>
      <c r="K15" s="31">
        <v>8</v>
      </c>
      <c r="L15" s="31">
        <v>8</v>
      </c>
    </row>
    <row r="16" spans="1:12">
      <c r="D16" s="29">
        <v>46149</v>
      </c>
      <c r="E16" s="18">
        <v>1600993</v>
      </c>
      <c r="F16" s="18" t="s">
        <v>14</v>
      </c>
      <c r="G16" s="30">
        <v>20007417</v>
      </c>
      <c r="H16" s="18" t="s">
        <v>56</v>
      </c>
      <c r="I16" s="30">
        <v>1</v>
      </c>
      <c r="J16" s="30">
        <v>1</v>
      </c>
      <c r="K16" s="31">
        <v>8</v>
      </c>
      <c r="L16" s="31">
        <v>8</v>
      </c>
    </row>
    <row r="17" spans="4:12">
      <c r="D17" s="29">
        <v>46151</v>
      </c>
      <c r="E17" s="18">
        <v>1601568</v>
      </c>
      <c r="F17" s="18" t="s">
        <v>31</v>
      </c>
      <c r="G17" s="30">
        <v>20009682</v>
      </c>
      <c r="H17" s="18" t="s">
        <v>76</v>
      </c>
      <c r="I17" s="30">
        <v>1</v>
      </c>
      <c r="J17" s="30">
        <v>3</v>
      </c>
      <c r="K17" s="31">
        <v>66</v>
      </c>
      <c r="L17" s="31">
        <v>66</v>
      </c>
    </row>
    <row r="18" spans="4:12">
      <c r="D18" s="29">
        <v>46151</v>
      </c>
      <c r="E18" s="18">
        <v>1601568</v>
      </c>
      <c r="F18" s="18" t="s">
        <v>31</v>
      </c>
      <c r="G18" s="30">
        <v>20008861</v>
      </c>
      <c r="H18" s="18" t="s">
        <v>81</v>
      </c>
      <c r="I18" s="30">
        <v>1</v>
      </c>
      <c r="J18" s="30">
        <v>1</v>
      </c>
      <c r="K18" s="31">
        <v>35</v>
      </c>
      <c r="L18" s="31">
        <v>35</v>
      </c>
    </row>
    <row r="19" spans="4:12">
      <c r="D19" s="29">
        <v>46151</v>
      </c>
      <c r="E19" s="18">
        <v>1601568</v>
      </c>
      <c r="F19" s="18" t="s">
        <v>31</v>
      </c>
      <c r="G19" s="30">
        <v>20363523</v>
      </c>
      <c r="H19" s="18" t="s">
        <v>82</v>
      </c>
      <c r="I19" s="30">
        <v>1</v>
      </c>
      <c r="J19" s="30">
        <v>1</v>
      </c>
      <c r="K19" s="31">
        <v>22</v>
      </c>
      <c r="L19" s="31">
        <v>22</v>
      </c>
    </row>
    <row r="20" spans="4:12">
      <c r="D20" s="29">
        <v>46151</v>
      </c>
      <c r="E20" s="18">
        <v>1601568</v>
      </c>
      <c r="F20" s="18" t="s">
        <v>31</v>
      </c>
      <c r="G20" s="30">
        <v>20011833</v>
      </c>
      <c r="H20" s="18" t="s">
        <v>83</v>
      </c>
      <c r="I20" s="30">
        <v>2</v>
      </c>
      <c r="J20" s="30">
        <v>2</v>
      </c>
      <c r="K20" s="31">
        <v>28</v>
      </c>
      <c r="L20" s="31">
        <v>56</v>
      </c>
    </row>
    <row r="21" spans="4:12">
      <c r="D21" s="29">
        <v>46151</v>
      </c>
      <c r="E21" s="18">
        <v>1601568</v>
      </c>
      <c r="F21" s="18" t="s">
        <v>33</v>
      </c>
      <c r="G21" s="30">
        <v>20324941</v>
      </c>
      <c r="H21" s="18" t="s">
        <v>79</v>
      </c>
      <c r="I21" s="30">
        <v>1</v>
      </c>
      <c r="J21" s="30">
        <v>1</v>
      </c>
      <c r="K21" s="31">
        <v>28</v>
      </c>
      <c r="L21" s="31">
        <v>28</v>
      </c>
    </row>
    <row r="22" spans="4:12">
      <c r="D22" s="29">
        <v>46155</v>
      </c>
      <c r="E22" s="18">
        <v>1602875</v>
      </c>
      <c r="F22" s="18" t="s">
        <v>14</v>
      </c>
      <c r="G22" s="30">
        <v>20007417</v>
      </c>
      <c r="H22" s="18" t="s">
        <v>56</v>
      </c>
      <c r="I22" s="30">
        <v>1</v>
      </c>
      <c r="J22" s="30">
        <v>1</v>
      </c>
      <c r="K22" s="31">
        <v>8</v>
      </c>
      <c r="L22" s="31">
        <v>8</v>
      </c>
    </row>
    <row r="23" spans="4:12">
      <c r="D23" s="29">
        <v>46156</v>
      </c>
      <c r="E23" s="18">
        <v>1602964</v>
      </c>
      <c r="F23" s="18" t="s">
        <v>31</v>
      </c>
      <c r="G23" s="30">
        <v>20009682</v>
      </c>
      <c r="H23" s="18" t="s">
        <v>76</v>
      </c>
      <c r="I23" s="30">
        <v>1</v>
      </c>
      <c r="J23" s="30">
        <v>3</v>
      </c>
      <c r="K23" s="31">
        <v>66</v>
      </c>
      <c r="L23" s="31">
        <v>66</v>
      </c>
    </row>
    <row r="24" spans="4:12">
      <c r="D24" s="29">
        <v>46156</v>
      </c>
      <c r="E24" s="18">
        <v>1602964</v>
      </c>
      <c r="F24" s="18" t="s">
        <v>31</v>
      </c>
      <c r="G24" s="30">
        <v>20008861</v>
      </c>
      <c r="H24" s="18" t="s">
        <v>81</v>
      </c>
      <c r="I24" s="30">
        <v>1</v>
      </c>
      <c r="J24" s="30">
        <v>1</v>
      </c>
      <c r="K24" s="31">
        <v>35</v>
      </c>
      <c r="L24" s="31">
        <v>35</v>
      </c>
    </row>
    <row r="25" spans="4:12">
      <c r="D25" s="29">
        <v>46156</v>
      </c>
      <c r="E25" s="18">
        <v>1602964</v>
      </c>
      <c r="F25" s="18" t="s">
        <v>31</v>
      </c>
      <c r="G25" s="30">
        <v>20363523</v>
      </c>
      <c r="H25" s="18" t="s">
        <v>82</v>
      </c>
      <c r="I25" s="30">
        <v>1</v>
      </c>
      <c r="J25" s="30">
        <v>1</v>
      </c>
      <c r="K25" s="31">
        <v>22</v>
      </c>
      <c r="L25" s="31">
        <v>22</v>
      </c>
    </row>
    <row r="26" spans="4:12">
      <c r="D26" s="29">
        <v>46156</v>
      </c>
      <c r="E26" s="18">
        <v>1602964</v>
      </c>
      <c r="F26" s="18" t="s">
        <v>31</v>
      </c>
      <c r="G26" s="30">
        <v>20011833</v>
      </c>
      <c r="H26" s="18" t="s">
        <v>83</v>
      </c>
      <c r="I26" s="30">
        <v>1</v>
      </c>
      <c r="J26" s="30">
        <v>1</v>
      </c>
      <c r="K26" s="31">
        <v>28</v>
      </c>
      <c r="L26" s="31">
        <v>28</v>
      </c>
    </row>
    <row r="27" spans="4:12">
      <c r="D27" s="29">
        <v>46156</v>
      </c>
      <c r="E27" s="18">
        <v>1602964</v>
      </c>
      <c r="F27" s="18" t="s">
        <v>33</v>
      </c>
      <c r="G27" s="30">
        <v>20324941</v>
      </c>
      <c r="H27" s="18" t="s">
        <v>79</v>
      </c>
      <c r="I27" s="30">
        <v>1</v>
      </c>
      <c r="J27" s="30">
        <v>1</v>
      </c>
      <c r="K27" s="31">
        <v>28</v>
      </c>
      <c r="L27" s="31">
        <v>28</v>
      </c>
    </row>
    <row r="28" spans="4:12">
      <c r="D28" s="29">
        <v>46157</v>
      </c>
      <c r="E28" s="18">
        <v>1603371</v>
      </c>
      <c r="F28" s="18" t="s">
        <v>31</v>
      </c>
      <c r="G28" s="30">
        <v>20009682</v>
      </c>
      <c r="H28" s="18" t="s">
        <v>76</v>
      </c>
      <c r="I28" s="30">
        <v>1</v>
      </c>
      <c r="J28" s="30">
        <v>3</v>
      </c>
      <c r="K28" s="31">
        <v>66</v>
      </c>
      <c r="L28" s="31">
        <v>66</v>
      </c>
    </row>
    <row r="29" spans="4:12">
      <c r="D29" s="29">
        <v>46157</v>
      </c>
      <c r="E29" s="18">
        <v>1603371</v>
      </c>
      <c r="F29" s="18" t="s">
        <v>33</v>
      </c>
      <c r="G29" s="30">
        <v>20324941</v>
      </c>
      <c r="H29" s="18" t="s">
        <v>79</v>
      </c>
      <c r="I29" s="30">
        <v>1</v>
      </c>
      <c r="J29" s="30">
        <v>1</v>
      </c>
      <c r="K29" s="31">
        <v>28</v>
      </c>
      <c r="L29" s="31">
        <v>28</v>
      </c>
    </row>
    <row r="30" spans="4:12">
      <c r="D30" s="29">
        <v>46162</v>
      </c>
      <c r="E30" s="18">
        <v>1604636</v>
      </c>
      <c r="F30" s="18" t="s">
        <v>31</v>
      </c>
      <c r="G30" s="30">
        <v>20009682</v>
      </c>
      <c r="H30" s="18" t="s">
        <v>76</v>
      </c>
      <c r="I30" s="30">
        <v>1</v>
      </c>
      <c r="J30" s="30">
        <v>3</v>
      </c>
      <c r="K30" s="31">
        <v>66</v>
      </c>
      <c r="L30" s="31">
        <v>66</v>
      </c>
    </row>
    <row r="31" spans="4:12">
      <c r="D31" s="29">
        <v>46162</v>
      </c>
      <c r="E31" s="18">
        <v>1604636</v>
      </c>
      <c r="F31" s="18" t="s">
        <v>31</v>
      </c>
      <c r="G31" s="30">
        <v>20383166</v>
      </c>
      <c r="H31" s="18" t="s">
        <v>84</v>
      </c>
      <c r="I31" s="30">
        <v>1</v>
      </c>
      <c r="J31" s="30">
        <v>8</v>
      </c>
      <c r="K31" s="31">
        <v>154</v>
      </c>
      <c r="L31" s="31">
        <v>154</v>
      </c>
    </row>
    <row r="32" spans="4:12">
      <c r="D32" s="29">
        <v>46162</v>
      </c>
      <c r="E32" s="18">
        <v>1604636</v>
      </c>
      <c r="F32" s="18" t="s">
        <v>31</v>
      </c>
      <c r="G32" s="30">
        <v>20011833</v>
      </c>
      <c r="H32" s="18" t="s">
        <v>83</v>
      </c>
      <c r="I32" s="30">
        <v>1</v>
      </c>
      <c r="J32" s="30">
        <v>1</v>
      </c>
      <c r="K32" s="31">
        <v>28</v>
      </c>
      <c r="L32" s="31">
        <v>28</v>
      </c>
    </row>
    <row r="33" spans="4:12">
      <c r="D33" s="29">
        <v>46162</v>
      </c>
      <c r="E33" s="18">
        <v>1604636</v>
      </c>
      <c r="F33" s="18" t="s">
        <v>33</v>
      </c>
      <c r="G33" s="30">
        <v>20007576</v>
      </c>
      <c r="H33" s="18" t="s">
        <v>77</v>
      </c>
      <c r="I33" s="30">
        <v>1</v>
      </c>
      <c r="J33" s="30">
        <v>2</v>
      </c>
      <c r="K33" s="31">
        <v>44</v>
      </c>
      <c r="L33" s="31">
        <v>44</v>
      </c>
    </row>
    <row r="34" spans="4:12">
      <c r="D34" s="29">
        <v>46164</v>
      </c>
      <c r="E34" s="18">
        <v>1605410</v>
      </c>
      <c r="F34" s="18" t="s">
        <v>31</v>
      </c>
      <c r="G34" s="30">
        <v>20009682</v>
      </c>
      <c r="H34" s="18" t="s">
        <v>76</v>
      </c>
      <c r="I34" s="30">
        <v>1</v>
      </c>
      <c r="J34" s="30">
        <v>3</v>
      </c>
      <c r="K34" s="31">
        <v>66</v>
      </c>
      <c r="L34" s="31">
        <v>66</v>
      </c>
    </row>
    <row r="35" spans="4:12">
      <c r="D35" s="29">
        <v>46164</v>
      </c>
      <c r="E35" s="18">
        <v>1605410</v>
      </c>
      <c r="F35" s="18" t="s">
        <v>31</v>
      </c>
      <c r="G35" s="30">
        <v>20011833</v>
      </c>
      <c r="H35" s="18" t="s">
        <v>83</v>
      </c>
      <c r="I35" s="30">
        <v>1</v>
      </c>
      <c r="J35" s="30">
        <v>1</v>
      </c>
      <c r="K35" s="31">
        <v>28</v>
      </c>
      <c r="L35" s="31">
        <v>28</v>
      </c>
    </row>
    <row r="36" spans="4:12">
      <c r="D36" s="29">
        <v>46164</v>
      </c>
      <c r="E36" s="18">
        <v>1605410</v>
      </c>
      <c r="F36" s="18" t="s">
        <v>33</v>
      </c>
      <c r="G36" s="30">
        <v>20324941</v>
      </c>
      <c r="H36" s="18" t="s">
        <v>79</v>
      </c>
      <c r="I36" s="30">
        <v>1</v>
      </c>
      <c r="J36" s="30">
        <v>1</v>
      </c>
      <c r="K36" s="31">
        <v>28</v>
      </c>
      <c r="L36" s="31">
        <v>28</v>
      </c>
    </row>
    <row r="37" spans="4:12">
      <c r="D37" s="29">
        <v>46164</v>
      </c>
      <c r="E37" s="18">
        <v>1605410</v>
      </c>
      <c r="F37" s="18" t="s">
        <v>33</v>
      </c>
      <c r="G37" s="30">
        <v>20007576</v>
      </c>
      <c r="H37" s="18" t="s">
        <v>77</v>
      </c>
      <c r="I37" s="30">
        <v>1</v>
      </c>
      <c r="J37" s="30">
        <v>2</v>
      </c>
      <c r="K37" s="31">
        <v>44</v>
      </c>
      <c r="L37" s="31">
        <v>44</v>
      </c>
    </row>
    <row r="38" spans="4:12">
      <c r="D38" s="29">
        <v>46169</v>
      </c>
      <c r="E38" s="18">
        <v>1606713</v>
      </c>
      <c r="F38" s="18" t="s">
        <v>14</v>
      </c>
      <c r="G38" s="30">
        <v>20008591</v>
      </c>
      <c r="H38" s="18" t="s">
        <v>60</v>
      </c>
      <c r="I38" s="30">
        <v>1</v>
      </c>
      <c r="J38" s="30">
        <v>1</v>
      </c>
      <c r="K38" s="31">
        <v>8</v>
      </c>
      <c r="L38" s="31">
        <v>8</v>
      </c>
    </row>
    <row r="39" spans="4:12">
      <c r="D39" s="29">
        <v>46169</v>
      </c>
      <c r="E39" s="18">
        <v>1606739</v>
      </c>
      <c r="F39" s="18" t="s">
        <v>31</v>
      </c>
      <c r="G39" s="30">
        <v>20009682</v>
      </c>
      <c r="H39" s="18" t="s">
        <v>76</v>
      </c>
      <c r="I39" s="30">
        <v>2</v>
      </c>
      <c r="J39" s="30">
        <v>6</v>
      </c>
      <c r="K39" s="31">
        <v>66</v>
      </c>
      <c r="L39" s="31">
        <v>132</v>
      </c>
    </row>
    <row r="40" spans="4:12">
      <c r="D40" s="29">
        <v>46169</v>
      </c>
      <c r="E40" s="18">
        <v>1606739</v>
      </c>
      <c r="F40" s="18" t="s">
        <v>31</v>
      </c>
      <c r="G40" s="30">
        <v>20011833</v>
      </c>
      <c r="H40" s="18" t="s">
        <v>83</v>
      </c>
      <c r="I40" s="30">
        <v>1</v>
      </c>
      <c r="J40" s="30">
        <v>1</v>
      </c>
      <c r="K40" s="31">
        <v>28</v>
      </c>
      <c r="L40" s="31">
        <v>28</v>
      </c>
    </row>
    <row r="41" spans="4:12">
      <c r="D41" s="29">
        <v>46169</v>
      </c>
      <c r="E41" s="18">
        <v>1606739</v>
      </c>
      <c r="F41" s="18" t="s">
        <v>33</v>
      </c>
      <c r="G41" s="30">
        <v>20324941</v>
      </c>
      <c r="H41" s="18" t="s">
        <v>79</v>
      </c>
      <c r="I41" s="30">
        <v>1</v>
      </c>
      <c r="J41" s="30">
        <v>1</v>
      </c>
      <c r="K41" s="31">
        <v>28</v>
      </c>
      <c r="L41" s="31">
        <v>28</v>
      </c>
    </row>
    <row r="42" spans="4:12">
      <c r="D42" s="29">
        <v>46169</v>
      </c>
      <c r="E42" s="18">
        <v>1606739</v>
      </c>
      <c r="F42" s="18" t="s">
        <v>33</v>
      </c>
      <c r="G42" s="30">
        <v>20007576</v>
      </c>
      <c r="H42" s="18" t="s">
        <v>77</v>
      </c>
      <c r="I42" s="30">
        <v>1</v>
      </c>
      <c r="J42" s="30">
        <v>2</v>
      </c>
      <c r="K42" s="31">
        <v>44</v>
      </c>
      <c r="L42" s="31">
        <v>44</v>
      </c>
    </row>
  </sheetData>
  <mergeCells count="5">
    <mergeCell ref="D8:H8"/>
    <mergeCell ref="C7:C42"/>
    <mergeCell ref="B4:H5"/>
    <mergeCell ref="A7:B42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showGridLines="0" view="pageBreakPreview" zoomScaleNormal="100" workbookViewId="0">
      <pane ySplit="6" topLeftCell="A7" activePane="bottomLeft" state="frozen"/>
      <selection/>
      <selection pane="bottomLeft" activeCell="L9" sqref="L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0.75" customWidth="1"/>
    <col min="12" max="12" width="11.6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85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f>SUM(I9:I49)</f>
        <v>111</v>
      </c>
      <c r="J8" s="27">
        <f>SUM(J9:J49)</f>
        <v>111</v>
      </c>
      <c r="K8" s="28"/>
      <c r="L8" s="28">
        <f>SUM(L9:L49)</f>
        <v>923</v>
      </c>
    </row>
    <row r="9" spans="1:12">
      <c r="D9" s="29">
        <v>46148</v>
      </c>
      <c r="E9" s="18">
        <v>1600597</v>
      </c>
      <c r="F9" s="18" t="s">
        <v>14</v>
      </c>
      <c r="G9" s="30">
        <v>20379167</v>
      </c>
      <c r="H9" s="18" t="s">
        <v>86</v>
      </c>
      <c r="I9" s="30">
        <v>1</v>
      </c>
      <c r="J9" s="30">
        <v>1</v>
      </c>
      <c r="K9" s="31">
        <v>13</v>
      </c>
      <c r="L9" s="31">
        <v>13</v>
      </c>
    </row>
    <row r="10" spans="1:12">
      <c r="D10" s="29">
        <v>46148</v>
      </c>
      <c r="E10" s="18">
        <v>1600597</v>
      </c>
      <c r="F10" s="18" t="s">
        <v>14</v>
      </c>
      <c r="G10" s="30">
        <v>20007359</v>
      </c>
      <c r="H10" s="18" t="s">
        <v>87</v>
      </c>
      <c r="I10" s="30">
        <v>1</v>
      </c>
      <c r="J10" s="30">
        <v>1</v>
      </c>
      <c r="K10" s="31">
        <v>8</v>
      </c>
      <c r="L10" s="31">
        <v>8</v>
      </c>
    </row>
    <row r="11" spans="1:12">
      <c r="D11" s="29">
        <v>46148</v>
      </c>
      <c r="E11" s="18">
        <v>1600597</v>
      </c>
      <c r="F11" s="18" t="s">
        <v>14</v>
      </c>
      <c r="G11" s="30">
        <v>20009730</v>
      </c>
      <c r="H11" s="18" t="s">
        <v>88</v>
      </c>
      <c r="I11" s="30">
        <v>1</v>
      </c>
      <c r="J11" s="30">
        <v>1</v>
      </c>
      <c r="K11" s="31">
        <v>8</v>
      </c>
      <c r="L11" s="31">
        <v>8</v>
      </c>
    </row>
    <row r="12" spans="1:12">
      <c r="D12" s="29">
        <v>46148</v>
      </c>
      <c r="E12" s="18">
        <v>1600597</v>
      </c>
      <c r="F12" s="18" t="s">
        <v>14</v>
      </c>
      <c r="G12" s="30">
        <v>20009729</v>
      </c>
      <c r="H12" s="18" t="s">
        <v>89</v>
      </c>
      <c r="I12" s="30">
        <v>5</v>
      </c>
      <c r="J12" s="30">
        <v>5</v>
      </c>
      <c r="K12" s="31">
        <v>8</v>
      </c>
      <c r="L12" s="31">
        <v>40</v>
      </c>
    </row>
    <row r="13" spans="1:12">
      <c r="D13" s="29">
        <v>46149</v>
      </c>
      <c r="E13" s="18">
        <v>1600994</v>
      </c>
      <c r="F13" s="18" t="s">
        <v>14</v>
      </c>
      <c r="G13" s="30">
        <v>20379167</v>
      </c>
      <c r="H13" s="18" t="s">
        <v>86</v>
      </c>
      <c r="I13" s="30">
        <v>1</v>
      </c>
      <c r="J13" s="30">
        <v>1</v>
      </c>
      <c r="K13" s="31">
        <v>13</v>
      </c>
      <c r="L13" s="31">
        <v>13</v>
      </c>
    </row>
    <row r="14" spans="1:12">
      <c r="D14" s="29">
        <v>46149</v>
      </c>
      <c r="E14" s="18">
        <v>1600994</v>
      </c>
      <c r="F14" s="18" t="s">
        <v>14</v>
      </c>
      <c r="G14" s="30">
        <v>20009730</v>
      </c>
      <c r="H14" s="18" t="s">
        <v>88</v>
      </c>
      <c r="I14" s="30">
        <v>7</v>
      </c>
      <c r="J14" s="30">
        <v>7</v>
      </c>
      <c r="K14" s="31">
        <v>8</v>
      </c>
      <c r="L14" s="31">
        <v>56</v>
      </c>
    </row>
    <row r="15" spans="1:12">
      <c r="D15" s="29">
        <v>46149</v>
      </c>
      <c r="E15" s="18">
        <v>1600994</v>
      </c>
      <c r="F15" s="18" t="s">
        <v>14</v>
      </c>
      <c r="G15" s="30">
        <v>20009729</v>
      </c>
      <c r="H15" s="18" t="s">
        <v>89</v>
      </c>
      <c r="I15" s="30">
        <v>3</v>
      </c>
      <c r="J15" s="30">
        <v>3</v>
      </c>
      <c r="K15" s="31">
        <v>8</v>
      </c>
      <c r="L15" s="31">
        <v>24</v>
      </c>
    </row>
    <row r="16" spans="1:12">
      <c r="D16" s="29">
        <v>46151</v>
      </c>
      <c r="E16" s="18">
        <v>1601520</v>
      </c>
      <c r="F16" s="18" t="s">
        <v>14</v>
      </c>
      <c r="G16" s="30">
        <v>20315529</v>
      </c>
      <c r="H16" s="18" t="s">
        <v>90</v>
      </c>
      <c r="I16" s="30">
        <v>1</v>
      </c>
      <c r="J16" s="30">
        <v>1</v>
      </c>
      <c r="K16" s="31">
        <v>8</v>
      </c>
      <c r="L16" s="31">
        <v>8</v>
      </c>
    </row>
    <row r="17" spans="4:12">
      <c r="D17" s="29">
        <v>46151</v>
      </c>
      <c r="E17" s="18">
        <v>1601520</v>
      </c>
      <c r="F17" s="18" t="s">
        <v>14</v>
      </c>
      <c r="G17" s="30">
        <v>20014128</v>
      </c>
      <c r="H17" s="18" t="s">
        <v>55</v>
      </c>
      <c r="I17" s="30">
        <v>1</v>
      </c>
      <c r="J17" s="30">
        <v>1</v>
      </c>
      <c r="K17" s="31">
        <v>8</v>
      </c>
      <c r="L17" s="31">
        <v>8</v>
      </c>
    </row>
    <row r="18" spans="4:12">
      <c r="D18" s="29">
        <v>46151</v>
      </c>
      <c r="E18" s="18">
        <v>1601520</v>
      </c>
      <c r="F18" s="18" t="s">
        <v>14</v>
      </c>
      <c r="G18" s="30">
        <v>20009730</v>
      </c>
      <c r="H18" s="18" t="s">
        <v>88</v>
      </c>
      <c r="I18" s="30">
        <v>2</v>
      </c>
      <c r="J18" s="30">
        <v>2</v>
      </c>
      <c r="K18" s="31">
        <v>8</v>
      </c>
      <c r="L18" s="31">
        <v>16</v>
      </c>
    </row>
    <row r="19" spans="4:12">
      <c r="D19" s="29">
        <v>46151</v>
      </c>
      <c r="E19" s="18">
        <v>1601520</v>
      </c>
      <c r="F19" s="18" t="s">
        <v>14</v>
      </c>
      <c r="G19" s="30">
        <v>20009729</v>
      </c>
      <c r="H19" s="18" t="s">
        <v>89</v>
      </c>
      <c r="I19" s="30">
        <v>2</v>
      </c>
      <c r="J19" s="30">
        <v>2</v>
      </c>
      <c r="K19" s="31">
        <v>8</v>
      </c>
      <c r="L19" s="31">
        <v>16</v>
      </c>
    </row>
    <row r="20" spans="4:12">
      <c r="D20" s="29">
        <v>46153</v>
      </c>
      <c r="E20" s="18">
        <v>1602159</v>
      </c>
      <c r="F20" s="18" t="s">
        <v>14</v>
      </c>
      <c r="G20" s="30">
        <v>20009730</v>
      </c>
      <c r="H20" s="18" t="s">
        <v>88</v>
      </c>
      <c r="I20" s="30">
        <v>4</v>
      </c>
      <c r="J20" s="30">
        <v>4</v>
      </c>
      <c r="K20" s="31">
        <v>8</v>
      </c>
      <c r="L20" s="31">
        <v>32</v>
      </c>
    </row>
    <row r="21" spans="4:12">
      <c r="D21" s="29">
        <v>46153</v>
      </c>
      <c r="E21" s="18">
        <v>1602159</v>
      </c>
      <c r="F21" s="18" t="s">
        <v>14</v>
      </c>
      <c r="G21" s="30">
        <v>20009729</v>
      </c>
      <c r="H21" s="18" t="s">
        <v>89</v>
      </c>
      <c r="I21" s="30">
        <v>5</v>
      </c>
      <c r="J21" s="30">
        <v>5</v>
      </c>
      <c r="K21" s="31">
        <v>8</v>
      </c>
      <c r="L21" s="31">
        <v>40</v>
      </c>
    </row>
    <row r="22" spans="4:12">
      <c r="D22" s="29">
        <v>46155</v>
      </c>
      <c r="E22" s="18">
        <v>1602874</v>
      </c>
      <c r="F22" s="18" t="s">
        <v>14</v>
      </c>
      <c r="G22" s="30">
        <v>20009730</v>
      </c>
      <c r="H22" s="18" t="s">
        <v>88</v>
      </c>
      <c r="I22" s="30">
        <v>2</v>
      </c>
      <c r="J22" s="30">
        <v>2</v>
      </c>
      <c r="K22" s="31">
        <v>8</v>
      </c>
      <c r="L22" s="31">
        <v>16</v>
      </c>
    </row>
    <row r="23" spans="4:12">
      <c r="D23" s="29">
        <v>46155</v>
      </c>
      <c r="E23" s="18">
        <v>1602874</v>
      </c>
      <c r="F23" s="18" t="s">
        <v>14</v>
      </c>
      <c r="G23" s="30">
        <v>20009729</v>
      </c>
      <c r="H23" s="18" t="s">
        <v>89</v>
      </c>
      <c r="I23" s="30">
        <v>4</v>
      </c>
      <c r="J23" s="30">
        <v>4</v>
      </c>
      <c r="K23" s="31">
        <v>8</v>
      </c>
      <c r="L23" s="31">
        <v>32</v>
      </c>
    </row>
    <row r="24" spans="4:12">
      <c r="D24" s="29">
        <v>46158</v>
      </c>
      <c r="E24" s="18">
        <v>1603651</v>
      </c>
      <c r="F24" s="18" t="s">
        <v>14</v>
      </c>
      <c r="G24" s="30">
        <v>20009730</v>
      </c>
      <c r="H24" s="18" t="s">
        <v>88</v>
      </c>
      <c r="I24" s="30">
        <v>2</v>
      </c>
      <c r="J24" s="30">
        <v>2</v>
      </c>
      <c r="K24" s="31">
        <v>8</v>
      </c>
      <c r="L24" s="31">
        <v>16</v>
      </c>
    </row>
    <row r="25" spans="4:12">
      <c r="D25" s="29">
        <v>46158</v>
      </c>
      <c r="E25" s="18">
        <v>1603651</v>
      </c>
      <c r="F25" s="18" t="s">
        <v>14</v>
      </c>
      <c r="G25" s="30">
        <v>20009729</v>
      </c>
      <c r="H25" s="18" t="s">
        <v>89</v>
      </c>
      <c r="I25" s="30">
        <v>3</v>
      </c>
      <c r="J25" s="30">
        <v>3</v>
      </c>
      <c r="K25" s="31">
        <v>8</v>
      </c>
      <c r="L25" s="31">
        <v>24</v>
      </c>
    </row>
    <row r="26" spans="4:12">
      <c r="D26" s="29">
        <v>46161</v>
      </c>
      <c r="E26" s="18">
        <v>1604245</v>
      </c>
      <c r="F26" s="18" t="s">
        <v>14</v>
      </c>
      <c r="G26" s="30">
        <v>20379167</v>
      </c>
      <c r="H26" s="18" t="s">
        <v>86</v>
      </c>
      <c r="I26" s="30">
        <v>1</v>
      </c>
      <c r="J26" s="30">
        <v>1</v>
      </c>
      <c r="K26" s="31">
        <v>13</v>
      </c>
      <c r="L26" s="31">
        <v>13</v>
      </c>
    </row>
    <row r="27" spans="4:12">
      <c r="D27" s="29">
        <v>46161</v>
      </c>
      <c r="E27" s="18">
        <v>1604245</v>
      </c>
      <c r="F27" s="18" t="s">
        <v>14</v>
      </c>
      <c r="G27" s="30">
        <v>20007359</v>
      </c>
      <c r="H27" s="18" t="s">
        <v>87</v>
      </c>
      <c r="I27" s="30">
        <v>2</v>
      </c>
      <c r="J27" s="30">
        <v>2</v>
      </c>
      <c r="K27" s="31">
        <v>8</v>
      </c>
      <c r="L27" s="31">
        <v>16</v>
      </c>
    </row>
    <row r="28" spans="4:12">
      <c r="D28" s="29">
        <v>46161</v>
      </c>
      <c r="E28" s="18">
        <v>1604245</v>
      </c>
      <c r="F28" s="18" t="s">
        <v>14</v>
      </c>
      <c r="G28" s="30">
        <v>20009730</v>
      </c>
      <c r="H28" s="18" t="s">
        <v>88</v>
      </c>
      <c r="I28" s="30">
        <v>6</v>
      </c>
      <c r="J28" s="30">
        <v>6</v>
      </c>
      <c r="K28" s="31">
        <v>8</v>
      </c>
      <c r="L28" s="31">
        <v>48</v>
      </c>
    </row>
    <row r="29" spans="4:12">
      <c r="D29" s="29">
        <v>46161</v>
      </c>
      <c r="E29" s="18">
        <v>1604245</v>
      </c>
      <c r="F29" s="18" t="s">
        <v>14</v>
      </c>
      <c r="G29" s="30">
        <v>20009729</v>
      </c>
      <c r="H29" s="18" t="s">
        <v>89</v>
      </c>
      <c r="I29" s="30">
        <v>4</v>
      </c>
      <c r="J29" s="30">
        <v>4</v>
      </c>
      <c r="K29" s="31">
        <v>8</v>
      </c>
      <c r="L29" s="31">
        <v>32</v>
      </c>
    </row>
    <row r="30" spans="4:12">
      <c r="D30" s="29">
        <v>46162</v>
      </c>
      <c r="E30" s="18">
        <v>1604930</v>
      </c>
      <c r="F30" s="18" t="s">
        <v>14</v>
      </c>
      <c r="G30" s="30">
        <v>20009730</v>
      </c>
      <c r="H30" s="18" t="s">
        <v>88</v>
      </c>
      <c r="I30" s="30">
        <v>4</v>
      </c>
      <c r="J30" s="30">
        <v>4</v>
      </c>
      <c r="K30" s="31">
        <v>8</v>
      </c>
      <c r="L30" s="31">
        <v>32</v>
      </c>
    </row>
    <row r="31" spans="4:12">
      <c r="D31" s="29">
        <v>46162</v>
      </c>
      <c r="E31" s="18">
        <v>1604930</v>
      </c>
      <c r="F31" s="18" t="s">
        <v>14</v>
      </c>
      <c r="G31" s="30">
        <v>20009729</v>
      </c>
      <c r="H31" s="18" t="s">
        <v>89</v>
      </c>
      <c r="I31" s="30">
        <v>1</v>
      </c>
      <c r="J31" s="30">
        <v>1</v>
      </c>
      <c r="K31" s="31">
        <v>8</v>
      </c>
      <c r="L31" s="31">
        <v>8</v>
      </c>
    </row>
    <row r="32" spans="4:12">
      <c r="D32" s="29">
        <v>46163</v>
      </c>
      <c r="E32" s="18">
        <v>1605317</v>
      </c>
      <c r="F32" s="18" t="s">
        <v>14</v>
      </c>
      <c r="G32" s="30">
        <v>20009730</v>
      </c>
      <c r="H32" s="18" t="s">
        <v>88</v>
      </c>
      <c r="I32" s="30">
        <v>4</v>
      </c>
      <c r="J32" s="30">
        <v>4</v>
      </c>
      <c r="K32" s="31">
        <v>8</v>
      </c>
      <c r="L32" s="31">
        <v>32</v>
      </c>
    </row>
    <row r="33" spans="4:12">
      <c r="D33" s="29">
        <v>46163</v>
      </c>
      <c r="E33" s="18">
        <v>1605317</v>
      </c>
      <c r="F33" s="18" t="s">
        <v>14</v>
      </c>
      <c r="G33" s="30">
        <v>20009729</v>
      </c>
      <c r="H33" s="18" t="s">
        <v>89</v>
      </c>
      <c r="I33" s="30">
        <v>3</v>
      </c>
      <c r="J33" s="30">
        <v>3</v>
      </c>
      <c r="K33" s="31">
        <v>8</v>
      </c>
      <c r="L33" s="31">
        <v>24</v>
      </c>
    </row>
    <row r="34" spans="4:12">
      <c r="D34" s="29">
        <v>46165</v>
      </c>
      <c r="E34" s="18">
        <v>1605754</v>
      </c>
      <c r="F34" s="18" t="s">
        <v>14</v>
      </c>
      <c r="G34" s="30">
        <v>20379167</v>
      </c>
      <c r="H34" s="18" t="s">
        <v>86</v>
      </c>
      <c r="I34" s="30">
        <v>1</v>
      </c>
      <c r="J34" s="30">
        <v>1</v>
      </c>
      <c r="K34" s="31">
        <v>13</v>
      </c>
      <c r="L34" s="31">
        <v>13</v>
      </c>
    </row>
    <row r="35" spans="4:12">
      <c r="D35" s="29">
        <v>46165</v>
      </c>
      <c r="E35" s="18">
        <v>1605754</v>
      </c>
      <c r="F35" s="18" t="s">
        <v>14</v>
      </c>
      <c r="G35" s="30">
        <v>20009730</v>
      </c>
      <c r="H35" s="18" t="s">
        <v>88</v>
      </c>
      <c r="I35" s="30">
        <v>4</v>
      </c>
      <c r="J35" s="30">
        <v>4</v>
      </c>
      <c r="K35" s="31">
        <v>8</v>
      </c>
      <c r="L35" s="31">
        <v>32</v>
      </c>
    </row>
    <row r="36" spans="4:12">
      <c r="D36" s="29">
        <v>46165</v>
      </c>
      <c r="E36" s="18">
        <v>1605754</v>
      </c>
      <c r="F36" s="18" t="s">
        <v>14</v>
      </c>
      <c r="G36" s="30">
        <v>20009729</v>
      </c>
      <c r="H36" s="18" t="s">
        <v>89</v>
      </c>
      <c r="I36" s="30">
        <v>2</v>
      </c>
      <c r="J36" s="30">
        <v>2</v>
      </c>
      <c r="K36" s="31">
        <v>8</v>
      </c>
      <c r="L36" s="31">
        <v>16</v>
      </c>
    </row>
    <row r="37" spans="4:12">
      <c r="D37" s="29">
        <v>46167</v>
      </c>
      <c r="E37" s="18">
        <v>1606232</v>
      </c>
      <c r="F37" s="18" t="s">
        <v>14</v>
      </c>
      <c r="G37" s="30">
        <v>20007359</v>
      </c>
      <c r="H37" s="18" t="s">
        <v>87</v>
      </c>
      <c r="I37" s="30">
        <v>1</v>
      </c>
      <c r="J37" s="30">
        <v>1</v>
      </c>
      <c r="K37" s="31">
        <v>8</v>
      </c>
      <c r="L37" s="31">
        <v>8</v>
      </c>
    </row>
    <row r="38" spans="4:12">
      <c r="D38" s="29">
        <v>46167</v>
      </c>
      <c r="E38" s="18">
        <v>1606232</v>
      </c>
      <c r="F38" s="18" t="s">
        <v>14</v>
      </c>
      <c r="G38" s="30">
        <v>20009730</v>
      </c>
      <c r="H38" s="18" t="s">
        <v>88</v>
      </c>
      <c r="I38" s="30">
        <v>5</v>
      </c>
      <c r="J38" s="30">
        <v>5</v>
      </c>
      <c r="K38" s="31">
        <v>8</v>
      </c>
      <c r="L38" s="31">
        <v>40</v>
      </c>
    </row>
    <row r="39" spans="4:12">
      <c r="D39" s="29">
        <v>46167</v>
      </c>
      <c r="E39" s="18">
        <v>1606232</v>
      </c>
      <c r="F39" s="18" t="s">
        <v>14</v>
      </c>
      <c r="G39" s="30">
        <v>20009729</v>
      </c>
      <c r="H39" s="18" t="s">
        <v>89</v>
      </c>
      <c r="I39" s="30">
        <v>4</v>
      </c>
      <c r="J39" s="30">
        <v>4</v>
      </c>
      <c r="K39" s="31">
        <v>8</v>
      </c>
      <c r="L39" s="31">
        <v>32</v>
      </c>
    </row>
    <row r="40" spans="4:12">
      <c r="D40" s="29">
        <v>46169</v>
      </c>
      <c r="E40" s="18">
        <v>1606714</v>
      </c>
      <c r="F40" s="18" t="s">
        <v>49</v>
      </c>
      <c r="G40" s="30">
        <v>20007409</v>
      </c>
      <c r="H40" s="18" t="s">
        <v>91</v>
      </c>
      <c r="I40" s="30">
        <v>1</v>
      </c>
      <c r="J40" s="30">
        <v>1</v>
      </c>
      <c r="K40" s="31">
        <v>13</v>
      </c>
      <c r="L40" s="31">
        <v>13</v>
      </c>
    </row>
    <row r="41" spans="4:12">
      <c r="D41" s="29">
        <v>46169</v>
      </c>
      <c r="E41" s="18">
        <v>1606714</v>
      </c>
      <c r="F41" s="18" t="s">
        <v>14</v>
      </c>
      <c r="G41" s="30">
        <v>20009730</v>
      </c>
      <c r="H41" s="18" t="s">
        <v>88</v>
      </c>
      <c r="I41" s="30">
        <v>5</v>
      </c>
      <c r="J41" s="30">
        <v>5</v>
      </c>
      <c r="K41" s="31">
        <v>8</v>
      </c>
      <c r="L41" s="31">
        <v>40</v>
      </c>
    </row>
    <row r="42" spans="4:12">
      <c r="D42" s="29">
        <v>46169</v>
      </c>
      <c r="E42" s="18">
        <v>1606714</v>
      </c>
      <c r="F42" s="18" t="s">
        <v>14</v>
      </c>
      <c r="G42" s="30">
        <v>20009729</v>
      </c>
      <c r="H42" s="18" t="s">
        <v>89</v>
      </c>
      <c r="I42" s="30">
        <v>3</v>
      </c>
      <c r="J42" s="30">
        <v>3</v>
      </c>
      <c r="K42" s="31">
        <v>8</v>
      </c>
      <c r="L42" s="31">
        <v>24</v>
      </c>
    </row>
    <row r="43" spans="4:12">
      <c r="D43" s="29">
        <v>46169</v>
      </c>
      <c r="E43" s="18">
        <v>1606967</v>
      </c>
      <c r="F43" s="18" t="s">
        <v>14</v>
      </c>
      <c r="G43" s="30">
        <v>20379167</v>
      </c>
      <c r="H43" s="18" t="s">
        <v>86</v>
      </c>
      <c r="I43" s="30">
        <v>1</v>
      </c>
      <c r="J43" s="30">
        <v>1</v>
      </c>
      <c r="K43" s="31">
        <v>13</v>
      </c>
      <c r="L43" s="31">
        <v>13</v>
      </c>
    </row>
    <row r="44" spans="4:12">
      <c r="D44" s="29">
        <v>46169</v>
      </c>
      <c r="E44" s="18">
        <v>1606967</v>
      </c>
      <c r="F44" s="18" t="s">
        <v>14</v>
      </c>
      <c r="G44" s="30">
        <v>20009730</v>
      </c>
      <c r="H44" s="18" t="s">
        <v>88</v>
      </c>
      <c r="I44" s="30">
        <v>4</v>
      </c>
      <c r="J44" s="30">
        <v>4</v>
      </c>
      <c r="K44" s="31">
        <v>8</v>
      </c>
      <c r="L44" s="31">
        <v>32</v>
      </c>
    </row>
    <row r="45" spans="4:12">
      <c r="D45" s="29">
        <v>46169</v>
      </c>
      <c r="E45" s="18">
        <v>1606967</v>
      </c>
      <c r="F45" s="18" t="s">
        <v>14</v>
      </c>
      <c r="G45" s="30">
        <v>20009729</v>
      </c>
      <c r="H45" s="18" t="s">
        <v>89</v>
      </c>
      <c r="I45" s="30">
        <v>1</v>
      </c>
      <c r="J45" s="30">
        <v>1</v>
      </c>
      <c r="K45" s="31">
        <v>8</v>
      </c>
      <c r="L45" s="31">
        <v>8</v>
      </c>
    </row>
    <row r="46" spans="4:12">
      <c r="D46" s="29">
        <v>46171</v>
      </c>
      <c r="E46" s="18">
        <v>1607437</v>
      </c>
      <c r="F46" s="18" t="s">
        <v>14</v>
      </c>
      <c r="G46" s="30">
        <v>20009730</v>
      </c>
      <c r="H46" s="18" t="s">
        <v>88</v>
      </c>
      <c r="I46" s="30">
        <v>2</v>
      </c>
      <c r="J46" s="30">
        <v>2</v>
      </c>
      <c r="K46" s="31">
        <v>8</v>
      </c>
      <c r="L46" s="31">
        <v>16</v>
      </c>
    </row>
    <row r="47" spans="4:12">
      <c r="D47" s="29">
        <v>46171</v>
      </c>
      <c r="E47" s="18">
        <v>1607437</v>
      </c>
      <c r="F47" s="18" t="s">
        <v>14</v>
      </c>
      <c r="G47" s="30">
        <v>20009729</v>
      </c>
      <c r="H47" s="18" t="s">
        <v>89</v>
      </c>
      <c r="I47" s="30">
        <v>2</v>
      </c>
      <c r="J47" s="30">
        <v>2</v>
      </c>
      <c r="K47" s="31">
        <v>8</v>
      </c>
      <c r="L47" s="31">
        <v>16</v>
      </c>
    </row>
    <row r="48" spans="4:12">
      <c r="D48" s="29">
        <v>46172</v>
      </c>
      <c r="E48" s="18">
        <v>1607758</v>
      </c>
      <c r="F48" s="18" t="s">
        <v>14</v>
      </c>
      <c r="G48" s="30">
        <v>20007417</v>
      </c>
      <c r="H48" s="18" t="s">
        <v>56</v>
      </c>
      <c r="I48" s="30">
        <v>4</v>
      </c>
      <c r="J48" s="30">
        <v>4</v>
      </c>
      <c r="K48" s="31">
        <v>8</v>
      </c>
      <c r="L48" s="31">
        <v>32</v>
      </c>
    </row>
    <row r="49" spans="4:12">
      <c r="D49" s="29">
        <v>46172</v>
      </c>
      <c r="E49" s="18">
        <v>1607757</v>
      </c>
      <c r="F49" s="18" t="s">
        <v>49</v>
      </c>
      <c r="G49" s="30">
        <v>20007409</v>
      </c>
      <c r="H49" s="18" t="s">
        <v>91</v>
      </c>
      <c r="I49" s="30">
        <v>1</v>
      </c>
      <c r="J49" s="30">
        <v>1</v>
      </c>
      <c r="K49" s="31">
        <v>13</v>
      </c>
      <c r="L49" s="31">
        <v>13</v>
      </c>
    </row>
  </sheetData>
  <mergeCells count="5">
    <mergeCell ref="D8:H8"/>
    <mergeCell ref="C7:C48"/>
    <mergeCell ref="B4:H5"/>
    <mergeCell ref="A7:B48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view="pageBreakPreview" zoomScaleNormal="100" workbookViewId="0">
      <pane ySplit="6" topLeftCell="A7" activePane="bottomLeft" state="frozen"/>
      <selection/>
      <selection pane="bottomLeft" activeCell="N22" sqref="N20: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3.375" customWidth="1"/>
    <col min="9" max="9" width="6.475" customWidth="1"/>
    <col min="10" max="10" width="9.45" customWidth="1"/>
    <col min="11" max="12" width="11.37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92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10</v>
      </c>
      <c r="J8" s="27">
        <v>10</v>
      </c>
      <c r="K8" s="28"/>
      <c r="L8" s="28">
        <v>80</v>
      </c>
    </row>
    <row r="9" spans="1:12">
      <c r="D9" s="29">
        <v>46148</v>
      </c>
      <c r="E9" s="18">
        <v>1600598</v>
      </c>
      <c r="F9" s="18" t="s">
        <v>14</v>
      </c>
      <c r="G9" s="30">
        <v>20352877</v>
      </c>
      <c r="H9" s="18" t="s">
        <v>54</v>
      </c>
      <c r="I9" s="30">
        <v>1</v>
      </c>
      <c r="J9" s="30">
        <v>1</v>
      </c>
      <c r="K9" s="31">
        <v>8</v>
      </c>
      <c r="L9" s="31">
        <v>8</v>
      </c>
    </row>
    <row r="10" spans="1:12">
      <c r="D10" s="29">
        <v>46148</v>
      </c>
      <c r="E10" s="18">
        <v>1600598</v>
      </c>
      <c r="F10" s="18" t="s">
        <v>14</v>
      </c>
      <c r="G10" s="30">
        <v>20352876</v>
      </c>
      <c r="H10" s="18" t="s">
        <v>93</v>
      </c>
      <c r="I10" s="30">
        <v>1</v>
      </c>
      <c r="J10" s="30">
        <v>1</v>
      </c>
      <c r="K10" s="31">
        <v>8</v>
      </c>
      <c r="L10" s="31">
        <v>8</v>
      </c>
    </row>
    <row r="11" spans="1:12">
      <c r="D11" s="29">
        <v>46151</v>
      </c>
      <c r="E11" s="18">
        <v>1601521</v>
      </c>
      <c r="F11" s="18" t="s">
        <v>14</v>
      </c>
      <c r="G11" s="30">
        <v>20352877</v>
      </c>
      <c r="H11" s="18" t="s">
        <v>54</v>
      </c>
      <c r="I11" s="30">
        <v>2</v>
      </c>
      <c r="J11" s="30">
        <v>2</v>
      </c>
      <c r="K11" s="31">
        <v>8</v>
      </c>
      <c r="L11" s="31">
        <v>16</v>
      </c>
    </row>
    <row r="12" spans="1:12">
      <c r="D12" s="29">
        <v>46151</v>
      </c>
      <c r="E12" s="18">
        <v>1601521</v>
      </c>
      <c r="F12" s="18" t="s">
        <v>14</v>
      </c>
      <c r="G12" s="30">
        <v>20009730</v>
      </c>
      <c r="H12" s="18" t="s">
        <v>88</v>
      </c>
      <c r="I12" s="30">
        <v>1</v>
      </c>
      <c r="J12" s="30">
        <v>1</v>
      </c>
      <c r="K12" s="31">
        <v>8</v>
      </c>
      <c r="L12" s="31">
        <v>8</v>
      </c>
    </row>
    <row r="13" spans="1:12">
      <c r="D13" s="29">
        <v>46158</v>
      </c>
      <c r="E13" s="18">
        <v>1603652</v>
      </c>
      <c r="F13" s="18" t="s">
        <v>14</v>
      </c>
      <c r="G13" s="30">
        <v>20352877</v>
      </c>
      <c r="H13" s="18" t="s">
        <v>54</v>
      </c>
      <c r="I13" s="30">
        <v>1</v>
      </c>
      <c r="J13" s="30">
        <v>1</v>
      </c>
      <c r="K13" s="31">
        <v>8</v>
      </c>
      <c r="L13" s="31">
        <v>8</v>
      </c>
    </row>
    <row r="14" spans="1:12">
      <c r="D14" s="29">
        <v>46158</v>
      </c>
      <c r="E14" s="18">
        <v>1603652</v>
      </c>
      <c r="F14" s="18" t="s">
        <v>14</v>
      </c>
      <c r="G14" s="30">
        <v>20352876</v>
      </c>
      <c r="H14" s="18" t="s">
        <v>93</v>
      </c>
      <c r="I14" s="30">
        <v>1</v>
      </c>
      <c r="J14" s="30">
        <v>1</v>
      </c>
      <c r="K14" s="31">
        <v>8</v>
      </c>
      <c r="L14" s="31">
        <v>8</v>
      </c>
    </row>
    <row r="15" spans="1:12">
      <c r="D15" s="29">
        <v>46167</v>
      </c>
      <c r="E15" s="18">
        <v>1606233</v>
      </c>
      <c r="F15" s="18" t="s">
        <v>14</v>
      </c>
      <c r="G15" s="30">
        <v>20352877</v>
      </c>
      <c r="H15" s="18" t="s">
        <v>54</v>
      </c>
      <c r="I15" s="30">
        <v>2</v>
      </c>
      <c r="J15" s="30">
        <v>2</v>
      </c>
      <c r="K15" s="31">
        <v>8</v>
      </c>
      <c r="L15" s="31">
        <v>16</v>
      </c>
    </row>
    <row r="16" spans="1:12">
      <c r="D16" s="29">
        <v>46167</v>
      </c>
      <c r="E16" s="18">
        <v>1606233</v>
      </c>
      <c r="F16" s="18" t="s">
        <v>14</v>
      </c>
      <c r="G16" s="30">
        <v>20352876</v>
      </c>
      <c r="H16" s="18" t="s">
        <v>93</v>
      </c>
      <c r="I16" s="30">
        <v>1</v>
      </c>
      <c r="J16" s="30">
        <v>1</v>
      </c>
      <c r="K16" s="31">
        <v>8</v>
      </c>
      <c r="L16" s="31">
        <v>8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8"/>
  <sheetViews>
    <sheetView showGridLines="0" view="pageBreakPreview" zoomScaleNormal="100" workbookViewId="0">
      <pane ySplit="6" topLeftCell="A8" activePane="bottomLeft" state="frozen"/>
      <selection/>
      <selection pane="bottomLeft" activeCell="L9" sqref="L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.25" customWidth="1"/>
    <col min="12" max="12" width="12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94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366</v>
      </c>
      <c r="J8" s="27">
        <v>2397</v>
      </c>
      <c r="K8" s="28"/>
      <c r="L8" s="28">
        <f>SUM(L9:L218)</f>
        <v>15596</v>
      </c>
    </row>
    <row r="9" spans="1:12">
      <c r="D9" s="29">
        <v>46143</v>
      </c>
      <c r="E9" s="18">
        <v>1599954</v>
      </c>
      <c r="F9" s="18" t="s">
        <v>31</v>
      </c>
      <c r="G9" s="30">
        <v>20015186</v>
      </c>
      <c r="H9" s="18" t="s">
        <v>95</v>
      </c>
      <c r="I9" s="30">
        <v>1</v>
      </c>
      <c r="J9" s="30">
        <v>1</v>
      </c>
      <c r="K9" s="31">
        <v>35</v>
      </c>
      <c r="L9" s="31">
        <f>K9*I9</f>
        <v>35</v>
      </c>
    </row>
    <row r="10" spans="1:12">
      <c r="D10" s="29">
        <v>46143</v>
      </c>
      <c r="E10" s="18">
        <v>1599954</v>
      </c>
      <c r="F10" s="18" t="s">
        <v>31</v>
      </c>
      <c r="G10" s="30">
        <v>20353770</v>
      </c>
      <c r="H10" s="18" t="s">
        <v>96</v>
      </c>
      <c r="I10" s="30">
        <v>1</v>
      </c>
      <c r="J10" s="30">
        <v>1</v>
      </c>
      <c r="K10" s="31">
        <v>28</v>
      </c>
      <c r="L10" s="31">
        <f t="shared" ref="L10:L73" si="0">K10*I10</f>
        <v>28</v>
      </c>
    </row>
    <row r="11" spans="1:12">
      <c r="D11" s="29">
        <v>46148</v>
      </c>
      <c r="E11" s="18">
        <v>1600573</v>
      </c>
      <c r="F11" s="18" t="s">
        <v>52</v>
      </c>
      <c r="G11" s="30">
        <v>20009011</v>
      </c>
      <c r="H11" s="18" t="s">
        <v>97</v>
      </c>
      <c r="I11" s="30">
        <v>1</v>
      </c>
      <c r="J11" s="30">
        <v>7</v>
      </c>
      <c r="K11" s="31">
        <v>38.5</v>
      </c>
      <c r="L11" s="31">
        <f t="shared" si="0"/>
        <v>38.5</v>
      </c>
    </row>
    <row r="12" spans="1:12">
      <c r="D12" s="29">
        <v>46148</v>
      </c>
      <c r="E12" s="18">
        <v>1600573</v>
      </c>
      <c r="F12" s="18" t="s">
        <v>52</v>
      </c>
      <c r="G12" s="30">
        <v>20007348</v>
      </c>
      <c r="H12" s="18" t="s">
        <v>98</v>
      </c>
      <c r="I12" s="30">
        <v>1</v>
      </c>
      <c r="J12" s="30">
        <v>27</v>
      </c>
      <c r="K12" s="31">
        <v>148.5</v>
      </c>
      <c r="L12" s="31">
        <f t="shared" si="0"/>
        <v>148.5</v>
      </c>
    </row>
    <row r="13" spans="1:12">
      <c r="D13" s="29">
        <v>46148</v>
      </c>
      <c r="E13" s="18">
        <v>1600573</v>
      </c>
      <c r="F13" s="18" t="s">
        <v>49</v>
      </c>
      <c r="G13" s="30">
        <v>20008605</v>
      </c>
      <c r="H13" s="18" t="s">
        <v>50</v>
      </c>
      <c r="I13" s="30">
        <v>2</v>
      </c>
      <c r="J13" s="30">
        <v>4</v>
      </c>
      <c r="K13" s="31">
        <v>16.5</v>
      </c>
      <c r="L13" s="31">
        <f t="shared" si="0"/>
        <v>33</v>
      </c>
    </row>
    <row r="14" spans="1:12">
      <c r="D14" s="29">
        <v>46148</v>
      </c>
      <c r="E14" s="18">
        <v>1600573</v>
      </c>
      <c r="F14" s="18" t="s">
        <v>14</v>
      </c>
      <c r="G14" s="30">
        <v>20313189</v>
      </c>
      <c r="H14" s="18" t="s">
        <v>99</v>
      </c>
      <c r="I14" s="30">
        <v>1</v>
      </c>
      <c r="J14" s="30">
        <v>3</v>
      </c>
      <c r="K14" s="31">
        <v>16.5</v>
      </c>
      <c r="L14" s="31">
        <f t="shared" si="0"/>
        <v>16.5</v>
      </c>
    </row>
    <row r="15" spans="1:12">
      <c r="D15" s="29">
        <v>46148</v>
      </c>
      <c r="E15" s="18">
        <v>1600573</v>
      </c>
      <c r="F15" s="18" t="s">
        <v>40</v>
      </c>
      <c r="G15" s="30">
        <v>20312602</v>
      </c>
      <c r="H15" s="18" t="s">
        <v>100</v>
      </c>
      <c r="I15" s="30">
        <v>1</v>
      </c>
      <c r="J15" s="30">
        <v>4</v>
      </c>
      <c r="K15" s="31">
        <v>22</v>
      </c>
      <c r="L15" s="31">
        <f t="shared" si="0"/>
        <v>22</v>
      </c>
    </row>
    <row r="16" spans="1:12">
      <c r="D16" s="29">
        <v>46148</v>
      </c>
      <c r="E16" s="18">
        <v>1600573</v>
      </c>
      <c r="F16" s="18" t="s">
        <v>17</v>
      </c>
      <c r="G16" s="30">
        <v>20378341</v>
      </c>
      <c r="H16" s="18" t="s">
        <v>101</v>
      </c>
      <c r="I16" s="30">
        <v>10</v>
      </c>
      <c r="J16" s="30">
        <v>0</v>
      </c>
      <c r="K16" s="31">
        <v>4</v>
      </c>
      <c r="L16" s="31">
        <f t="shared" si="0"/>
        <v>40</v>
      </c>
    </row>
    <row r="17" spans="4:12">
      <c r="D17" s="29">
        <v>46148</v>
      </c>
      <c r="E17" s="18">
        <v>1600595</v>
      </c>
      <c r="F17" s="18" t="s">
        <v>52</v>
      </c>
      <c r="G17" s="30">
        <v>20009011</v>
      </c>
      <c r="H17" s="18" t="s">
        <v>97</v>
      </c>
      <c r="I17" s="30">
        <v>2</v>
      </c>
      <c r="J17" s="30">
        <v>14</v>
      </c>
      <c r="K17" s="31">
        <v>38.5</v>
      </c>
      <c r="L17" s="31">
        <f t="shared" si="0"/>
        <v>77</v>
      </c>
    </row>
    <row r="18" spans="4:12">
      <c r="D18" s="29">
        <v>46148</v>
      </c>
      <c r="E18" s="18">
        <v>1600595</v>
      </c>
      <c r="F18" s="18" t="s">
        <v>52</v>
      </c>
      <c r="G18" s="30">
        <v>20008786</v>
      </c>
      <c r="H18" s="18" t="s">
        <v>102</v>
      </c>
      <c r="I18" s="30">
        <v>1</v>
      </c>
      <c r="J18" s="30">
        <v>33</v>
      </c>
      <c r="K18" s="31">
        <v>181.5</v>
      </c>
      <c r="L18" s="31">
        <f t="shared" si="0"/>
        <v>181.5</v>
      </c>
    </row>
    <row r="19" spans="4:12">
      <c r="D19" s="29">
        <v>46148</v>
      </c>
      <c r="E19" s="18">
        <v>1600595</v>
      </c>
      <c r="F19" s="18" t="s">
        <v>52</v>
      </c>
      <c r="G19" s="30">
        <v>20013323</v>
      </c>
      <c r="H19" s="18" t="s">
        <v>103</v>
      </c>
      <c r="I19" s="30">
        <v>3</v>
      </c>
      <c r="J19" s="30">
        <v>63</v>
      </c>
      <c r="K19" s="31">
        <v>115.5</v>
      </c>
      <c r="L19" s="31">
        <f t="shared" si="0"/>
        <v>346.5</v>
      </c>
    </row>
    <row r="20" spans="4:12">
      <c r="D20" s="29">
        <v>46148</v>
      </c>
      <c r="E20" s="18">
        <v>1600622</v>
      </c>
      <c r="F20" s="18" t="s">
        <v>49</v>
      </c>
      <c r="G20" s="30">
        <v>20008605</v>
      </c>
      <c r="H20" s="18" t="s">
        <v>50</v>
      </c>
      <c r="I20" s="30">
        <v>4</v>
      </c>
      <c r="J20" s="30">
        <v>8</v>
      </c>
      <c r="K20" s="31">
        <v>16.5</v>
      </c>
      <c r="L20" s="31">
        <f t="shared" si="0"/>
        <v>66</v>
      </c>
    </row>
    <row r="21" spans="4:12">
      <c r="D21" s="29">
        <v>46148</v>
      </c>
      <c r="E21" s="18">
        <v>1600622</v>
      </c>
      <c r="F21" s="18" t="s">
        <v>14</v>
      </c>
      <c r="G21" s="30">
        <v>20341745</v>
      </c>
      <c r="H21" s="18" t="s">
        <v>104</v>
      </c>
      <c r="I21" s="30">
        <v>1</v>
      </c>
      <c r="J21" s="30">
        <v>2</v>
      </c>
      <c r="K21" s="31">
        <v>16.5</v>
      </c>
      <c r="L21" s="31">
        <f t="shared" si="0"/>
        <v>16.5</v>
      </c>
    </row>
    <row r="22" spans="4:12">
      <c r="D22" s="29">
        <v>46148</v>
      </c>
      <c r="E22" s="18">
        <v>1600622</v>
      </c>
      <c r="F22" s="18" t="s">
        <v>14</v>
      </c>
      <c r="G22" s="30">
        <v>20312603</v>
      </c>
      <c r="H22" s="18" t="s">
        <v>105</v>
      </c>
      <c r="I22" s="30">
        <v>3</v>
      </c>
      <c r="J22" s="30">
        <v>9</v>
      </c>
      <c r="K22" s="31">
        <v>16.5</v>
      </c>
      <c r="L22" s="31">
        <f t="shared" si="0"/>
        <v>49.5</v>
      </c>
    </row>
    <row r="23" spans="4:12">
      <c r="D23" s="29">
        <v>46149</v>
      </c>
      <c r="E23" s="18">
        <v>1600716</v>
      </c>
      <c r="F23" s="18" t="s">
        <v>31</v>
      </c>
      <c r="G23" s="30">
        <v>20008456</v>
      </c>
      <c r="H23" s="18" t="s">
        <v>106</v>
      </c>
      <c r="I23" s="30">
        <v>1</v>
      </c>
      <c r="J23" s="30">
        <v>1</v>
      </c>
      <c r="K23" s="31">
        <v>28</v>
      </c>
      <c r="L23" s="31">
        <f t="shared" si="0"/>
        <v>28</v>
      </c>
    </row>
    <row r="24" spans="4:12">
      <c r="D24" s="29">
        <v>46149</v>
      </c>
      <c r="E24" s="18">
        <v>1600716</v>
      </c>
      <c r="F24" s="18" t="s">
        <v>31</v>
      </c>
      <c r="G24" s="30">
        <v>20008442</v>
      </c>
      <c r="H24" s="18" t="s">
        <v>107</v>
      </c>
      <c r="I24" s="30">
        <v>1</v>
      </c>
      <c r="J24" s="30">
        <v>4</v>
      </c>
      <c r="K24" s="31">
        <v>88</v>
      </c>
      <c r="L24" s="31">
        <f t="shared" si="0"/>
        <v>88</v>
      </c>
    </row>
    <row r="25" spans="4:12">
      <c r="D25" s="29">
        <v>46149</v>
      </c>
      <c r="E25" s="18">
        <v>1600716</v>
      </c>
      <c r="F25" s="18" t="s">
        <v>31</v>
      </c>
      <c r="G25" s="30">
        <v>20377987</v>
      </c>
      <c r="H25" s="18" t="s">
        <v>108</v>
      </c>
      <c r="I25" s="30">
        <v>1</v>
      </c>
      <c r="J25" s="30">
        <v>1</v>
      </c>
      <c r="K25" s="31">
        <v>28</v>
      </c>
      <c r="L25" s="31">
        <f t="shared" si="0"/>
        <v>28</v>
      </c>
    </row>
    <row r="26" spans="4:12">
      <c r="D26" s="29">
        <v>46149</v>
      </c>
      <c r="E26" s="18">
        <v>1600716</v>
      </c>
      <c r="F26" s="18" t="s">
        <v>31</v>
      </c>
      <c r="G26" s="30">
        <v>20007701</v>
      </c>
      <c r="H26" s="18" t="s">
        <v>109</v>
      </c>
      <c r="I26" s="30">
        <v>1</v>
      </c>
      <c r="J26" s="30">
        <v>1</v>
      </c>
      <c r="K26" s="31">
        <v>28</v>
      </c>
      <c r="L26" s="31">
        <f t="shared" si="0"/>
        <v>28</v>
      </c>
    </row>
    <row r="27" spans="4:12">
      <c r="D27" s="29">
        <v>46149</v>
      </c>
      <c r="E27" s="18">
        <v>1600716</v>
      </c>
      <c r="F27" s="18" t="s">
        <v>31</v>
      </c>
      <c r="G27" s="30">
        <v>20010183</v>
      </c>
      <c r="H27" s="18" t="s">
        <v>110</v>
      </c>
      <c r="I27" s="30">
        <v>1</v>
      </c>
      <c r="J27" s="30">
        <v>1</v>
      </c>
      <c r="K27" s="31">
        <v>28</v>
      </c>
      <c r="L27" s="31">
        <f t="shared" si="0"/>
        <v>28</v>
      </c>
    </row>
    <row r="28" spans="4:12">
      <c r="D28" s="29">
        <v>46149</v>
      </c>
      <c r="E28" s="18">
        <v>1600716</v>
      </c>
      <c r="F28" s="18" t="s">
        <v>31</v>
      </c>
      <c r="G28" s="30">
        <v>20010888</v>
      </c>
      <c r="H28" s="18" t="s">
        <v>111</v>
      </c>
      <c r="I28" s="30">
        <v>1</v>
      </c>
      <c r="J28" s="30">
        <v>1</v>
      </c>
      <c r="K28" s="31">
        <v>35</v>
      </c>
      <c r="L28" s="31">
        <f t="shared" si="0"/>
        <v>35</v>
      </c>
    </row>
    <row r="29" spans="4:12">
      <c r="D29" s="29">
        <v>46149</v>
      </c>
      <c r="E29" s="18">
        <v>1600716</v>
      </c>
      <c r="F29" s="18" t="s">
        <v>31</v>
      </c>
      <c r="G29" s="30">
        <v>20007465</v>
      </c>
      <c r="H29" s="18" t="s">
        <v>32</v>
      </c>
      <c r="I29" s="30">
        <v>2</v>
      </c>
      <c r="J29" s="30">
        <v>2</v>
      </c>
      <c r="K29" s="31">
        <v>35</v>
      </c>
      <c r="L29" s="31">
        <f t="shared" si="0"/>
        <v>70</v>
      </c>
    </row>
    <row r="30" spans="4:12">
      <c r="D30" s="29">
        <v>46149</v>
      </c>
      <c r="E30" s="18">
        <v>1600716</v>
      </c>
      <c r="F30" s="18" t="s">
        <v>31</v>
      </c>
      <c r="G30" s="30">
        <v>20007427</v>
      </c>
      <c r="H30" s="18" t="s">
        <v>112</v>
      </c>
      <c r="I30" s="30">
        <v>1</v>
      </c>
      <c r="J30" s="30">
        <v>1</v>
      </c>
      <c r="K30" s="31">
        <v>28</v>
      </c>
      <c r="L30" s="31">
        <f t="shared" si="0"/>
        <v>28</v>
      </c>
    </row>
    <row r="31" spans="4:12">
      <c r="D31" s="29">
        <v>46149</v>
      </c>
      <c r="E31" s="18">
        <v>1600716</v>
      </c>
      <c r="F31" s="18" t="s">
        <v>31</v>
      </c>
      <c r="G31" s="30">
        <v>20007494</v>
      </c>
      <c r="H31" s="18" t="s">
        <v>113</v>
      </c>
      <c r="I31" s="30">
        <v>1</v>
      </c>
      <c r="J31" s="30">
        <v>1</v>
      </c>
      <c r="K31" s="31">
        <v>25</v>
      </c>
      <c r="L31" s="31">
        <f t="shared" si="0"/>
        <v>25</v>
      </c>
    </row>
    <row r="32" spans="4:12">
      <c r="D32" s="29">
        <v>46149</v>
      </c>
      <c r="E32" s="18">
        <v>1600716</v>
      </c>
      <c r="F32" s="18" t="s">
        <v>31</v>
      </c>
      <c r="G32" s="30">
        <v>20007429</v>
      </c>
      <c r="H32" s="18" t="s">
        <v>114</v>
      </c>
      <c r="I32" s="30">
        <v>1</v>
      </c>
      <c r="J32" s="30">
        <v>1</v>
      </c>
      <c r="K32" s="31">
        <v>28</v>
      </c>
      <c r="L32" s="31">
        <f t="shared" si="0"/>
        <v>28</v>
      </c>
    </row>
    <row r="33" spans="4:12">
      <c r="D33" s="29">
        <v>46149</v>
      </c>
      <c r="E33" s="18">
        <v>1600995</v>
      </c>
      <c r="F33" s="18" t="s">
        <v>52</v>
      </c>
      <c r="G33" s="30">
        <v>20009011</v>
      </c>
      <c r="H33" s="18" t="s">
        <v>97</v>
      </c>
      <c r="I33" s="30">
        <v>1</v>
      </c>
      <c r="J33" s="30">
        <v>7</v>
      </c>
      <c r="K33" s="31">
        <v>38.5</v>
      </c>
      <c r="L33" s="31">
        <f t="shared" si="0"/>
        <v>38.5</v>
      </c>
    </row>
    <row r="34" spans="4:12">
      <c r="D34" s="29">
        <v>46149</v>
      </c>
      <c r="E34" s="18">
        <v>1600995</v>
      </c>
      <c r="F34" s="18" t="s">
        <v>52</v>
      </c>
      <c r="G34" s="30">
        <v>20007296</v>
      </c>
      <c r="H34" s="18" t="s">
        <v>115</v>
      </c>
      <c r="I34" s="30">
        <v>1</v>
      </c>
      <c r="J34" s="30">
        <v>37</v>
      </c>
      <c r="K34" s="31">
        <v>203.5</v>
      </c>
      <c r="L34" s="31">
        <f t="shared" si="0"/>
        <v>203.5</v>
      </c>
    </row>
    <row r="35" spans="4:12">
      <c r="D35" s="29">
        <v>46149</v>
      </c>
      <c r="E35" s="18">
        <v>1600995</v>
      </c>
      <c r="F35" s="18" t="s">
        <v>52</v>
      </c>
      <c r="G35" s="30">
        <v>20013323</v>
      </c>
      <c r="H35" s="18" t="s">
        <v>103</v>
      </c>
      <c r="I35" s="30">
        <v>1</v>
      </c>
      <c r="J35" s="30">
        <v>21</v>
      </c>
      <c r="K35" s="31">
        <v>115.5</v>
      </c>
      <c r="L35" s="31">
        <f t="shared" si="0"/>
        <v>115.5</v>
      </c>
    </row>
    <row r="36" spans="4:12">
      <c r="D36" s="29">
        <v>46149</v>
      </c>
      <c r="E36" s="18">
        <v>1600995</v>
      </c>
      <c r="F36" s="18" t="s">
        <v>52</v>
      </c>
      <c r="G36" s="30">
        <v>20300285</v>
      </c>
      <c r="H36" s="18" t="s">
        <v>116</v>
      </c>
      <c r="I36" s="30">
        <v>2</v>
      </c>
      <c r="J36" s="30">
        <v>28</v>
      </c>
      <c r="K36" s="31">
        <v>77</v>
      </c>
      <c r="L36" s="31">
        <f t="shared" si="0"/>
        <v>154</v>
      </c>
    </row>
    <row r="37" spans="4:12">
      <c r="D37" s="29">
        <v>46149</v>
      </c>
      <c r="E37" s="18">
        <v>1600995</v>
      </c>
      <c r="F37" s="18" t="s">
        <v>49</v>
      </c>
      <c r="G37" s="30">
        <v>20008605</v>
      </c>
      <c r="H37" s="18" t="s">
        <v>50</v>
      </c>
      <c r="I37" s="30">
        <v>3</v>
      </c>
      <c r="J37" s="30">
        <v>6</v>
      </c>
      <c r="K37" s="31">
        <v>16.5</v>
      </c>
      <c r="L37" s="31">
        <f t="shared" si="0"/>
        <v>49.5</v>
      </c>
    </row>
    <row r="38" spans="4:12">
      <c r="D38" s="29">
        <v>46149</v>
      </c>
      <c r="E38" s="18">
        <v>1600995</v>
      </c>
      <c r="F38" s="18" t="s">
        <v>14</v>
      </c>
      <c r="G38" s="30">
        <v>20312603</v>
      </c>
      <c r="H38" s="18" t="s">
        <v>105</v>
      </c>
      <c r="I38" s="30">
        <v>5</v>
      </c>
      <c r="J38" s="30">
        <v>15</v>
      </c>
      <c r="K38" s="31">
        <v>16.5</v>
      </c>
      <c r="L38" s="31">
        <f t="shared" si="0"/>
        <v>82.5</v>
      </c>
    </row>
    <row r="39" spans="4:12">
      <c r="D39" s="29">
        <v>46150</v>
      </c>
      <c r="E39" s="18">
        <v>1601110</v>
      </c>
      <c r="F39" s="18" t="s">
        <v>31</v>
      </c>
      <c r="G39" s="30">
        <v>20008442</v>
      </c>
      <c r="H39" s="18" t="s">
        <v>107</v>
      </c>
      <c r="I39" s="30">
        <v>1</v>
      </c>
      <c r="J39" s="30">
        <v>4</v>
      </c>
      <c r="K39" s="31">
        <v>88</v>
      </c>
      <c r="L39" s="31">
        <f t="shared" si="0"/>
        <v>88</v>
      </c>
    </row>
    <row r="40" spans="4:12">
      <c r="D40" s="29">
        <v>46150</v>
      </c>
      <c r="E40" s="18">
        <v>1601110</v>
      </c>
      <c r="F40" s="18" t="s">
        <v>31</v>
      </c>
      <c r="G40" s="30">
        <v>20352760</v>
      </c>
      <c r="H40" s="18" t="s">
        <v>117</v>
      </c>
      <c r="I40" s="30">
        <v>1</v>
      </c>
      <c r="J40" s="30">
        <v>1</v>
      </c>
      <c r="K40" s="31">
        <v>35</v>
      </c>
      <c r="L40" s="31">
        <f t="shared" si="0"/>
        <v>35</v>
      </c>
    </row>
    <row r="41" spans="4:12">
      <c r="D41" s="29">
        <v>46150</v>
      </c>
      <c r="E41" s="18">
        <v>1601110</v>
      </c>
      <c r="F41" s="18" t="s">
        <v>31</v>
      </c>
      <c r="G41" s="30">
        <v>20007430</v>
      </c>
      <c r="H41" s="18" t="s">
        <v>118</v>
      </c>
      <c r="I41" s="30">
        <v>1</v>
      </c>
      <c r="J41" s="30">
        <v>1</v>
      </c>
      <c r="K41" s="31">
        <v>22</v>
      </c>
      <c r="L41" s="31">
        <f t="shared" si="0"/>
        <v>22</v>
      </c>
    </row>
    <row r="42" spans="4:12">
      <c r="D42" s="29">
        <v>46150</v>
      </c>
      <c r="E42" s="18">
        <v>1601110</v>
      </c>
      <c r="F42" s="18" t="s">
        <v>31</v>
      </c>
      <c r="G42" s="30">
        <v>20009390</v>
      </c>
      <c r="H42" s="18" t="s">
        <v>119</v>
      </c>
      <c r="I42" s="30">
        <v>1</v>
      </c>
      <c r="J42" s="30">
        <v>1</v>
      </c>
      <c r="K42" s="31">
        <v>28</v>
      </c>
      <c r="L42" s="31">
        <f t="shared" si="0"/>
        <v>28</v>
      </c>
    </row>
    <row r="43" spans="4:12">
      <c r="D43" s="29">
        <v>46150</v>
      </c>
      <c r="E43" s="18">
        <v>1601110</v>
      </c>
      <c r="F43" s="18" t="s">
        <v>31</v>
      </c>
      <c r="G43" s="30">
        <v>20007471</v>
      </c>
      <c r="H43" s="18" t="s">
        <v>120</v>
      </c>
      <c r="I43" s="30">
        <v>1</v>
      </c>
      <c r="J43" s="30">
        <v>5</v>
      </c>
      <c r="K43" s="31">
        <v>88</v>
      </c>
      <c r="L43" s="31">
        <f t="shared" si="0"/>
        <v>88</v>
      </c>
    </row>
    <row r="44" spans="4:12">
      <c r="D44" s="29">
        <v>46150</v>
      </c>
      <c r="E44" s="18">
        <v>1601110</v>
      </c>
      <c r="F44" s="18" t="s">
        <v>33</v>
      </c>
      <c r="G44" s="30">
        <v>20008863</v>
      </c>
      <c r="H44" s="18" t="s">
        <v>121</v>
      </c>
      <c r="I44" s="30">
        <v>1</v>
      </c>
      <c r="J44" s="30">
        <v>2</v>
      </c>
      <c r="K44" s="31">
        <v>36</v>
      </c>
      <c r="L44" s="31">
        <f t="shared" si="0"/>
        <v>36</v>
      </c>
    </row>
    <row r="45" spans="4:12">
      <c r="D45" s="29">
        <v>46151</v>
      </c>
      <c r="E45" s="18">
        <v>1601522</v>
      </c>
      <c r="F45" s="18" t="s">
        <v>52</v>
      </c>
      <c r="G45" s="30">
        <v>20007296</v>
      </c>
      <c r="H45" s="18" t="s">
        <v>115</v>
      </c>
      <c r="I45" s="30">
        <v>1</v>
      </c>
      <c r="J45" s="30">
        <v>37</v>
      </c>
      <c r="K45" s="31">
        <v>203.5</v>
      </c>
      <c r="L45" s="31">
        <f t="shared" si="0"/>
        <v>203.5</v>
      </c>
    </row>
    <row r="46" spans="4:12">
      <c r="D46" s="29">
        <v>46151</v>
      </c>
      <c r="E46" s="18">
        <v>1601522</v>
      </c>
      <c r="F46" s="18" t="s">
        <v>49</v>
      </c>
      <c r="G46" s="30">
        <v>20008605</v>
      </c>
      <c r="H46" s="18" t="s">
        <v>50</v>
      </c>
      <c r="I46" s="30">
        <v>3</v>
      </c>
      <c r="J46" s="30">
        <v>6</v>
      </c>
      <c r="K46" s="31">
        <v>16.5</v>
      </c>
      <c r="L46" s="31">
        <f t="shared" si="0"/>
        <v>49.5</v>
      </c>
    </row>
    <row r="47" spans="4:12">
      <c r="D47" s="29">
        <v>46151</v>
      </c>
      <c r="E47" s="18">
        <v>1601522</v>
      </c>
      <c r="F47" s="18" t="s">
        <v>14</v>
      </c>
      <c r="G47" s="30">
        <v>20378909</v>
      </c>
      <c r="H47" s="18" t="s">
        <v>122</v>
      </c>
      <c r="I47" s="30">
        <v>1</v>
      </c>
      <c r="J47" s="30">
        <v>2</v>
      </c>
      <c r="K47" s="31">
        <v>16.5</v>
      </c>
      <c r="L47" s="31">
        <f t="shared" si="0"/>
        <v>16.5</v>
      </c>
    </row>
    <row r="48" spans="4:12">
      <c r="D48" s="29">
        <v>46151</v>
      </c>
      <c r="E48" s="18">
        <v>1601522</v>
      </c>
      <c r="F48" s="18" t="s">
        <v>14</v>
      </c>
      <c r="G48" s="30">
        <v>20312603</v>
      </c>
      <c r="H48" s="18" t="s">
        <v>105</v>
      </c>
      <c r="I48" s="30">
        <v>3</v>
      </c>
      <c r="J48" s="30">
        <v>9</v>
      </c>
      <c r="K48" s="31">
        <v>16.5</v>
      </c>
      <c r="L48" s="31">
        <f t="shared" si="0"/>
        <v>49.5</v>
      </c>
    </row>
    <row r="49" spans="4:12">
      <c r="D49" s="29">
        <v>46151</v>
      </c>
      <c r="E49" s="18">
        <v>1601522</v>
      </c>
      <c r="F49" s="18" t="s">
        <v>21</v>
      </c>
      <c r="G49" s="30">
        <v>20325185</v>
      </c>
      <c r="H49" s="18" t="s">
        <v>123</v>
      </c>
      <c r="I49" s="30">
        <v>1</v>
      </c>
      <c r="J49" s="30">
        <v>6</v>
      </c>
      <c r="K49" s="31">
        <v>33</v>
      </c>
      <c r="L49" s="31">
        <f t="shared" si="0"/>
        <v>33</v>
      </c>
    </row>
    <row r="50" spans="4:12">
      <c r="D50" s="29">
        <v>46151</v>
      </c>
      <c r="E50" s="18">
        <v>1601569</v>
      </c>
      <c r="F50" s="18" t="s">
        <v>31</v>
      </c>
      <c r="G50" s="30">
        <v>20007471</v>
      </c>
      <c r="H50" s="18" t="s">
        <v>120</v>
      </c>
      <c r="I50" s="30">
        <v>1</v>
      </c>
      <c r="J50" s="30">
        <v>5</v>
      </c>
      <c r="K50" s="31">
        <v>88</v>
      </c>
      <c r="L50" s="31">
        <f t="shared" si="0"/>
        <v>88</v>
      </c>
    </row>
    <row r="51" spans="4:12">
      <c r="D51" s="29">
        <v>46151</v>
      </c>
      <c r="E51" s="18">
        <v>1601787</v>
      </c>
      <c r="F51" s="18" t="s">
        <v>52</v>
      </c>
      <c r="G51" s="30">
        <v>20008472</v>
      </c>
      <c r="H51" s="18" t="s">
        <v>124</v>
      </c>
      <c r="I51" s="30">
        <v>1</v>
      </c>
      <c r="J51" s="30">
        <v>27</v>
      </c>
      <c r="K51" s="31">
        <v>148.5</v>
      </c>
      <c r="L51" s="31">
        <f t="shared" si="0"/>
        <v>148.5</v>
      </c>
    </row>
    <row r="52" spans="4:12">
      <c r="D52" s="29">
        <v>46151</v>
      </c>
      <c r="E52" s="18">
        <v>1601787</v>
      </c>
      <c r="F52" s="18" t="s">
        <v>52</v>
      </c>
      <c r="G52" s="30">
        <v>20007347</v>
      </c>
      <c r="H52" s="18" t="s">
        <v>125</v>
      </c>
      <c r="I52" s="30">
        <v>1</v>
      </c>
      <c r="J52" s="30">
        <v>55</v>
      </c>
      <c r="K52" s="31">
        <v>302.5</v>
      </c>
      <c r="L52" s="31">
        <f t="shared" si="0"/>
        <v>302.5</v>
      </c>
    </row>
    <row r="53" spans="4:12">
      <c r="D53" s="29">
        <v>46151</v>
      </c>
      <c r="E53" s="18">
        <v>1601787</v>
      </c>
      <c r="F53" s="18" t="s">
        <v>52</v>
      </c>
      <c r="G53" s="30">
        <v>20352582</v>
      </c>
      <c r="H53" s="18" t="s">
        <v>126</v>
      </c>
      <c r="I53" s="30">
        <v>1</v>
      </c>
      <c r="J53" s="30">
        <v>19</v>
      </c>
      <c r="K53" s="31">
        <v>104.5</v>
      </c>
      <c r="L53" s="31">
        <f t="shared" si="0"/>
        <v>104.5</v>
      </c>
    </row>
    <row r="54" spans="4:12">
      <c r="D54" s="29">
        <v>46151</v>
      </c>
      <c r="E54" s="18">
        <v>1601787</v>
      </c>
      <c r="F54" s="18" t="s">
        <v>52</v>
      </c>
      <c r="G54" s="30">
        <v>20013323</v>
      </c>
      <c r="H54" s="18" t="s">
        <v>103</v>
      </c>
      <c r="I54" s="30">
        <v>1</v>
      </c>
      <c r="J54" s="30">
        <v>21</v>
      </c>
      <c r="K54" s="31">
        <v>115.5</v>
      </c>
      <c r="L54" s="31">
        <f t="shared" si="0"/>
        <v>115.5</v>
      </c>
    </row>
    <row r="55" spans="4:12">
      <c r="D55" s="29">
        <v>46151</v>
      </c>
      <c r="E55" s="18">
        <v>1601787</v>
      </c>
      <c r="F55" s="18" t="s">
        <v>49</v>
      </c>
      <c r="G55" s="30">
        <v>20008605</v>
      </c>
      <c r="H55" s="18" t="s">
        <v>50</v>
      </c>
      <c r="I55" s="30">
        <v>3</v>
      </c>
      <c r="J55" s="30">
        <v>6</v>
      </c>
      <c r="K55" s="31">
        <v>16.5</v>
      </c>
      <c r="L55" s="31">
        <f t="shared" si="0"/>
        <v>49.5</v>
      </c>
    </row>
    <row r="56" spans="4:12">
      <c r="D56" s="29">
        <v>46151</v>
      </c>
      <c r="E56" s="18">
        <v>1601787</v>
      </c>
      <c r="F56" s="18" t="s">
        <v>14</v>
      </c>
      <c r="G56" s="30">
        <v>20312603</v>
      </c>
      <c r="H56" s="18" t="s">
        <v>105</v>
      </c>
      <c r="I56" s="30">
        <v>1</v>
      </c>
      <c r="J56" s="30">
        <v>3</v>
      </c>
      <c r="K56" s="31">
        <v>16.5</v>
      </c>
      <c r="L56" s="31">
        <f t="shared" si="0"/>
        <v>16.5</v>
      </c>
    </row>
    <row r="57" spans="4:12">
      <c r="D57" s="29">
        <v>46151</v>
      </c>
      <c r="E57" s="18">
        <v>1601787</v>
      </c>
      <c r="F57" s="18" t="s">
        <v>40</v>
      </c>
      <c r="G57" s="30">
        <v>20359878</v>
      </c>
      <c r="H57" s="18" t="s">
        <v>127</v>
      </c>
      <c r="I57" s="30">
        <v>1</v>
      </c>
      <c r="J57" s="30">
        <v>4</v>
      </c>
      <c r="K57" s="31">
        <v>22</v>
      </c>
      <c r="L57" s="31">
        <f t="shared" si="0"/>
        <v>22</v>
      </c>
    </row>
    <row r="58" spans="4:12">
      <c r="D58" s="29">
        <v>46151</v>
      </c>
      <c r="E58" s="18">
        <v>1601787</v>
      </c>
      <c r="F58" s="18" t="s">
        <v>17</v>
      </c>
      <c r="G58" s="30">
        <v>20378341</v>
      </c>
      <c r="H58" s="18" t="s">
        <v>101</v>
      </c>
      <c r="I58" s="30">
        <v>10</v>
      </c>
      <c r="J58" s="30">
        <v>0</v>
      </c>
      <c r="K58" s="31">
        <v>4</v>
      </c>
      <c r="L58" s="31">
        <f t="shared" si="0"/>
        <v>40</v>
      </c>
    </row>
    <row r="59" spans="4:12">
      <c r="D59" s="29">
        <v>46152</v>
      </c>
      <c r="E59" s="18">
        <v>1601854</v>
      </c>
      <c r="F59" s="18" t="s">
        <v>31</v>
      </c>
      <c r="G59" s="30">
        <v>20320386</v>
      </c>
      <c r="H59" s="18" t="s">
        <v>128</v>
      </c>
      <c r="I59" s="30">
        <v>2</v>
      </c>
      <c r="J59" s="30">
        <v>2</v>
      </c>
      <c r="K59" s="31">
        <v>25</v>
      </c>
      <c r="L59" s="31">
        <f t="shared" si="0"/>
        <v>50</v>
      </c>
    </row>
    <row r="60" spans="4:12">
      <c r="D60" s="29">
        <v>46153</v>
      </c>
      <c r="E60" s="18">
        <v>1602160</v>
      </c>
      <c r="F60" s="18" t="s">
        <v>52</v>
      </c>
      <c r="G60" s="30">
        <v>20371284</v>
      </c>
      <c r="H60" s="18" t="s">
        <v>129</v>
      </c>
      <c r="I60" s="30">
        <v>1</v>
      </c>
      <c r="J60" s="30">
        <v>45</v>
      </c>
      <c r="K60" s="31">
        <v>247.5</v>
      </c>
      <c r="L60" s="31">
        <f t="shared" si="0"/>
        <v>247.5</v>
      </c>
    </row>
    <row r="61" spans="4:12">
      <c r="D61" s="29">
        <v>46153</v>
      </c>
      <c r="E61" s="18">
        <v>1602160</v>
      </c>
      <c r="F61" s="18" t="s">
        <v>52</v>
      </c>
      <c r="G61" s="30">
        <v>20013323</v>
      </c>
      <c r="H61" s="18" t="s">
        <v>103</v>
      </c>
      <c r="I61" s="30">
        <v>1</v>
      </c>
      <c r="J61" s="30">
        <v>21</v>
      </c>
      <c r="K61" s="31">
        <v>115.5</v>
      </c>
      <c r="L61" s="31">
        <f t="shared" si="0"/>
        <v>115.5</v>
      </c>
    </row>
    <row r="62" spans="4:12">
      <c r="D62" s="29">
        <v>46153</v>
      </c>
      <c r="E62" s="18">
        <v>1602160</v>
      </c>
      <c r="F62" s="18" t="s">
        <v>49</v>
      </c>
      <c r="G62" s="30">
        <v>20008605</v>
      </c>
      <c r="H62" s="18" t="s">
        <v>50</v>
      </c>
      <c r="I62" s="30">
        <v>1</v>
      </c>
      <c r="J62" s="30">
        <v>2</v>
      </c>
      <c r="K62" s="31">
        <v>16.5</v>
      </c>
      <c r="L62" s="31">
        <f t="shared" si="0"/>
        <v>16.5</v>
      </c>
    </row>
    <row r="63" spans="4:12">
      <c r="D63" s="29">
        <v>46153</v>
      </c>
      <c r="E63" s="18">
        <v>1602160</v>
      </c>
      <c r="F63" s="18" t="s">
        <v>14</v>
      </c>
      <c r="G63" s="30">
        <v>20312603</v>
      </c>
      <c r="H63" s="18" t="s">
        <v>105</v>
      </c>
      <c r="I63" s="30">
        <v>1</v>
      </c>
      <c r="J63" s="30">
        <v>3</v>
      </c>
      <c r="K63" s="31">
        <v>16.5</v>
      </c>
      <c r="L63" s="31">
        <f t="shared" si="0"/>
        <v>16.5</v>
      </c>
    </row>
    <row r="64" spans="4:12">
      <c r="D64" s="29">
        <v>46153</v>
      </c>
      <c r="E64" s="18">
        <v>1602160</v>
      </c>
      <c r="F64" s="18" t="s">
        <v>40</v>
      </c>
      <c r="G64" s="30">
        <v>20425049</v>
      </c>
      <c r="H64" s="18" t="s">
        <v>130</v>
      </c>
      <c r="I64" s="30">
        <v>1</v>
      </c>
      <c r="J64" s="30">
        <v>3</v>
      </c>
      <c r="K64" s="31">
        <v>16.5</v>
      </c>
      <c r="L64" s="31">
        <f t="shared" si="0"/>
        <v>16.5</v>
      </c>
    </row>
    <row r="65" spans="4:12">
      <c r="D65" s="29">
        <v>46155</v>
      </c>
      <c r="E65" s="18">
        <v>1602592</v>
      </c>
      <c r="F65" s="18" t="s">
        <v>52</v>
      </c>
      <c r="G65" s="30">
        <v>20310486</v>
      </c>
      <c r="H65" s="18" t="s">
        <v>131</v>
      </c>
      <c r="I65" s="30">
        <v>1</v>
      </c>
      <c r="J65" s="30">
        <v>13</v>
      </c>
      <c r="K65" s="31">
        <v>71.5</v>
      </c>
      <c r="L65" s="31">
        <f t="shared" si="0"/>
        <v>71.5</v>
      </c>
    </row>
    <row r="66" spans="4:12">
      <c r="D66" s="29">
        <v>46155</v>
      </c>
      <c r="E66" s="18">
        <v>1602592</v>
      </c>
      <c r="F66" s="18" t="s">
        <v>52</v>
      </c>
      <c r="G66" s="30">
        <v>20013323</v>
      </c>
      <c r="H66" s="18" t="s">
        <v>103</v>
      </c>
      <c r="I66" s="30">
        <v>2</v>
      </c>
      <c r="J66" s="30">
        <v>42</v>
      </c>
      <c r="K66" s="31">
        <v>115.5</v>
      </c>
      <c r="L66" s="31">
        <f t="shared" si="0"/>
        <v>231</v>
      </c>
    </row>
    <row r="67" spans="4:12">
      <c r="D67" s="29">
        <v>46155</v>
      </c>
      <c r="E67" s="18">
        <v>1602592</v>
      </c>
      <c r="F67" s="18" t="s">
        <v>52</v>
      </c>
      <c r="G67" s="30">
        <v>20300285</v>
      </c>
      <c r="H67" s="18" t="s">
        <v>116</v>
      </c>
      <c r="I67" s="30">
        <v>2</v>
      </c>
      <c r="J67" s="30">
        <v>28</v>
      </c>
      <c r="K67" s="31">
        <v>77</v>
      </c>
      <c r="L67" s="31">
        <f t="shared" si="0"/>
        <v>154</v>
      </c>
    </row>
    <row r="68" spans="4:12">
      <c r="D68" s="29">
        <v>46155</v>
      </c>
      <c r="E68" s="18">
        <v>1602592</v>
      </c>
      <c r="F68" s="18" t="s">
        <v>49</v>
      </c>
      <c r="G68" s="30">
        <v>20008605</v>
      </c>
      <c r="H68" s="18" t="s">
        <v>50</v>
      </c>
      <c r="I68" s="30">
        <v>4</v>
      </c>
      <c r="J68" s="30">
        <v>8</v>
      </c>
      <c r="K68" s="31">
        <v>16.5</v>
      </c>
      <c r="L68" s="31">
        <f t="shared" si="0"/>
        <v>66</v>
      </c>
    </row>
    <row r="69" spans="4:12">
      <c r="D69" s="29">
        <v>46155</v>
      </c>
      <c r="E69" s="18">
        <v>1602592</v>
      </c>
      <c r="F69" s="18" t="s">
        <v>14</v>
      </c>
      <c r="G69" s="30">
        <v>20312603</v>
      </c>
      <c r="H69" s="18" t="s">
        <v>105</v>
      </c>
      <c r="I69" s="30">
        <v>5</v>
      </c>
      <c r="J69" s="30">
        <v>15</v>
      </c>
      <c r="K69" s="31">
        <v>16.5</v>
      </c>
      <c r="L69" s="31">
        <f t="shared" si="0"/>
        <v>82.5</v>
      </c>
    </row>
    <row r="70" spans="4:12">
      <c r="D70" s="29">
        <v>46155</v>
      </c>
      <c r="E70" s="18">
        <v>1602592</v>
      </c>
      <c r="F70" s="18" t="s">
        <v>17</v>
      </c>
      <c r="G70" s="30">
        <v>20378341</v>
      </c>
      <c r="H70" s="18" t="s">
        <v>101</v>
      </c>
      <c r="I70" s="30">
        <v>6</v>
      </c>
      <c r="J70" s="30">
        <v>0</v>
      </c>
      <c r="K70" s="31">
        <v>4</v>
      </c>
      <c r="L70" s="31">
        <f t="shared" si="0"/>
        <v>24</v>
      </c>
    </row>
    <row r="71" spans="4:12">
      <c r="D71" s="29">
        <v>46155</v>
      </c>
      <c r="E71" s="18">
        <v>1602873</v>
      </c>
      <c r="F71" s="18" t="s">
        <v>52</v>
      </c>
      <c r="G71" s="30">
        <v>20009011</v>
      </c>
      <c r="H71" s="18" t="s">
        <v>97</v>
      </c>
      <c r="I71" s="30">
        <v>2</v>
      </c>
      <c r="J71" s="30">
        <v>14</v>
      </c>
      <c r="K71" s="31">
        <v>38.5</v>
      </c>
      <c r="L71" s="31">
        <f t="shared" si="0"/>
        <v>77</v>
      </c>
    </row>
    <row r="72" spans="4:12">
      <c r="D72" s="29">
        <v>46155</v>
      </c>
      <c r="E72" s="18">
        <v>1602873</v>
      </c>
      <c r="F72" s="18" t="s">
        <v>52</v>
      </c>
      <c r="G72" s="30">
        <v>20007348</v>
      </c>
      <c r="H72" s="18" t="s">
        <v>98</v>
      </c>
      <c r="I72" s="30">
        <v>1</v>
      </c>
      <c r="J72" s="30">
        <v>27</v>
      </c>
      <c r="K72" s="31">
        <v>148.5</v>
      </c>
      <c r="L72" s="31">
        <f t="shared" si="0"/>
        <v>148.5</v>
      </c>
    </row>
    <row r="73" spans="4:12">
      <c r="D73" s="29">
        <v>46155</v>
      </c>
      <c r="E73" s="18">
        <v>1602873</v>
      </c>
      <c r="F73" s="18" t="s">
        <v>52</v>
      </c>
      <c r="G73" s="30">
        <v>20013323</v>
      </c>
      <c r="H73" s="18" t="s">
        <v>103</v>
      </c>
      <c r="I73" s="30">
        <v>1</v>
      </c>
      <c r="J73" s="30">
        <v>21</v>
      </c>
      <c r="K73" s="31">
        <v>115.5</v>
      </c>
      <c r="L73" s="31">
        <f t="shared" si="0"/>
        <v>115.5</v>
      </c>
    </row>
    <row r="74" spans="4:12">
      <c r="D74" s="29">
        <v>46155</v>
      </c>
      <c r="E74" s="18">
        <v>1602873</v>
      </c>
      <c r="F74" s="18" t="s">
        <v>49</v>
      </c>
      <c r="G74" s="30">
        <v>20008605</v>
      </c>
      <c r="H74" s="18" t="s">
        <v>50</v>
      </c>
      <c r="I74" s="30">
        <v>3</v>
      </c>
      <c r="J74" s="30">
        <v>6</v>
      </c>
      <c r="K74" s="31">
        <v>16.5</v>
      </c>
      <c r="L74" s="31">
        <f t="shared" ref="L74:L137" si="1">K74*I74</f>
        <v>49.5</v>
      </c>
    </row>
    <row r="75" spans="4:12">
      <c r="D75" s="29">
        <v>46155</v>
      </c>
      <c r="E75" s="18">
        <v>1602873</v>
      </c>
      <c r="F75" s="18" t="s">
        <v>14</v>
      </c>
      <c r="G75" s="30">
        <v>20312603</v>
      </c>
      <c r="H75" s="18" t="s">
        <v>105</v>
      </c>
      <c r="I75" s="30">
        <v>2</v>
      </c>
      <c r="J75" s="30">
        <v>6</v>
      </c>
      <c r="K75" s="31">
        <v>16.5</v>
      </c>
      <c r="L75" s="31">
        <f t="shared" si="1"/>
        <v>33</v>
      </c>
    </row>
    <row r="76" spans="4:12">
      <c r="D76" s="29">
        <v>46155</v>
      </c>
      <c r="E76" s="18">
        <v>1602873</v>
      </c>
      <c r="F76" s="18" t="s">
        <v>40</v>
      </c>
      <c r="G76" s="30">
        <v>20312602</v>
      </c>
      <c r="H76" s="18" t="s">
        <v>100</v>
      </c>
      <c r="I76" s="30">
        <v>1</v>
      </c>
      <c r="J76" s="30">
        <v>4</v>
      </c>
      <c r="K76" s="31">
        <v>22</v>
      </c>
      <c r="L76" s="31">
        <f t="shared" si="1"/>
        <v>22</v>
      </c>
    </row>
    <row r="77" spans="4:12">
      <c r="D77" s="29">
        <v>46156</v>
      </c>
      <c r="E77" s="18">
        <v>1602965</v>
      </c>
      <c r="F77" s="18" t="s">
        <v>31</v>
      </c>
      <c r="G77" s="30">
        <v>20015186</v>
      </c>
      <c r="H77" s="18" t="s">
        <v>95</v>
      </c>
      <c r="I77" s="30">
        <v>1</v>
      </c>
      <c r="J77" s="30">
        <v>1</v>
      </c>
      <c r="K77" s="31">
        <v>35</v>
      </c>
      <c r="L77" s="31">
        <f t="shared" si="1"/>
        <v>35</v>
      </c>
    </row>
    <row r="78" spans="4:12">
      <c r="D78" s="29">
        <v>46156</v>
      </c>
      <c r="E78" s="18">
        <v>1602965</v>
      </c>
      <c r="F78" s="18" t="s">
        <v>31</v>
      </c>
      <c r="G78" s="30">
        <v>20007478</v>
      </c>
      <c r="H78" s="18" t="s">
        <v>132</v>
      </c>
      <c r="I78" s="30">
        <v>2</v>
      </c>
      <c r="J78" s="30">
        <v>2</v>
      </c>
      <c r="K78" s="31">
        <v>35</v>
      </c>
      <c r="L78" s="31">
        <f t="shared" si="1"/>
        <v>70</v>
      </c>
    </row>
    <row r="79" spans="4:12">
      <c r="D79" s="29">
        <v>46156</v>
      </c>
      <c r="E79" s="18">
        <v>1602965</v>
      </c>
      <c r="F79" s="18" t="s">
        <v>31</v>
      </c>
      <c r="G79" s="30">
        <v>20007701</v>
      </c>
      <c r="H79" s="18" t="s">
        <v>109</v>
      </c>
      <c r="I79" s="30">
        <v>1</v>
      </c>
      <c r="J79" s="30">
        <v>1</v>
      </c>
      <c r="K79" s="31">
        <v>28</v>
      </c>
      <c r="L79" s="31">
        <f t="shared" si="1"/>
        <v>28</v>
      </c>
    </row>
    <row r="80" spans="4:12">
      <c r="D80" s="29">
        <v>46156</v>
      </c>
      <c r="E80" s="18">
        <v>1602965</v>
      </c>
      <c r="F80" s="18" t="s">
        <v>31</v>
      </c>
      <c r="G80" s="30">
        <v>20008163</v>
      </c>
      <c r="H80" s="18" t="s">
        <v>133</v>
      </c>
      <c r="I80" s="30">
        <v>1</v>
      </c>
      <c r="J80" s="30">
        <v>1</v>
      </c>
      <c r="K80" s="31">
        <v>28</v>
      </c>
      <c r="L80" s="31">
        <f t="shared" si="1"/>
        <v>28</v>
      </c>
    </row>
    <row r="81" spans="4:12">
      <c r="D81" s="29">
        <v>46156</v>
      </c>
      <c r="E81" s="18">
        <v>1602965</v>
      </c>
      <c r="F81" s="18" t="s">
        <v>31</v>
      </c>
      <c r="G81" s="30">
        <v>20010183</v>
      </c>
      <c r="H81" s="18" t="s">
        <v>110</v>
      </c>
      <c r="I81" s="30">
        <v>1</v>
      </c>
      <c r="J81" s="30">
        <v>1</v>
      </c>
      <c r="K81" s="31">
        <v>28</v>
      </c>
      <c r="L81" s="31">
        <f t="shared" si="1"/>
        <v>28</v>
      </c>
    </row>
    <row r="82" spans="4:12">
      <c r="D82" s="29">
        <v>46156</v>
      </c>
      <c r="E82" s="18">
        <v>1602965</v>
      </c>
      <c r="F82" s="18" t="s">
        <v>31</v>
      </c>
      <c r="G82" s="30">
        <v>20010888</v>
      </c>
      <c r="H82" s="18" t="s">
        <v>111</v>
      </c>
      <c r="I82" s="30">
        <v>1</v>
      </c>
      <c r="J82" s="30">
        <v>1</v>
      </c>
      <c r="K82" s="31">
        <v>35</v>
      </c>
      <c r="L82" s="31">
        <f t="shared" si="1"/>
        <v>35</v>
      </c>
    </row>
    <row r="83" spans="4:12">
      <c r="D83" s="29">
        <v>46156</v>
      </c>
      <c r="E83" s="18">
        <v>1602965</v>
      </c>
      <c r="F83" s="18" t="s">
        <v>31</v>
      </c>
      <c r="G83" s="30">
        <v>20007465</v>
      </c>
      <c r="H83" s="18" t="s">
        <v>32</v>
      </c>
      <c r="I83" s="30">
        <v>1</v>
      </c>
      <c r="J83" s="30">
        <v>1</v>
      </c>
      <c r="K83" s="31">
        <v>35</v>
      </c>
      <c r="L83" s="31">
        <f t="shared" si="1"/>
        <v>35</v>
      </c>
    </row>
    <row r="84" spans="4:12">
      <c r="D84" s="29">
        <v>46156</v>
      </c>
      <c r="E84" s="18">
        <v>1602965</v>
      </c>
      <c r="F84" s="18" t="s">
        <v>31</v>
      </c>
      <c r="G84" s="30">
        <v>20007427</v>
      </c>
      <c r="H84" s="18" t="s">
        <v>112</v>
      </c>
      <c r="I84" s="30">
        <v>1</v>
      </c>
      <c r="J84" s="30">
        <v>1</v>
      </c>
      <c r="K84" s="31">
        <v>28</v>
      </c>
      <c r="L84" s="31">
        <f t="shared" si="1"/>
        <v>28</v>
      </c>
    </row>
    <row r="85" spans="4:12">
      <c r="D85" s="29">
        <v>46156</v>
      </c>
      <c r="E85" s="18">
        <v>1602965</v>
      </c>
      <c r="F85" s="18" t="s">
        <v>31</v>
      </c>
      <c r="G85" s="30">
        <v>20007494</v>
      </c>
      <c r="H85" s="18" t="s">
        <v>113</v>
      </c>
      <c r="I85" s="30">
        <v>1</v>
      </c>
      <c r="J85" s="30">
        <v>1</v>
      </c>
      <c r="K85" s="31">
        <v>25</v>
      </c>
      <c r="L85" s="31">
        <f t="shared" si="1"/>
        <v>25</v>
      </c>
    </row>
    <row r="86" spans="4:12">
      <c r="D86" s="29">
        <v>46156</v>
      </c>
      <c r="E86" s="18">
        <v>1603195</v>
      </c>
      <c r="F86" s="18" t="s">
        <v>52</v>
      </c>
      <c r="G86" s="30">
        <v>20008472</v>
      </c>
      <c r="H86" s="18" t="s">
        <v>124</v>
      </c>
      <c r="I86" s="30">
        <v>1</v>
      </c>
      <c r="J86" s="30">
        <v>27</v>
      </c>
      <c r="K86" s="31">
        <v>148.5</v>
      </c>
      <c r="L86" s="31">
        <f t="shared" si="1"/>
        <v>148.5</v>
      </c>
    </row>
    <row r="87" spans="4:12">
      <c r="D87" s="29">
        <v>46156</v>
      </c>
      <c r="E87" s="18">
        <v>1603195</v>
      </c>
      <c r="F87" s="18" t="s">
        <v>52</v>
      </c>
      <c r="G87" s="30">
        <v>20007347</v>
      </c>
      <c r="H87" s="18" t="s">
        <v>125</v>
      </c>
      <c r="I87" s="30">
        <v>1</v>
      </c>
      <c r="J87" s="30">
        <v>55</v>
      </c>
      <c r="K87" s="31">
        <v>302.5</v>
      </c>
      <c r="L87" s="31">
        <f t="shared" si="1"/>
        <v>302.5</v>
      </c>
    </row>
    <row r="88" spans="4:12">
      <c r="D88" s="29">
        <v>46156</v>
      </c>
      <c r="E88" s="18">
        <v>1603195</v>
      </c>
      <c r="F88" s="18" t="s">
        <v>52</v>
      </c>
      <c r="G88" s="30">
        <v>20300285</v>
      </c>
      <c r="H88" s="18" t="s">
        <v>116</v>
      </c>
      <c r="I88" s="30">
        <v>1</v>
      </c>
      <c r="J88" s="30">
        <v>14</v>
      </c>
      <c r="K88" s="31">
        <v>77</v>
      </c>
      <c r="L88" s="31">
        <f t="shared" si="1"/>
        <v>77</v>
      </c>
    </row>
    <row r="89" spans="4:12">
      <c r="D89" s="29">
        <v>46156</v>
      </c>
      <c r="E89" s="18">
        <v>1603195</v>
      </c>
      <c r="F89" s="18" t="s">
        <v>49</v>
      </c>
      <c r="G89" s="30">
        <v>20008605</v>
      </c>
      <c r="H89" s="18" t="s">
        <v>50</v>
      </c>
      <c r="I89" s="30">
        <v>2</v>
      </c>
      <c r="J89" s="30">
        <v>4</v>
      </c>
      <c r="K89" s="31">
        <v>16.5</v>
      </c>
      <c r="L89" s="31">
        <f t="shared" si="1"/>
        <v>33</v>
      </c>
    </row>
    <row r="90" spans="4:12">
      <c r="D90" s="29">
        <v>46156</v>
      </c>
      <c r="E90" s="18">
        <v>1603195</v>
      </c>
      <c r="F90" s="18" t="s">
        <v>14</v>
      </c>
      <c r="G90" s="30">
        <v>20313189</v>
      </c>
      <c r="H90" s="18" t="s">
        <v>99</v>
      </c>
      <c r="I90" s="30">
        <v>1</v>
      </c>
      <c r="J90" s="30">
        <v>3</v>
      </c>
      <c r="K90" s="31">
        <v>16.5</v>
      </c>
      <c r="L90" s="31">
        <f t="shared" si="1"/>
        <v>16.5</v>
      </c>
    </row>
    <row r="91" spans="4:12">
      <c r="D91" s="29">
        <v>46157</v>
      </c>
      <c r="E91" s="18">
        <v>1603321</v>
      </c>
      <c r="F91" s="18" t="s">
        <v>52</v>
      </c>
      <c r="G91" s="30">
        <v>20013323</v>
      </c>
      <c r="H91" s="18" t="s">
        <v>103</v>
      </c>
      <c r="I91" s="30">
        <v>3</v>
      </c>
      <c r="J91" s="30">
        <v>63</v>
      </c>
      <c r="K91" s="31">
        <v>115.5</v>
      </c>
      <c r="L91" s="31">
        <f t="shared" si="1"/>
        <v>346.5</v>
      </c>
    </row>
    <row r="92" spans="4:12">
      <c r="D92" s="29">
        <v>46157</v>
      </c>
      <c r="E92" s="18">
        <v>1603321</v>
      </c>
      <c r="F92" s="18" t="s">
        <v>49</v>
      </c>
      <c r="G92" s="30">
        <v>20008605</v>
      </c>
      <c r="H92" s="18" t="s">
        <v>50</v>
      </c>
      <c r="I92" s="30">
        <v>3</v>
      </c>
      <c r="J92" s="30">
        <v>6</v>
      </c>
      <c r="K92" s="31">
        <v>16.5</v>
      </c>
      <c r="L92" s="31">
        <f t="shared" si="1"/>
        <v>49.5</v>
      </c>
    </row>
    <row r="93" spans="4:12">
      <c r="D93" s="29">
        <v>46157</v>
      </c>
      <c r="E93" s="18">
        <v>1603321</v>
      </c>
      <c r="F93" s="18" t="s">
        <v>14</v>
      </c>
      <c r="G93" s="30">
        <v>20313189</v>
      </c>
      <c r="H93" s="18" t="s">
        <v>99</v>
      </c>
      <c r="I93" s="30">
        <v>3</v>
      </c>
      <c r="J93" s="30">
        <v>9</v>
      </c>
      <c r="K93" s="31">
        <v>16.5</v>
      </c>
      <c r="L93" s="31">
        <f t="shared" si="1"/>
        <v>49.5</v>
      </c>
    </row>
    <row r="94" spans="4:12">
      <c r="D94" s="29">
        <v>46157</v>
      </c>
      <c r="E94" s="18">
        <v>1603372</v>
      </c>
      <c r="F94" s="18" t="s">
        <v>31</v>
      </c>
      <c r="G94" s="30">
        <v>20320386</v>
      </c>
      <c r="H94" s="18" t="s">
        <v>128</v>
      </c>
      <c r="I94" s="30">
        <v>2</v>
      </c>
      <c r="J94" s="30">
        <v>2</v>
      </c>
      <c r="K94" s="31">
        <v>25</v>
      </c>
      <c r="L94" s="31">
        <f t="shared" si="1"/>
        <v>50</v>
      </c>
    </row>
    <row r="95" spans="4:12">
      <c r="D95" s="29">
        <v>46158</v>
      </c>
      <c r="E95" s="18">
        <v>1603653</v>
      </c>
      <c r="F95" s="18" t="s">
        <v>52</v>
      </c>
      <c r="G95" s="30">
        <v>20009011</v>
      </c>
      <c r="H95" s="18" t="s">
        <v>97</v>
      </c>
      <c r="I95" s="30">
        <v>1</v>
      </c>
      <c r="J95" s="30">
        <v>7</v>
      </c>
      <c r="K95" s="31">
        <v>38.5</v>
      </c>
      <c r="L95" s="31">
        <f t="shared" si="1"/>
        <v>38.5</v>
      </c>
    </row>
    <row r="96" spans="4:12">
      <c r="D96" s="29">
        <v>46158</v>
      </c>
      <c r="E96" s="18">
        <v>1603653</v>
      </c>
      <c r="F96" s="18" t="s">
        <v>52</v>
      </c>
      <c r="G96" s="30">
        <v>20310486</v>
      </c>
      <c r="H96" s="18" t="s">
        <v>131</v>
      </c>
      <c r="I96" s="30">
        <v>1</v>
      </c>
      <c r="J96" s="30">
        <v>13</v>
      </c>
      <c r="K96" s="31">
        <v>71.5</v>
      </c>
      <c r="L96" s="31">
        <f t="shared" si="1"/>
        <v>71.5</v>
      </c>
    </row>
    <row r="97" spans="4:12">
      <c r="D97" s="29">
        <v>46158</v>
      </c>
      <c r="E97" s="18">
        <v>1603653</v>
      </c>
      <c r="F97" s="18" t="s">
        <v>52</v>
      </c>
      <c r="G97" s="30">
        <v>20007348</v>
      </c>
      <c r="H97" s="18" t="s">
        <v>98</v>
      </c>
      <c r="I97" s="30">
        <v>1</v>
      </c>
      <c r="J97" s="30">
        <v>27</v>
      </c>
      <c r="K97" s="31">
        <v>148.5</v>
      </c>
      <c r="L97" s="31">
        <f t="shared" si="1"/>
        <v>148.5</v>
      </c>
    </row>
    <row r="98" spans="4:12">
      <c r="D98" s="29">
        <v>46158</v>
      </c>
      <c r="E98" s="18">
        <v>1603653</v>
      </c>
      <c r="F98" s="18" t="s">
        <v>52</v>
      </c>
      <c r="G98" s="30">
        <v>20007296</v>
      </c>
      <c r="H98" s="18" t="s">
        <v>115</v>
      </c>
      <c r="I98" s="30">
        <v>2</v>
      </c>
      <c r="J98" s="30">
        <v>74</v>
      </c>
      <c r="K98" s="31">
        <v>203.5</v>
      </c>
      <c r="L98" s="31">
        <f t="shared" si="1"/>
        <v>407</v>
      </c>
    </row>
    <row r="99" spans="4:12">
      <c r="D99" s="29">
        <v>46158</v>
      </c>
      <c r="E99" s="18">
        <v>1603653</v>
      </c>
      <c r="F99" s="18" t="s">
        <v>52</v>
      </c>
      <c r="G99" s="30">
        <v>20008786</v>
      </c>
      <c r="H99" s="18" t="s">
        <v>102</v>
      </c>
      <c r="I99" s="30">
        <v>1</v>
      </c>
      <c r="J99" s="30">
        <v>33</v>
      </c>
      <c r="K99" s="31">
        <v>181.5</v>
      </c>
      <c r="L99" s="31">
        <f t="shared" si="1"/>
        <v>181.5</v>
      </c>
    </row>
    <row r="100" spans="4:12">
      <c r="D100" s="29">
        <v>46158</v>
      </c>
      <c r="E100" s="18">
        <v>1603653</v>
      </c>
      <c r="F100" s="18" t="s">
        <v>52</v>
      </c>
      <c r="G100" s="30">
        <v>20300285</v>
      </c>
      <c r="H100" s="18" t="s">
        <v>116</v>
      </c>
      <c r="I100" s="30">
        <v>1</v>
      </c>
      <c r="J100" s="30">
        <v>14</v>
      </c>
      <c r="K100" s="31">
        <v>77</v>
      </c>
      <c r="L100" s="31">
        <f t="shared" si="1"/>
        <v>77</v>
      </c>
    </row>
    <row r="101" spans="4:12">
      <c r="D101" s="29">
        <v>46158</v>
      </c>
      <c r="E101" s="18">
        <v>1603653</v>
      </c>
      <c r="F101" s="18" t="s">
        <v>49</v>
      </c>
      <c r="G101" s="30">
        <v>20008605</v>
      </c>
      <c r="H101" s="18" t="s">
        <v>50</v>
      </c>
      <c r="I101" s="30">
        <v>7</v>
      </c>
      <c r="J101" s="30">
        <v>14</v>
      </c>
      <c r="K101" s="31">
        <v>16.5</v>
      </c>
      <c r="L101" s="31">
        <f t="shared" si="1"/>
        <v>115.5</v>
      </c>
    </row>
    <row r="102" spans="4:12">
      <c r="D102" s="29">
        <v>46158</v>
      </c>
      <c r="E102" s="18">
        <v>1603653</v>
      </c>
      <c r="F102" s="18" t="s">
        <v>14</v>
      </c>
      <c r="G102" s="30">
        <v>20378909</v>
      </c>
      <c r="H102" s="18" t="s">
        <v>122</v>
      </c>
      <c r="I102" s="30">
        <v>1</v>
      </c>
      <c r="J102" s="30">
        <v>2</v>
      </c>
      <c r="K102" s="31">
        <v>16.5</v>
      </c>
      <c r="L102" s="31">
        <f t="shared" si="1"/>
        <v>16.5</v>
      </c>
    </row>
    <row r="103" spans="4:12">
      <c r="D103" s="29">
        <v>46158</v>
      </c>
      <c r="E103" s="18">
        <v>1603653</v>
      </c>
      <c r="F103" s="18" t="s">
        <v>14</v>
      </c>
      <c r="G103" s="30">
        <v>20312603</v>
      </c>
      <c r="H103" s="18" t="s">
        <v>105</v>
      </c>
      <c r="I103" s="30">
        <v>6</v>
      </c>
      <c r="J103" s="30">
        <v>18</v>
      </c>
      <c r="K103" s="31">
        <v>16.5</v>
      </c>
      <c r="L103" s="31">
        <f t="shared" si="1"/>
        <v>99</v>
      </c>
    </row>
    <row r="104" spans="4:12">
      <c r="D104" s="29">
        <v>46158</v>
      </c>
      <c r="E104" s="18">
        <v>1603653</v>
      </c>
      <c r="F104" s="18" t="s">
        <v>40</v>
      </c>
      <c r="G104" s="30">
        <v>20357848</v>
      </c>
      <c r="H104" s="18" t="s">
        <v>134</v>
      </c>
      <c r="I104" s="30">
        <v>1</v>
      </c>
      <c r="J104" s="30">
        <v>3</v>
      </c>
      <c r="K104" s="31">
        <v>16.5</v>
      </c>
      <c r="L104" s="31">
        <f t="shared" si="1"/>
        <v>16.5</v>
      </c>
    </row>
    <row r="105" spans="4:12">
      <c r="D105" s="29">
        <v>46158</v>
      </c>
      <c r="E105" s="18">
        <v>1603653</v>
      </c>
      <c r="F105" s="18" t="s">
        <v>40</v>
      </c>
      <c r="G105" s="30">
        <v>20359878</v>
      </c>
      <c r="H105" s="18" t="s">
        <v>127</v>
      </c>
      <c r="I105" s="30">
        <v>1</v>
      </c>
      <c r="J105" s="30">
        <v>4</v>
      </c>
      <c r="K105" s="31">
        <v>22</v>
      </c>
      <c r="L105" s="31">
        <f t="shared" si="1"/>
        <v>22</v>
      </c>
    </row>
    <row r="106" spans="4:12">
      <c r="D106" s="29">
        <v>46158</v>
      </c>
      <c r="E106" s="18">
        <v>1603653</v>
      </c>
      <c r="F106" s="18" t="s">
        <v>40</v>
      </c>
      <c r="G106" s="30">
        <v>20312602</v>
      </c>
      <c r="H106" s="18" t="s">
        <v>100</v>
      </c>
      <c r="I106" s="30">
        <v>1</v>
      </c>
      <c r="J106" s="30">
        <v>4</v>
      </c>
      <c r="K106" s="31">
        <v>22</v>
      </c>
      <c r="L106" s="31">
        <f t="shared" si="1"/>
        <v>22</v>
      </c>
    </row>
    <row r="107" spans="4:12">
      <c r="D107" s="29">
        <v>46158</v>
      </c>
      <c r="E107" s="18">
        <v>1603653</v>
      </c>
      <c r="F107" s="18" t="s">
        <v>40</v>
      </c>
      <c r="G107" s="30">
        <v>20425744</v>
      </c>
      <c r="H107" s="18" t="s">
        <v>135</v>
      </c>
      <c r="I107" s="30">
        <v>1</v>
      </c>
      <c r="J107" s="30">
        <v>6</v>
      </c>
      <c r="K107" s="31">
        <v>33</v>
      </c>
      <c r="L107" s="31">
        <f t="shared" si="1"/>
        <v>33</v>
      </c>
    </row>
    <row r="108" spans="4:12">
      <c r="D108" s="29">
        <v>46158</v>
      </c>
      <c r="E108" s="18">
        <v>1603653</v>
      </c>
      <c r="F108" s="18" t="s">
        <v>17</v>
      </c>
      <c r="G108" s="30">
        <v>20378341</v>
      </c>
      <c r="H108" s="18" t="s">
        <v>101</v>
      </c>
      <c r="I108" s="30">
        <v>8</v>
      </c>
      <c r="J108" s="30">
        <v>0</v>
      </c>
      <c r="K108" s="31">
        <v>4</v>
      </c>
      <c r="L108" s="31">
        <f t="shared" si="1"/>
        <v>32</v>
      </c>
    </row>
    <row r="109" spans="4:12">
      <c r="D109" s="29">
        <v>46158</v>
      </c>
      <c r="E109" s="18">
        <v>1603750</v>
      </c>
      <c r="F109" s="18" t="s">
        <v>31</v>
      </c>
      <c r="G109" s="30">
        <v>20008456</v>
      </c>
      <c r="H109" s="18" t="s">
        <v>106</v>
      </c>
      <c r="I109" s="30">
        <v>1</v>
      </c>
      <c r="J109" s="30">
        <v>1</v>
      </c>
      <c r="K109" s="31">
        <v>28</v>
      </c>
      <c r="L109" s="31">
        <f t="shared" si="1"/>
        <v>28</v>
      </c>
    </row>
    <row r="110" spans="4:12">
      <c r="D110" s="29">
        <v>46158</v>
      </c>
      <c r="E110" s="18">
        <v>1603750</v>
      </c>
      <c r="F110" s="18" t="s">
        <v>31</v>
      </c>
      <c r="G110" s="30">
        <v>20008442</v>
      </c>
      <c r="H110" s="18" t="s">
        <v>107</v>
      </c>
      <c r="I110" s="30">
        <v>1</v>
      </c>
      <c r="J110" s="30">
        <v>4</v>
      </c>
      <c r="K110" s="31">
        <v>88</v>
      </c>
      <c r="L110" s="31">
        <f t="shared" si="1"/>
        <v>88</v>
      </c>
    </row>
    <row r="111" spans="4:12">
      <c r="D111" s="29">
        <v>46158</v>
      </c>
      <c r="E111" s="18">
        <v>1603750</v>
      </c>
      <c r="F111" s="18" t="s">
        <v>31</v>
      </c>
      <c r="G111" s="30">
        <v>20007701</v>
      </c>
      <c r="H111" s="18" t="s">
        <v>109</v>
      </c>
      <c r="I111" s="30">
        <v>1</v>
      </c>
      <c r="J111" s="30">
        <v>1</v>
      </c>
      <c r="K111" s="31">
        <v>28</v>
      </c>
      <c r="L111" s="31">
        <f t="shared" si="1"/>
        <v>28</v>
      </c>
    </row>
    <row r="112" spans="4:12">
      <c r="D112" s="29">
        <v>46158</v>
      </c>
      <c r="E112" s="18">
        <v>1603750</v>
      </c>
      <c r="F112" s="18" t="s">
        <v>31</v>
      </c>
      <c r="G112" s="30">
        <v>20008163</v>
      </c>
      <c r="H112" s="18" t="s">
        <v>133</v>
      </c>
      <c r="I112" s="30">
        <v>1</v>
      </c>
      <c r="J112" s="30">
        <v>1</v>
      </c>
      <c r="K112" s="31">
        <v>28</v>
      </c>
      <c r="L112" s="31">
        <f t="shared" si="1"/>
        <v>28</v>
      </c>
    </row>
    <row r="113" spans="4:12">
      <c r="D113" s="29">
        <v>46158</v>
      </c>
      <c r="E113" s="18">
        <v>1603750</v>
      </c>
      <c r="F113" s="18" t="s">
        <v>31</v>
      </c>
      <c r="G113" s="30">
        <v>20010183</v>
      </c>
      <c r="H113" s="18" t="s">
        <v>110</v>
      </c>
      <c r="I113" s="30">
        <v>1</v>
      </c>
      <c r="J113" s="30">
        <v>1</v>
      </c>
      <c r="K113" s="31">
        <v>28</v>
      </c>
      <c r="L113" s="31">
        <f t="shared" si="1"/>
        <v>28</v>
      </c>
    </row>
    <row r="114" spans="4:12">
      <c r="D114" s="29">
        <v>46158</v>
      </c>
      <c r="E114" s="18">
        <v>1603750</v>
      </c>
      <c r="F114" s="18" t="s">
        <v>31</v>
      </c>
      <c r="G114" s="30">
        <v>20010888</v>
      </c>
      <c r="H114" s="18" t="s">
        <v>111</v>
      </c>
      <c r="I114" s="30">
        <v>1</v>
      </c>
      <c r="J114" s="30">
        <v>1</v>
      </c>
      <c r="K114" s="31">
        <v>35</v>
      </c>
      <c r="L114" s="31">
        <f t="shared" si="1"/>
        <v>35</v>
      </c>
    </row>
    <row r="115" spans="4:12">
      <c r="D115" s="29">
        <v>46158</v>
      </c>
      <c r="E115" s="18">
        <v>1603750</v>
      </c>
      <c r="F115" s="18" t="s">
        <v>31</v>
      </c>
      <c r="G115" s="30">
        <v>20008860</v>
      </c>
      <c r="H115" s="18" t="s">
        <v>136</v>
      </c>
      <c r="I115" s="30">
        <v>1</v>
      </c>
      <c r="J115" s="30">
        <v>1</v>
      </c>
      <c r="K115" s="31">
        <v>28</v>
      </c>
      <c r="L115" s="31">
        <f t="shared" si="1"/>
        <v>28</v>
      </c>
    </row>
    <row r="116" spans="4:12">
      <c r="D116" s="29">
        <v>46158</v>
      </c>
      <c r="E116" s="18">
        <v>1603750</v>
      </c>
      <c r="F116" s="18" t="s">
        <v>31</v>
      </c>
      <c r="G116" s="30">
        <v>20007465</v>
      </c>
      <c r="H116" s="18" t="s">
        <v>32</v>
      </c>
      <c r="I116" s="30">
        <v>2</v>
      </c>
      <c r="J116" s="30">
        <v>2</v>
      </c>
      <c r="K116" s="31">
        <v>35</v>
      </c>
      <c r="L116" s="31">
        <f t="shared" si="1"/>
        <v>70</v>
      </c>
    </row>
    <row r="117" spans="4:12">
      <c r="D117" s="29">
        <v>46158</v>
      </c>
      <c r="E117" s="18">
        <v>1603750</v>
      </c>
      <c r="F117" s="18" t="s">
        <v>31</v>
      </c>
      <c r="G117" s="30">
        <v>20007427</v>
      </c>
      <c r="H117" s="18" t="s">
        <v>112</v>
      </c>
      <c r="I117" s="30">
        <v>1</v>
      </c>
      <c r="J117" s="30">
        <v>1</v>
      </c>
      <c r="K117" s="31">
        <v>28</v>
      </c>
      <c r="L117" s="31">
        <f t="shared" si="1"/>
        <v>28</v>
      </c>
    </row>
    <row r="118" spans="4:12">
      <c r="D118" s="29">
        <v>46158</v>
      </c>
      <c r="E118" s="18">
        <v>1603750</v>
      </c>
      <c r="F118" s="18" t="s">
        <v>31</v>
      </c>
      <c r="G118" s="30">
        <v>20007494</v>
      </c>
      <c r="H118" s="18" t="s">
        <v>113</v>
      </c>
      <c r="I118" s="30">
        <v>1</v>
      </c>
      <c r="J118" s="30">
        <v>1</v>
      </c>
      <c r="K118" s="31">
        <v>25</v>
      </c>
      <c r="L118" s="31">
        <f t="shared" si="1"/>
        <v>25</v>
      </c>
    </row>
    <row r="119" spans="4:12">
      <c r="D119" s="29">
        <v>46158</v>
      </c>
      <c r="E119" s="18">
        <v>1603750</v>
      </c>
      <c r="F119" s="18" t="s">
        <v>31</v>
      </c>
      <c r="G119" s="30">
        <v>20007471</v>
      </c>
      <c r="H119" s="18" t="s">
        <v>120</v>
      </c>
      <c r="I119" s="30">
        <v>1</v>
      </c>
      <c r="J119" s="30">
        <v>5</v>
      </c>
      <c r="K119" s="31">
        <v>88</v>
      </c>
      <c r="L119" s="31">
        <f t="shared" si="1"/>
        <v>88</v>
      </c>
    </row>
    <row r="120" spans="4:12">
      <c r="D120" s="29">
        <v>46158</v>
      </c>
      <c r="E120" s="18">
        <v>1603750</v>
      </c>
      <c r="F120" s="18" t="s">
        <v>31</v>
      </c>
      <c r="G120" s="30">
        <v>20007703</v>
      </c>
      <c r="H120" s="18" t="s">
        <v>137</v>
      </c>
      <c r="I120" s="30">
        <v>1</v>
      </c>
      <c r="J120" s="30">
        <v>1</v>
      </c>
      <c r="K120" s="31">
        <v>28</v>
      </c>
      <c r="L120" s="31">
        <f t="shared" si="1"/>
        <v>28</v>
      </c>
    </row>
    <row r="121" spans="4:12">
      <c r="D121" s="29">
        <v>46158</v>
      </c>
      <c r="E121" s="18">
        <v>1603750</v>
      </c>
      <c r="F121" s="18" t="s">
        <v>33</v>
      </c>
      <c r="G121" s="30">
        <v>20008863</v>
      </c>
      <c r="H121" s="18" t="s">
        <v>121</v>
      </c>
      <c r="I121" s="30">
        <v>1</v>
      </c>
      <c r="J121" s="30">
        <v>2</v>
      </c>
      <c r="K121" s="31">
        <v>36</v>
      </c>
      <c r="L121" s="31">
        <f t="shared" si="1"/>
        <v>36</v>
      </c>
    </row>
    <row r="122" spans="4:12">
      <c r="D122" s="29">
        <v>46161</v>
      </c>
      <c r="E122" s="18">
        <v>1604246</v>
      </c>
      <c r="F122" s="18" t="s">
        <v>52</v>
      </c>
      <c r="G122" s="30">
        <v>20013323</v>
      </c>
      <c r="H122" s="18" t="s">
        <v>103</v>
      </c>
      <c r="I122" s="30">
        <v>1</v>
      </c>
      <c r="J122" s="30">
        <v>21</v>
      </c>
      <c r="K122" s="31">
        <v>115.5</v>
      </c>
      <c r="L122" s="31">
        <f t="shared" si="1"/>
        <v>115.5</v>
      </c>
    </row>
    <row r="123" spans="4:12">
      <c r="D123" s="29">
        <v>46161</v>
      </c>
      <c r="E123" s="18">
        <v>1604246</v>
      </c>
      <c r="F123" s="18" t="s">
        <v>49</v>
      </c>
      <c r="G123" s="30">
        <v>20008605</v>
      </c>
      <c r="H123" s="18" t="s">
        <v>50</v>
      </c>
      <c r="I123" s="30">
        <v>1</v>
      </c>
      <c r="J123" s="30">
        <v>2</v>
      </c>
      <c r="K123" s="31">
        <v>16.5</v>
      </c>
      <c r="L123" s="31">
        <f t="shared" si="1"/>
        <v>16.5</v>
      </c>
    </row>
    <row r="124" spans="4:12">
      <c r="D124" s="29">
        <v>46161</v>
      </c>
      <c r="E124" s="18">
        <v>1604246</v>
      </c>
      <c r="F124" s="18" t="s">
        <v>21</v>
      </c>
      <c r="G124" s="30">
        <v>20354736</v>
      </c>
      <c r="H124" s="18" t="s">
        <v>138</v>
      </c>
      <c r="I124" s="30">
        <v>1</v>
      </c>
      <c r="J124" s="30">
        <v>13</v>
      </c>
      <c r="K124" s="31">
        <v>71.5</v>
      </c>
      <c r="L124" s="31">
        <f t="shared" si="1"/>
        <v>71.5</v>
      </c>
    </row>
    <row r="125" spans="4:12">
      <c r="D125" s="29">
        <v>46161</v>
      </c>
      <c r="E125" s="18">
        <v>1604246</v>
      </c>
      <c r="F125" s="18" t="s">
        <v>17</v>
      </c>
      <c r="G125" s="30">
        <v>20378341</v>
      </c>
      <c r="H125" s="18" t="s">
        <v>101</v>
      </c>
      <c r="I125" s="30">
        <v>7</v>
      </c>
      <c r="J125" s="30">
        <v>0</v>
      </c>
      <c r="K125" s="31">
        <v>4</v>
      </c>
      <c r="L125" s="31">
        <f t="shared" si="1"/>
        <v>28</v>
      </c>
    </row>
    <row r="126" spans="4:12">
      <c r="D126" s="29">
        <v>46162</v>
      </c>
      <c r="E126" s="18">
        <v>1604567</v>
      </c>
      <c r="F126" s="18" t="s">
        <v>52</v>
      </c>
      <c r="G126" s="30">
        <v>20009011</v>
      </c>
      <c r="H126" s="18" t="s">
        <v>97</v>
      </c>
      <c r="I126" s="30">
        <v>1</v>
      </c>
      <c r="J126" s="30">
        <v>7</v>
      </c>
      <c r="K126" s="31">
        <v>38.5</v>
      </c>
      <c r="L126" s="31">
        <f t="shared" si="1"/>
        <v>38.5</v>
      </c>
    </row>
    <row r="127" spans="4:12">
      <c r="D127" s="29">
        <v>46162</v>
      </c>
      <c r="E127" s="18">
        <v>1604567</v>
      </c>
      <c r="F127" s="18" t="s">
        <v>52</v>
      </c>
      <c r="G127" s="30">
        <v>20007347</v>
      </c>
      <c r="H127" s="18" t="s">
        <v>125</v>
      </c>
      <c r="I127" s="30">
        <v>1</v>
      </c>
      <c r="J127" s="30">
        <v>55</v>
      </c>
      <c r="K127" s="31">
        <v>302.5</v>
      </c>
      <c r="L127" s="31">
        <f t="shared" si="1"/>
        <v>302.5</v>
      </c>
    </row>
    <row r="128" spans="4:12">
      <c r="D128" s="29">
        <v>46162</v>
      </c>
      <c r="E128" s="18">
        <v>1604567</v>
      </c>
      <c r="F128" s="18" t="s">
        <v>52</v>
      </c>
      <c r="G128" s="30">
        <v>20008786</v>
      </c>
      <c r="H128" s="18" t="s">
        <v>102</v>
      </c>
      <c r="I128" s="30">
        <v>1</v>
      </c>
      <c r="J128" s="30">
        <v>33</v>
      </c>
      <c r="K128" s="31">
        <v>181.5</v>
      </c>
      <c r="L128" s="31">
        <f t="shared" si="1"/>
        <v>181.5</v>
      </c>
    </row>
    <row r="129" spans="4:12">
      <c r="D129" s="29">
        <v>46162</v>
      </c>
      <c r="E129" s="18">
        <v>1604567</v>
      </c>
      <c r="F129" s="18" t="s">
        <v>52</v>
      </c>
      <c r="G129" s="30">
        <v>20013323</v>
      </c>
      <c r="H129" s="18" t="s">
        <v>103</v>
      </c>
      <c r="I129" s="30">
        <v>1</v>
      </c>
      <c r="J129" s="30">
        <v>21</v>
      </c>
      <c r="K129" s="31">
        <v>115.5</v>
      </c>
      <c r="L129" s="31">
        <f t="shared" si="1"/>
        <v>115.5</v>
      </c>
    </row>
    <row r="130" spans="4:12">
      <c r="D130" s="29">
        <v>46162</v>
      </c>
      <c r="E130" s="18">
        <v>1604567</v>
      </c>
      <c r="F130" s="18" t="s">
        <v>52</v>
      </c>
      <c r="G130" s="30">
        <v>20009113</v>
      </c>
      <c r="H130" s="18" t="s">
        <v>139</v>
      </c>
      <c r="I130" s="30">
        <v>1</v>
      </c>
      <c r="J130" s="30">
        <v>24</v>
      </c>
      <c r="K130" s="31">
        <v>132</v>
      </c>
      <c r="L130" s="31">
        <f t="shared" si="1"/>
        <v>132</v>
      </c>
    </row>
    <row r="131" spans="4:12">
      <c r="D131" s="29">
        <v>46162</v>
      </c>
      <c r="E131" s="18">
        <v>1604567</v>
      </c>
      <c r="F131" s="18" t="s">
        <v>52</v>
      </c>
      <c r="G131" s="30">
        <v>20300285</v>
      </c>
      <c r="H131" s="18" t="s">
        <v>116</v>
      </c>
      <c r="I131" s="30">
        <v>2</v>
      </c>
      <c r="J131" s="30">
        <v>28</v>
      </c>
      <c r="K131" s="31">
        <v>77</v>
      </c>
      <c r="L131" s="31">
        <f t="shared" si="1"/>
        <v>154</v>
      </c>
    </row>
    <row r="132" spans="4:12">
      <c r="D132" s="29">
        <v>46162</v>
      </c>
      <c r="E132" s="18">
        <v>1604567</v>
      </c>
      <c r="F132" s="18" t="s">
        <v>49</v>
      </c>
      <c r="G132" s="30">
        <v>20008605</v>
      </c>
      <c r="H132" s="18" t="s">
        <v>50</v>
      </c>
      <c r="I132" s="30">
        <v>4</v>
      </c>
      <c r="J132" s="30">
        <v>8</v>
      </c>
      <c r="K132" s="31">
        <v>16.5</v>
      </c>
      <c r="L132" s="31">
        <f t="shared" si="1"/>
        <v>66</v>
      </c>
    </row>
    <row r="133" spans="4:12">
      <c r="D133" s="29">
        <v>46162</v>
      </c>
      <c r="E133" s="18">
        <v>1604567</v>
      </c>
      <c r="F133" s="18" t="s">
        <v>14</v>
      </c>
      <c r="G133" s="30">
        <v>20312603</v>
      </c>
      <c r="H133" s="18" t="s">
        <v>105</v>
      </c>
      <c r="I133" s="30">
        <v>3</v>
      </c>
      <c r="J133" s="30">
        <v>9</v>
      </c>
      <c r="K133" s="31">
        <v>16.5</v>
      </c>
      <c r="L133" s="31">
        <f t="shared" si="1"/>
        <v>49.5</v>
      </c>
    </row>
    <row r="134" spans="4:12">
      <c r="D134" s="29">
        <v>46162</v>
      </c>
      <c r="E134" s="18">
        <v>1604567</v>
      </c>
      <c r="F134" s="18" t="s">
        <v>14</v>
      </c>
      <c r="G134" s="30">
        <v>20313189</v>
      </c>
      <c r="H134" s="18" t="s">
        <v>99</v>
      </c>
      <c r="I134" s="30">
        <v>1</v>
      </c>
      <c r="J134" s="30">
        <v>3</v>
      </c>
      <c r="K134" s="31">
        <v>16.5</v>
      </c>
      <c r="L134" s="31">
        <f t="shared" si="1"/>
        <v>16.5</v>
      </c>
    </row>
    <row r="135" spans="4:12">
      <c r="D135" s="29">
        <v>46162</v>
      </c>
      <c r="E135" s="18">
        <v>1604567</v>
      </c>
      <c r="F135" s="18" t="s">
        <v>14</v>
      </c>
      <c r="G135" s="30">
        <v>20367551</v>
      </c>
      <c r="H135" s="18" t="s">
        <v>140</v>
      </c>
      <c r="I135" s="30">
        <v>7</v>
      </c>
      <c r="J135" s="30">
        <v>84</v>
      </c>
      <c r="K135" s="31">
        <v>16.5</v>
      </c>
      <c r="L135" s="31">
        <f t="shared" si="1"/>
        <v>115.5</v>
      </c>
    </row>
    <row r="136" spans="4:12">
      <c r="D136" s="29">
        <v>46162</v>
      </c>
      <c r="E136" s="18">
        <v>1604567</v>
      </c>
      <c r="F136" s="18" t="s">
        <v>40</v>
      </c>
      <c r="G136" s="30">
        <v>20359878</v>
      </c>
      <c r="H136" s="18" t="s">
        <v>127</v>
      </c>
      <c r="I136" s="30">
        <v>1</v>
      </c>
      <c r="J136" s="30">
        <v>4</v>
      </c>
      <c r="K136" s="31">
        <v>22</v>
      </c>
      <c r="L136" s="31">
        <f t="shared" si="1"/>
        <v>22</v>
      </c>
    </row>
    <row r="137" spans="4:12">
      <c r="D137" s="29">
        <v>46162</v>
      </c>
      <c r="E137" s="18">
        <v>1604567</v>
      </c>
      <c r="F137" s="18" t="s">
        <v>40</v>
      </c>
      <c r="G137" s="30">
        <v>20323870</v>
      </c>
      <c r="H137" s="18" t="s">
        <v>141</v>
      </c>
      <c r="I137" s="30">
        <v>1</v>
      </c>
      <c r="J137" s="30">
        <v>6</v>
      </c>
      <c r="K137" s="31">
        <v>33</v>
      </c>
      <c r="L137" s="31">
        <f t="shared" si="1"/>
        <v>33</v>
      </c>
    </row>
    <row r="138" spans="4:12">
      <c r="D138" s="29">
        <v>46162</v>
      </c>
      <c r="E138" s="18">
        <v>1604931</v>
      </c>
      <c r="F138" s="18" t="s">
        <v>52</v>
      </c>
      <c r="G138" s="30">
        <v>20013323</v>
      </c>
      <c r="H138" s="18" t="s">
        <v>103</v>
      </c>
      <c r="I138" s="30">
        <v>3</v>
      </c>
      <c r="J138" s="30">
        <v>63</v>
      </c>
      <c r="K138" s="31">
        <v>115.5</v>
      </c>
      <c r="L138" s="31">
        <f t="shared" ref="L138:L201" si="2">K138*I138</f>
        <v>346.5</v>
      </c>
    </row>
    <row r="139" spans="4:12">
      <c r="D139" s="29">
        <v>46162</v>
      </c>
      <c r="E139" s="18">
        <v>1604931</v>
      </c>
      <c r="F139" s="18" t="s">
        <v>49</v>
      </c>
      <c r="G139" s="30">
        <v>20008605</v>
      </c>
      <c r="H139" s="18" t="s">
        <v>50</v>
      </c>
      <c r="I139" s="30">
        <v>2</v>
      </c>
      <c r="J139" s="30">
        <v>4</v>
      </c>
      <c r="K139" s="31">
        <v>16.5</v>
      </c>
      <c r="L139" s="31">
        <f t="shared" si="2"/>
        <v>33</v>
      </c>
    </row>
    <row r="140" spans="4:12">
      <c r="D140" s="29">
        <v>46162</v>
      </c>
      <c r="E140" s="18">
        <v>1604931</v>
      </c>
      <c r="F140" s="18" t="s">
        <v>14</v>
      </c>
      <c r="G140" s="30">
        <v>20312603</v>
      </c>
      <c r="H140" s="18" t="s">
        <v>105</v>
      </c>
      <c r="I140" s="30">
        <v>3</v>
      </c>
      <c r="J140" s="30">
        <v>9</v>
      </c>
      <c r="K140" s="31">
        <v>16.5</v>
      </c>
      <c r="L140" s="31">
        <f t="shared" si="2"/>
        <v>49.5</v>
      </c>
    </row>
    <row r="141" spans="4:12">
      <c r="D141" s="29">
        <v>46162</v>
      </c>
      <c r="E141" s="18">
        <v>1604931</v>
      </c>
      <c r="F141" s="18" t="s">
        <v>40</v>
      </c>
      <c r="G141" s="30">
        <v>20009328</v>
      </c>
      <c r="H141" s="18" t="s">
        <v>142</v>
      </c>
      <c r="I141" s="30">
        <v>1</v>
      </c>
      <c r="J141" s="30">
        <v>10</v>
      </c>
      <c r="K141" s="31">
        <v>55</v>
      </c>
      <c r="L141" s="31">
        <f t="shared" si="2"/>
        <v>55</v>
      </c>
    </row>
    <row r="142" spans="4:12">
      <c r="D142" s="29">
        <v>46162</v>
      </c>
      <c r="E142" s="18">
        <v>1604931</v>
      </c>
      <c r="F142" s="18" t="s">
        <v>17</v>
      </c>
      <c r="G142" s="30">
        <v>20013908</v>
      </c>
      <c r="H142" s="18" t="s">
        <v>143</v>
      </c>
      <c r="I142" s="30">
        <v>4</v>
      </c>
      <c r="J142" s="30">
        <v>0</v>
      </c>
      <c r="K142" s="31">
        <v>2.5</v>
      </c>
      <c r="L142" s="31">
        <f t="shared" si="2"/>
        <v>10</v>
      </c>
    </row>
    <row r="143" spans="4:12">
      <c r="D143" s="29">
        <v>46163</v>
      </c>
      <c r="E143" s="18">
        <v>1605316</v>
      </c>
      <c r="F143" s="18" t="s">
        <v>52</v>
      </c>
      <c r="G143" s="30">
        <v>20009011</v>
      </c>
      <c r="H143" s="18" t="s">
        <v>97</v>
      </c>
      <c r="I143" s="30">
        <v>1</v>
      </c>
      <c r="J143" s="30">
        <v>7</v>
      </c>
      <c r="K143" s="31">
        <v>38.5</v>
      </c>
      <c r="L143" s="31">
        <f t="shared" si="2"/>
        <v>38.5</v>
      </c>
    </row>
    <row r="144" spans="4:12">
      <c r="D144" s="29">
        <v>46163</v>
      </c>
      <c r="E144" s="18">
        <v>1605316</v>
      </c>
      <c r="F144" s="18" t="s">
        <v>52</v>
      </c>
      <c r="G144" s="30">
        <v>20007296</v>
      </c>
      <c r="H144" s="18" t="s">
        <v>115</v>
      </c>
      <c r="I144" s="30">
        <v>1</v>
      </c>
      <c r="J144" s="30">
        <v>37</v>
      </c>
      <c r="K144" s="31">
        <v>203.5</v>
      </c>
      <c r="L144" s="31">
        <f t="shared" si="2"/>
        <v>203.5</v>
      </c>
    </row>
    <row r="145" spans="4:12">
      <c r="D145" s="29">
        <v>46163</v>
      </c>
      <c r="E145" s="18">
        <v>1605316</v>
      </c>
      <c r="F145" s="18" t="s">
        <v>52</v>
      </c>
      <c r="G145" s="30">
        <v>20013323</v>
      </c>
      <c r="H145" s="18" t="s">
        <v>103</v>
      </c>
      <c r="I145" s="30">
        <v>1</v>
      </c>
      <c r="J145" s="30">
        <v>21</v>
      </c>
      <c r="K145" s="31">
        <v>115.5</v>
      </c>
      <c r="L145" s="31">
        <f t="shared" si="2"/>
        <v>115.5</v>
      </c>
    </row>
    <row r="146" spans="4:12">
      <c r="D146" s="29">
        <v>46163</v>
      </c>
      <c r="E146" s="18">
        <v>1605316</v>
      </c>
      <c r="F146" s="18" t="s">
        <v>49</v>
      </c>
      <c r="G146" s="30">
        <v>20008605</v>
      </c>
      <c r="H146" s="18" t="s">
        <v>50</v>
      </c>
      <c r="I146" s="30">
        <v>3</v>
      </c>
      <c r="J146" s="30">
        <v>6</v>
      </c>
      <c r="K146" s="31">
        <v>16.5</v>
      </c>
      <c r="L146" s="31">
        <f t="shared" si="2"/>
        <v>49.5</v>
      </c>
    </row>
    <row r="147" spans="4:12">
      <c r="D147" s="29">
        <v>46163</v>
      </c>
      <c r="E147" s="18">
        <v>1605316</v>
      </c>
      <c r="F147" s="18" t="s">
        <v>14</v>
      </c>
      <c r="G147" s="30">
        <v>20312603</v>
      </c>
      <c r="H147" s="18" t="s">
        <v>105</v>
      </c>
      <c r="I147" s="30">
        <v>1</v>
      </c>
      <c r="J147" s="30">
        <v>3</v>
      </c>
      <c r="K147" s="31">
        <v>16.5</v>
      </c>
      <c r="L147" s="31">
        <f t="shared" si="2"/>
        <v>16.5</v>
      </c>
    </row>
    <row r="148" spans="4:12">
      <c r="D148" s="29">
        <v>46163</v>
      </c>
      <c r="E148" s="18">
        <v>1605316</v>
      </c>
      <c r="F148" s="18" t="s">
        <v>40</v>
      </c>
      <c r="G148" s="30">
        <v>20312602</v>
      </c>
      <c r="H148" s="18" t="s">
        <v>100</v>
      </c>
      <c r="I148" s="30">
        <v>2</v>
      </c>
      <c r="J148" s="30">
        <v>8</v>
      </c>
      <c r="K148" s="31">
        <v>22</v>
      </c>
      <c r="L148" s="31">
        <f t="shared" si="2"/>
        <v>44</v>
      </c>
    </row>
    <row r="149" spans="4:12">
      <c r="D149" s="29">
        <v>46163</v>
      </c>
      <c r="E149" s="18">
        <v>1605316</v>
      </c>
      <c r="F149" s="18" t="s">
        <v>17</v>
      </c>
      <c r="G149" s="30">
        <v>20378341</v>
      </c>
      <c r="H149" s="18" t="s">
        <v>101</v>
      </c>
      <c r="I149" s="30">
        <v>7</v>
      </c>
      <c r="J149" s="30">
        <v>0</v>
      </c>
      <c r="K149" s="31">
        <v>4</v>
      </c>
      <c r="L149" s="31">
        <f t="shared" si="2"/>
        <v>28</v>
      </c>
    </row>
    <row r="150" spans="4:12">
      <c r="D150" s="29">
        <v>46164</v>
      </c>
      <c r="E150" s="18">
        <v>1605411</v>
      </c>
      <c r="F150" s="18" t="s">
        <v>31</v>
      </c>
      <c r="G150" s="30">
        <v>20008861</v>
      </c>
      <c r="H150" s="18" t="s">
        <v>81</v>
      </c>
      <c r="I150" s="30">
        <v>2</v>
      </c>
      <c r="J150" s="30">
        <v>2</v>
      </c>
      <c r="K150" s="31">
        <v>35</v>
      </c>
      <c r="L150" s="31">
        <f t="shared" si="2"/>
        <v>70</v>
      </c>
    </row>
    <row r="151" spans="4:12">
      <c r="D151" s="29">
        <v>46164</v>
      </c>
      <c r="E151" s="18">
        <v>1605411</v>
      </c>
      <c r="F151" s="18" t="s">
        <v>31</v>
      </c>
      <c r="G151" s="30">
        <v>20007465</v>
      </c>
      <c r="H151" s="18" t="s">
        <v>32</v>
      </c>
      <c r="I151" s="30">
        <v>1</v>
      </c>
      <c r="J151" s="30">
        <v>1</v>
      </c>
      <c r="K151" s="31">
        <v>35</v>
      </c>
      <c r="L151" s="31">
        <f t="shared" si="2"/>
        <v>35</v>
      </c>
    </row>
    <row r="152" spans="4:12">
      <c r="D152" s="29">
        <v>46165</v>
      </c>
      <c r="E152" s="18">
        <v>1605755</v>
      </c>
      <c r="F152" s="18" t="s">
        <v>52</v>
      </c>
      <c r="G152" s="30">
        <v>20310486</v>
      </c>
      <c r="H152" s="18" t="s">
        <v>131</v>
      </c>
      <c r="I152" s="30">
        <v>1</v>
      </c>
      <c r="J152" s="30">
        <v>13</v>
      </c>
      <c r="K152" s="31">
        <v>71.5</v>
      </c>
      <c r="L152" s="31">
        <f t="shared" si="2"/>
        <v>71.5</v>
      </c>
    </row>
    <row r="153" spans="4:12">
      <c r="D153" s="29">
        <v>46165</v>
      </c>
      <c r="E153" s="18">
        <v>1605755</v>
      </c>
      <c r="F153" s="18" t="s">
        <v>52</v>
      </c>
      <c r="G153" s="30">
        <v>20007348</v>
      </c>
      <c r="H153" s="18" t="s">
        <v>98</v>
      </c>
      <c r="I153" s="30">
        <v>1</v>
      </c>
      <c r="J153" s="30">
        <v>27</v>
      </c>
      <c r="K153" s="31">
        <v>148.5</v>
      </c>
      <c r="L153" s="31">
        <f t="shared" si="2"/>
        <v>148.5</v>
      </c>
    </row>
    <row r="154" spans="4:12">
      <c r="D154" s="29">
        <v>46165</v>
      </c>
      <c r="E154" s="18">
        <v>1605755</v>
      </c>
      <c r="F154" s="18" t="s">
        <v>52</v>
      </c>
      <c r="G154" s="30">
        <v>20007340</v>
      </c>
      <c r="H154" s="18" t="s">
        <v>144</v>
      </c>
      <c r="I154" s="30">
        <v>1</v>
      </c>
      <c r="J154" s="30">
        <v>32</v>
      </c>
      <c r="K154" s="31">
        <v>176</v>
      </c>
      <c r="L154" s="31">
        <f t="shared" si="2"/>
        <v>176</v>
      </c>
    </row>
    <row r="155" spans="4:12">
      <c r="D155" s="29">
        <v>46165</v>
      </c>
      <c r="E155" s="18">
        <v>1605755</v>
      </c>
      <c r="F155" s="18" t="s">
        <v>52</v>
      </c>
      <c r="G155" s="30">
        <v>20007341</v>
      </c>
      <c r="H155" s="18" t="s">
        <v>145</v>
      </c>
      <c r="I155" s="30">
        <v>1</v>
      </c>
      <c r="J155" s="30">
        <v>44</v>
      </c>
      <c r="K155" s="31">
        <v>242</v>
      </c>
      <c r="L155" s="31">
        <f t="shared" si="2"/>
        <v>242</v>
      </c>
    </row>
    <row r="156" spans="4:12">
      <c r="D156" s="29">
        <v>46165</v>
      </c>
      <c r="E156" s="18">
        <v>1605755</v>
      </c>
      <c r="F156" s="18" t="s">
        <v>49</v>
      </c>
      <c r="G156" s="30">
        <v>20008605</v>
      </c>
      <c r="H156" s="18" t="s">
        <v>50</v>
      </c>
      <c r="I156" s="30">
        <v>2</v>
      </c>
      <c r="J156" s="30">
        <v>4</v>
      </c>
      <c r="K156" s="31">
        <v>16.5</v>
      </c>
      <c r="L156" s="31">
        <f t="shared" si="2"/>
        <v>33</v>
      </c>
    </row>
    <row r="157" spans="4:12">
      <c r="D157" s="29">
        <v>46165</v>
      </c>
      <c r="E157" s="18">
        <v>1605755</v>
      </c>
      <c r="F157" s="18" t="s">
        <v>14</v>
      </c>
      <c r="G157" s="30">
        <v>20312603</v>
      </c>
      <c r="H157" s="18" t="s">
        <v>105</v>
      </c>
      <c r="I157" s="30">
        <v>1</v>
      </c>
      <c r="J157" s="30">
        <v>3</v>
      </c>
      <c r="K157" s="31">
        <v>16.5</v>
      </c>
      <c r="L157" s="31">
        <f t="shared" si="2"/>
        <v>16.5</v>
      </c>
    </row>
    <row r="158" spans="4:12">
      <c r="D158" s="29">
        <v>46165</v>
      </c>
      <c r="E158" s="18">
        <v>1605755</v>
      </c>
      <c r="F158" s="18" t="s">
        <v>21</v>
      </c>
      <c r="G158" s="30">
        <v>20325185</v>
      </c>
      <c r="H158" s="18" t="s">
        <v>123</v>
      </c>
      <c r="I158" s="30">
        <v>1</v>
      </c>
      <c r="J158" s="30">
        <v>6</v>
      </c>
      <c r="K158" s="31">
        <v>33</v>
      </c>
      <c r="L158" s="31">
        <f t="shared" si="2"/>
        <v>33</v>
      </c>
    </row>
    <row r="159" spans="4:12">
      <c r="D159" s="29">
        <v>46165</v>
      </c>
      <c r="E159" s="18">
        <v>1605755</v>
      </c>
      <c r="F159" s="18" t="s">
        <v>40</v>
      </c>
      <c r="G159" s="30">
        <v>20312602</v>
      </c>
      <c r="H159" s="18" t="s">
        <v>100</v>
      </c>
      <c r="I159" s="30">
        <v>1</v>
      </c>
      <c r="J159" s="30">
        <v>4</v>
      </c>
      <c r="K159" s="31">
        <v>22</v>
      </c>
      <c r="L159" s="31">
        <f t="shared" si="2"/>
        <v>22</v>
      </c>
    </row>
    <row r="160" spans="4:12">
      <c r="D160" s="29">
        <v>46165</v>
      </c>
      <c r="E160" s="18">
        <v>1605755</v>
      </c>
      <c r="F160" s="18" t="s">
        <v>40</v>
      </c>
      <c r="G160" s="30">
        <v>20009328</v>
      </c>
      <c r="H160" s="18" t="s">
        <v>142</v>
      </c>
      <c r="I160" s="30">
        <v>1</v>
      </c>
      <c r="J160" s="30">
        <v>10</v>
      </c>
      <c r="K160" s="31">
        <v>55</v>
      </c>
      <c r="L160" s="31">
        <f t="shared" si="2"/>
        <v>55</v>
      </c>
    </row>
    <row r="161" spans="4:12">
      <c r="D161" s="29">
        <v>46165</v>
      </c>
      <c r="E161" s="18">
        <v>1605789</v>
      </c>
      <c r="F161" s="18" t="s">
        <v>31</v>
      </c>
      <c r="G161" s="30">
        <v>20007701</v>
      </c>
      <c r="H161" s="18" t="s">
        <v>109</v>
      </c>
      <c r="I161" s="30">
        <v>1</v>
      </c>
      <c r="J161" s="30">
        <v>1</v>
      </c>
      <c r="K161" s="31">
        <v>28</v>
      </c>
      <c r="L161" s="31">
        <f t="shared" si="2"/>
        <v>28</v>
      </c>
    </row>
    <row r="162" spans="4:12">
      <c r="D162" s="29">
        <v>46165</v>
      </c>
      <c r="E162" s="18">
        <v>1605789</v>
      </c>
      <c r="F162" s="18" t="s">
        <v>31</v>
      </c>
      <c r="G162" s="30">
        <v>20008163</v>
      </c>
      <c r="H162" s="18" t="s">
        <v>133</v>
      </c>
      <c r="I162" s="30">
        <v>1</v>
      </c>
      <c r="J162" s="30">
        <v>1</v>
      </c>
      <c r="K162" s="31">
        <v>28</v>
      </c>
      <c r="L162" s="31">
        <f t="shared" si="2"/>
        <v>28</v>
      </c>
    </row>
    <row r="163" spans="4:12">
      <c r="D163" s="29">
        <v>46165</v>
      </c>
      <c r="E163" s="18">
        <v>1605789</v>
      </c>
      <c r="F163" s="18" t="s">
        <v>31</v>
      </c>
      <c r="G163" s="30">
        <v>20010183</v>
      </c>
      <c r="H163" s="18" t="s">
        <v>110</v>
      </c>
      <c r="I163" s="30">
        <v>1</v>
      </c>
      <c r="J163" s="30">
        <v>1</v>
      </c>
      <c r="K163" s="31">
        <v>28</v>
      </c>
      <c r="L163" s="31">
        <f t="shared" si="2"/>
        <v>28</v>
      </c>
    </row>
    <row r="164" spans="4:12">
      <c r="D164" s="29">
        <v>46165</v>
      </c>
      <c r="E164" s="18">
        <v>1605789</v>
      </c>
      <c r="F164" s="18" t="s">
        <v>31</v>
      </c>
      <c r="G164" s="30">
        <v>20010888</v>
      </c>
      <c r="H164" s="18" t="s">
        <v>111</v>
      </c>
      <c r="I164" s="30">
        <v>1</v>
      </c>
      <c r="J164" s="30">
        <v>1</v>
      </c>
      <c r="K164" s="31">
        <v>35</v>
      </c>
      <c r="L164" s="31">
        <f t="shared" si="2"/>
        <v>35</v>
      </c>
    </row>
    <row r="165" spans="4:12">
      <c r="D165" s="29">
        <v>46165</v>
      </c>
      <c r="E165" s="18">
        <v>1605789</v>
      </c>
      <c r="F165" s="18" t="s">
        <v>31</v>
      </c>
      <c r="G165" s="30">
        <v>20007465</v>
      </c>
      <c r="H165" s="18" t="s">
        <v>32</v>
      </c>
      <c r="I165" s="30">
        <v>2</v>
      </c>
      <c r="J165" s="30">
        <v>2</v>
      </c>
      <c r="K165" s="31">
        <v>35</v>
      </c>
      <c r="L165" s="31">
        <f t="shared" si="2"/>
        <v>70</v>
      </c>
    </row>
    <row r="166" spans="4:12">
      <c r="D166" s="29">
        <v>46165</v>
      </c>
      <c r="E166" s="18">
        <v>1605789</v>
      </c>
      <c r="F166" s="18" t="s">
        <v>31</v>
      </c>
      <c r="G166" s="30">
        <v>20007427</v>
      </c>
      <c r="H166" s="18" t="s">
        <v>112</v>
      </c>
      <c r="I166" s="30">
        <v>1</v>
      </c>
      <c r="J166" s="30">
        <v>1</v>
      </c>
      <c r="K166" s="31">
        <v>28</v>
      </c>
      <c r="L166" s="31">
        <f t="shared" si="2"/>
        <v>28</v>
      </c>
    </row>
    <row r="167" spans="4:12">
      <c r="D167" s="29">
        <v>46165</v>
      </c>
      <c r="E167" s="18">
        <v>1605789</v>
      </c>
      <c r="F167" s="18" t="s">
        <v>31</v>
      </c>
      <c r="G167" s="30">
        <v>20007494</v>
      </c>
      <c r="H167" s="18" t="s">
        <v>113</v>
      </c>
      <c r="I167" s="30">
        <v>1</v>
      </c>
      <c r="J167" s="30">
        <v>1</v>
      </c>
      <c r="K167" s="31">
        <v>25</v>
      </c>
      <c r="L167" s="31">
        <f t="shared" si="2"/>
        <v>25</v>
      </c>
    </row>
    <row r="168" spans="4:12">
      <c r="D168" s="29">
        <v>46167</v>
      </c>
      <c r="E168" s="18">
        <v>1606234</v>
      </c>
      <c r="F168" s="18" t="s">
        <v>52</v>
      </c>
      <c r="G168" s="30">
        <v>20008786</v>
      </c>
      <c r="H168" s="18" t="s">
        <v>102</v>
      </c>
      <c r="I168" s="30">
        <v>1</v>
      </c>
      <c r="J168" s="30">
        <v>33</v>
      </c>
      <c r="K168" s="31">
        <v>181.5</v>
      </c>
      <c r="L168" s="31">
        <f t="shared" si="2"/>
        <v>181.5</v>
      </c>
    </row>
    <row r="169" spans="4:12">
      <c r="D169" s="29">
        <v>46167</v>
      </c>
      <c r="E169" s="18">
        <v>1606234</v>
      </c>
      <c r="F169" s="18" t="s">
        <v>52</v>
      </c>
      <c r="G169" s="30">
        <v>20013323</v>
      </c>
      <c r="H169" s="18" t="s">
        <v>103</v>
      </c>
      <c r="I169" s="30">
        <v>1</v>
      </c>
      <c r="J169" s="30">
        <v>21</v>
      </c>
      <c r="K169" s="31">
        <v>115.5</v>
      </c>
      <c r="L169" s="31">
        <f t="shared" si="2"/>
        <v>115.5</v>
      </c>
    </row>
    <row r="170" spans="4:12">
      <c r="D170" s="29">
        <v>46167</v>
      </c>
      <c r="E170" s="18">
        <v>1606234</v>
      </c>
      <c r="F170" s="18" t="s">
        <v>52</v>
      </c>
      <c r="G170" s="30">
        <v>20009113</v>
      </c>
      <c r="H170" s="18" t="s">
        <v>139</v>
      </c>
      <c r="I170" s="30">
        <v>1</v>
      </c>
      <c r="J170" s="30">
        <v>24</v>
      </c>
      <c r="K170" s="31">
        <v>132</v>
      </c>
      <c r="L170" s="31">
        <f t="shared" si="2"/>
        <v>132</v>
      </c>
    </row>
    <row r="171" spans="4:12">
      <c r="D171" s="29">
        <v>46167</v>
      </c>
      <c r="E171" s="18">
        <v>1606234</v>
      </c>
      <c r="F171" s="18" t="s">
        <v>52</v>
      </c>
      <c r="G171" s="30">
        <v>20300285</v>
      </c>
      <c r="H171" s="18" t="s">
        <v>116</v>
      </c>
      <c r="I171" s="30">
        <v>2</v>
      </c>
      <c r="J171" s="30">
        <v>28</v>
      </c>
      <c r="K171" s="31">
        <v>77</v>
      </c>
      <c r="L171" s="31">
        <f t="shared" si="2"/>
        <v>154</v>
      </c>
    </row>
    <row r="172" spans="4:12">
      <c r="D172" s="29">
        <v>46167</v>
      </c>
      <c r="E172" s="18">
        <v>1606234</v>
      </c>
      <c r="F172" s="18" t="s">
        <v>49</v>
      </c>
      <c r="G172" s="30">
        <v>20008605</v>
      </c>
      <c r="H172" s="18" t="s">
        <v>50</v>
      </c>
      <c r="I172" s="30">
        <v>4</v>
      </c>
      <c r="J172" s="30">
        <v>8</v>
      </c>
      <c r="K172" s="31">
        <v>16.5</v>
      </c>
      <c r="L172" s="31">
        <f t="shared" si="2"/>
        <v>66</v>
      </c>
    </row>
    <row r="173" spans="4:12">
      <c r="D173" s="29">
        <v>46167</v>
      </c>
      <c r="E173" s="18">
        <v>1606234</v>
      </c>
      <c r="F173" s="18" t="s">
        <v>14</v>
      </c>
      <c r="G173" s="30">
        <v>20313189</v>
      </c>
      <c r="H173" s="18" t="s">
        <v>99</v>
      </c>
      <c r="I173" s="30">
        <v>5</v>
      </c>
      <c r="J173" s="30">
        <v>15</v>
      </c>
      <c r="K173" s="31">
        <v>16.5</v>
      </c>
      <c r="L173" s="31">
        <f t="shared" si="2"/>
        <v>82.5</v>
      </c>
    </row>
    <row r="174" spans="4:12">
      <c r="D174" s="29">
        <v>46167</v>
      </c>
      <c r="E174" s="18">
        <v>1606234</v>
      </c>
      <c r="F174" s="18" t="s">
        <v>40</v>
      </c>
      <c r="G174" s="30">
        <v>20323870</v>
      </c>
      <c r="H174" s="18" t="s">
        <v>141</v>
      </c>
      <c r="I174" s="30">
        <v>1</v>
      </c>
      <c r="J174" s="30">
        <v>6</v>
      </c>
      <c r="K174" s="31">
        <v>33</v>
      </c>
      <c r="L174" s="31">
        <f t="shared" si="2"/>
        <v>33</v>
      </c>
    </row>
    <row r="175" spans="4:12">
      <c r="D175" s="29">
        <v>46167</v>
      </c>
      <c r="E175" s="18">
        <v>1606234</v>
      </c>
      <c r="F175" s="18" t="s">
        <v>17</v>
      </c>
      <c r="G175" s="30">
        <v>20378341</v>
      </c>
      <c r="H175" s="18" t="s">
        <v>101</v>
      </c>
      <c r="I175" s="30">
        <v>6</v>
      </c>
      <c r="J175" s="30">
        <v>0</v>
      </c>
      <c r="K175" s="31">
        <v>4</v>
      </c>
      <c r="L175" s="31">
        <f t="shared" si="2"/>
        <v>24</v>
      </c>
    </row>
    <row r="176" spans="4:12">
      <c r="D176" s="29">
        <v>46168</v>
      </c>
      <c r="E176" s="18">
        <v>1606329</v>
      </c>
      <c r="F176" s="18" t="s">
        <v>31</v>
      </c>
      <c r="G176" s="30">
        <v>20007702</v>
      </c>
      <c r="H176" s="18" t="s">
        <v>146</v>
      </c>
      <c r="I176" s="30">
        <v>1</v>
      </c>
      <c r="J176" s="30">
        <v>1</v>
      </c>
      <c r="K176" s="31">
        <v>28</v>
      </c>
      <c r="L176" s="31">
        <f t="shared" si="2"/>
        <v>28</v>
      </c>
    </row>
    <row r="177" spans="4:12">
      <c r="D177" s="29">
        <v>46168</v>
      </c>
      <c r="E177" s="18">
        <v>1606329</v>
      </c>
      <c r="F177" s="18" t="s">
        <v>31</v>
      </c>
      <c r="G177" s="30">
        <v>20007438</v>
      </c>
      <c r="H177" s="18" t="s">
        <v>147</v>
      </c>
      <c r="I177" s="30">
        <v>1</v>
      </c>
      <c r="J177" s="30">
        <v>1</v>
      </c>
      <c r="K177" s="31">
        <v>28</v>
      </c>
      <c r="L177" s="31">
        <f t="shared" si="2"/>
        <v>28</v>
      </c>
    </row>
    <row r="178" spans="4:12">
      <c r="D178" s="29">
        <v>46168</v>
      </c>
      <c r="E178" s="18">
        <v>1606329</v>
      </c>
      <c r="F178" s="18" t="s">
        <v>31</v>
      </c>
      <c r="G178" s="30">
        <v>20352760</v>
      </c>
      <c r="H178" s="18" t="s">
        <v>117</v>
      </c>
      <c r="I178" s="30">
        <v>1</v>
      </c>
      <c r="J178" s="30">
        <v>1</v>
      </c>
      <c r="K178" s="31">
        <v>35</v>
      </c>
      <c r="L178" s="31">
        <f t="shared" si="2"/>
        <v>35</v>
      </c>
    </row>
    <row r="179" spans="4:12">
      <c r="D179" s="29">
        <v>46168</v>
      </c>
      <c r="E179" s="18">
        <v>1606329</v>
      </c>
      <c r="F179" s="18" t="s">
        <v>31</v>
      </c>
      <c r="G179" s="30">
        <v>20007472</v>
      </c>
      <c r="H179" s="18" t="s">
        <v>148</v>
      </c>
      <c r="I179" s="30">
        <v>1</v>
      </c>
      <c r="J179" s="30">
        <v>1</v>
      </c>
      <c r="K179" s="31">
        <v>28</v>
      </c>
      <c r="L179" s="31">
        <f t="shared" si="2"/>
        <v>28</v>
      </c>
    </row>
    <row r="180" spans="4:12">
      <c r="D180" s="29">
        <v>46168</v>
      </c>
      <c r="E180" s="18">
        <v>1606329</v>
      </c>
      <c r="F180" s="18" t="s">
        <v>31</v>
      </c>
      <c r="G180" s="30">
        <v>20008158</v>
      </c>
      <c r="H180" s="18" t="s">
        <v>149</v>
      </c>
      <c r="I180" s="30">
        <v>2</v>
      </c>
      <c r="J180" s="30">
        <v>2</v>
      </c>
      <c r="K180" s="31">
        <v>28</v>
      </c>
      <c r="L180" s="31">
        <f t="shared" si="2"/>
        <v>56</v>
      </c>
    </row>
    <row r="181" spans="4:12">
      <c r="D181" s="29">
        <v>46168</v>
      </c>
      <c r="E181" s="18">
        <v>1606329</v>
      </c>
      <c r="F181" s="18" t="s">
        <v>31</v>
      </c>
      <c r="G181" s="30">
        <v>20008894</v>
      </c>
      <c r="H181" s="18" t="s">
        <v>150</v>
      </c>
      <c r="I181" s="30">
        <v>1</v>
      </c>
      <c r="J181" s="30">
        <v>1</v>
      </c>
      <c r="K181" s="31">
        <v>28</v>
      </c>
      <c r="L181" s="31">
        <f t="shared" si="2"/>
        <v>28</v>
      </c>
    </row>
    <row r="182" spans="4:12">
      <c r="D182" s="29">
        <v>46169</v>
      </c>
      <c r="E182" s="18">
        <v>1606715</v>
      </c>
      <c r="F182" s="18" t="s">
        <v>52</v>
      </c>
      <c r="G182" s="30">
        <v>20009011</v>
      </c>
      <c r="H182" s="18" t="s">
        <v>97</v>
      </c>
      <c r="I182" s="30">
        <v>1</v>
      </c>
      <c r="J182" s="30">
        <v>7</v>
      </c>
      <c r="K182" s="31">
        <v>38.5</v>
      </c>
      <c r="L182" s="31">
        <f t="shared" si="2"/>
        <v>38.5</v>
      </c>
    </row>
    <row r="183" spans="4:12">
      <c r="D183" s="29">
        <v>46169</v>
      </c>
      <c r="E183" s="18">
        <v>1606715</v>
      </c>
      <c r="F183" s="18" t="s">
        <v>52</v>
      </c>
      <c r="G183" s="30">
        <v>20007296</v>
      </c>
      <c r="H183" s="18" t="s">
        <v>115</v>
      </c>
      <c r="I183" s="30">
        <v>1</v>
      </c>
      <c r="J183" s="30">
        <v>37</v>
      </c>
      <c r="K183" s="31">
        <v>203.5</v>
      </c>
      <c r="L183" s="31">
        <f t="shared" si="2"/>
        <v>203.5</v>
      </c>
    </row>
    <row r="184" spans="4:12">
      <c r="D184" s="29">
        <v>46169</v>
      </c>
      <c r="E184" s="18">
        <v>1606715</v>
      </c>
      <c r="F184" s="18" t="s">
        <v>52</v>
      </c>
      <c r="G184" s="30">
        <v>20013323</v>
      </c>
      <c r="H184" s="18" t="s">
        <v>103</v>
      </c>
      <c r="I184" s="30">
        <v>2</v>
      </c>
      <c r="J184" s="30">
        <v>42</v>
      </c>
      <c r="K184" s="31">
        <v>115.5</v>
      </c>
      <c r="L184" s="31">
        <f t="shared" si="2"/>
        <v>231</v>
      </c>
    </row>
    <row r="185" spans="4:12">
      <c r="D185" s="29">
        <v>46169</v>
      </c>
      <c r="E185" s="18">
        <v>1606715</v>
      </c>
      <c r="F185" s="18" t="s">
        <v>49</v>
      </c>
      <c r="G185" s="30">
        <v>20008605</v>
      </c>
      <c r="H185" s="18" t="s">
        <v>50</v>
      </c>
      <c r="I185" s="30">
        <v>4</v>
      </c>
      <c r="J185" s="30">
        <v>8</v>
      </c>
      <c r="K185" s="31">
        <v>16.5</v>
      </c>
      <c r="L185" s="31">
        <f t="shared" si="2"/>
        <v>66</v>
      </c>
    </row>
    <row r="186" spans="4:12">
      <c r="D186" s="29">
        <v>46169</v>
      </c>
      <c r="E186" s="18">
        <v>1606715</v>
      </c>
      <c r="F186" s="18" t="s">
        <v>14</v>
      </c>
      <c r="G186" s="30">
        <v>20312603</v>
      </c>
      <c r="H186" s="18" t="s">
        <v>105</v>
      </c>
      <c r="I186" s="30">
        <v>4</v>
      </c>
      <c r="J186" s="30">
        <v>12</v>
      </c>
      <c r="K186" s="31">
        <v>16.5</v>
      </c>
      <c r="L186" s="31">
        <f t="shared" si="2"/>
        <v>66</v>
      </c>
    </row>
    <row r="187" spans="4:12">
      <c r="D187" s="29">
        <v>46169</v>
      </c>
      <c r="E187" s="18">
        <v>1606740</v>
      </c>
      <c r="F187" s="18" t="s">
        <v>31</v>
      </c>
      <c r="G187" s="30">
        <v>20008861</v>
      </c>
      <c r="H187" s="18" t="s">
        <v>81</v>
      </c>
      <c r="I187" s="30">
        <v>1</v>
      </c>
      <c r="J187" s="30">
        <v>1</v>
      </c>
      <c r="K187" s="31">
        <v>35</v>
      </c>
      <c r="L187" s="31">
        <f t="shared" si="2"/>
        <v>35</v>
      </c>
    </row>
    <row r="188" spans="4:12">
      <c r="D188" s="29">
        <v>46169</v>
      </c>
      <c r="E188" s="18">
        <v>1606740</v>
      </c>
      <c r="F188" s="18" t="s">
        <v>31</v>
      </c>
      <c r="G188" s="30">
        <v>20007465</v>
      </c>
      <c r="H188" s="18" t="s">
        <v>32</v>
      </c>
      <c r="I188" s="30">
        <v>1</v>
      </c>
      <c r="J188" s="30">
        <v>1</v>
      </c>
      <c r="K188" s="31">
        <v>35</v>
      </c>
      <c r="L188" s="31">
        <f t="shared" si="2"/>
        <v>35</v>
      </c>
    </row>
    <row r="189" spans="4:12">
      <c r="D189" s="29">
        <v>46169</v>
      </c>
      <c r="E189" s="18">
        <v>1606968</v>
      </c>
      <c r="F189" s="18" t="s">
        <v>52</v>
      </c>
      <c r="G189" s="30">
        <v>20007348</v>
      </c>
      <c r="H189" s="18" t="s">
        <v>98</v>
      </c>
      <c r="I189" s="30">
        <v>1</v>
      </c>
      <c r="J189" s="30">
        <v>27</v>
      </c>
      <c r="K189" s="31">
        <v>148.5</v>
      </c>
      <c r="L189" s="31">
        <f t="shared" si="2"/>
        <v>148.5</v>
      </c>
    </row>
    <row r="190" spans="4:12">
      <c r="D190" s="29">
        <v>46169</v>
      </c>
      <c r="E190" s="18">
        <v>1606968</v>
      </c>
      <c r="F190" s="18" t="s">
        <v>52</v>
      </c>
      <c r="G190" s="30">
        <v>20300285</v>
      </c>
      <c r="H190" s="18" t="s">
        <v>116</v>
      </c>
      <c r="I190" s="30">
        <v>1</v>
      </c>
      <c r="J190" s="30">
        <v>14</v>
      </c>
      <c r="K190" s="31">
        <v>77</v>
      </c>
      <c r="L190" s="31">
        <f t="shared" si="2"/>
        <v>77</v>
      </c>
    </row>
    <row r="191" spans="4:12">
      <c r="D191" s="29">
        <v>46169</v>
      </c>
      <c r="E191" s="18">
        <v>1606968</v>
      </c>
      <c r="F191" s="18" t="s">
        <v>49</v>
      </c>
      <c r="G191" s="30">
        <v>20008605</v>
      </c>
      <c r="H191" s="18" t="s">
        <v>50</v>
      </c>
      <c r="I191" s="30">
        <v>2</v>
      </c>
      <c r="J191" s="30">
        <v>4</v>
      </c>
      <c r="K191" s="31">
        <v>16.5</v>
      </c>
      <c r="L191" s="31">
        <f t="shared" si="2"/>
        <v>33</v>
      </c>
    </row>
    <row r="192" spans="4:12">
      <c r="D192" s="29">
        <v>46169</v>
      </c>
      <c r="E192" s="18">
        <v>1606968</v>
      </c>
      <c r="F192" s="18" t="s">
        <v>14</v>
      </c>
      <c r="G192" s="30">
        <v>20312603</v>
      </c>
      <c r="H192" s="18" t="s">
        <v>105</v>
      </c>
      <c r="I192" s="30">
        <v>1</v>
      </c>
      <c r="J192" s="30">
        <v>3</v>
      </c>
      <c r="K192" s="31">
        <v>16.5</v>
      </c>
      <c r="L192" s="31">
        <f t="shared" si="2"/>
        <v>16.5</v>
      </c>
    </row>
    <row r="193" spans="4:12">
      <c r="D193" s="29">
        <v>46169</v>
      </c>
      <c r="E193" s="18">
        <v>1606968</v>
      </c>
      <c r="F193" s="18" t="s">
        <v>40</v>
      </c>
      <c r="G193" s="30">
        <v>20312602</v>
      </c>
      <c r="H193" s="18" t="s">
        <v>100</v>
      </c>
      <c r="I193" s="30">
        <v>1</v>
      </c>
      <c r="J193" s="30">
        <v>4</v>
      </c>
      <c r="K193" s="31">
        <v>22</v>
      </c>
      <c r="L193" s="31">
        <f t="shared" si="2"/>
        <v>22</v>
      </c>
    </row>
    <row r="194" spans="4:12">
      <c r="D194" s="29">
        <v>46170</v>
      </c>
      <c r="E194" s="18">
        <v>1607062</v>
      </c>
      <c r="F194" s="18" t="s">
        <v>31</v>
      </c>
      <c r="G194" s="30">
        <v>20007478</v>
      </c>
      <c r="H194" s="18" t="s">
        <v>132</v>
      </c>
      <c r="I194" s="30">
        <v>2</v>
      </c>
      <c r="J194" s="30">
        <v>2</v>
      </c>
      <c r="K194" s="31">
        <v>35</v>
      </c>
      <c r="L194" s="31">
        <f t="shared" si="2"/>
        <v>70</v>
      </c>
    </row>
    <row r="195" spans="4:12">
      <c r="D195" s="29">
        <v>46170</v>
      </c>
      <c r="E195" s="18">
        <v>1607062</v>
      </c>
      <c r="F195" s="18" t="s">
        <v>31</v>
      </c>
      <c r="G195" s="30">
        <v>20007701</v>
      </c>
      <c r="H195" s="18" t="s">
        <v>109</v>
      </c>
      <c r="I195" s="30">
        <v>1</v>
      </c>
      <c r="J195" s="30">
        <v>1</v>
      </c>
      <c r="K195" s="31">
        <v>28</v>
      </c>
      <c r="L195" s="31">
        <f t="shared" si="2"/>
        <v>28</v>
      </c>
    </row>
    <row r="196" spans="4:12">
      <c r="D196" s="29">
        <v>46170</v>
      </c>
      <c r="E196" s="18">
        <v>1607062</v>
      </c>
      <c r="F196" s="18" t="s">
        <v>31</v>
      </c>
      <c r="G196" s="30">
        <v>20008163</v>
      </c>
      <c r="H196" s="18" t="s">
        <v>133</v>
      </c>
      <c r="I196" s="30">
        <v>1</v>
      </c>
      <c r="J196" s="30">
        <v>1</v>
      </c>
      <c r="K196" s="31">
        <v>28</v>
      </c>
      <c r="L196" s="31">
        <f t="shared" si="2"/>
        <v>28</v>
      </c>
    </row>
    <row r="197" spans="4:12">
      <c r="D197" s="29">
        <v>46170</v>
      </c>
      <c r="E197" s="18">
        <v>1607062</v>
      </c>
      <c r="F197" s="18" t="s">
        <v>31</v>
      </c>
      <c r="G197" s="30">
        <v>20010183</v>
      </c>
      <c r="H197" s="18" t="s">
        <v>110</v>
      </c>
      <c r="I197" s="30">
        <v>1</v>
      </c>
      <c r="J197" s="30">
        <v>1</v>
      </c>
      <c r="K197" s="31">
        <v>28</v>
      </c>
      <c r="L197" s="31">
        <f t="shared" si="2"/>
        <v>28</v>
      </c>
    </row>
    <row r="198" spans="4:12">
      <c r="D198" s="29">
        <v>46170</v>
      </c>
      <c r="E198" s="18">
        <v>1607062</v>
      </c>
      <c r="F198" s="18" t="s">
        <v>31</v>
      </c>
      <c r="G198" s="30">
        <v>20010888</v>
      </c>
      <c r="H198" s="18" t="s">
        <v>111</v>
      </c>
      <c r="I198" s="30">
        <v>1</v>
      </c>
      <c r="J198" s="30">
        <v>1</v>
      </c>
      <c r="K198" s="31">
        <v>35</v>
      </c>
      <c r="L198" s="31">
        <f t="shared" si="2"/>
        <v>35</v>
      </c>
    </row>
    <row r="199" spans="4:12">
      <c r="D199" s="29">
        <v>46170</v>
      </c>
      <c r="E199" s="18">
        <v>1607062</v>
      </c>
      <c r="F199" s="18" t="s">
        <v>31</v>
      </c>
      <c r="G199" s="30">
        <v>20007427</v>
      </c>
      <c r="H199" s="18" t="s">
        <v>112</v>
      </c>
      <c r="I199" s="30">
        <v>1</v>
      </c>
      <c r="J199" s="30">
        <v>1</v>
      </c>
      <c r="K199" s="31">
        <v>28</v>
      </c>
      <c r="L199" s="31">
        <f t="shared" si="2"/>
        <v>28</v>
      </c>
    </row>
    <row r="200" spans="4:12">
      <c r="D200" s="29">
        <v>46170</v>
      </c>
      <c r="E200" s="18">
        <v>1607062</v>
      </c>
      <c r="F200" s="18" t="s">
        <v>31</v>
      </c>
      <c r="G200" s="30">
        <v>20007494</v>
      </c>
      <c r="H200" s="18" t="s">
        <v>113</v>
      </c>
      <c r="I200" s="30">
        <v>1</v>
      </c>
      <c r="J200" s="30">
        <v>1</v>
      </c>
      <c r="K200" s="31">
        <v>25</v>
      </c>
      <c r="L200" s="31">
        <f t="shared" si="2"/>
        <v>25</v>
      </c>
    </row>
    <row r="201" spans="4:12">
      <c r="D201" s="29">
        <v>46171</v>
      </c>
      <c r="E201" s="18">
        <v>1607438</v>
      </c>
      <c r="F201" s="18" t="s">
        <v>52</v>
      </c>
      <c r="G201" s="30">
        <v>20013323</v>
      </c>
      <c r="H201" s="18" t="s">
        <v>103</v>
      </c>
      <c r="I201" s="30">
        <v>1</v>
      </c>
      <c r="J201" s="30">
        <v>21</v>
      </c>
      <c r="K201" s="31">
        <v>115.5</v>
      </c>
      <c r="L201" s="31">
        <f t="shared" si="2"/>
        <v>115.5</v>
      </c>
    </row>
    <row r="202" spans="4:12">
      <c r="D202" s="29">
        <v>46171</v>
      </c>
      <c r="E202" s="18">
        <v>1607438</v>
      </c>
      <c r="F202" s="18" t="s">
        <v>52</v>
      </c>
      <c r="G202" s="30">
        <v>20300285</v>
      </c>
      <c r="H202" s="18" t="s">
        <v>116</v>
      </c>
      <c r="I202" s="30">
        <v>1</v>
      </c>
      <c r="J202" s="30">
        <v>14</v>
      </c>
      <c r="K202" s="31">
        <v>77</v>
      </c>
      <c r="L202" s="31">
        <f t="shared" ref="L202:L218" si="3">K202*I202</f>
        <v>77</v>
      </c>
    </row>
    <row r="203" spans="4:12">
      <c r="D203" s="29">
        <v>46171</v>
      </c>
      <c r="E203" s="18">
        <v>1607438</v>
      </c>
      <c r="F203" s="18" t="s">
        <v>49</v>
      </c>
      <c r="G203" s="30">
        <v>20008605</v>
      </c>
      <c r="H203" s="18" t="s">
        <v>50</v>
      </c>
      <c r="I203" s="30">
        <v>3</v>
      </c>
      <c r="J203" s="30">
        <v>6</v>
      </c>
      <c r="K203" s="31">
        <v>16.5</v>
      </c>
      <c r="L203" s="31">
        <f t="shared" si="3"/>
        <v>49.5</v>
      </c>
    </row>
    <row r="204" spans="4:12">
      <c r="D204" s="29">
        <v>46171</v>
      </c>
      <c r="E204" s="18">
        <v>1607438</v>
      </c>
      <c r="F204" s="18" t="s">
        <v>14</v>
      </c>
      <c r="G204" s="30">
        <v>20312603</v>
      </c>
      <c r="H204" s="18" t="s">
        <v>105</v>
      </c>
      <c r="I204" s="30">
        <v>2</v>
      </c>
      <c r="J204" s="30">
        <v>6</v>
      </c>
      <c r="K204" s="31">
        <v>16.5</v>
      </c>
      <c r="L204" s="31">
        <f t="shared" si="3"/>
        <v>33</v>
      </c>
    </row>
    <row r="205" spans="4:12">
      <c r="D205" s="29">
        <v>46171</v>
      </c>
      <c r="E205" s="18">
        <v>1607455</v>
      </c>
      <c r="F205" s="18" t="s">
        <v>31</v>
      </c>
      <c r="G205" s="30">
        <v>20352760</v>
      </c>
      <c r="H205" s="18" t="s">
        <v>117</v>
      </c>
      <c r="I205" s="30">
        <v>1</v>
      </c>
      <c r="J205" s="30">
        <v>1</v>
      </c>
      <c r="K205" s="31">
        <v>35</v>
      </c>
      <c r="L205" s="31">
        <f t="shared" si="3"/>
        <v>35</v>
      </c>
    </row>
    <row r="206" spans="4:12">
      <c r="D206" s="29">
        <v>46171</v>
      </c>
      <c r="E206" s="18">
        <v>1607455</v>
      </c>
      <c r="F206" s="18" t="s">
        <v>31</v>
      </c>
      <c r="G206" s="30">
        <v>20353770</v>
      </c>
      <c r="H206" s="18" t="s">
        <v>96</v>
      </c>
      <c r="I206" s="30">
        <v>1</v>
      </c>
      <c r="J206" s="30">
        <v>1</v>
      </c>
      <c r="K206" s="31">
        <v>28</v>
      </c>
      <c r="L206" s="31">
        <f t="shared" si="3"/>
        <v>28</v>
      </c>
    </row>
    <row r="207" spans="4:12">
      <c r="D207" s="29">
        <v>46172</v>
      </c>
      <c r="E207" s="18">
        <v>1607759</v>
      </c>
      <c r="F207" s="18" t="s">
        <v>52</v>
      </c>
      <c r="G207" s="30">
        <v>20352871</v>
      </c>
      <c r="H207" s="18" t="s">
        <v>151</v>
      </c>
      <c r="I207" s="30">
        <v>1</v>
      </c>
      <c r="J207" s="30">
        <v>14</v>
      </c>
      <c r="K207" s="31">
        <v>77</v>
      </c>
      <c r="L207" s="31">
        <f t="shared" si="3"/>
        <v>77</v>
      </c>
    </row>
    <row r="208" spans="4:12">
      <c r="D208" s="29">
        <v>46172</v>
      </c>
      <c r="E208" s="18">
        <v>1607759</v>
      </c>
      <c r="F208" s="18" t="s">
        <v>52</v>
      </c>
      <c r="G208" s="30">
        <v>20354575</v>
      </c>
      <c r="H208" s="18" t="s">
        <v>152</v>
      </c>
      <c r="I208" s="30">
        <v>1</v>
      </c>
      <c r="J208" s="30">
        <v>45</v>
      </c>
      <c r="K208" s="31">
        <v>247.5</v>
      </c>
      <c r="L208" s="31">
        <f t="shared" si="3"/>
        <v>247.5</v>
      </c>
    </row>
    <row r="209" spans="4:12">
      <c r="D209" s="29">
        <v>46172</v>
      </c>
      <c r="E209" s="18">
        <v>1607759</v>
      </c>
      <c r="F209" s="18" t="s">
        <v>52</v>
      </c>
      <c r="G209" s="30">
        <v>20007296</v>
      </c>
      <c r="H209" s="18" t="s">
        <v>115</v>
      </c>
      <c r="I209" s="30">
        <v>2</v>
      </c>
      <c r="J209" s="30">
        <v>74</v>
      </c>
      <c r="K209" s="31">
        <v>203.5</v>
      </c>
      <c r="L209" s="31">
        <f t="shared" si="3"/>
        <v>407</v>
      </c>
    </row>
    <row r="210" spans="4:12">
      <c r="D210" s="29">
        <v>46172</v>
      </c>
      <c r="E210" s="18">
        <v>1607759</v>
      </c>
      <c r="F210" s="18" t="s">
        <v>49</v>
      </c>
      <c r="G210" s="30">
        <v>20008605</v>
      </c>
      <c r="H210" s="18" t="s">
        <v>50</v>
      </c>
      <c r="I210" s="30">
        <v>3</v>
      </c>
      <c r="J210" s="30">
        <v>6</v>
      </c>
      <c r="K210" s="31">
        <v>16.5</v>
      </c>
      <c r="L210" s="31">
        <f t="shared" si="3"/>
        <v>49.5</v>
      </c>
    </row>
    <row r="211" spans="4:12">
      <c r="D211" s="29">
        <v>46172</v>
      </c>
      <c r="E211" s="18">
        <v>1607759</v>
      </c>
      <c r="F211" s="18" t="s">
        <v>14</v>
      </c>
      <c r="G211" s="30">
        <v>20312603</v>
      </c>
      <c r="H211" s="18" t="s">
        <v>105</v>
      </c>
      <c r="I211" s="30">
        <v>1</v>
      </c>
      <c r="J211" s="30">
        <v>3</v>
      </c>
      <c r="K211" s="31">
        <v>16.5</v>
      </c>
      <c r="L211" s="31">
        <f t="shared" si="3"/>
        <v>16.5</v>
      </c>
    </row>
    <row r="212" spans="4:12">
      <c r="D212" s="29">
        <v>46172</v>
      </c>
      <c r="E212" s="18">
        <v>1607759</v>
      </c>
      <c r="F212" s="18" t="s">
        <v>14</v>
      </c>
      <c r="G212" s="30">
        <v>20007328</v>
      </c>
      <c r="H212" s="18" t="s">
        <v>153</v>
      </c>
      <c r="I212" s="30">
        <v>1</v>
      </c>
      <c r="J212" s="30">
        <v>4</v>
      </c>
      <c r="K212" s="31">
        <v>22</v>
      </c>
      <c r="L212" s="31">
        <f t="shared" si="3"/>
        <v>22</v>
      </c>
    </row>
    <row r="213" spans="4:12">
      <c r="D213" s="29">
        <v>46172</v>
      </c>
      <c r="E213" s="18">
        <v>1607759</v>
      </c>
      <c r="F213" s="18" t="s">
        <v>14</v>
      </c>
      <c r="G213" s="30">
        <v>20383986</v>
      </c>
      <c r="H213" s="18" t="s">
        <v>154</v>
      </c>
      <c r="I213" s="30">
        <v>1</v>
      </c>
      <c r="J213" s="30">
        <v>9</v>
      </c>
      <c r="K213" s="31">
        <v>49.5</v>
      </c>
      <c r="L213" s="31">
        <f t="shared" si="3"/>
        <v>49.5</v>
      </c>
    </row>
    <row r="214" spans="4:12">
      <c r="D214" s="29">
        <v>46172</v>
      </c>
      <c r="E214" s="18">
        <v>1607759</v>
      </c>
      <c r="F214" s="18" t="s">
        <v>40</v>
      </c>
      <c r="G214" s="30">
        <v>20370438</v>
      </c>
      <c r="H214" s="18" t="s">
        <v>155</v>
      </c>
      <c r="I214" s="30">
        <v>1</v>
      </c>
      <c r="J214" s="30">
        <v>2</v>
      </c>
      <c r="K214" s="31">
        <v>16.5</v>
      </c>
      <c r="L214" s="31">
        <f t="shared" si="3"/>
        <v>16.5</v>
      </c>
    </row>
    <row r="215" spans="4:12">
      <c r="D215" s="29">
        <v>46172</v>
      </c>
      <c r="E215" s="18">
        <v>1607759</v>
      </c>
      <c r="F215" s="18" t="s">
        <v>40</v>
      </c>
      <c r="G215" s="30">
        <v>20359878</v>
      </c>
      <c r="H215" s="18" t="s">
        <v>127</v>
      </c>
      <c r="I215" s="30">
        <v>1</v>
      </c>
      <c r="J215" s="30">
        <v>4</v>
      </c>
      <c r="K215" s="31">
        <v>22</v>
      </c>
      <c r="L215" s="31">
        <f t="shared" si="3"/>
        <v>22</v>
      </c>
    </row>
    <row r="216" spans="4:12">
      <c r="D216" s="29">
        <v>46172</v>
      </c>
      <c r="E216" s="18">
        <v>1607759</v>
      </c>
      <c r="F216" s="18" t="s">
        <v>40</v>
      </c>
      <c r="G216" s="30">
        <v>20310380</v>
      </c>
      <c r="H216" s="18" t="s">
        <v>156</v>
      </c>
      <c r="I216" s="30">
        <v>1</v>
      </c>
      <c r="J216" s="30">
        <v>14</v>
      </c>
      <c r="K216" s="31">
        <v>77</v>
      </c>
      <c r="L216" s="31">
        <f t="shared" si="3"/>
        <v>77</v>
      </c>
    </row>
    <row r="217" spans="4:12">
      <c r="D217" s="29">
        <v>46172</v>
      </c>
      <c r="E217" s="18">
        <v>1607759</v>
      </c>
      <c r="F217" s="18" t="s">
        <v>40</v>
      </c>
      <c r="G217" s="30">
        <v>20009063</v>
      </c>
      <c r="H217" s="18" t="s">
        <v>157</v>
      </c>
      <c r="I217" s="30">
        <v>1</v>
      </c>
      <c r="J217" s="30">
        <v>10</v>
      </c>
      <c r="K217" s="31">
        <v>55</v>
      </c>
      <c r="L217" s="31">
        <f t="shared" si="3"/>
        <v>55</v>
      </c>
    </row>
    <row r="218" spans="4:12">
      <c r="D218" s="29">
        <v>46172</v>
      </c>
      <c r="E218" s="18">
        <v>1607759</v>
      </c>
      <c r="F218" s="18" t="s">
        <v>40</v>
      </c>
      <c r="G218" s="30">
        <v>20007411</v>
      </c>
      <c r="H218" s="18" t="s">
        <v>158</v>
      </c>
      <c r="I218" s="30">
        <v>1</v>
      </c>
      <c r="J218" s="30">
        <v>1</v>
      </c>
      <c r="K218" s="31">
        <v>16.5</v>
      </c>
      <c r="L218" s="31">
        <f t="shared" si="3"/>
        <v>16.5</v>
      </c>
    </row>
  </sheetData>
  <autoFilter xmlns:etc="http://www.wps.cn/officeDocument/2017/etCustomData" ref="A7:L218" etc:filterBottomFollowUsedRange="0">
    <extLst/>
  </autoFilter>
  <mergeCells count="5">
    <mergeCell ref="D8:H8"/>
    <mergeCell ref="C7:C218"/>
    <mergeCell ref="B4:H5"/>
    <mergeCell ref="A7:B218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view="pageBreakPreview" zoomScaleNormal="100" workbookViewId="0">
      <pane ySplit="6" topLeftCell="A7" activePane="bottomLeft" state="frozen"/>
      <selection/>
      <selection pane="bottomLeft" activeCell="I42" sqref="I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0.375" customWidth="1"/>
    <col min="12" max="12" width="11.6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159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3</v>
      </c>
      <c r="J8" s="27">
        <v>3</v>
      </c>
      <c r="K8" s="28"/>
      <c r="L8" s="28">
        <v>24</v>
      </c>
    </row>
    <row r="9" spans="1:12">
      <c r="D9" s="29">
        <v>46149</v>
      </c>
      <c r="E9" s="18">
        <v>1600996</v>
      </c>
      <c r="F9" s="18" t="s">
        <v>14</v>
      </c>
      <c r="G9" s="30">
        <v>20352876</v>
      </c>
      <c r="H9" s="18" t="s">
        <v>93</v>
      </c>
      <c r="I9" s="30">
        <v>3</v>
      </c>
      <c r="J9" s="30">
        <v>3</v>
      </c>
      <c r="K9" s="31">
        <v>8</v>
      </c>
      <c r="L9" s="31">
        <v>24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showGridLines="0" view="pageBreakPreview" zoomScaleNormal="100" workbookViewId="0">
      <pane ySplit="6" topLeftCell="A7" activePane="bottomLeft" state="frozen"/>
      <selection/>
      <selection pane="bottomLeft" activeCell="M12" sqref="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.25" customWidth="1"/>
    <col min="12" max="12" width="11.87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160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47</v>
      </c>
      <c r="J8" s="27">
        <v>64</v>
      </c>
      <c r="K8" s="28"/>
      <c r="L8" s="28">
        <v>482.5</v>
      </c>
    </row>
    <row r="9" spans="1:12">
      <c r="D9" s="29">
        <v>46151</v>
      </c>
      <c r="E9" s="18">
        <v>1601523</v>
      </c>
      <c r="F9" s="18" t="s">
        <v>49</v>
      </c>
      <c r="G9" s="30">
        <v>20007409</v>
      </c>
      <c r="H9" s="18" t="s">
        <v>91</v>
      </c>
      <c r="I9" s="30">
        <v>1</v>
      </c>
      <c r="J9" s="30">
        <v>1</v>
      </c>
      <c r="K9" s="31">
        <v>13</v>
      </c>
      <c r="L9" s="31">
        <v>13</v>
      </c>
    </row>
    <row r="10" spans="1:12">
      <c r="D10" s="29">
        <v>46151</v>
      </c>
      <c r="E10" s="18">
        <v>1601523</v>
      </c>
      <c r="F10" s="18" t="s">
        <v>14</v>
      </c>
      <c r="G10" s="30">
        <v>20010965</v>
      </c>
      <c r="H10" s="18" t="s">
        <v>58</v>
      </c>
      <c r="I10" s="30">
        <v>2</v>
      </c>
      <c r="J10" s="30">
        <v>2</v>
      </c>
      <c r="K10" s="31">
        <v>8</v>
      </c>
      <c r="L10" s="31">
        <v>16</v>
      </c>
    </row>
    <row r="11" spans="1:12">
      <c r="D11" s="29">
        <v>46151</v>
      </c>
      <c r="E11" s="18">
        <v>1601523</v>
      </c>
      <c r="F11" s="18" t="s">
        <v>14</v>
      </c>
      <c r="G11" s="30">
        <v>20352877</v>
      </c>
      <c r="H11" s="18" t="s">
        <v>54</v>
      </c>
      <c r="I11" s="30">
        <v>4</v>
      </c>
      <c r="J11" s="30">
        <v>4</v>
      </c>
      <c r="K11" s="31">
        <v>8</v>
      </c>
      <c r="L11" s="31">
        <v>32</v>
      </c>
    </row>
    <row r="12" spans="1:12">
      <c r="D12" s="29">
        <v>46151</v>
      </c>
      <c r="E12" s="18">
        <v>1601523</v>
      </c>
      <c r="F12" s="18" t="s">
        <v>14</v>
      </c>
      <c r="G12" s="30">
        <v>20352832</v>
      </c>
      <c r="H12" s="18" t="s">
        <v>161</v>
      </c>
      <c r="I12" s="30">
        <v>1</v>
      </c>
      <c r="J12" s="30">
        <v>1</v>
      </c>
      <c r="K12" s="31">
        <v>8</v>
      </c>
      <c r="L12" s="31">
        <v>8</v>
      </c>
    </row>
    <row r="13" spans="1:12">
      <c r="D13" s="29">
        <v>46151</v>
      </c>
      <c r="E13" s="18">
        <v>1601523</v>
      </c>
      <c r="F13" s="18" t="s">
        <v>14</v>
      </c>
      <c r="G13" s="30">
        <v>20008591</v>
      </c>
      <c r="H13" s="18" t="s">
        <v>60</v>
      </c>
      <c r="I13" s="30">
        <v>5</v>
      </c>
      <c r="J13" s="30">
        <v>5</v>
      </c>
      <c r="K13" s="31">
        <v>8</v>
      </c>
      <c r="L13" s="31">
        <v>40</v>
      </c>
    </row>
    <row r="14" spans="1:12">
      <c r="D14" s="29">
        <v>46151</v>
      </c>
      <c r="E14" s="18">
        <v>1601523</v>
      </c>
      <c r="F14" s="18" t="s">
        <v>14</v>
      </c>
      <c r="G14" s="30">
        <v>20007358</v>
      </c>
      <c r="H14" s="18" t="s">
        <v>162</v>
      </c>
      <c r="I14" s="30">
        <v>4</v>
      </c>
      <c r="J14" s="30">
        <v>4</v>
      </c>
      <c r="K14" s="31">
        <v>8</v>
      </c>
      <c r="L14" s="31">
        <v>32</v>
      </c>
    </row>
    <row r="15" spans="1:12">
      <c r="D15" s="29">
        <v>46151</v>
      </c>
      <c r="E15" s="18">
        <v>1601523</v>
      </c>
      <c r="F15" s="18" t="s">
        <v>14</v>
      </c>
      <c r="G15" s="30">
        <v>20007364</v>
      </c>
      <c r="H15" s="18" t="s">
        <v>163</v>
      </c>
      <c r="I15" s="30">
        <v>1</v>
      </c>
      <c r="J15" s="30">
        <v>1</v>
      </c>
      <c r="K15" s="31">
        <v>8</v>
      </c>
      <c r="L15" s="31">
        <v>8</v>
      </c>
    </row>
    <row r="16" spans="1:12">
      <c r="D16" s="29">
        <v>46151</v>
      </c>
      <c r="E16" s="18">
        <v>1601523</v>
      </c>
      <c r="F16" s="18" t="s">
        <v>14</v>
      </c>
      <c r="G16" s="30">
        <v>20007354</v>
      </c>
      <c r="H16" s="18" t="s">
        <v>164</v>
      </c>
      <c r="I16" s="30">
        <v>1</v>
      </c>
      <c r="J16" s="30">
        <v>1</v>
      </c>
      <c r="K16" s="31">
        <v>8</v>
      </c>
      <c r="L16" s="31">
        <v>8</v>
      </c>
    </row>
    <row r="17" spans="4:12">
      <c r="D17" s="29">
        <v>46151</v>
      </c>
      <c r="E17" s="18">
        <v>1601523</v>
      </c>
      <c r="F17" s="18" t="s">
        <v>14</v>
      </c>
      <c r="G17" s="30">
        <v>20007355</v>
      </c>
      <c r="H17" s="18" t="s">
        <v>165</v>
      </c>
      <c r="I17" s="30">
        <v>3</v>
      </c>
      <c r="J17" s="30">
        <v>3</v>
      </c>
      <c r="K17" s="31">
        <v>8</v>
      </c>
      <c r="L17" s="31">
        <v>24</v>
      </c>
    </row>
    <row r="18" spans="4:12">
      <c r="D18" s="29">
        <v>46151</v>
      </c>
      <c r="E18" s="18">
        <v>1601523</v>
      </c>
      <c r="F18" s="18" t="s">
        <v>14</v>
      </c>
      <c r="G18" s="30">
        <v>20007356</v>
      </c>
      <c r="H18" s="18" t="s">
        <v>166</v>
      </c>
      <c r="I18" s="30">
        <v>1</v>
      </c>
      <c r="J18" s="30">
        <v>1</v>
      </c>
      <c r="K18" s="31">
        <v>8</v>
      </c>
      <c r="L18" s="31">
        <v>8</v>
      </c>
    </row>
    <row r="19" spans="4:12">
      <c r="D19" s="29">
        <v>46151</v>
      </c>
      <c r="E19" s="18">
        <v>1601523</v>
      </c>
      <c r="F19" s="18" t="s">
        <v>14</v>
      </c>
      <c r="G19" s="30">
        <v>20007357</v>
      </c>
      <c r="H19" s="18" t="s">
        <v>167</v>
      </c>
      <c r="I19" s="30">
        <v>1</v>
      </c>
      <c r="J19" s="30">
        <v>1</v>
      </c>
      <c r="K19" s="31">
        <v>8</v>
      </c>
      <c r="L19" s="31">
        <v>8</v>
      </c>
    </row>
    <row r="20" spans="4:12">
      <c r="D20" s="29">
        <v>46151</v>
      </c>
      <c r="E20" s="18">
        <v>1601689</v>
      </c>
      <c r="F20" s="18" t="s">
        <v>52</v>
      </c>
      <c r="G20" s="30">
        <v>20379649</v>
      </c>
      <c r="H20" s="18" t="s">
        <v>168</v>
      </c>
      <c r="I20" s="30">
        <v>1</v>
      </c>
      <c r="J20" s="30">
        <v>15</v>
      </c>
      <c r="K20" s="31">
        <v>82.5</v>
      </c>
      <c r="L20" s="31">
        <v>82.5</v>
      </c>
    </row>
    <row r="21" spans="4:12">
      <c r="D21" s="29">
        <v>46151</v>
      </c>
      <c r="E21" s="18">
        <v>1601689</v>
      </c>
      <c r="F21" s="18" t="s">
        <v>14</v>
      </c>
      <c r="G21" s="30">
        <v>20380695</v>
      </c>
      <c r="H21" s="18" t="s">
        <v>169</v>
      </c>
      <c r="I21" s="30">
        <v>1</v>
      </c>
      <c r="J21" s="30">
        <v>2</v>
      </c>
      <c r="K21" s="31">
        <v>13.5</v>
      </c>
      <c r="L21" s="31">
        <v>13.5</v>
      </c>
    </row>
    <row r="22" spans="4:12">
      <c r="D22" s="29">
        <v>46151</v>
      </c>
      <c r="E22" s="18">
        <v>1601689</v>
      </c>
      <c r="F22" s="18" t="s">
        <v>14</v>
      </c>
      <c r="G22" s="30">
        <v>20380694</v>
      </c>
      <c r="H22" s="18" t="s">
        <v>170</v>
      </c>
      <c r="I22" s="30">
        <v>1</v>
      </c>
      <c r="J22" s="30">
        <v>1</v>
      </c>
      <c r="K22" s="31">
        <v>16</v>
      </c>
      <c r="L22" s="31">
        <v>16</v>
      </c>
    </row>
    <row r="23" spans="4:12">
      <c r="D23" s="29">
        <v>46151</v>
      </c>
      <c r="E23" s="18">
        <v>1601689</v>
      </c>
      <c r="F23" s="18" t="s">
        <v>14</v>
      </c>
      <c r="G23" s="30">
        <v>20379638</v>
      </c>
      <c r="H23" s="18" t="s">
        <v>171</v>
      </c>
      <c r="I23" s="30">
        <v>1</v>
      </c>
      <c r="J23" s="30">
        <v>1</v>
      </c>
      <c r="K23" s="31">
        <v>13</v>
      </c>
      <c r="L23" s="31">
        <v>13</v>
      </c>
    </row>
    <row r="24" spans="4:12">
      <c r="D24" s="29">
        <v>46151</v>
      </c>
      <c r="E24" s="18">
        <v>1601689</v>
      </c>
      <c r="F24" s="18" t="s">
        <v>14</v>
      </c>
      <c r="G24" s="30">
        <v>20379874</v>
      </c>
      <c r="H24" s="18" t="s">
        <v>172</v>
      </c>
      <c r="I24" s="30">
        <v>1</v>
      </c>
      <c r="J24" s="30">
        <v>3</v>
      </c>
      <c r="K24" s="31">
        <v>16.5</v>
      </c>
      <c r="L24" s="31">
        <v>16.5</v>
      </c>
    </row>
    <row r="25" spans="4:12">
      <c r="D25" s="29">
        <v>46151</v>
      </c>
      <c r="E25" s="18">
        <v>1601689</v>
      </c>
      <c r="F25" s="18" t="s">
        <v>14</v>
      </c>
      <c r="G25" s="30">
        <v>20379643</v>
      </c>
      <c r="H25" s="18" t="s">
        <v>173</v>
      </c>
      <c r="I25" s="30">
        <v>1</v>
      </c>
      <c r="J25" s="30">
        <v>1</v>
      </c>
      <c r="K25" s="31">
        <v>8</v>
      </c>
      <c r="L25" s="31">
        <v>8</v>
      </c>
    </row>
    <row r="26" spans="4:12">
      <c r="D26" s="29">
        <v>46161</v>
      </c>
      <c r="E26" s="18">
        <v>1604247</v>
      </c>
      <c r="F26" s="18" t="s">
        <v>14</v>
      </c>
      <c r="G26" s="30">
        <v>20010965</v>
      </c>
      <c r="H26" s="18" t="s">
        <v>58</v>
      </c>
      <c r="I26" s="30">
        <v>2</v>
      </c>
      <c r="J26" s="30">
        <v>2</v>
      </c>
      <c r="K26" s="31">
        <v>8</v>
      </c>
      <c r="L26" s="31">
        <v>16</v>
      </c>
    </row>
    <row r="27" spans="4:12">
      <c r="D27" s="29">
        <v>46161</v>
      </c>
      <c r="E27" s="18">
        <v>1604247</v>
      </c>
      <c r="F27" s="18" t="s">
        <v>14</v>
      </c>
      <c r="G27" s="30">
        <v>20352877</v>
      </c>
      <c r="H27" s="18" t="s">
        <v>54</v>
      </c>
      <c r="I27" s="30">
        <v>4</v>
      </c>
      <c r="J27" s="30">
        <v>4</v>
      </c>
      <c r="K27" s="31">
        <v>8</v>
      </c>
      <c r="L27" s="31">
        <v>32</v>
      </c>
    </row>
    <row r="28" spans="4:12">
      <c r="D28" s="29">
        <v>46161</v>
      </c>
      <c r="E28" s="18">
        <v>1604247</v>
      </c>
      <c r="F28" s="18" t="s">
        <v>14</v>
      </c>
      <c r="G28" s="30">
        <v>20352832</v>
      </c>
      <c r="H28" s="18" t="s">
        <v>161</v>
      </c>
      <c r="I28" s="30">
        <v>1</v>
      </c>
      <c r="J28" s="30">
        <v>1</v>
      </c>
      <c r="K28" s="31">
        <v>8</v>
      </c>
      <c r="L28" s="31">
        <v>8</v>
      </c>
    </row>
    <row r="29" spans="4:12">
      <c r="D29" s="29">
        <v>46161</v>
      </c>
      <c r="E29" s="18">
        <v>1604247</v>
      </c>
      <c r="F29" s="18" t="s">
        <v>14</v>
      </c>
      <c r="G29" s="30">
        <v>20008591</v>
      </c>
      <c r="H29" s="18" t="s">
        <v>60</v>
      </c>
      <c r="I29" s="30">
        <v>4</v>
      </c>
      <c r="J29" s="30">
        <v>4</v>
      </c>
      <c r="K29" s="31">
        <v>8</v>
      </c>
      <c r="L29" s="31">
        <v>32</v>
      </c>
    </row>
    <row r="30" spans="4:12">
      <c r="D30" s="29">
        <v>46161</v>
      </c>
      <c r="E30" s="18">
        <v>1604247</v>
      </c>
      <c r="F30" s="18" t="s">
        <v>14</v>
      </c>
      <c r="G30" s="30">
        <v>20007364</v>
      </c>
      <c r="H30" s="18" t="s">
        <v>163</v>
      </c>
      <c r="I30" s="30">
        <v>1</v>
      </c>
      <c r="J30" s="30">
        <v>1</v>
      </c>
      <c r="K30" s="31">
        <v>8</v>
      </c>
      <c r="L30" s="31">
        <v>8</v>
      </c>
    </row>
    <row r="31" spans="4:12">
      <c r="D31" s="29">
        <v>46161</v>
      </c>
      <c r="E31" s="18">
        <v>1604247</v>
      </c>
      <c r="F31" s="18" t="s">
        <v>14</v>
      </c>
      <c r="G31" s="30">
        <v>20312879</v>
      </c>
      <c r="H31" s="18" t="s">
        <v>174</v>
      </c>
      <c r="I31" s="30">
        <v>1</v>
      </c>
      <c r="J31" s="30">
        <v>1</v>
      </c>
      <c r="K31" s="31">
        <v>8</v>
      </c>
      <c r="L31" s="31">
        <v>8</v>
      </c>
    </row>
    <row r="32" spans="4:12">
      <c r="D32" s="29">
        <v>46161</v>
      </c>
      <c r="E32" s="18">
        <v>1604247</v>
      </c>
      <c r="F32" s="18" t="s">
        <v>14</v>
      </c>
      <c r="G32" s="30">
        <v>20007354</v>
      </c>
      <c r="H32" s="18" t="s">
        <v>164</v>
      </c>
      <c r="I32" s="30">
        <v>1</v>
      </c>
      <c r="J32" s="30">
        <v>1</v>
      </c>
      <c r="K32" s="31">
        <v>8</v>
      </c>
      <c r="L32" s="31">
        <v>8</v>
      </c>
    </row>
    <row r="33" spans="4:12">
      <c r="D33" s="29">
        <v>46161</v>
      </c>
      <c r="E33" s="18">
        <v>1604247</v>
      </c>
      <c r="F33" s="18" t="s">
        <v>14</v>
      </c>
      <c r="G33" s="30">
        <v>20007355</v>
      </c>
      <c r="H33" s="18" t="s">
        <v>165</v>
      </c>
      <c r="I33" s="30">
        <v>1</v>
      </c>
      <c r="J33" s="30">
        <v>1</v>
      </c>
      <c r="K33" s="31">
        <v>8</v>
      </c>
      <c r="L33" s="31">
        <v>8</v>
      </c>
    </row>
    <row r="34" spans="4:12">
      <c r="D34" s="29">
        <v>46161</v>
      </c>
      <c r="E34" s="18">
        <v>1604247</v>
      </c>
      <c r="F34" s="18" t="s">
        <v>14</v>
      </c>
      <c r="G34" s="30">
        <v>20007356</v>
      </c>
      <c r="H34" s="18" t="s">
        <v>166</v>
      </c>
      <c r="I34" s="30">
        <v>1</v>
      </c>
      <c r="J34" s="30">
        <v>1</v>
      </c>
      <c r="K34" s="31">
        <v>8</v>
      </c>
      <c r="L34" s="31">
        <v>8</v>
      </c>
    </row>
    <row r="35" spans="4:12">
      <c r="D35" s="29">
        <v>46161</v>
      </c>
      <c r="E35" s="18">
        <v>1604247</v>
      </c>
      <c r="F35" s="18" t="s">
        <v>14</v>
      </c>
      <c r="G35" s="30">
        <v>20007357</v>
      </c>
      <c r="H35" s="18" t="s">
        <v>167</v>
      </c>
      <c r="I35" s="30">
        <v>1</v>
      </c>
      <c r="J35" s="30">
        <v>1</v>
      </c>
      <c r="K35" s="31">
        <v>8</v>
      </c>
      <c r="L35" s="31">
        <v>8</v>
      </c>
    </row>
    <row r="36" ht="0.05" customHeight="1"/>
  </sheetData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view="pageBreakPreview" zoomScaleNormal="100" workbookViewId="0">
      <pane ySplit="6" topLeftCell="A7" activePane="bottomLeft" state="frozen"/>
      <selection/>
      <selection pane="bottomLeft" activeCell="F29" sqref="F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25" customWidth="1"/>
    <col min="9" max="9" width="6.475" customWidth="1"/>
    <col min="10" max="10" width="9.45" customWidth="1"/>
    <col min="11" max="12" width="11.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4" t="s">
        <v>2</v>
      </c>
      <c r="B7" s="22" t="s">
        <v>2</v>
      </c>
      <c r="C7" s="23" t="s">
        <v>2</v>
      </c>
      <c r="D7" s="24" t="s">
        <v>4</v>
      </c>
      <c r="E7" s="24" t="s">
        <v>5</v>
      </c>
      <c r="F7" s="24" t="s">
        <v>6</v>
      </c>
      <c r="G7" s="24" t="s">
        <v>7</v>
      </c>
      <c r="H7" s="24" t="s">
        <v>8</v>
      </c>
      <c r="I7" s="24" t="s">
        <v>9</v>
      </c>
      <c r="J7" s="24" t="s">
        <v>10</v>
      </c>
      <c r="K7" s="24" t="s">
        <v>11</v>
      </c>
      <c r="L7" s="24" t="s">
        <v>12</v>
      </c>
    </row>
    <row r="8" ht="14.25" spans="1:12">
      <c r="D8" s="25" t="s">
        <v>175</v>
      </c>
      <c r="E8" s="26" t="s">
        <v>2</v>
      </c>
      <c r="F8" s="26" t="s">
        <v>2</v>
      </c>
      <c r="G8" s="26" t="s">
        <v>2</v>
      </c>
      <c r="H8" s="26" t="s">
        <v>2</v>
      </c>
      <c r="I8" s="27">
        <v>9</v>
      </c>
      <c r="J8" s="27">
        <v>41</v>
      </c>
      <c r="K8" s="28"/>
      <c r="L8" s="28">
        <v>235.5</v>
      </c>
    </row>
    <row r="9" spans="1:12">
      <c r="D9" s="29">
        <v>46151</v>
      </c>
      <c r="E9" s="18">
        <v>1601788</v>
      </c>
      <c r="F9" s="18" t="s">
        <v>21</v>
      </c>
      <c r="G9" s="30">
        <v>20424839</v>
      </c>
      <c r="H9" s="18" t="s">
        <v>176</v>
      </c>
      <c r="I9" s="30">
        <v>1</v>
      </c>
      <c r="J9" s="30">
        <v>7</v>
      </c>
      <c r="K9" s="31">
        <v>38.5</v>
      </c>
      <c r="L9" s="31">
        <v>38.5</v>
      </c>
    </row>
    <row r="10" spans="1:12">
      <c r="D10" s="29">
        <v>46157</v>
      </c>
      <c r="E10" s="18">
        <v>1603322</v>
      </c>
      <c r="F10" s="18" t="s">
        <v>21</v>
      </c>
      <c r="G10" s="30">
        <v>20418583</v>
      </c>
      <c r="H10" s="18" t="s">
        <v>177</v>
      </c>
      <c r="I10" s="30">
        <v>1</v>
      </c>
      <c r="J10" s="30">
        <v>9</v>
      </c>
      <c r="K10" s="31">
        <v>49.5</v>
      </c>
      <c r="L10" s="31">
        <v>49.5</v>
      </c>
    </row>
    <row r="11" spans="1:12">
      <c r="D11" s="29">
        <v>46165</v>
      </c>
      <c r="E11" s="18">
        <v>1605756</v>
      </c>
      <c r="F11" s="18" t="s">
        <v>21</v>
      </c>
      <c r="G11" s="30">
        <v>20424839</v>
      </c>
      <c r="H11" s="18" t="s">
        <v>176</v>
      </c>
      <c r="I11" s="30">
        <v>1</v>
      </c>
      <c r="J11" s="30">
        <v>7</v>
      </c>
      <c r="K11" s="31">
        <v>38.5</v>
      </c>
      <c r="L11" s="31">
        <v>38.5</v>
      </c>
    </row>
    <row r="12" spans="1:12">
      <c r="D12" s="29">
        <v>46167</v>
      </c>
      <c r="E12" s="18">
        <v>1606235</v>
      </c>
      <c r="F12" s="18" t="s">
        <v>21</v>
      </c>
      <c r="G12" s="30">
        <v>20424839</v>
      </c>
      <c r="H12" s="18" t="s">
        <v>176</v>
      </c>
      <c r="I12" s="30">
        <v>1</v>
      </c>
      <c r="J12" s="30">
        <v>7</v>
      </c>
      <c r="K12" s="31">
        <v>38.5</v>
      </c>
      <c r="L12" s="31">
        <v>38.5</v>
      </c>
    </row>
    <row r="13" spans="1:12">
      <c r="D13" s="29">
        <v>46169</v>
      </c>
      <c r="E13" s="18">
        <v>1606716</v>
      </c>
      <c r="F13" s="18" t="s">
        <v>14</v>
      </c>
      <c r="G13" s="30">
        <v>20007417</v>
      </c>
      <c r="H13" s="18" t="s">
        <v>56</v>
      </c>
      <c r="I13" s="30">
        <v>2</v>
      </c>
      <c r="J13" s="30">
        <v>2</v>
      </c>
      <c r="K13" s="31">
        <v>8</v>
      </c>
      <c r="L13" s="31">
        <v>16</v>
      </c>
    </row>
    <row r="14" spans="1:12">
      <c r="D14" s="29">
        <v>46169</v>
      </c>
      <c r="E14" s="18">
        <v>1606969</v>
      </c>
      <c r="F14" s="18" t="s">
        <v>14</v>
      </c>
      <c r="G14" s="30">
        <v>20007417</v>
      </c>
      <c r="H14" s="18" t="s">
        <v>56</v>
      </c>
      <c r="I14" s="30">
        <v>2</v>
      </c>
      <c r="J14" s="30">
        <v>2</v>
      </c>
      <c r="K14" s="31">
        <v>8</v>
      </c>
      <c r="L14" s="31">
        <v>16</v>
      </c>
    </row>
    <row r="15" spans="1:12">
      <c r="D15" s="29">
        <v>46169</v>
      </c>
      <c r="E15" s="18">
        <v>1606969</v>
      </c>
      <c r="F15" s="18" t="s">
        <v>21</v>
      </c>
      <c r="G15" s="30">
        <v>20424839</v>
      </c>
      <c r="H15" s="18" t="s">
        <v>176</v>
      </c>
      <c r="I15" s="30">
        <v>1</v>
      </c>
      <c r="J15" s="30">
        <v>7</v>
      </c>
      <c r="K15" s="31">
        <v>38.5</v>
      </c>
      <c r="L15" s="31">
        <v>38.5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15:51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abSelected="1" view="pageBreakPreview" zoomScaleNormal="100" topLeftCell="G1" workbookViewId="0">
      <selection activeCell="R22" sqref="R22:R23"/>
    </sheetView>
  </sheetViews>
  <sheetFormatPr defaultColWidth="9" defaultRowHeight="13.5"/>
  <cols>
    <col min="1" max="1" width="0.225" style="1" customWidth="1"/>
    <col min="2" max="2" width="1.18333333333333" style="1" customWidth="1"/>
    <col min="3" max="3" width="1.525" style="1" customWidth="1"/>
    <col min="4" max="4" width="10.5" style="1" customWidth="1"/>
    <col min="5" max="5" width="9.8" style="1" customWidth="1"/>
    <col min="6" max="6" width="9.4" style="1" customWidth="1"/>
    <col min="7" max="7" width="15.4333333333333" style="1" customWidth="1"/>
    <col min="8" max="8" width="10.5" style="1" customWidth="1"/>
    <col min="9" max="9" width="28.375" style="1" customWidth="1"/>
    <col min="10" max="10" width="9.75" style="1" customWidth="1"/>
    <col min="11" max="11" width="9.875" style="1" customWidth="1"/>
    <col min="12" max="12" width="9.25" style="1" customWidth="1"/>
    <col min="13" max="15" width="11.125" style="1" customWidth="1"/>
    <col min="16" max="16382" width="9" style="1"/>
  </cols>
  <sheetData>
    <row r="1" s="1" customFormat="1" spans="1:13">
      <c r="B1" s="2" t="s">
        <v>178</v>
      </c>
    </row>
    <row r="2" s="1" customFormat="1" ht="23.05" customHeight="1"/>
    <row r="3" s="1" customFormat="1" ht="2" customHeight="1"/>
    <row r="4" s="1" customFormat="1" ht="15.2" customHeight="1" spans="1:13">
      <c r="B4" s="3" t="s">
        <v>179</v>
      </c>
    </row>
    <row r="5" s="1" customFormat="1"/>
    <row r="6" s="1" customFormat="1" ht="2.05" customHeight="1"/>
    <row r="7" s="1" customFormat="1" ht="2.95" customHeight="1"/>
    <row r="8" s="1" customFormat="1" spans="1:13">
      <c r="A8" s="4" t="s">
        <v>2</v>
      </c>
      <c r="C8" s="4" t="s">
        <v>2</v>
      </c>
      <c r="D8" s="4" t="s">
        <v>4</v>
      </c>
      <c r="E8" s="4" t="s">
        <v>5</v>
      </c>
      <c r="F8" s="4" t="s">
        <v>180</v>
      </c>
      <c r="G8" s="4" t="s">
        <v>6</v>
      </c>
      <c r="H8" s="4" t="s">
        <v>181</v>
      </c>
      <c r="I8" s="4" t="s">
        <v>8</v>
      </c>
      <c r="J8" s="5" t="s">
        <v>182</v>
      </c>
      <c r="K8" s="5" t="s">
        <v>183</v>
      </c>
      <c r="L8" s="5" t="s">
        <v>11</v>
      </c>
      <c r="M8" s="5" t="s">
        <v>184</v>
      </c>
    </row>
    <row r="9" s="1" customFormat="1" ht="15" spans="1:13">
      <c r="A9" s="6" t="s">
        <v>2</v>
      </c>
      <c r="B9" s="7" t="s">
        <v>2</v>
      </c>
      <c r="C9" s="6" t="s">
        <v>2</v>
      </c>
      <c r="D9" s="6" t="s">
        <v>185</v>
      </c>
      <c r="E9" s="7" t="s">
        <v>2</v>
      </c>
      <c r="F9" s="7" t="s">
        <v>2</v>
      </c>
      <c r="G9" s="7" t="s">
        <v>2</v>
      </c>
      <c r="H9" s="7" t="s">
        <v>2</v>
      </c>
      <c r="I9" s="6" t="s">
        <v>2</v>
      </c>
      <c r="J9" s="8">
        <v>4</v>
      </c>
      <c r="K9" s="9">
        <v>94</v>
      </c>
      <c r="L9" s="6" t="s">
        <v>2</v>
      </c>
      <c r="M9" s="10">
        <v>517</v>
      </c>
    </row>
    <row r="10" s="1" customFormat="1" ht="14.25" spans="1:13">
      <c r="A10" s="4" t="s">
        <v>2</v>
      </c>
      <c r="C10" s="11" t="s">
        <v>2</v>
      </c>
      <c r="D10" s="12" t="s">
        <v>186</v>
      </c>
      <c r="E10" s="7" t="s">
        <v>2</v>
      </c>
      <c r="F10" s="7" t="s">
        <v>2</v>
      </c>
      <c r="G10" s="7" t="s">
        <v>2</v>
      </c>
      <c r="H10" s="7" t="s">
        <v>2</v>
      </c>
      <c r="I10" s="11" t="s">
        <v>2</v>
      </c>
      <c r="J10" s="13">
        <v>4</v>
      </c>
      <c r="K10" s="14">
        <v>94</v>
      </c>
      <c r="L10" s="11" t="s">
        <v>2</v>
      </c>
      <c r="M10" s="15">
        <v>517</v>
      </c>
    </row>
    <row r="11" s="1" customFormat="1" ht="24.75" spans="1:13">
      <c r="C11" s="4" t="s">
        <v>2</v>
      </c>
      <c r="D11" s="16">
        <v>46151</v>
      </c>
      <c r="E11" s="17">
        <v>1601511</v>
      </c>
      <c r="F11" s="17" t="s">
        <v>187</v>
      </c>
      <c r="G11" s="18" t="s">
        <v>188</v>
      </c>
      <c r="H11" s="17">
        <v>20424611</v>
      </c>
      <c r="I11" s="18" t="s">
        <v>189</v>
      </c>
      <c r="J11" s="19">
        <v>1</v>
      </c>
      <c r="K11" s="20">
        <v>33</v>
      </c>
      <c r="L11" s="21">
        <v>181.5</v>
      </c>
      <c r="M11" s="21">
        <v>181.5</v>
      </c>
    </row>
    <row r="12" s="1" customFormat="1" ht="24.75" spans="1:13">
      <c r="D12" s="16">
        <v>46151</v>
      </c>
      <c r="E12" s="17">
        <v>1601511</v>
      </c>
      <c r="F12" s="17" t="s">
        <v>187</v>
      </c>
      <c r="G12" s="18" t="s">
        <v>188</v>
      </c>
      <c r="H12" s="17">
        <v>20424612</v>
      </c>
      <c r="I12" s="18" t="s">
        <v>190</v>
      </c>
      <c r="J12" s="19">
        <v>1</v>
      </c>
      <c r="K12" s="20">
        <v>27</v>
      </c>
      <c r="L12" s="21">
        <v>148.5</v>
      </c>
      <c r="M12" s="21">
        <v>148.5</v>
      </c>
    </row>
    <row r="13" s="1" customFormat="1" ht="24.75" spans="1:13">
      <c r="D13" s="16">
        <v>46151</v>
      </c>
      <c r="E13" s="17">
        <v>1601511</v>
      </c>
      <c r="F13" s="17" t="s">
        <v>187</v>
      </c>
      <c r="G13" s="18" t="s">
        <v>188</v>
      </c>
      <c r="H13" s="17">
        <v>20424613</v>
      </c>
      <c r="I13" s="18" t="s">
        <v>191</v>
      </c>
      <c r="J13" s="19">
        <v>1</v>
      </c>
      <c r="K13" s="20">
        <v>23</v>
      </c>
      <c r="L13" s="21">
        <v>126.5</v>
      </c>
      <c r="M13" s="21">
        <v>126.5</v>
      </c>
    </row>
    <row r="14" s="1" customFormat="1" ht="24.75" spans="1:13">
      <c r="D14" s="16">
        <v>46151</v>
      </c>
      <c r="E14" s="17">
        <v>1601511</v>
      </c>
      <c r="F14" s="17" t="s">
        <v>187</v>
      </c>
      <c r="G14" s="18" t="s">
        <v>188</v>
      </c>
      <c r="H14" s="17">
        <v>20424614</v>
      </c>
      <c r="I14" s="18" t="s">
        <v>192</v>
      </c>
      <c r="J14" s="19">
        <v>1</v>
      </c>
      <c r="K14" s="20">
        <v>11</v>
      </c>
      <c r="L14" s="21">
        <v>60.5</v>
      </c>
      <c r="M14" s="21">
        <v>60.5</v>
      </c>
    </row>
    <row r="15" s="1" customFormat="1" spans="1:13">
      <c r="C15" s="4" t="s">
        <v>2</v>
      </c>
      <c r="D15" s="4" t="s">
        <v>2</v>
      </c>
      <c r="E15" s="4" t="s">
        <v>2</v>
      </c>
      <c r="F15" s="4" t="s">
        <v>2</v>
      </c>
      <c r="G15" s="4" t="s">
        <v>2</v>
      </c>
      <c r="H15" s="4" t="s">
        <v>2</v>
      </c>
      <c r="I15" s="4" t="s">
        <v>2</v>
      </c>
      <c r="J15" s="4" t="s">
        <v>2</v>
      </c>
      <c r="K15" s="4" t="s">
        <v>2</v>
      </c>
      <c r="L15" s="4" t="s">
        <v>2</v>
      </c>
      <c r="M15" s="4" t="s">
        <v>2</v>
      </c>
    </row>
    <row r="16" s="1" customFormat="1" spans="1:13">
      <c r="A16" s="4" t="s">
        <v>2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4" t="s">
        <v>2</v>
      </c>
      <c r="I16" s="4" t="s">
        <v>2</v>
      </c>
      <c r="J16" s="4" t="s">
        <v>2</v>
      </c>
      <c r="K16" s="4" t="s">
        <v>2</v>
      </c>
      <c r="L16" s="4" t="s">
        <v>2</v>
      </c>
      <c r="M16" s="4" t="s">
        <v>2</v>
      </c>
    </row>
    <row r="17" s="1" customFormat="1" ht="15" spans="1:13">
      <c r="A17" s="6" t="s">
        <v>2</v>
      </c>
      <c r="B17" s="7" t="s">
        <v>2</v>
      </c>
      <c r="C17" s="6" t="s">
        <v>2</v>
      </c>
      <c r="D17" s="6" t="s">
        <v>193</v>
      </c>
      <c r="E17" s="7" t="s">
        <v>2</v>
      </c>
      <c r="F17" s="7" t="s">
        <v>2</v>
      </c>
      <c r="G17" s="7" t="s">
        <v>2</v>
      </c>
      <c r="H17" s="7" t="s">
        <v>2</v>
      </c>
      <c r="I17" s="6" t="s">
        <v>2</v>
      </c>
      <c r="J17" s="8">
        <v>22</v>
      </c>
      <c r="K17" s="9">
        <v>828</v>
      </c>
      <c r="L17" s="6" t="s">
        <v>2</v>
      </c>
      <c r="M17" s="10">
        <v>3390</v>
      </c>
    </row>
    <row r="18" s="1" customFormat="1" ht="14.25" spans="1:13">
      <c r="A18" s="4" t="s">
        <v>2</v>
      </c>
      <c r="C18" s="11" t="s">
        <v>2</v>
      </c>
      <c r="D18" s="12" t="s">
        <v>186</v>
      </c>
      <c r="E18" s="7" t="s">
        <v>2</v>
      </c>
      <c r="F18" s="7" t="s">
        <v>2</v>
      </c>
      <c r="G18" s="7" t="s">
        <v>2</v>
      </c>
      <c r="H18" s="7" t="s">
        <v>2</v>
      </c>
      <c r="I18" s="11" t="s">
        <v>2</v>
      </c>
      <c r="J18" s="13">
        <v>22</v>
      </c>
      <c r="K18" s="14">
        <v>828</v>
      </c>
      <c r="L18" s="11" t="s">
        <v>2</v>
      </c>
      <c r="M18" s="15">
        <v>3390</v>
      </c>
    </row>
    <row r="19" s="1" customFormat="1" ht="24.75" spans="1:13">
      <c r="C19" s="4" t="s">
        <v>2</v>
      </c>
      <c r="D19" s="16">
        <v>46151</v>
      </c>
      <c r="E19" s="17">
        <v>1601524</v>
      </c>
      <c r="F19" s="17" t="s">
        <v>187</v>
      </c>
      <c r="G19" s="18" t="s">
        <v>188</v>
      </c>
      <c r="H19" s="17">
        <v>20424623</v>
      </c>
      <c r="I19" s="18" t="s">
        <v>194</v>
      </c>
      <c r="J19" s="19">
        <v>1</v>
      </c>
      <c r="K19" s="20">
        <v>21</v>
      </c>
      <c r="L19" s="21">
        <v>115.5</v>
      </c>
      <c r="M19" s="21">
        <v>115.5</v>
      </c>
    </row>
    <row r="20" s="1" customFormat="1" ht="24.75" spans="1:13">
      <c r="D20" s="16">
        <v>46151</v>
      </c>
      <c r="E20" s="17">
        <v>1601524</v>
      </c>
      <c r="F20" s="17" t="s">
        <v>187</v>
      </c>
      <c r="G20" s="18" t="s">
        <v>188</v>
      </c>
      <c r="H20" s="17">
        <v>20424624</v>
      </c>
      <c r="I20" s="18" t="s">
        <v>195</v>
      </c>
      <c r="J20" s="19">
        <v>1</v>
      </c>
      <c r="K20" s="20">
        <v>40</v>
      </c>
      <c r="L20" s="21">
        <v>220</v>
      </c>
      <c r="M20" s="21">
        <v>220</v>
      </c>
    </row>
    <row r="21" s="1" customFormat="1" ht="24.75" spans="1:13">
      <c r="D21" s="16">
        <v>46151</v>
      </c>
      <c r="E21" s="17">
        <v>1601524</v>
      </c>
      <c r="F21" s="17" t="s">
        <v>187</v>
      </c>
      <c r="G21" s="18" t="s">
        <v>188</v>
      </c>
      <c r="H21" s="17">
        <v>20424625</v>
      </c>
      <c r="I21" s="18" t="s">
        <v>196</v>
      </c>
      <c r="J21" s="19">
        <v>1</v>
      </c>
      <c r="K21" s="20">
        <v>11</v>
      </c>
      <c r="L21" s="21">
        <v>60.5</v>
      </c>
      <c r="M21" s="21">
        <v>60.5</v>
      </c>
    </row>
    <row r="22" s="1" customFormat="1" ht="24.75" spans="1:13">
      <c r="D22" s="16">
        <v>46151</v>
      </c>
      <c r="E22" s="17">
        <v>1601524</v>
      </c>
      <c r="F22" s="17" t="s">
        <v>187</v>
      </c>
      <c r="G22" s="18" t="s">
        <v>188</v>
      </c>
      <c r="H22" s="17">
        <v>20424626</v>
      </c>
      <c r="I22" s="18" t="s">
        <v>197</v>
      </c>
      <c r="J22" s="19">
        <v>1</v>
      </c>
      <c r="K22" s="20">
        <v>1</v>
      </c>
      <c r="L22" s="21">
        <v>16.5</v>
      </c>
      <c r="M22" s="21">
        <v>16.5</v>
      </c>
    </row>
    <row r="23" s="1" customFormat="1" ht="24.75" spans="1:13">
      <c r="D23" s="16">
        <v>46151</v>
      </c>
      <c r="E23" s="17">
        <v>1601524</v>
      </c>
      <c r="F23" s="17" t="s">
        <v>187</v>
      </c>
      <c r="G23" s="18" t="s">
        <v>188</v>
      </c>
      <c r="H23" s="17">
        <v>20424615</v>
      </c>
      <c r="I23" s="18" t="s">
        <v>198</v>
      </c>
      <c r="J23" s="19">
        <v>1</v>
      </c>
      <c r="K23" s="20">
        <v>25</v>
      </c>
      <c r="L23" s="21">
        <v>137.5</v>
      </c>
      <c r="M23" s="21">
        <v>137.5</v>
      </c>
    </row>
    <row r="24" s="1" customFormat="1" ht="24.75" spans="1:13">
      <c r="D24" s="16">
        <v>46151</v>
      </c>
      <c r="E24" s="17">
        <v>1601524</v>
      </c>
      <c r="F24" s="17" t="s">
        <v>187</v>
      </c>
      <c r="G24" s="18" t="s">
        <v>188</v>
      </c>
      <c r="H24" s="17">
        <v>20424616</v>
      </c>
      <c r="I24" s="18" t="s">
        <v>199</v>
      </c>
      <c r="J24" s="19">
        <v>1</v>
      </c>
      <c r="K24" s="20">
        <v>72</v>
      </c>
      <c r="L24" s="21">
        <v>396</v>
      </c>
      <c r="M24" s="21">
        <v>396</v>
      </c>
    </row>
    <row r="25" s="1" customFormat="1" ht="24.75" spans="1:13">
      <c r="D25" s="16">
        <v>46151</v>
      </c>
      <c r="E25" s="17">
        <v>1601524</v>
      </c>
      <c r="F25" s="17" t="s">
        <v>187</v>
      </c>
      <c r="G25" s="18" t="s">
        <v>188</v>
      </c>
      <c r="H25" s="17">
        <v>20424617</v>
      </c>
      <c r="I25" s="18" t="s">
        <v>200</v>
      </c>
      <c r="J25" s="19">
        <v>1</v>
      </c>
      <c r="K25" s="20">
        <v>51</v>
      </c>
      <c r="L25" s="21">
        <v>280.5</v>
      </c>
      <c r="M25" s="21">
        <v>280.5</v>
      </c>
    </row>
    <row r="26" s="1" customFormat="1" ht="24.75" spans="1:13">
      <c r="D26" s="16">
        <v>46151</v>
      </c>
      <c r="E26" s="17">
        <v>1601524</v>
      </c>
      <c r="F26" s="17" t="s">
        <v>187</v>
      </c>
      <c r="G26" s="18" t="s">
        <v>188</v>
      </c>
      <c r="H26" s="17">
        <v>20424618</v>
      </c>
      <c r="I26" s="18" t="s">
        <v>201</v>
      </c>
      <c r="J26" s="19">
        <v>1</v>
      </c>
      <c r="K26" s="20">
        <v>17</v>
      </c>
      <c r="L26" s="21">
        <v>93.5</v>
      </c>
      <c r="M26" s="21">
        <v>93.5</v>
      </c>
    </row>
    <row r="27" s="1" customFormat="1" ht="24.75" spans="1:13">
      <c r="D27" s="16">
        <v>46151</v>
      </c>
      <c r="E27" s="17">
        <v>1601524</v>
      </c>
      <c r="F27" s="17" t="s">
        <v>187</v>
      </c>
      <c r="G27" s="18" t="s">
        <v>188</v>
      </c>
      <c r="H27" s="17">
        <v>20424627</v>
      </c>
      <c r="I27" s="18" t="s">
        <v>202</v>
      </c>
      <c r="J27" s="19">
        <v>1</v>
      </c>
      <c r="K27" s="20">
        <v>2</v>
      </c>
      <c r="L27" s="21">
        <v>11</v>
      </c>
      <c r="M27" s="21">
        <v>11</v>
      </c>
    </row>
    <row r="28" s="1" customFormat="1" ht="24.75" spans="1:13">
      <c r="D28" s="16">
        <v>46155</v>
      </c>
      <c r="E28" s="17">
        <v>1602601</v>
      </c>
      <c r="F28" s="17" t="s">
        <v>187</v>
      </c>
      <c r="G28" s="18" t="s">
        <v>188</v>
      </c>
      <c r="H28" s="17">
        <v>20425226</v>
      </c>
      <c r="I28" s="18" t="s">
        <v>203</v>
      </c>
      <c r="J28" s="19">
        <v>1</v>
      </c>
      <c r="K28" s="20">
        <v>35</v>
      </c>
      <c r="L28" s="21">
        <v>192.5</v>
      </c>
      <c r="M28" s="21">
        <v>192.5</v>
      </c>
    </row>
    <row r="29" s="1" customFormat="1" ht="24.75" spans="1:13">
      <c r="D29" s="16">
        <v>46155</v>
      </c>
      <c r="E29" s="17">
        <v>1602601</v>
      </c>
      <c r="F29" s="17" t="s">
        <v>187</v>
      </c>
      <c r="G29" s="18" t="s">
        <v>188</v>
      </c>
      <c r="H29" s="17">
        <v>20425227</v>
      </c>
      <c r="I29" s="18" t="s">
        <v>204</v>
      </c>
      <c r="J29" s="19">
        <v>1</v>
      </c>
      <c r="K29" s="20">
        <v>62</v>
      </c>
      <c r="L29" s="21">
        <v>341</v>
      </c>
      <c r="M29" s="21">
        <v>341</v>
      </c>
    </row>
    <row r="30" s="1" customFormat="1" ht="24.75" spans="1:13">
      <c r="D30" s="16">
        <v>46155</v>
      </c>
      <c r="E30" s="17">
        <v>1602601</v>
      </c>
      <c r="F30" s="17" t="s">
        <v>187</v>
      </c>
      <c r="G30" s="18" t="s">
        <v>188</v>
      </c>
      <c r="H30" s="17">
        <v>20425228</v>
      </c>
      <c r="I30" s="18" t="s">
        <v>205</v>
      </c>
      <c r="J30" s="19">
        <v>1</v>
      </c>
      <c r="K30" s="20">
        <v>18</v>
      </c>
      <c r="L30" s="21">
        <v>99</v>
      </c>
      <c r="M30" s="21">
        <v>99</v>
      </c>
    </row>
    <row r="31" s="1" customFormat="1" ht="24.75" spans="1:13">
      <c r="D31" s="16">
        <v>46155</v>
      </c>
      <c r="E31" s="17">
        <v>1602601</v>
      </c>
      <c r="F31" s="17" t="s">
        <v>187</v>
      </c>
      <c r="G31" s="18" t="s">
        <v>188</v>
      </c>
      <c r="H31" s="17">
        <v>20425229</v>
      </c>
      <c r="I31" s="18" t="s">
        <v>206</v>
      </c>
      <c r="J31" s="19">
        <v>1</v>
      </c>
      <c r="K31" s="20">
        <v>11</v>
      </c>
      <c r="L31" s="21">
        <v>60.5</v>
      </c>
      <c r="M31" s="21">
        <v>60.5</v>
      </c>
    </row>
    <row r="32" s="1" customFormat="1" ht="24.75" spans="1:13">
      <c r="D32" s="16">
        <v>46157</v>
      </c>
      <c r="E32" s="17">
        <v>1603339</v>
      </c>
      <c r="F32" s="17" t="s">
        <v>187</v>
      </c>
      <c r="G32" s="18" t="s">
        <v>188</v>
      </c>
      <c r="H32" s="17">
        <v>20425640</v>
      </c>
      <c r="I32" s="18" t="s">
        <v>207</v>
      </c>
      <c r="J32" s="19">
        <v>1</v>
      </c>
      <c r="K32" s="20">
        <v>34</v>
      </c>
      <c r="L32" s="21">
        <v>187</v>
      </c>
      <c r="M32" s="21">
        <v>187</v>
      </c>
    </row>
    <row r="33" s="1" customFormat="1" ht="24.75" spans="1:13">
      <c r="D33" s="16">
        <v>46157</v>
      </c>
      <c r="E33" s="17">
        <v>1603339</v>
      </c>
      <c r="F33" s="17" t="s">
        <v>187</v>
      </c>
      <c r="G33" s="18" t="s">
        <v>188</v>
      </c>
      <c r="H33" s="17">
        <v>20425641</v>
      </c>
      <c r="I33" s="18" t="s">
        <v>208</v>
      </c>
      <c r="J33" s="19">
        <v>1</v>
      </c>
      <c r="K33" s="20">
        <v>3</v>
      </c>
      <c r="L33" s="21">
        <v>16.5</v>
      </c>
      <c r="M33" s="21">
        <v>16.5</v>
      </c>
    </row>
    <row r="34" s="1" customFormat="1" ht="24.75" spans="1:13">
      <c r="D34" s="16">
        <v>46165</v>
      </c>
      <c r="E34" s="17">
        <v>1605762</v>
      </c>
      <c r="F34" s="17" t="s">
        <v>187</v>
      </c>
      <c r="G34" s="18" t="s">
        <v>188</v>
      </c>
      <c r="H34" s="17">
        <v>20426759</v>
      </c>
      <c r="I34" s="18" t="s">
        <v>209</v>
      </c>
      <c r="J34" s="19">
        <v>1</v>
      </c>
      <c r="K34" s="20">
        <v>24</v>
      </c>
      <c r="L34" s="21">
        <v>132</v>
      </c>
      <c r="M34" s="21">
        <v>132</v>
      </c>
    </row>
    <row r="35" s="1" customFormat="1" ht="24.75" spans="1:13">
      <c r="D35" s="16">
        <v>46165</v>
      </c>
      <c r="E35" s="17">
        <v>1605762</v>
      </c>
      <c r="F35" s="17" t="s">
        <v>187</v>
      </c>
      <c r="G35" s="18" t="s">
        <v>188</v>
      </c>
      <c r="H35" s="17">
        <v>20426760</v>
      </c>
      <c r="I35" s="18" t="s">
        <v>210</v>
      </c>
      <c r="J35" s="19">
        <v>1</v>
      </c>
      <c r="K35" s="20">
        <v>59</v>
      </c>
      <c r="L35" s="21">
        <v>324.5</v>
      </c>
      <c r="M35" s="21">
        <v>324.5</v>
      </c>
    </row>
    <row r="36" s="1" customFormat="1" ht="24.75" spans="1:13">
      <c r="D36" s="16">
        <v>46165</v>
      </c>
      <c r="E36" s="17">
        <v>1605762</v>
      </c>
      <c r="F36" s="17" t="s">
        <v>187</v>
      </c>
      <c r="G36" s="18" t="s">
        <v>188</v>
      </c>
      <c r="H36" s="17">
        <v>20426764</v>
      </c>
      <c r="I36" s="18" t="s">
        <v>211</v>
      </c>
      <c r="J36" s="19">
        <v>1</v>
      </c>
      <c r="K36" s="20">
        <v>26</v>
      </c>
      <c r="L36" s="21">
        <v>143</v>
      </c>
      <c r="M36" s="21">
        <v>143</v>
      </c>
    </row>
    <row r="37" s="1" customFormat="1" ht="24.75" spans="1:13">
      <c r="D37" s="16">
        <v>46165</v>
      </c>
      <c r="E37" s="17">
        <v>1605762</v>
      </c>
      <c r="F37" s="17" t="s">
        <v>187</v>
      </c>
      <c r="G37" s="18" t="s">
        <v>188</v>
      </c>
      <c r="H37" s="17">
        <v>20426765</v>
      </c>
      <c r="I37" s="18" t="s">
        <v>212</v>
      </c>
      <c r="J37" s="19">
        <v>1</v>
      </c>
      <c r="K37" s="20">
        <v>8</v>
      </c>
      <c r="L37" s="21">
        <v>44</v>
      </c>
      <c r="M37" s="21">
        <v>44</v>
      </c>
    </row>
    <row r="38" s="1" customFormat="1" ht="24.75" spans="1:13">
      <c r="D38" s="16">
        <v>46165</v>
      </c>
      <c r="E38" s="17">
        <v>1605762</v>
      </c>
      <c r="F38" s="17" t="s">
        <v>187</v>
      </c>
      <c r="G38" s="18" t="s">
        <v>188</v>
      </c>
      <c r="H38" s="17">
        <v>20426766</v>
      </c>
      <c r="I38" s="18" t="s">
        <v>213</v>
      </c>
      <c r="J38" s="19">
        <v>1</v>
      </c>
      <c r="K38" s="20">
        <v>7</v>
      </c>
      <c r="L38" s="21">
        <v>38.5</v>
      </c>
      <c r="M38" s="21">
        <v>38.5</v>
      </c>
    </row>
    <row r="39" s="1" customFormat="1" ht="24.75" spans="1:13">
      <c r="D39" s="16">
        <v>46170</v>
      </c>
      <c r="E39" s="17">
        <v>1607025</v>
      </c>
      <c r="F39" s="17" t="s">
        <v>187</v>
      </c>
      <c r="G39" s="18" t="s">
        <v>188</v>
      </c>
      <c r="H39" s="17">
        <v>20427370</v>
      </c>
      <c r="I39" s="18" t="s">
        <v>214</v>
      </c>
      <c r="J39" s="19">
        <v>1</v>
      </c>
      <c r="K39" s="20">
        <v>43</v>
      </c>
      <c r="L39" s="21">
        <v>236.5</v>
      </c>
      <c r="M39" s="21">
        <v>236.5</v>
      </c>
    </row>
    <row r="40" s="1" customFormat="1" ht="24.75" spans="1:13">
      <c r="D40" s="16">
        <v>46170</v>
      </c>
      <c r="E40" s="17">
        <v>1607025</v>
      </c>
      <c r="F40" s="17" t="s">
        <v>187</v>
      </c>
      <c r="G40" s="18" t="s">
        <v>215</v>
      </c>
      <c r="H40" s="17">
        <v>20427369</v>
      </c>
      <c r="I40" s="18" t="s">
        <v>216</v>
      </c>
      <c r="J40" s="19">
        <v>1</v>
      </c>
      <c r="K40" s="20">
        <v>258</v>
      </c>
      <c r="L40" s="21">
        <v>244</v>
      </c>
      <c r="M40" s="21">
        <v>244</v>
      </c>
    </row>
    <row r="41" s="1" customFormat="1" spans="1:13">
      <c r="C41" s="4" t="s">
        <v>2</v>
      </c>
      <c r="D41" s="4" t="s">
        <v>2</v>
      </c>
      <c r="E41" s="4" t="s">
        <v>2</v>
      </c>
      <c r="F41" s="4" t="s">
        <v>2</v>
      </c>
      <c r="G41" s="4" t="s">
        <v>2</v>
      </c>
      <c r="H41" s="4" t="s">
        <v>2</v>
      </c>
      <c r="I41" s="4" t="s">
        <v>2</v>
      </c>
      <c r="J41" s="4" t="s">
        <v>2</v>
      </c>
      <c r="K41" s="4" t="s">
        <v>2</v>
      </c>
      <c r="L41" s="4" t="s">
        <v>2</v>
      </c>
      <c r="M41" s="4" t="s">
        <v>2</v>
      </c>
    </row>
    <row r="42" s="1" customFormat="1" spans="1:13">
      <c r="A42" s="4" t="s">
        <v>2</v>
      </c>
      <c r="C42" s="4" t="s">
        <v>2</v>
      </c>
      <c r="D42" s="4" t="s">
        <v>2</v>
      </c>
      <c r="E42" s="4" t="s">
        <v>2</v>
      </c>
      <c r="F42" s="4" t="s">
        <v>2</v>
      </c>
      <c r="G42" s="4" t="s">
        <v>2</v>
      </c>
      <c r="H42" s="4" t="s">
        <v>2</v>
      </c>
      <c r="I42" s="4" t="s">
        <v>2</v>
      </c>
      <c r="J42" s="4" t="s">
        <v>2</v>
      </c>
      <c r="K42" s="4" t="s">
        <v>2</v>
      </c>
      <c r="L42" s="4" t="s">
        <v>2</v>
      </c>
      <c r="M42" s="4" t="s">
        <v>2</v>
      </c>
    </row>
  </sheetData>
  <mergeCells count="15">
    <mergeCell ref="A8:B8"/>
    <mergeCell ref="A9:B9"/>
    <mergeCell ref="D9:H9"/>
    <mergeCell ref="D10:H10"/>
    <mergeCell ref="A16:B16"/>
    <mergeCell ref="A17:B17"/>
    <mergeCell ref="D17:H17"/>
    <mergeCell ref="D18:H18"/>
    <mergeCell ref="A42:B42"/>
    <mergeCell ref="C11:C14"/>
    <mergeCell ref="C19:C40"/>
    <mergeCell ref="B1:I2"/>
    <mergeCell ref="B4:I5"/>
    <mergeCell ref="A10:B15"/>
    <mergeCell ref="A18:B41"/>
  </mergeCells>
  <pageMargins left="0.25" right="0.25" top="0.75" bottom="0.75" header="0.298611111111111" footer="0.298611111111111"/>
  <pageSetup paperSize="9" scale="7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耳科</vt:lpstr>
      <vt:lpstr>妇科病房（一病区）</vt:lpstr>
      <vt:lpstr>妇科门诊（一病区）</vt:lpstr>
      <vt:lpstr>急诊</vt:lpstr>
      <vt:lpstr>口腔科</vt:lpstr>
      <vt:lpstr>泌外科</vt:lpstr>
      <vt:lpstr>皮肤科</vt:lpstr>
      <vt:lpstr>普外科</vt:lpstr>
      <vt:lpstr>手术室</vt:lpstr>
      <vt:lpstr>透析科</vt:lpstr>
      <vt:lpstr>眼科</vt:lpstr>
      <vt:lpstr>重症医学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2026-06-02T07:51:00Z</dcterms:created>
  <dcterms:modified xsi:type="dcterms:W3CDTF">2026-06-05T00:16:46Z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048D84C55E404DA9B9ED60F4F116168D_13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