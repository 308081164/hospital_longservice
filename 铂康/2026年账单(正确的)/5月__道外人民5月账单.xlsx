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妇科门诊" sheetId="1" r:id="rId1"/>
    <sheet name="美容科" sheetId="2" r:id="rId2"/>
    <sheet name="手术室" sheetId="3" r:id="rId3"/>
    <sheet name="外科" sheetId="4" r:id="rId4"/>
    <sheet name="眼科" sheetId="5" r:id="rId5"/>
  </sheets>
  <definedNames>
    <definedName name="_xlnm._FilterDatabase" localSheetId="0" hidden="1">妇科门诊!$A$9:$K$27</definedName>
    <definedName name="_xlnm.Print_Titles" localSheetId="0">妇科门诊!$1:$6</definedName>
    <definedName name="_xlnm.Print_Titles" localSheetId="1">美容科!$1:$6</definedName>
    <definedName name="_xlnm.Print_Titles" localSheetId="2">手术室!$1:$6</definedName>
    <definedName name="_xlnm.Print_Titles" localSheetId="3">外科!$1:$6</definedName>
    <definedName name="_xlnm.Print_Titles" localSheetId="4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<sst xmlns="http://schemas.openxmlformats.org/spreadsheetml/2006/main" count="202" uniqueCount="49">
  <si>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</si>
  <si>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</si>
  <si>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</si>
  <si>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道外区人民医院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</si>
  <si>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</si>
  <si>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</si>
  <si>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</si>
  <si>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</si>
  <si>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</si>
  <si>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</si>
  <si>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</si>
  <si>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</si>
  <si>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</si>
  <si>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额外包(无纺布)</t>
  </si>
  <si>
    <t>取环包-10件/W6050</t>
  </si>
  <si>
    <t>取环包-11件/W6050</t>
  </si>
  <si>
    <t>人流包-10件/W6050</t>
  </si>
  <si>
    <t>额外包(纸塑袋)</t>
  </si>
  <si>
    <t>4号扩棒-1/Z7526</t>
  </si>
  <si>
    <t>宫颈钳-1/z1535</t>
  </si>
  <si>
    <t>剪刀-1/Z1029</t>
  </si>
  <si>
    <t>上环器-1/7530</t>
  </si>
  <si>
    <t>吸头6号-1/Z7534</t>
  </si>
  <si>
    <t>6号扩棒-1/Z7526</t>
  </si>
  <si>
    <t>长弯-1/z1029</t>
  </si>
  <si>
    <t>人流包-11件/W6050</t>
  </si>
  <si>
    <t>美容科</t>
  </si>
  <si>
    <t>美容小包-3件/Z1526</t>
  </si>
  <si>
    <t>止血钳-4件/Z1526</t>
  </si>
  <si>
    <t>美容包-5件/W6050</t>
  </si>
  <si>
    <t>手术室</t>
  </si>
  <si>
    <t>骨科螺丝刀-1/Z7530</t>
  </si>
  <si>
    <t>敷料包</t>
  </si>
  <si>
    <t>大开力-3/W6050</t>
  </si>
  <si>
    <t>外伤包-8件/W7050</t>
  </si>
  <si>
    <t>持针器-1/z1029</t>
  </si>
  <si>
    <t>持物钳罐-2/持物钳放外面W6050</t>
  </si>
  <si>
    <t>阑尾单包-8件/W9050</t>
  </si>
  <si>
    <t>阑尾器械-33件（筐1）/W12050</t>
  </si>
  <si>
    <t>拇外翻-11件/W6050</t>
  </si>
  <si>
    <t>阑尾器械-41件（筐1）/W12050</t>
  </si>
  <si>
    <t>外科</t>
  </si>
  <si>
    <t>镊子-1/Z7530</t>
  </si>
  <si>
    <t>无菌缸-1/Z2530</t>
  </si>
  <si>
    <t>止血钳-1/Z1026</t>
  </si>
  <si>
    <t>眼科</t>
  </si>
  <si>
    <t>睫毛镊-1/Z7526</t>
  </si>
  <si>
    <t>泪道冲洗针头-1/Z7520</t>
  </si>
  <si>
    <t>泪道扩张器-1/Z7520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</si>
</sst>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0</xdr:rowOff>
    </xdr:from>
    <xdr:to>
      <xdr:col>9</xdr:col>
      <xdr:colOff>785578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1</xdr:row>
      <xdr:rowOff>38100</xdr:rowOff>
    </xdr:from>
    <xdr:to>
      <xdr:col>9</xdr:col>
      <xdr:colOff>718903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19050</xdr:rowOff>
    </xdr:from>
    <xdr:to>
      <xdr:col>9</xdr:col>
      <xdr:colOff>728428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0</xdr:rowOff>
    </xdr:from>
    <xdr:to>
      <xdr:col>9</xdr:col>
      <xdr:colOff>795103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342265</xdr:colOff>
      <xdr:row>0</xdr:row>
      <xdr:rowOff>142875</xdr:rowOff>
    </xdr:from>
    <xdr:to>
      <xdr:col>9</xdr:col>
      <xdr:colOff>852253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35040" y="1428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23</v>
      </c>
      <c r="J10" s="10"/>
      <c r="K10" s="10">
        <f>SUM(K11:K27)</f>
        <v>270</v>
      </c>
      <c r="L10">
        <f>K10+美容科!K8+手术室!K8+外科!K8+眼科!K8</f>
        <v>1075</v>
      </c>
    </row>
    <row r="11" spans="2:12">
      <c r="D11" s="11">
        <v>46148</v>
      </c>
      <c r="E11" s="12">
        <v>1600603</v>
      </c>
      <c r="F11" s="12" t="s">
        <v>13</v>
      </c>
      <c r="G11" s="13">
        <v>20378353</v>
      </c>
      <c r="H11" s="12" t="s">
        <v>14</v>
      </c>
      <c r="I11" s="13">
        <v>1</v>
      </c>
      <c r="J11" s="14">
        <v>30</v>
      </c>
      <c r="K11" s="14">
        <f>J11*I11</f>
        <v>30</v>
      </c>
    </row>
    <row r="12" spans="2:12">
      <c r="D12" s="11">
        <v>46148</v>
      </c>
      <c r="E12" s="12">
        <v>1600603</v>
      </c>
      <c r="F12" s="12" t="s">
        <v>13</v>
      </c>
      <c r="G12" s="13">
        <v>20377247</v>
      </c>
      <c r="H12" s="12" t="s">
        <v>15</v>
      </c>
      <c r="I12" s="13">
        <v>1</v>
      </c>
      <c r="J12" s="14">
        <v>33</v>
      </c>
      <c r="K12" s="14">
        <f t="shared" ref="K12:K27" si="0">J12*I12</f>
        <v>33</v>
      </c>
    </row>
    <row r="13" spans="2:12">
      <c r="D13" s="11">
        <v>46148</v>
      </c>
      <c r="E13" s="12">
        <v>1600603</v>
      </c>
      <c r="F13" s="12" t="s">
        <v>13</v>
      </c>
      <c r="G13" s="13">
        <v>20378354</v>
      </c>
      <c r="H13" s="12" t="s">
        <v>16</v>
      </c>
      <c r="I13" s="13">
        <v>1</v>
      </c>
      <c r="J13" s="14">
        <v>30</v>
      </c>
      <c r="K13" s="14">
        <f t="shared" si="0"/>
        <v>30</v>
      </c>
    </row>
    <row r="14" spans="2:12">
      <c r="D14" s="11">
        <v>46148</v>
      </c>
      <c r="E14" s="12">
        <v>1600612</v>
      </c>
      <c r="F14" s="12" t="s">
        <v>17</v>
      </c>
      <c r="G14" s="13">
        <v>20377402</v>
      </c>
      <c r="H14" s="12" t="s">
        <v>18</v>
      </c>
      <c r="I14" s="13">
        <v>2</v>
      </c>
      <c r="J14" s="14">
        <v>3</v>
      </c>
      <c r="K14" s="14">
        <f t="shared" si="0"/>
        <v>6</v>
      </c>
    </row>
    <row r="15" spans="2:12">
      <c r="D15" s="11">
        <v>46148</v>
      </c>
      <c r="E15" s="12">
        <v>1600612</v>
      </c>
      <c r="F15" s="12" t="s">
        <v>17</v>
      </c>
      <c r="G15" s="13">
        <v>20377399</v>
      </c>
      <c r="H15" s="12" t="s">
        <v>19</v>
      </c>
      <c r="I15" s="13">
        <v>1</v>
      </c>
      <c r="J15" s="14">
        <v>3</v>
      </c>
      <c r="K15" s="14">
        <f t="shared" si="0"/>
        <v>3</v>
      </c>
    </row>
    <row r="16" spans="2:12">
      <c r="D16" s="11">
        <v>46148</v>
      </c>
      <c r="E16" s="12">
        <v>1600612</v>
      </c>
      <c r="F16" s="12" t="s">
        <v>17</v>
      </c>
      <c r="G16" s="13">
        <v>20009655</v>
      </c>
      <c r="H16" s="12" t="s">
        <v>20</v>
      </c>
      <c r="I16" s="13">
        <v>3</v>
      </c>
      <c r="J16" s="14">
        <v>3</v>
      </c>
      <c r="K16" s="14">
        <f t="shared" si="0"/>
        <v>9</v>
      </c>
    </row>
    <row r="17" spans="4:11">
      <c r="D17" s="11">
        <v>46148</v>
      </c>
      <c r="E17" s="12">
        <v>1600612</v>
      </c>
      <c r="F17" s="12" t="s">
        <v>17</v>
      </c>
      <c r="G17" s="13">
        <v>20376326</v>
      </c>
      <c r="H17" s="12" t="s">
        <v>21</v>
      </c>
      <c r="I17" s="13">
        <v>1</v>
      </c>
      <c r="J17" s="14">
        <v>3</v>
      </c>
      <c r="K17" s="14">
        <f t="shared" si="0"/>
        <v>3</v>
      </c>
    </row>
    <row r="18" spans="4:11">
      <c r="D18" s="11">
        <v>46148</v>
      </c>
      <c r="E18" s="12">
        <v>1600612</v>
      </c>
      <c r="F18" s="12" t="s">
        <v>17</v>
      </c>
      <c r="G18" s="13">
        <v>20377398</v>
      </c>
      <c r="H18" s="12" t="s">
        <v>22</v>
      </c>
      <c r="I18" s="13">
        <v>1</v>
      </c>
      <c r="J18" s="14">
        <v>3</v>
      </c>
      <c r="K18" s="14">
        <f t="shared" si="0"/>
        <v>3</v>
      </c>
    </row>
    <row r="19" spans="4:11">
      <c r="D19" s="11">
        <v>46169</v>
      </c>
      <c r="E19" s="12">
        <v>1606689</v>
      </c>
      <c r="F19" s="12" t="s">
        <v>17</v>
      </c>
      <c r="G19" s="13">
        <v>20377402</v>
      </c>
      <c r="H19" s="12" t="s">
        <v>18</v>
      </c>
      <c r="I19" s="13">
        <v>1</v>
      </c>
      <c r="J19" s="14">
        <v>3</v>
      </c>
      <c r="K19" s="14">
        <f t="shared" si="0"/>
        <v>3</v>
      </c>
    </row>
    <row r="20" spans="4:11">
      <c r="D20" s="11">
        <v>46169</v>
      </c>
      <c r="E20" s="12">
        <v>1606689</v>
      </c>
      <c r="F20" s="12" t="s">
        <v>17</v>
      </c>
      <c r="G20" s="13">
        <v>20401549</v>
      </c>
      <c r="H20" s="12" t="s">
        <v>23</v>
      </c>
      <c r="I20" s="13">
        <v>1</v>
      </c>
      <c r="J20" s="14">
        <v>3</v>
      </c>
      <c r="K20" s="14">
        <f t="shared" si="0"/>
        <v>3</v>
      </c>
    </row>
    <row r="21" spans="4:11">
      <c r="D21" s="11">
        <v>46169</v>
      </c>
      <c r="E21" s="12">
        <v>1606689</v>
      </c>
      <c r="F21" s="12" t="s">
        <v>17</v>
      </c>
      <c r="G21" s="13">
        <v>20375410</v>
      </c>
      <c r="H21" s="12" t="s">
        <v>24</v>
      </c>
      <c r="I21" s="13">
        <v>1</v>
      </c>
      <c r="J21" s="14">
        <v>3</v>
      </c>
      <c r="K21" s="14">
        <f t="shared" si="0"/>
        <v>3</v>
      </c>
    </row>
    <row r="22" spans="4:11">
      <c r="D22" s="11">
        <v>46169</v>
      </c>
      <c r="E22" s="12">
        <v>1606689</v>
      </c>
      <c r="F22" s="12" t="s">
        <v>17</v>
      </c>
      <c r="G22" s="13">
        <v>20377399</v>
      </c>
      <c r="H22" s="12" t="s">
        <v>19</v>
      </c>
      <c r="I22" s="13">
        <v>1</v>
      </c>
      <c r="J22" s="14">
        <v>3</v>
      </c>
      <c r="K22" s="14">
        <f t="shared" si="0"/>
        <v>3</v>
      </c>
    </row>
    <row r="23" spans="4:11">
      <c r="D23" s="11">
        <v>46169</v>
      </c>
      <c r="E23" s="12">
        <v>1606689</v>
      </c>
      <c r="F23" s="12" t="s">
        <v>17</v>
      </c>
      <c r="G23" s="13">
        <v>20009655</v>
      </c>
      <c r="H23" s="12" t="s">
        <v>20</v>
      </c>
      <c r="I23" s="13">
        <v>2</v>
      </c>
      <c r="J23" s="14">
        <v>3</v>
      </c>
      <c r="K23" s="14">
        <f t="shared" si="0"/>
        <v>6</v>
      </c>
    </row>
    <row r="24" spans="4:11">
      <c r="D24" s="11">
        <v>46169</v>
      </c>
      <c r="E24" s="12">
        <v>1606689</v>
      </c>
      <c r="F24" s="12" t="s">
        <v>17</v>
      </c>
      <c r="G24" s="13">
        <v>20377398</v>
      </c>
      <c r="H24" s="12" t="s">
        <v>22</v>
      </c>
      <c r="I24" s="13">
        <v>2</v>
      </c>
      <c r="J24" s="14">
        <v>3</v>
      </c>
      <c r="K24" s="14">
        <f t="shared" si="0"/>
        <v>6</v>
      </c>
    </row>
    <row r="25" spans="4:11">
      <c r="D25" s="11">
        <v>46169</v>
      </c>
      <c r="E25" s="12">
        <v>1606689</v>
      </c>
      <c r="F25" s="12" t="s">
        <v>13</v>
      </c>
      <c r="G25" s="13">
        <v>20378353</v>
      </c>
      <c r="H25" s="12" t="s">
        <v>14</v>
      </c>
      <c r="I25" s="13">
        <v>1</v>
      </c>
      <c r="J25" s="14">
        <v>30</v>
      </c>
      <c r="K25" s="14">
        <f t="shared" si="0"/>
        <v>30</v>
      </c>
    </row>
    <row r="26" spans="4:11">
      <c r="D26" s="11">
        <v>46169</v>
      </c>
      <c r="E26" s="12">
        <v>1606689</v>
      </c>
      <c r="F26" s="12" t="s">
        <v>13</v>
      </c>
      <c r="G26" s="13">
        <v>20377247</v>
      </c>
      <c r="H26" s="12" t="s">
        <v>15</v>
      </c>
      <c r="I26" s="13">
        <v>1</v>
      </c>
      <c r="J26" s="14">
        <v>33</v>
      </c>
      <c r="K26" s="14">
        <f t="shared" si="0"/>
        <v>33</v>
      </c>
    </row>
    <row r="27" spans="4:11">
      <c r="D27" s="11">
        <v>46169</v>
      </c>
      <c r="E27" s="12">
        <v>1606689</v>
      </c>
      <c r="F27" s="12" t="s">
        <v>13</v>
      </c>
      <c r="G27" s="13">
        <v>20378354</v>
      </c>
      <c r="H27" s="12" t="s">
        <v>25</v>
      </c>
      <c r="I27" s="13">
        <v>2</v>
      </c>
      <c r="J27" s="14">
        <v>33</v>
      </c>
      <c r="K27" s="14">
        <f t="shared" si="0"/>
        <v>66</v>
      </c>
    </row>
  </sheetData>
  <autoFilter xmlns:etc="http://www.wps.cn/officeDocument/2017/etCustomData" ref="A9:K27" etc:filterBottomFollowUsedRange="0">
    <extLst/>
  </autoFilter>
  <mergeCells count="6">
    <mergeCell ref="D8:H8"/>
    <mergeCell ref="D10:H10"/>
    <mergeCell ref="C9:C27"/>
    <mergeCell ref="B4:H5"/>
    <mergeCell ref="A8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8:17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f>SUM(K9:K11)</f>
        <v>90</v>
      </c>
    </row>
    <row r="9" spans="1:11">
      <c r="D9" s="11">
        <v>46151</v>
      </c>
      <c r="E9" s="12">
        <v>1601443</v>
      </c>
      <c r="F9" s="12" t="s">
        <v>17</v>
      </c>
      <c r="G9" s="13">
        <v>20388283</v>
      </c>
      <c r="H9" s="12" t="s">
        <v>27</v>
      </c>
      <c r="I9" s="13">
        <v>7</v>
      </c>
      <c r="J9" s="14">
        <v>9</v>
      </c>
      <c r="K9" s="14">
        <f>J9*I9</f>
        <v>63</v>
      </c>
    </row>
    <row r="10" spans="1:11">
      <c r="D10" s="11">
        <v>46151</v>
      </c>
      <c r="E10" s="12">
        <v>1601443</v>
      </c>
      <c r="F10" s="12" t="s">
        <v>17</v>
      </c>
      <c r="G10" s="13">
        <v>20388282</v>
      </c>
      <c r="H10" s="12" t="s">
        <v>28</v>
      </c>
      <c r="I10" s="13">
        <v>1</v>
      </c>
      <c r="J10" s="14">
        <v>12</v>
      </c>
      <c r="K10" s="14">
        <f>J10*I10</f>
        <v>12</v>
      </c>
    </row>
    <row r="11" spans="1:11">
      <c r="D11" s="11">
        <v>46151</v>
      </c>
      <c r="E11" s="12">
        <v>1601443</v>
      </c>
      <c r="F11" s="12" t="s">
        <v>13</v>
      </c>
      <c r="G11" s="13">
        <v>20397261</v>
      </c>
      <c r="H11" s="12" t="s">
        <v>29</v>
      </c>
      <c r="I11" s="13">
        <v>1</v>
      </c>
      <c r="J11" s="14">
        <v>15</v>
      </c>
      <c r="K11" s="14">
        <f>J11*I11</f>
        <v>15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8:17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f>SUM(K9:K23)</f>
        <v>532</v>
      </c>
    </row>
    <row r="9" spans="1:11">
      <c r="D9" s="11">
        <v>46164</v>
      </c>
      <c r="E9" s="12">
        <v>1605721</v>
      </c>
      <c r="F9" s="12" t="s">
        <v>17</v>
      </c>
      <c r="G9" s="13">
        <v>20426751</v>
      </c>
      <c r="H9" s="12" t="s">
        <v>31</v>
      </c>
      <c r="I9" s="13">
        <v>1</v>
      </c>
      <c r="J9" s="14">
        <v>3</v>
      </c>
      <c r="K9" s="14">
        <f>J9*I9</f>
        <v>3</v>
      </c>
    </row>
    <row r="10" spans="1:11">
      <c r="D10" s="11">
        <v>46164</v>
      </c>
      <c r="E10" s="12">
        <v>1605721</v>
      </c>
      <c r="F10" s="12" t="s">
        <v>32</v>
      </c>
      <c r="G10" s="13">
        <v>20385060</v>
      </c>
      <c r="H10" s="12" t="s">
        <v>32</v>
      </c>
      <c r="I10" s="13">
        <v>1</v>
      </c>
      <c r="J10" s="14">
        <v>6.5</v>
      </c>
      <c r="K10" s="14">
        <f t="shared" ref="K10:K23" si="0">J10*I10</f>
        <v>6.5</v>
      </c>
    </row>
    <row r="11" spans="1:11">
      <c r="D11" s="11">
        <v>46164</v>
      </c>
      <c r="E11" s="12">
        <v>1605721</v>
      </c>
      <c r="F11" s="12" t="s">
        <v>13</v>
      </c>
      <c r="G11" s="13">
        <v>20011886</v>
      </c>
      <c r="H11" s="12" t="s">
        <v>33</v>
      </c>
      <c r="I11" s="13">
        <v>1</v>
      </c>
      <c r="J11" s="14">
        <v>9</v>
      </c>
      <c r="K11" s="14">
        <f t="shared" si="0"/>
        <v>9</v>
      </c>
    </row>
    <row r="12" spans="1:11">
      <c r="D12" s="11">
        <v>46164</v>
      </c>
      <c r="E12" s="12">
        <v>1605721</v>
      </c>
      <c r="F12" s="12" t="s">
        <v>13</v>
      </c>
      <c r="G12" s="13">
        <v>20352092</v>
      </c>
      <c r="H12" s="12" t="s">
        <v>34</v>
      </c>
      <c r="I12" s="13">
        <v>3</v>
      </c>
      <c r="J12" s="14">
        <v>24</v>
      </c>
      <c r="K12" s="14">
        <f t="shared" si="0"/>
        <v>72</v>
      </c>
    </row>
    <row r="13" spans="1:11">
      <c r="D13" s="11">
        <v>46167</v>
      </c>
      <c r="E13" s="12">
        <v>1606213</v>
      </c>
      <c r="F13" s="12" t="s">
        <v>17</v>
      </c>
      <c r="G13" s="13">
        <v>20380019</v>
      </c>
      <c r="H13" s="12" t="s">
        <v>35</v>
      </c>
      <c r="I13" s="13">
        <v>2</v>
      </c>
      <c r="J13" s="14">
        <v>3</v>
      </c>
      <c r="K13" s="14">
        <f t="shared" si="0"/>
        <v>6</v>
      </c>
    </row>
    <row r="14" spans="1:11">
      <c r="D14" s="11">
        <v>46167</v>
      </c>
      <c r="E14" s="12">
        <v>1606213</v>
      </c>
      <c r="F14" s="12" t="s">
        <v>17</v>
      </c>
      <c r="G14" s="13">
        <v>20009655</v>
      </c>
      <c r="H14" s="12" t="s">
        <v>20</v>
      </c>
      <c r="I14" s="13">
        <v>1</v>
      </c>
      <c r="J14" s="14">
        <v>3</v>
      </c>
      <c r="K14" s="14">
        <f t="shared" si="0"/>
        <v>3</v>
      </c>
    </row>
    <row r="15" spans="1:11">
      <c r="D15" s="11">
        <v>46167</v>
      </c>
      <c r="E15" s="12">
        <v>1606213</v>
      </c>
      <c r="F15" s="12" t="s">
        <v>13</v>
      </c>
      <c r="G15" s="13">
        <v>20328393</v>
      </c>
      <c r="H15" s="12" t="s">
        <v>36</v>
      </c>
      <c r="I15" s="13">
        <v>1</v>
      </c>
      <c r="J15" s="14">
        <v>6</v>
      </c>
      <c r="K15" s="14">
        <f t="shared" si="0"/>
        <v>6</v>
      </c>
    </row>
    <row r="16" spans="1:11">
      <c r="D16" s="11">
        <v>46167</v>
      </c>
      <c r="E16" s="12">
        <v>1606213</v>
      </c>
      <c r="F16" s="12" t="s">
        <v>13</v>
      </c>
      <c r="G16" s="13">
        <v>20410072</v>
      </c>
      <c r="H16" s="12" t="s">
        <v>37</v>
      </c>
      <c r="I16" s="13">
        <v>2</v>
      </c>
      <c r="J16" s="14">
        <v>24</v>
      </c>
      <c r="K16" s="14">
        <f t="shared" si="0"/>
        <v>48</v>
      </c>
    </row>
    <row r="17" spans="4:11">
      <c r="D17" s="11">
        <v>46167</v>
      </c>
      <c r="E17" s="12">
        <v>1606213</v>
      </c>
      <c r="F17" s="12" t="s">
        <v>13</v>
      </c>
      <c r="G17" s="13">
        <v>20410071</v>
      </c>
      <c r="H17" s="12" t="s">
        <v>38</v>
      </c>
      <c r="I17" s="13">
        <v>1</v>
      </c>
      <c r="J17" s="14">
        <v>102</v>
      </c>
      <c r="K17" s="14">
        <f t="shared" si="0"/>
        <v>102</v>
      </c>
    </row>
    <row r="18" spans="4:11">
      <c r="D18" s="11">
        <v>46168</v>
      </c>
      <c r="E18" s="12">
        <v>1606298</v>
      </c>
      <c r="F18" s="12" t="s">
        <v>13</v>
      </c>
      <c r="G18" s="13">
        <v>20410071</v>
      </c>
      <c r="H18" s="12" t="s">
        <v>38</v>
      </c>
      <c r="I18" s="13">
        <v>1</v>
      </c>
      <c r="J18" s="14">
        <v>102</v>
      </c>
      <c r="K18" s="14">
        <f t="shared" si="0"/>
        <v>102</v>
      </c>
    </row>
    <row r="19" spans="4:11">
      <c r="D19" s="11">
        <v>46168</v>
      </c>
      <c r="E19" s="12">
        <v>1606599</v>
      </c>
      <c r="F19" s="12" t="s">
        <v>32</v>
      </c>
      <c r="G19" s="13">
        <v>20385060</v>
      </c>
      <c r="H19" s="12" t="s">
        <v>32</v>
      </c>
      <c r="I19" s="13">
        <v>1</v>
      </c>
      <c r="J19" s="14">
        <v>6.5</v>
      </c>
      <c r="K19" s="14">
        <f t="shared" si="0"/>
        <v>6.5</v>
      </c>
    </row>
    <row r="20" spans="4:11">
      <c r="D20" s="11">
        <v>46169</v>
      </c>
      <c r="E20" s="12">
        <v>1606690</v>
      </c>
      <c r="F20" s="12" t="s">
        <v>17</v>
      </c>
      <c r="G20" s="13">
        <v>20380019</v>
      </c>
      <c r="H20" s="12" t="s">
        <v>35</v>
      </c>
      <c r="I20" s="13">
        <v>1</v>
      </c>
      <c r="J20" s="14">
        <v>3</v>
      </c>
      <c r="K20" s="14">
        <f t="shared" si="0"/>
        <v>3</v>
      </c>
    </row>
    <row r="21" spans="4:11">
      <c r="D21" s="11">
        <v>46169</v>
      </c>
      <c r="E21" s="12">
        <v>1606690</v>
      </c>
      <c r="F21" s="12" t="s">
        <v>13</v>
      </c>
      <c r="G21" s="13">
        <v>20427208</v>
      </c>
      <c r="H21" s="12" t="s">
        <v>39</v>
      </c>
      <c r="I21" s="13">
        <v>1</v>
      </c>
      <c r="J21" s="14">
        <v>33</v>
      </c>
      <c r="K21" s="14">
        <f t="shared" si="0"/>
        <v>33</v>
      </c>
    </row>
    <row r="22" spans="4:11">
      <c r="D22" s="11">
        <v>46170</v>
      </c>
      <c r="E22" s="12">
        <v>1607363</v>
      </c>
      <c r="F22" s="12" t="s">
        <v>13</v>
      </c>
      <c r="G22" s="13">
        <v>20328393</v>
      </c>
      <c r="H22" s="12" t="s">
        <v>36</v>
      </c>
      <c r="I22" s="13">
        <v>1</v>
      </c>
      <c r="J22" s="14">
        <v>6</v>
      </c>
      <c r="K22" s="14">
        <f t="shared" si="0"/>
        <v>6</v>
      </c>
    </row>
    <row r="23" spans="4:11">
      <c r="D23" s="11">
        <v>46170</v>
      </c>
      <c r="E23" s="12">
        <v>1607363</v>
      </c>
      <c r="F23" s="12" t="s">
        <v>13</v>
      </c>
      <c r="G23" s="13">
        <v>20410071</v>
      </c>
      <c r="H23" s="12" t="s">
        <v>40</v>
      </c>
      <c r="I23" s="13">
        <v>1</v>
      </c>
      <c r="J23" s="14">
        <v>126</v>
      </c>
      <c r="K23" s="14">
        <f t="shared" si="0"/>
        <v>126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8:17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43</v>
      </c>
      <c r="J8" s="10"/>
      <c r="K8" s="10">
        <f>SUM(K9:K16)</f>
        <v>129</v>
      </c>
    </row>
    <row r="9" spans="1:11">
      <c r="D9" s="11">
        <v>46151</v>
      </c>
      <c r="E9" s="12">
        <v>1601444</v>
      </c>
      <c r="F9" s="12" t="s">
        <v>17</v>
      </c>
      <c r="G9" s="13">
        <v>20380019</v>
      </c>
      <c r="H9" s="12" t="s">
        <v>35</v>
      </c>
      <c r="I9" s="13">
        <v>1</v>
      </c>
      <c r="J9" s="14">
        <v>3</v>
      </c>
      <c r="K9" s="14">
        <f>J9*I9</f>
        <v>3</v>
      </c>
    </row>
    <row r="10" spans="1:11">
      <c r="D10" s="11">
        <v>46151</v>
      </c>
      <c r="E10" s="12">
        <v>1601444</v>
      </c>
      <c r="F10" s="12" t="s">
        <v>17</v>
      </c>
      <c r="G10" s="13">
        <v>20009655</v>
      </c>
      <c r="H10" s="12" t="s">
        <v>20</v>
      </c>
      <c r="I10" s="13">
        <v>3</v>
      </c>
      <c r="J10" s="14">
        <v>3</v>
      </c>
      <c r="K10" s="14">
        <f t="shared" ref="K10:K16" si="0">J10*I10</f>
        <v>9</v>
      </c>
    </row>
    <row r="11" spans="1:11">
      <c r="D11" s="11">
        <v>46151</v>
      </c>
      <c r="E11" s="12">
        <v>1601444</v>
      </c>
      <c r="F11" s="12" t="s">
        <v>17</v>
      </c>
      <c r="G11" s="13">
        <v>20009656</v>
      </c>
      <c r="H11" s="12" t="s">
        <v>42</v>
      </c>
      <c r="I11" s="13">
        <v>1</v>
      </c>
      <c r="J11" s="14">
        <v>3</v>
      </c>
      <c r="K11" s="14">
        <f t="shared" si="0"/>
        <v>3</v>
      </c>
    </row>
    <row r="12" spans="1:11">
      <c r="D12" s="11">
        <v>46151</v>
      </c>
      <c r="E12" s="12">
        <v>1601444</v>
      </c>
      <c r="F12" s="12" t="s">
        <v>17</v>
      </c>
      <c r="G12" s="13">
        <v>20009566</v>
      </c>
      <c r="H12" s="12" t="s">
        <v>43</v>
      </c>
      <c r="I12" s="13">
        <v>4</v>
      </c>
      <c r="J12" s="14">
        <v>3</v>
      </c>
      <c r="K12" s="14">
        <f t="shared" si="0"/>
        <v>12</v>
      </c>
    </row>
    <row r="13" spans="1:11">
      <c r="D13" s="11">
        <v>46151</v>
      </c>
      <c r="E13" s="12">
        <v>1601444</v>
      </c>
      <c r="F13" s="12" t="s">
        <v>17</v>
      </c>
      <c r="G13" s="13">
        <v>20376328</v>
      </c>
      <c r="H13" s="12" t="s">
        <v>44</v>
      </c>
      <c r="I13" s="13">
        <v>9</v>
      </c>
      <c r="J13" s="14">
        <v>3</v>
      </c>
      <c r="K13" s="14">
        <f t="shared" si="0"/>
        <v>27</v>
      </c>
    </row>
    <row r="14" spans="1:11">
      <c r="D14" s="11">
        <v>46170</v>
      </c>
      <c r="E14" s="12">
        <v>1607364</v>
      </c>
      <c r="F14" s="12" t="s">
        <v>17</v>
      </c>
      <c r="G14" s="13">
        <v>20380019</v>
      </c>
      <c r="H14" s="12" t="s">
        <v>35</v>
      </c>
      <c r="I14" s="13">
        <v>5</v>
      </c>
      <c r="J14" s="14">
        <v>3</v>
      </c>
      <c r="K14" s="14">
        <f t="shared" si="0"/>
        <v>15</v>
      </c>
    </row>
    <row r="15" spans="1:11">
      <c r="D15" s="11">
        <v>46170</v>
      </c>
      <c r="E15" s="12">
        <v>1607364</v>
      </c>
      <c r="F15" s="12" t="s">
        <v>17</v>
      </c>
      <c r="G15" s="13">
        <v>20009655</v>
      </c>
      <c r="H15" s="12" t="s">
        <v>20</v>
      </c>
      <c r="I15" s="13">
        <v>3</v>
      </c>
      <c r="J15" s="14">
        <v>3</v>
      </c>
      <c r="K15" s="14">
        <f t="shared" si="0"/>
        <v>9</v>
      </c>
    </row>
    <row r="16" spans="1:11">
      <c r="D16" s="11">
        <v>46170</v>
      </c>
      <c r="E16" s="12">
        <v>1607364</v>
      </c>
      <c r="F16" s="12" t="s">
        <v>17</v>
      </c>
      <c r="G16" s="13">
        <v>20376328</v>
      </c>
      <c r="H16" s="12" t="s">
        <v>44</v>
      </c>
      <c r="I16" s="13">
        <v>17</v>
      </c>
      <c r="J16" s="14">
        <v>3</v>
      </c>
      <c r="K16" s="14">
        <f t="shared" si="0"/>
        <v>51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8:17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18</v>
      </c>
      <c r="J8" s="10"/>
      <c r="K8" s="10">
        <f>SUM(K9:K14)</f>
        <v>54</v>
      </c>
    </row>
    <row r="9" spans="1:11">
      <c r="D9" s="11">
        <v>46151</v>
      </c>
      <c r="E9" s="12">
        <v>1601445</v>
      </c>
      <c r="F9" s="12" t="s">
        <v>17</v>
      </c>
      <c r="G9" s="13">
        <v>20009653</v>
      </c>
      <c r="H9" s="12" t="s">
        <v>46</v>
      </c>
      <c r="I9" s="13">
        <v>2</v>
      </c>
      <c r="J9" s="14">
        <v>3</v>
      </c>
      <c r="K9" s="14">
        <f t="shared" ref="K9:K14" si="0">J9*I9</f>
        <v>6</v>
      </c>
    </row>
    <row r="10" spans="1:11">
      <c r="D10" s="11">
        <v>46151</v>
      </c>
      <c r="E10" s="12">
        <v>1601445</v>
      </c>
      <c r="F10" s="12" t="s">
        <v>17</v>
      </c>
      <c r="G10" s="13">
        <v>20009654</v>
      </c>
      <c r="H10" s="12" t="s">
        <v>47</v>
      </c>
      <c r="I10" s="13">
        <v>5</v>
      </c>
      <c r="J10" s="14">
        <v>3</v>
      </c>
      <c r="K10" s="14">
        <f t="shared" si="0"/>
        <v>15</v>
      </c>
    </row>
    <row r="11" spans="1:11">
      <c r="D11" s="11">
        <v>46151</v>
      </c>
      <c r="E11" s="12">
        <v>1601445</v>
      </c>
      <c r="F11" s="12" t="s">
        <v>17</v>
      </c>
      <c r="G11" s="13">
        <v>20394945</v>
      </c>
      <c r="H11" s="12" t="s">
        <v>48</v>
      </c>
      <c r="I11" s="13">
        <v>4</v>
      </c>
      <c r="J11" s="14">
        <v>3</v>
      </c>
      <c r="K11" s="14">
        <f t="shared" si="0"/>
        <v>12</v>
      </c>
    </row>
    <row r="12" spans="1:11">
      <c r="D12" s="11">
        <v>46164</v>
      </c>
      <c r="E12" s="12">
        <v>1605345</v>
      </c>
      <c r="F12" s="12" t="s">
        <v>17</v>
      </c>
      <c r="G12" s="13">
        <v>20009653</v>
      </c>
      <c r="H12" s="12" t="s">
        <v>46</v>
      </c>
      <c r="I12" s="13">
        <v>3</v>
      </c>
      <c r="J12" s="14">
        <v>3</v>
      </c>
      <c r="K12" s="14">
        <f t="shared" si="0"/>
        <v>9</v>
      </c>
    </row>
    <row r="13" spans="1:11">
      <c r="D13" s="11">
        <v>46164</v>
      </c>
      <c r="E13" s="12">
        <v>1605345</v>
      </c>
      <c r="F13" s="12" t="s">
        <v>17</v>
      </c>
      <c r="G13" s="13">
        <v>20009654</v>
      </c>
      <c r="H13" s="12" t="s">
        <v>47</v>
      </c>
      <c r="I13" s="13">
        <v>3</v>
      </c>
      <c r="J13" s="14">
        <v>3</v>
      </c>
      <c r="K13" s="14">
        <f t="shared" si="0"/>
        <v>9</v>
      </c>
    </row>
    <row r="14" spans="1:11">
      <c r="D14" s="11">
        <v>46164</v>
      </c>
      <c r="E14" s="12">
        <v>1605345</v>
      </c>
      <c r="F14" s="12" t="s">
        <v>17</v>
      </c>
      <c r="G14" s="13">
        <v>20394945</v>
      </c>
      <c r="H14" s="12" t="s">
        <v>48</v>
      </c>
      <c r="I14" s="13">
        <v>1</v>
      </c>
      <c r="J14" s="14">
        <v>3</v>
      </c>
      <c r="K14" s="14">
        <f t="shared" si="0"/>
        <v>3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8:17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妇科门诊</vt:lpstr>
      <vt:lpstr>美容科</vt:lpstr>
      <vt:lpstr>手术室</vt:lpstr>
      <vt:lpstr>外科</vt:lpstr>
      <vt:lpstr>眼科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2026-06-02T00:17:00Z</dcterms:created>
  <dcterms:modified xsi:type="dcterms:W3CDTF">2026-06-08T07:29:23Z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F03FA60E10434512BE1501D097EEC071_13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