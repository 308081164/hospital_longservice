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DeliveryNoteSummaryWithPackingM" sheetId="1" r:id="rId1"/>
  </sheets>
  <definedNames>
    <definedName name="_xlnm._FilterDatabase" localSheetId="0" hidden="1">DeliveryNoteSummaryWithPackingM!$A$12:$J$457</definedName>
    <definedName name="_xlnm.Print_Titles" localSheetId="0">DeliveryNoteSummaryWithPackingM!$1:$6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<sst xmlns="http://schemas.openxmlformats.org/spreadsheetml/2006/main" count="1890" uniqueCount="173">
  <si>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</si>
  <si>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2026/5/26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2026/6/25</t>
    </r>
  </si>
  <si>
    <t/>
  </si>
  <si>
    <t>发货日期</t>
  </si>
  <si>
    <t>发货单号</t>
  </si>
  <si>
    <t>基本类型</t>
  </si>
  <si>
    <t>类型</t>
  </si>
  <si>
    <t>包类别号</t>
  </si>
  <si>
    <t>包名</t>
  </si>
  <si>
    <t>包数</t>
  </si>
  <si>
    <t>单价</t>
  </si>
  <si>
    <t>总价</t>
  </si>
  <si>
    <t>哈尔滨汽轮机医院</t>
  </si>
  <si>
    <t>导管室</t>
  </si>
  <si>
    <t>器械包</t>
  </si>
  <si>
    <t>器械包(ZSD)</t>
  </si>
  <si>
    <t>缝合包。</t>
  </si>
  <si>
    <t>妇科病房</t>
  </si>
  <si>
    <t>敷料包</t>
  </si>
  <si>
    <t>敷料包(纸塑袋)</t>
  </si>
  <si>
    <t>棉球大/z2032</t>
  </si>
  <si>
    <t>额外包</t>
  </si>
  <si>
    <t>额外包(低温等离子)</t>
  </si>
  <si>
    <t>病理钳-1/z1560</t>
  </si>
  <si>
    <t>人流包</t>
  </si>
  <si>
    <t>额外包(纸塑袋)</t>
  </si>
  <si>
    <t>阴道拉钩-2/Z2032</t>
  </si>
  <si>
    <t>产包</t>
  </si>
  <si>
    <t>额外包(无纺布)</t>
  </si>
  <si>
    <t>消毒缸-3/W7050</t>
  </si>
  <si>
    <t>病理剪-1/z1560</t>
  </si>
  <si>
    <t>宫腔镜，镜鞘-2件/（组合）双Z1555</t>
  </si>
  <si>
    <t>止血钳-1/z1029</t>
  </si>
  <si>
    <t>宫腔镜镜头-1/双z1550</t>
  </si>
  <si>
    <t>妇科缝合包</t>
  </si>
  <si>
    <t>病理钳（低温）-1/z1560</t>
  </si>
  <si>
    <t>刮勺-1/z7534</t>
  </si>
  <si>
    <t>组件-1（低温）-1/Z7520</t>
  </si>
  <si>
    <t>辅料缸-3/w6050</t>
  </si>
  <si>
    <t>活检钳-1/Z2032</t>
  </si>
  <si>
    <t>引产包-2件/Z2044</t>
  </si>
  <si>
    <t>抢救器械-3/z1526</t>
  </si>
  <si>
    <t>中弯-1/z1026</t>
  </si>
  <si>
    <t>刮宫包</t>
  </si>
  <si>
    <t>妇科门诊</t>
  </si>
  <si>
    <t>病理钳-1/z1535</t>
  </si>
  <si>
    <t>宫颈刮勺-1/z7537</t>
  </si>
  <si>
    <t>宫颈钳-1/Z1535</t>
  </si>
  <si>
    <t>取环器-1/z1535</t>
  </si>
  <si>
    <t>上环包</t>
  </si>
  <si>
    <t>7号吸头 1 扩棒（7，7.5 ）2/Z1035</t>
  </si>
  <si>
    <t>取环包</t>
  </si>
  <si>
    <t>病理钳（高温）-1/z1535</t>
  </si>
  <si>
    <t>刮匙-1/z7530</t>
  </si>
  <si>
    <t>吸头5号-1/Z7530</t>
  </si>
  <si>
    <t>清宫包-4/w6050</t>
  </si>
  <si>
    <t>肛肠科</t>
  </si>
  <si>
    <t>治疗盘器械</t>
  </si>
  <si>
    <t>单包装包</t>
  </si>
  <si>
    <t>方盘-1/z3044</t>
  </si>
  <si>
    <t>镊子缸-2/z2044</t>
  </si>
  <si>
    <t>肛门镜-1/Z1526</t>
  </si>
  <si>
    <t>刮勺-1/z7530</t>
  </si>
  <si>
    <t>消毒缸-4/w7050</t>
  </si>
  <si>
    <t>小剪刀-12件-筐1/W9050</t>
  </si>
  <si>
    <t>剪子盒-1/带盖z3032</t>
  </si>
  <si>
    <t>小剪刀8筐1/W7050</t>
  </si>
  <si>
    <t>换药碗-1/z2530</t>
  </si>
  <si>
    <t>无菌缸-5件/W9050</t>
  </si>
  <si>
    <t>消毒缸-1/Z2530</t>
  </si>
  <si>
    <t>消毒缸-5件/w9050</t>
  </si>
  <si>
    <t>棉垫/z2032</t>
  </si>
  <si>
    <t>纱布/Z3044</t>
  </si>
  <si>
    <t>纱布卷/z2032</t>
  </si>
  <si>
    <t>康复科</t>
  </si>
  <si>
    <t>内热针-10/z7526</t>
  </si>
  <si>
    <t>内热针-15/z7526</t>
  </si>
  <si>
    <t>内热针-20/z7526</t>
  </si>
  <si>
    <t>缝合包（小）</t>
  </si>
  <si>
    <t>舌钳子-开口器-2/z1526</t>
  </si>
  <si>
    <t>丝锥（1粗1细）-2/保z1530</t>
  </si>
  <si>
    <t>银质针-24（按长短分开）/Z7530</t>
  </si>
  <si>
    <t>单包装包(老肯低温)</t>
  </si>
  <si>
    <t>射频电极-1（盒1）/z2542</t>
  </si>
  <si>
    <t>银质针-10/z7526</t>
  </si>
  <si>
    <t>椎间孔镜器械</t>
  </si>
  <si>
    <t>持针器-1/z1029</t>
  </si>
  <si>
    <t>刀柄-1/z7526</t>
  </si>
  <si>
    <t>缝合针/Z7520</t>
  </si>
  <si>
    <t>无菌盒1/Z3020</t>
  </si>
  <si>
    <t>组织钳-1/z1026</t>
  </si>
  <si>
    <t>椎间孔镜-1/双Z2045</t>
  </si>
  <si>
    <t>敷料包(无纺布包)</t>
  </si>
  <si>
    <t>棉球/W9050</t>
  </si>
  <si>
    <t>手术室</t>
  </si>
  <si>
    <t>（21号）膀胱镜鞘-3件/Z2045</t>
  </si>
  <si>
    <t>25度镜头-1/双/Z1550</t>
  </si>
  <si>
    <t>防水帽-2/Z7520</t>
  </si>
  <si>
    <t>取物钳-1/Z2060</t>
  </si>
  <si>
    <t>输尿管异物钳-1/z1560</t>
  </si>
  <si>
    <t>水管-1（没接头）/z3040</t>
  </si>
  <si>
    <t>外鞘闭孔器（18号）-2件/Z1545</t>
  </si>
  <si>
    <t>钢丝剪-1/Z1530</t>
  </si>
  <si>
    <t>克氏针-3/z7537</t>
  </si>
  <si>
    <t>骨锤1骨凿1剥离子1/w6050</t>
  </si>
  <si>
    <t>骨锉1 咬骨钳2/w6050</t>
  </si>
  <si>
    <t>甲状腺拉钩-3/Z1020</t>
  </si>
  <si>
    <t>造瘘包</t>
  </si>
  <si>
    <t>小缝合</t>
  </si>
  <si>
    <t>保护穿刺器（10MM）-1件/z1530</t>
  </si>
  <si>
    <t>长持针器-1/z1560</t>
  </si>
  <si>
    <t>穿刺器（10MM）-1件/Z1532</t>
  </si>
  <si>
    <t>穿刺器（5MM）-1件/Z1532</t>
  </si>
  <si>
    <t>电凝钩-1/z7550</t>
  </si>
  <si>
    <t>分离钳-1/Z2060</t>
  </si>
  <si>
    <t>镜头-1/双z1550</t>
  </si>
  <si>
    <t>气腹管-1/z3040</t>
  </si>
  <si>
    <t>气腹针-1/z1030</t>
  </si>
  <si>
    <t>钛夹钳-1/保z2060</t>
  </si>
  <si>
    <t>弯剪刀-1/Z2060</t>
  </si>
  <si>
    <t>胃抓钳-1/z2060</t>
  </si>
  <si>
    <t>无损伤钳-1/z2060</t>
  </si>
  <si>
    <t>吸引器-1/z1560</t>
  </si>
  <si>
    <t>转换器（5号）-1/z1016</t>
  </si>
  <si>
    <t>转换头-1/Z7520</t>
  </si>
  <si>
    <t>腔镜包</t>
  </si>
  <si>
    <t>10毫米30度镜-1件/（高温！）Z2060</t>
  </si>
  <si>
    <t>肛肠包</t>
  </si>
  <si>
    <t>透析包</t>
  </si>
  <si>
    <t>小切开</t>
  </si>
  <si>
    <t>肌钩-2/z1026</t>
  </si>
  <si>
    <t>线锯-2/z1526</t>
  </si>
  <si>
    <t>血管牵开器，直角钳-3/z1535</t>
  </si>
  <si>
    <t>冲洗器-1/z1560</t>
  </si>
  <si>
    <t xml:space="preserve">人工血管包      </t>
  </si>
  <si>
    <t>水管-1（有接头）/z3040</t>
  </si>
  <si>
    <t>产钳-1件（单侧）/w7050</t>
  </si>
  <si>
    <t>举宫杯（低温）-1/z1526</t>
  </si>
  <si>
    <t>举宫器（低温）-1/z1545</t>
  </si>
  <si>
    <t>阑尾包</t>
  </si>
  <si>
    <t>冲洗瓶-1/Z2035</t>
  </si>
  <si>
    <t>输尿管镜-1/双z2060</t>
  </si>
  <si>
    <t>小肌钩-2/Z7526</t>
  </si>
  <si>
    <t>刮匙1探针（大头1小头1）-3/z7530</t>
  </si>
  <si>
    <t>腹腔镜</t>
  </si>
  <si>
    <t>电极-2/Z1045</t>
  </si>
  <si>
    <t>电切环-1/z1045</t>
  </si>
  <si>
    <t>电切环-2/z1045</t>
  </si>
  <si>
    <t>双极钳-1/z2060</t>
  </si>
  <si>
    <t>铁水头-1/z7526</t>
  </si>
  <si>
    <t>剪刀(高温）-1/z1029</t>
  </si>
  <si>
    <t>电切组件-3/z2045</t>
  </si>
  <si>
    <t>手持-1/ Z1526</t>
  </si>
  <si>
    <t>垫片-1/Z7520</t>
  </si>
  <si>
    <t>艾丽丝（组织钳）-4/Z1526</t>
  </si>
  <si>
    <t>胶帽-1/z7520</t>
  </si>
  <si>
    <t>30度镜头-1/双/Z1550</t>
  </si>
  <si>
    <t>镜桥-1/Z7520</t>
  </si>
  <si>
    <t>手术室（妇科）</t>
  </si>
  <si>
    <t>妇科腹腔镜包</t>
  </si>
  <si>
    <t>外科</t>
  </si>
  <si>
    <t>外科缝合包</t>
  </si>
  <si>
    <t>镊子-1/z7526</t>
  </si>
  <si>
    <t>大镊子-1/z7534</t>
  </si>
  <si>
    <t>开口器-1/Z1026</t>
  </si>
  <si>
    <t>蚊式-1/z1026</t>
  </si>
  <si>
    <t>胃肠镜室</t>
  </si>
  <si>
    <t>中单/w9050</t>
  </si>
  <si>
    <t>中单/w12050</t>
  </si>
  <si>
    <t>眼科门诊</t>
  </si>
  <si>
    <t>睑板腺按摩镊-1/Z1026</t>
  </si>
  <si>
    <t>睫毛镊-1/Z7526</t>
  </si>
  <si>
    <t>睑板腺按摩镊2/Z1026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</si>
</sst>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宋体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7" fillId="0" borderId="0"/>
  </cellStyleXfs>
  <cellXfs count="25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2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5" fillId="2" borderId="2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5" fillId="2" borderId="2" xfId="0" applyNumberFormat="1" applyFont="1" applyFill="1" applyBorder="1" applyAlignment="1">
      <alignment horizontal="center" vertical="top" wrapText="1" readingOrder="1"/>
    </xf>
    <xf numFmtId="176" fontId="5" fillId="2" borderId="2" xfId="0" applyNumberFormat="1" applyFont="1" applyFill="1" applyBorder="1" applyAlignment="1">
      <alignment horizontal="center"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6" fillId="3" borderId="2" xfId="0" applyNumberFormat="1" applyFont="1" applyFill="1" applyBorder="1" applyAlignment="1">
      <alignment horizontal="center" vertical="top" wrapText="1" readingOrder="1"/>
    </xf>
    <xf numFmtId="176" fontId="6" fillId="3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vertical="top" wrapText="1" readingOrder="1"/>
    </xf>
    <xf numFmtId="0" fontId="4" fillId="0" borderId="2" xfId="0" applyNumberFormat="1" applyFont="1" applyFill="1" applyBorder="1" applyAlignment="1">
      <alignment vertical="top" wrapText="1" readingOrder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0" fillId="4" borderId="0" xfId="0" applyFont="1" applyFill="1" applyBorder="1" applyAlignment="1"/>
    <xf numFmtId="0" fontId="4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177" fontId="4" fillId="4" borderId="2" xfId="0" applyNumberFormat="1" applyFont="1" applyFill="1" applyBorder="1" applyAlignment="1">
      <alignment vertical="top" wrapText="1" readingOrder="1"/>
    </xf>
    <xf numFmtId="0" fontId="0" fillId="4" borderId="3" xfId="0" applyNumberFormat="1" applyFont="1" applyFill="1" applyBorder="1" applyAlignment="1">
      <alignment vertical="top" wrapText="1"/>
    </xf>
    <xf numFmtId="0" fontId="4" fillId="4" borderId="2" xfId="0" applyNumberFormat="1" applyFont="1" applyFill="1" applyBorder="1" applyAlignment="1">
      <alignment vertical="top" wrapText="1" readingOrder="1"/>
    </xf>
    <xf numFmtId="0" fontId="4" fillId="4" borderId="2" xfId="0" applyNumberFormat="1" applyFont="1" applyFill="1" applyBorder="1" applyAlignment="1">
      <alignment horizontal="center" vertical="top" wrapText="1" readingOrder="1"/>
    </xf>
    <xf numFmtId="176" fontId="4" fillId="4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6799AF"/>
      <rgbColor rgb="00FFFFFF"/>
      <rgbColor rgb="00BCC3C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238125</xdr:colOff>
      <xdr:row>1</xdr:row>
      <xdr:rowOff>76200</xdr:rowOff>
    </xdr:from>
    <xdr:to>
      <xdr:col>9</xdr:col>
      <xdr:colOff>748085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86345" y="2476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459"/>
  <sheetViews>
    <sheetView showGridLines="0" tabSelected="1" topLeftCell="C1" workbookViewId="0">
      <pane ySplit="6" topLeftCell="A296" activePane="bottomLeft" state="frozen"/>
      <selection/>
      <selection pane="bottomLeft" activeCell="J247" sqref="J247:J408"/>
    </sheetView>
  </sheetViews>
  <sheetFormatPr defaultColWidth="9" defaultRowHeight="13.5"/>
  <cols>
    <col min="1" max="1" width="0.225" customWidth="1"/>
    <col min="2" max="2" width="9.075" customWidth="1"/>
    <col min="3" max="3" width="8.93333333333333" customWidth="1"/>
    <col min="4" max="4" width="9.625" customWidth="1"/>
    <col min="5" max="5" width="14.95" customWidth="1"/>
    <col min="6" max="6" width="9.36666666666667" customWidth="1"/>
    <col min="7" max="7" width="27.75" customWidth="1"/>
    <col min="8" max="8" width="5.875" customWidth="1"/>
    <col min="9" max="9" width="10.6333333333333" customWidth="1"/>
    <col min="10" max="10" width="12.5" customWidth="1"/>
  </cols>
  <sheetData>
    <row r="1" spans="1:12">
      <c r="B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05" customHeight="1"/>
    <row r="7" ht="4" customHeight="1" spans="1:12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</row>
    <row r="11" ht="3.6" customHeight="1"/>
    <row r="12" spans="1:12">
      <c r="A12" s="4" t="s">
        <v>3</v>
      </c>
      <c r="B12" s="5" t="s">
        <v>2</v>
      </c>
      <c r="C12" s="6" t="s">
        <v>4</v>
      </c>
      <c r="D12" s="6" t="s">
        <v>5</v>
      </c>
      <c r="E12" s="6" t="s">
        <v>6</v>
      </c>
      <c r="F12" s="6" t="s">
        <v>7</v>
      </c>
      <c r="G12" s="6" t="s">
        <v>8</v>
      </c>
      <c r="H12" s="6" t="s">
        <v>9</v>
      </c>
      <c r="I12" s="6" t="s">
        <v>10</v>
      </c>
      <c r="J12" s="6" t="s">
        <v>11</v>
      </c>
    </row>
    <row r="13" ht="15" hidden="1" spans="1:12">
      <c r="A13" s="7" t="s">
        <v>12</v>
      </c>
      <c r="B13" s="8" t="s">
        <v>2</v>
      </c>
      <c r="C13" s="8" t="s">
        <v>2</v>
      </c>
      <c r="D13" s="8" t="s">
        <v>2</v>
      </c>
      <c r="E13" s="8" t="s">
        <v>2</v>
      </c>
      <c r="F13" s="8" t="s">
        <v>2</v>
      </c>
      <c r="G13" s="8" t="s">
        <v>2</v>
      </c>
      <c r="H13" s="9">
        <v>689</v>
      </c>
      <c r="I13" s="10"/>
      <c r="J13" s="10">
        <v>21989</v>
      </c>
    </row>
    <row r="14" ht="14.25" hidden="1" spans="1:12">
      <c r="A14" s="11" t="s">
        <v>13</v>
      </c>
      <c r="B14" s="8" t="s">
        <v>2</v>
      </c>
      <c r="C14" s="8" t="s">
        <v>2</v>
      </c>
      <c r="D14" s="8" t="s">
        <v>2</v>
      </c>
      <c r="E14" s="8" t="s">
        <v>2</v>
      </c>
      <c r="F14" s="8" t="s">
        <v>2</v>
      </c>
      <c r="G14" s="8" t="s">
        <v>2</v>
      </c>
      <c r="H14" s="12">
        <v>4</v>
      </c>
      <c r="I14" s="13"/>
      <c r="J14" s="13">
        <v>154</v>
      </c>
    </row>
    <row r="15" spans="1:12">
      <c r="A15" s="14">
        <v>46176</v>
      </c>
      <c r="B15" s="5" t="s">
        <v>2</v>
      </c>
      <c r="C15" s="15">
        <v>1608918</v>
      </c>
      <c r="D15" s="15" t="s">
        <v>14</v>
      </c>
      <c r="E15" s="15" t="s">
        <v>15</v>
      </c>
      <c r="F15" s="6">
        <v>20014738</v>
      </c>
      <c r="G15" s="15" t="s">
        <v>16</v>
      </c>
      <c r="H15" s="6">
        <v>2</v>
      </c>
      <c r="I15" s="16">
        <v>38.5</v>
      </c>
      <c r="J15" s="16">
        <v>77</v>
      </c>
      <c r="K15">
        <v>6534</v>
      </c>
      <c r="L15">
        <v>4361.5</v>
      </c>
    </row>
    <row r="16" spans="1:12">
      <c r="A16" s="14">
        <v>46177</v>
      </c>
      <c r="B16" s="5" t="s">
        <v>2</v>
      </c>
      <c r="C16" s="15">
        <v>1609315</v>
      </c>
      <c r="D16" s="15" t="s">
        <v>14</v>
      </c>
      <c r="E16" s="15" t="s">
        <v>15</v>
      </c>
      <c r="F16" s="6">
        <v>20014738</v>
      </c>
      <c r="G16" s="15" t="s">
        <v>16</v>
      </c>
      <c r="H16" s="6">
        <v>1</v>
      </c>
      <c r="I16" s="16">
        <v>38.5</v>
      </c>
      <c r="J16" s="16">
        <v>38.5</v>
      </c>
      <c r="K16" s="17">
        <f>K15/5.5</f>
        <v>1188</v>
      </c>
      <c r="L16">
        <v>3322</v>
      </c>
    </row>
    <row r="17" spans="1:12">
      <c r="A17" s="14">
        <v>46183</v>
      </c>
      <c r="B17" s="5" t="s">
        <v>2</v>
      </c>
      <c r="C17" s="15">
        <v>1611037</v>
      </c>
      <c r="D17" s="15" t="s">
        <v>14</v>
      </c>
      <c r="E17" s="15" t="s">
        <v>15</v>
      </c>
      <c r="F17" s="6">
        <v>20014738</v>
      </c>
      <c r="G17" s="15" t="s">
        <v>16</v>
      </c>
      <c r="H17" s="6">
        <v>1</v>
      </c>
      <c r="I17" s="16">
        <v>38.5</v>
      </c>
      <c r="J17" s="16">
        <v>38.5</v>
      </c>
      <c r="K17">
        <f>1185/15</f>
        <v>79</v>
      </c>
      <c r="L17">
        <v>286.5</v>
      </c>
    </row>
    <row r="18" hidden="1" spans="1:12">
      <c r="A18" s="18" t="s">
        <v>2</v>
      </c>
      <c r="C18" s="18" t="s">
        <v>2</v>
      </c>
      <c r="D18" s="18" t="s">
        <v>2</v>
      </c>
      <c r="E18" s="18" t="s">
        <v>2</v>
      </c>
      <c r="F18" s="19" t="s">
        <v>2</v>
      </c>
      <c r="G18" s="18" t="s">
        <v>2</v>
      </c>
      <c r="H18" s="18" t="s">
        <v>2</v>
      </c>
      <c r="I18" s="18" t="s">
        <v>2</v>
      </c>
      <c r="J18" s="18" t="s">
        <v>2</v>
      </c>
      <c r="L18">
        <v>3942.5</v>
      </c>
    </row>
    <row r="19" ht="14.25" hidden="1" spans="1:12">
      <c r="A19" s="11" t="s">
        <v>17</v>
      </c>
      <c r="B19" s="8" t="s">
        <v>2</v>
      </c>
      <c r="C19" s="8" t="s">
        <v>2</v>
      </c>
      <c r="D19" s="8" t="s">
        <v>2</v>
      </c>
      <c r="E19" s="8" t="s">
        <v>2</v>
      </c>
      <c r="F19" s="8" t="s">
        <v>2</v>
      </c>
      <c r="G19" s="8" t="s">
        <v>2</v>
      </c>
      <c r="H19" s="12">
        <v>46</v>
      </c>
      <c r="I19" s="13"/>
      <c r="J19" s="13">
        <v>1160</v>
      </c>
      <c r="L19">
        <v>803</v>
      </c>
    </row>
    <row r="20" hidden="1" spans="1:12">
      <c r="A20" s="14">
        <v>46168</v>
      </c>
      <c r="B20" s="5" t="s">
        <v>2</v>
      </c>
      <c r="C20" s="15">
        <v>1606490</v>
      </c>
      <c r="D20" s="15" t="s">
        <v>18</v>
      </c>
      <c r="E20" s="15" t="s">
        <v>19</v>
      </c>
      <c r="F20" s="6">
        <v>20009169</v>
      </c>
      <c r="G20" s="15" t="s">
        <v>20</v>
      </c>
      <c r="H20" s="6">
        <v>1</v>
      </c>
      <c r="I20" s="16">
        <v>4</v>
      </c>
      <c r="J20" s="16">
        <v>4</v>
      </c>
      <c r="L20">
        <v>0</v>
      </c>
    </row>
    <row r="21" hidden="1" spans="1:12">
      <c r="A21" s="14">
        <v>46170</v>
      </c>
      <c r="B21" s="5" t="s">
        <v>2</v>
      </c>
      <c r="C21" s="15">
        <v>1607046</v>
      </c>
      <c r="D21" s="15" t="s">
        <v>21</v>
      </c>
      <c r="E21" s="15" t="s">
        <v>22</v>
      </c>
      <c r="F21" s="6">
        <v>20303908</v>
      </c>
      <c r="G21" s="15" t="s">
        <v>23</v>
      </c>
      <c r="H21" s="6">
        <v>1</v>
      </c>
      <c r="I21" s="16">
        <v>25</v>
      </c>
      <c r="J21" s="16">
        <v>25</v>
      </c>
      <c r="L21">
        <v>799</v>
      </c>
    </row>
    <row r="22" spans="1:12">
      <c r="A22" s="14">
        <v>46170</v>
      </c>
      <c r="B22" s="5" t="s">
        <v>2</v>
      </c>
      <c r="C22" s="15">
        <v>1607251</v>
      </c>
      <c r="D22" s="15" t="s">
        <v>14</v>
      </c>
      <c r="E22" s="15" t="s">
        <v>14</v>
      </c>
      <c r="F22" s="6">
        <v>20009194</v>
      </c>
      <c r="G22" s="15" t="s">
        <v>24</v>
      </c>
      <c r="H22" s="6">
        <v>1</v>
      </c>
      <c r="I22" s="16">
        <v>60.5</v>
      </c>
      <c r="J22" s="16">
        <v>60.5</v>
      </c>
      <c r="K22" s="17">
        <f>K17*10+3</f>
        <v>793</v>
      </c>
      <c r="L22">
        <v>3970</v>
      </c>
    </row>
    <row r="23" hidden="1" spans="1:12">
      <c r="A23" s="14">
        <v>46170</v>
      </c>
      <c r="B23" s="5" t="s">
        <v>2</v>
      </c>
      <c r="C23" s="15">
        <v>1607251</v>
      </c>
      <c r="D23" s="15" t="s">
        <v>21</v>
      </c>
      <c r="E23" s="15" t="s">
        <v>25</v>
      </c>
      <c r="F23" s="6">
        <v>20007883</v>
      </c>
      <c r="G23" s="15" t="s">
        <v>26</v>
      </c>
      <c r="H23" s="6">
        <v>1</v>
      </c>
      <c r="I23" s="16">
        <v>16.5</v>
      </c>
      <c r="J23" s="16">
        <v>16.5</v>
      </c>
      <c r="L23">
        <v>654</v>
      </c>
    </row>
    <row r="24" spans="1:12">
      <c r="A24" s="14">
        <v>46170</v>
      </c>
      <c r="B24" s="5" t="s">
        <v>2</v>
      </c>
      <c r="C24" s="15">
        <v>1607251</v>
      </c>
      <c r="D24" s="15" t="s">
        <v>14</v>
      </c>
      <c r="E24" s="15" t="s">
        <v>15</v>
      </c>
      <c r="F24" s="6">
        <v>20009191</v>
      </c>
      <c r="G24" s="15" t="s">
        <v>27</v>
      </c>
      <c r="H24" s="6">
        <v>1</v>
      </c>
      <c r="I24" s="16">
        <v>38.5</v>
      </c>
      <c r="J24" s="16">
        <v>38.5</v>
      </c>
      <c r="K24" s="17">
        <f>K22*5.5</f>
        <v>4361.5</v>
      </c>
      <c r="L24">
        <v>28</v>
      </c>
    </row>
    <row r="25" hidden="1" spans="1:12">
      <c r="A25" s="14">
        <v>46170</v>
      </c>
      <c r="B25" s="5" t="s">
        <v>2</v>
      </c>
      <c r="C25" s="15">
        <v>1607251</v>
      </c>
      <c r="D25" s="15" t="s">
        <v>21</v>
      </c>
      <c r="E25" s="15" t="s">
        <v>28</v>
      </c>
      <c r="F25" s="6">
        <v>20012999</v>
      </c>
      <c r="G25" s="15" t="s">
        <v>29</v>
      </c>
      <c r="H25" s="6">
        <v>1</v>
      </c>
      <c r="I25" s="16">
        <v>16.5</v>
      </c>
      <c r="J25" s="16">
        <v>16.5</v>
      </c>
      <c r="L25">
        <v>1200</v>
      </c>
    </row>
    <row r="26" hidden="1" spans="1:12">
      <c r="A26" s="14">
        <v>46172</v>
      </c>
      <c r="B26" s="5" t="s">
        <v>2</v>
      </c>
      <c r="C26" s="15">
        <v>1607800</v>
      </c>
      <c r="D26" s="15" t="s">
        <v>21</v>
      </c>
      <c r="E26" s="15" t="s">
        <v>22</v>
      </c>
      <c r="F26" s="6">
        <v>20344020</v>
      </c>
      <c r="G26" s="15" t="s">
        <v>30</v>
      </c>
      <c r="H26" s="6">
        <v>1</v>
      </c>
      <c r="I26" s="16">
        <v>25</v>
      </c>
      <c r="J26" s="16">
        <v>25</v>
      </c>
    </row>
    <row r="27" hidden="1" spans="1:12">
      <c r="A27" s="14">
        <v>46172</v>
      </c>
      <c r="B27" s="5" t="s">
        <v>2</v>
      </c>
      <c r="C27" s="15">
        <v>1607800</v>
      </c>
      <c r="D27" s="15" t="s">
        <v>21</v>
      </c>
      <c r="E27" s="15" t="s">
        <v>22</v>
      </c>
      <c r="F27" s="6">
        <v>20303908</v>
      </c>
      <c r="G27" s="15" t="s">
        <v>23</v>
      </c>
      <c r="H27" s="6">
        <v>1</v>
      </c>
      <c r="I27" s="16">
        <v>25</v>
      </c>
      <c r="J27" s="16">
        <v>25</v>
      </c>
    </row>
    <row r="28" hidden="1" spans="1:12">
      <c r="A28" s="14">
        <v>46172</v>
      </c>
      <c r="B28" s="5" t="s">
        <v>2</v>
      </c>
      <c r="C28" s="15">
        <v>1607800</v>
      </c>
      <c r="D28" s="15" t="s">
        <v>21</v>
      </c>
      <c r="E28" s="15" t="s">
        <v>22</v>
      </c>
      <c r="F28" s="6">
        <v>20347730</v>
      </c>
      <c r="G28" s="15" t="s">
        <v>31</v>
      </c>
      <c r="H28" s="6">
        <v>1</v>
      </c>
      <c r="I28" s="16">
        <v>44</v>
      </c>
      <c r="J28" s="16">
        <v>44</v>
      </c>
    </row>
    <row r="29" hidden="1" spans="1:12">
      <c r="A29" s="14">
        <v>46174</v>
      </c>
      <c r="B29" s="5" t="s">
        <v>2</v>
      </c>
      <c r="C29" s="15">
        <v>1608155</v>
      </c>
      <c r="D29" s="15" t="s">
        <v>21</v>
      </c>
      <c r="E29" s="15" t="s">
        <v>25</v>
      </c>
      <c r="F29" s="6">
        <v>20006093</v>
      </c>
      <c r="G29" s="15" t="s">
        <v>32</v>
      </c>
      <c r="H29" s="6">
        <v>1</v>
      </c>
      <c r="I29" s="16">
        <v>8</v>
      </c>
      <c r="J29" s="16">
        <v>8</v>
      </c>
    </row>
    <row r="30" hidden="1" spans="1:12">
      <c r="A30" s="14">
        <v>46174</v>
      </c>
      <c r="B30" s="5" t="s">
        <v>2</v>
      </c>
      <c r="C30" s="15">
        <v>1608155</v>
      </c>
      <c r="D30" s="15" t="s">
        <v>21</v>
      </c>
      <c r="E30" s="15" t="s">
        <v>28</v>
      </c>
      <c r="F30" s="6">
        <v>20012999</v>
      </c>
      <c r="G30" s="15" t="s">
        <v>29</v>
      </c>
      <c r="H30" s="6">
        <v>1</v>
      </c>
      <c r="I30" s="16">
        <v>16.5</v>
      </c>
      <c r="J30" s="16">
        <v>16.5</v>
      </c>
    </row>
    <row r="31" hidden="1" spans="1:12">
      <c r="A31" s="14">
        <v>46175</v>
      </c>
      <c r="B31" s="5" t="s">
        <v>2</v>
      </c>
      <c r="C31" s="15">
        <v>1608366</v>
      </c>
      <c r="D31" s="15" t="s">
        <v>21</v>
      </c>
      <c r="E31" s="15" t="s">
        <v>22</v>
      </c>
      <c r="F31" s="6">
        <v>20344020</v>
      </c>
      <c r="G31" s="15" t="s">
        <v>30</v>
      </c>
      <c r="H31" s="6">
        <v>1</v>
      </c>
      <c r="I31" s="16">
        <v>25</v>
      </c>
      <c r="J31" s="16">
        <v>25</v>
      </c>
    </row>
    <row r="32" hidden="1" spans="1:12">
      <c r="A32" s="14">
        <v>46175</v>
      </c>
      <c r="B32" s="5" t="s">
        <v>2</v>
      </c>
      <c r="C32" s="15">
        <v>1608366</v>
      </c>
      <c r="D32" s="15" t="s">
        <v>21</v>
      </c>
      <c r="E32" s="15" t="s">
        <v>22</v>
      </c>
      <c r="F32" s="6">
        <v>20303908</v>
      </c>
      <c r="G32" s="15" t="s">
        <v>23</v>
      </c>
      <c r="H32" s="6">
        <v>1</v>
      </c>
      <c r="I32" s="16">
        <v>25</v>
      </c>
      <c r="J32" s="16">
        <v>25</v>
      </c>
    </row>
    <row r="33" hidden="1" spans="1:10">
      <c r="A33" s="14">
        <v>46175</v>
      </c>
      <c r="B33" s="5" t="s">
        <v>2</v>
      </c>
      <c r="C33" s="15">
        <v>1608366</v>
      </c>
      <c r="D33" s="15" t="s">
        <v>21</v>
      </c>
      <c r="E33" s="15" t="s">
        <v>22</v>
      </c>
      <c r="F33" s="6">
        <v>20007874</v>
      </c>
      <c r="G33" s="15" t="s">
        <v>33</v>
      </c>
      <c r="H33" s="6">
        <v>1</v>
      </c>
      <c r="I33" s="16">
        <v>35</v>
      </c>
      <c r="J33" s="16">
        <v>35</v>
      </c>
    </row>
    <row r="34" spans="1:10">
      <c r="A34" s="14">
        <v>46175</v>
      </c>
      <c r="B34" s="5" t="s">
        <v>2</v>
      </c>
      <c r="C34" s="15">
        <v>1608587</v>
      </c>
      <c r="D34" s="15" t="s">
        <v>14</v>
      </c>
      <c r="E34" s="15" t="s">
        <v>15</v>
      </c>
      <c r="F34" s="6">
        <v>20009342</v>
      </c>
      <c r="G34" s="15" t="s">
        <v>34</v>
      </c>
      <c r="H34" s="6">
        <v>1</v>
      </c>
      <c r="I34" s="16">
        <v>38.5</v>
      </c>
      <c r="J34" s="16">
        <v>38.5</v>
      </c>
    </row>
    <row r="35" hidden="1" spans="1:10">
      <c r="A35" s="14">
        <v>46178</v>
      </c>
      <c r="B35" s="5" t="s">
        <v>2</v>
      </c>
      <c r="C35" s="15">
        <v>1609658</v>
      </c>
      <c r="D35" s="15" t="s">
        <v>21</v>
      </c>
      <c r="E35" s="15" t="s">
        <v>22</v>
      </c>
      <c r="F35" s="6">
        <v>20344020</v>
      </c>
      <c r="G35" s="15" t="s">
        <v>30</v>
      </c>
      <c r="H35" s="6">
        <v>2</v>
      </c>
      <c r="I35" s="16">
        <v>25</v>
      </c>
      <c r="J35" s="16">
        <v>50</v>
      </c>
    </row>
    <row r="36" hidden="1" spans="1:10">
      <c r="A36" s="14">
        <v>46178</v>
      </c>
      <c r="B36" s="5" t="s">
        <v>2</v>
      </c>
      <c r="C36" s="15">
        <v>1609658</v>
      </c>
      <c r="D36" s="15" t="s">
        <v>21</v>
      </c>
      <c r="E36" s="15" t="s">
        <v>22</v>
      </c>
      <c r="F36" s="6">
        <v>20303908</v>
      </c>
      <c r="G36" s="15" t="s">
        <v>35</v>
      </c>
      <c r="H36" s="6">
        <v>2</v>
      </c>
      <c r="I36" s="16">
        <v>25</v>
      </c>
      <c r="J36" s="16">
        <v>50</v>
      </c>
    </row>
    <row r="37" hidden="1" spans="1:10">
      <c r="A37" s="14">
        <v>46178</v>
      </c>
      <c r="B37" s="5" t="s">
        <v>2</v>
      </c>
      <c r="C37" s="15">
        <v>1609658</v>
      </c>
      <c r="D37" s="15" t="s">
        <v>21</v>
      </c>
      <c r="E37" s="15" t="s">
        <v>22</v>
      </c>
      <c r="F37" s="6">
        <v>20007874</v>
      </c>
      <c r="G37" s="15" t="s">
        <v>33</v>
      </c>
      <c r="H37" s="6">
        <v>2</v>
      </c>
      <c r="I37" s="16">
        <v>35</v>
      </c>
      <c r="J37" s="16">
        <v>70</v>
      </c>
    </row>
    <row r="38" hidden="1" spans="1:10">
      <c r="A38" s="14">
        <v>46178</v>
      </c>
      <c r="B38" s="5" t="s">
        <v>2</v>
      </c>
      <c r="C38" s="15">
        <v>1609664</v>
      </c>
      <c r="D38" s="15" t="s">
        <v>21</v>
      </c>
      <c r="E38" s="15" t="s">
        <v>25</v>
      </c>
      <c r="F38" s="6">
        <v>20009154</v>
      </c>
      <c r="G38" s="15" t="s">
        <v>36</v>
      </c>
      <c r="H38" s="6">
        <v>1</v>
      </c>
      <c r="I38" s="16">
        <v>8</v>
      </c>
      <c r="J38" s="16">
        <v>8</v>
      </c>
    </row>
    <row r="39" hidden="1" spans="1:10">
      <c r="A39" s="14">
        <v>46178</v>
      </c>
      <c r="B39" s="5" t="s">
        <v>2</v>
      </c>
      <c r="C39" s="15">
        <v>1609664</v>
      </c>
      <c r="D39" s="15" t="s">
        <v>21</v>
      </c>
      <c r="E39" s="15" t="s">
        <v>28</v>
      </c>
      <c r="F39" s="6">
        <v>20012999</v>
      </c>
      <c r="G39" s="15" t="s">
        <v>29</v>
      </c>
      <c r="H39" s="6">
        <v>1</v>
      </c>
      <c r="I39" s="16">
        <v>16.5</v>
      </c>
      <c r="J39" s="16">
        <v>16.5</v>
      </c>
    </row>
    <row r="40" hidden="1" spans="1:10">
      <c r="A40" s="14">
        <v>46181</v>
      </c>
      <c r="B40" s="5" t="s">
        <v>2</v>
      </c>
      <c r="C40" s="15">
        <v>1610252</v>
      </c>
      <c r="D40" s="15" t="s">
        <v>21</v>
      </c>
      <c r="E40" s="15" t="s">
        <v>28</v>
      </c>
      <c r="F40" s="6">
        <v>20012999</v>
      </c>
      <c r="G40" s="15" t="s">
        <v>29</v>
      </c>
      <c r="H40" s="6">
        <v>1</v>
      </c>
      <c r="I40" s="16">
        <v>16.5</v>
      </c>
      <c r="J40" s="16">
        <v>16.5</v>
      </c>
    </row>
    <row r="41" hidden="1" spans="1:10">
      <c r="A41" s="14">
        <v>46182</v>
      </c>
      <c r="B41" s="5" t="s">
        <v>2</v>
      </c>
      <c r="C41" s="15">
        <v>1610457</v>
      </c>
      <c r="D41" s="15" t="s">
        <v>21</v>
      </c>
      <c r="E41" s="15" t="s">
        <v>22</v>
      </c>
      <c r="F41" s="6">
        <v>20357819</v>
      </c>
      <c r="G41" s="15" t="s">
        <v>37</v>
      </c>
      <c r="H41" s="6">
        <v>1</v>
      </c>
      <c r="I41" s="16">
        <v>22</v>
      </c>
      <c r="J41" s="16">
        <v>22</v>
      </c>
    </row>
    <row r="42" hidden="1" spans="1:10">
      <c r="A42" s="14">
        <v>46183</v>
      </c>
      <c r="B42" s="5" t="s">
        <v>2</v>
      </c>
      <c r="C42" s="15">
        <v>1611038</v>
      </c>
      <c r="D42" s="15" t="s">
        <v>21</v>
      </c>
      <c r="E42" s="15" t="s">
        <v>25</v>
      </c>
      <c r="F42" s="6">
        <v>20006093</v>
      </c>
      <c r="G42" s="15" t="s">
        <v>32</v>
      </c>
      <c r="H42" s="6">
        <v>1</v>
      </c>
      <c r="I42" s="16">
        <v>8</v>
      </c>
      <c r="J42" s="16">
        <v>8</v>
      </c>
    </row>
    <row r="43" hidden="1" spans="1:10">
      <c r="A43" s="14">
        <v>46184</v>
      </c>
      <c r="B43" s="5" t="s">
        <v>2</v>
      </c>
      <c r="C43" s="15">
        <v>1611202</v>
      </c>
      <c r="D43" s="15" t="s">
        <v>21</v>
      </c>
      <c r="E43" s="15" t="s">
        <v>22</v>
      </c>
      <c r="F43" s="6">
        <v>20344020</v>
      </c>
      <c r="G43" s="15" t="s">
        <v>30</v>
      </c>
      <c r="H43" s="6">
        <v>1</v>
      </c>
      <c r="I43" s="16">
        <v>25</v>
      </c>
      <c r="J43" s="16">
        <v>25</v>
      </c>
    </row>
    <row r="44" hidden="1" spans="1:10">
      <c r="A44" s="14">
        <v>46184</v>
      </c>
      <c r="B44" s="5" t="s">
        <v>2</v>
      </c>
      <c r="C44" s="15">
        <v>1611202</v>
      </c>
      <c r="D44" s="15" t="s">
        <v>21</v>
      </c>
      <c r="E44" s="15" t="s">
        <v>22</v>
      </c>
      <c r="F44" s="6">
        <v>20303908</v>
      </c>
      <c r="G44" s="15" t="s">
        <v>35</v>
      </c>
      <c r="H44" s="6">
        <v>1</v>
      </c>
      <c r="I44" s="16">
        <v>25</v>
      </c>
      <c r="J44" s="16">
        <v>25</v>
      </c>
    </row>
    <row r="45" hidden="1" spans="1:10">
      <c r="A45" s="14">
        <v>46184</v>
      </c>
      <c r="B45" s="5" t="s">
        <v>2</v>
      </c>
      <c r="C45" s="15">
        <v>1611202</v>
      </c>
      <c r="D45" s="15" t="s">
        <v>21</v>
      </c>
      <c r="E45" s="15" t="s">
        <v>22</v>
      </c>
      <c r="F45" s="6">
        <v>20347730</v>
      </c>
      <c r="G45" s="15" t="s">
        <v>31</v>
      </c>
      <c r="H45" s="6">
        <v>1</v>
      </c>
      <c r="I45" s="16">
        <v>44</v>
      </c>
      <c r="J45" s="16">
        <v>44</v>
      </c>
    </row>
    <row r="46" hidden="1" spans="1:10">
      <c r="A46" s="14">
        <v>46184</v>
      </c>
      <c r="B46" s="5" t="s">
        <v>2</v>
      </c>
      <c r="C46" s="15">
        <v>1611415</v>
      </c>
      <c r="D46" s="15" t="s">
        <v>21</v>
      </c>
      <c r="E46" s="15" t="s">
        <v>28</v>
      </c>
      <c r="F46" s="6">
        <v>20377625</v>
      </c>
      <c r="G46" s="15" t="s">
        <v>38</v>
      </c>
      <c r="H46" s="6">
        <v>1</v>
      </c>
      <c r="I46" s="16">
        <v>16.5</v>
      </c>
      <c r="J46" s="16">
        <v>16.5</v>
      </c>
    </row>
    <row r="47" hidden="1" spans="1:10">
      <c r="A47" s="14">
        <v>46190</v>
      </c>
      <c r="B47" s="5" t="s">
        <v>2</v>
      </c>
      <c r="C47" s="15">
        <v>1613087</v>
      </c>
      <c r="D47" s="15" t="s">
        <v>21</v>
      </c>
      <c r="E47" s="15" t="s">
        <v>28</v>
      </c>
      <c r="F47" s="6">
        <v>20012999</v>
      </c>
      <c r="G47" s="15" t="s">
        <v>29</v>
      </c>
      <c r="H47" s="6">
        <v>1</v>
      </c>
      <c r="I47" s="16">
        <v>16.5</v>
      </c>
      <c r="J47" s="16">
        <v>16.5</v>
      </c>
    </row>
    <row r="48" hidden="1" spans="1:10">
      <c r="A48" s="14">
        <v>46191</v>
      </c>
      <c r="B48" s="5" t="s">
        <v>2</v>
      </c>
      <c r="C48" s="15">
        <v>1613442</v>
      </c>
      <c r="D48" s="15" t="s">
        <v>21</v>
      </c>
      <c r="E48" s="15" t="s">
        <v>28</v>
      </c>
      <c r="F48" s="6">
        <v>20012999</v>
      </c>
      <c r="G48" s="15" t="s">
        <v>29</v>
      </c>
      <c r="H48" s="6">
        <v>1</v>
      </c>
      <c r="I48" s="16">
        <v>16.5</v>
      </c>
      <c r="J48" s="16">
        <v>16.5</v>
      </c>
    </row>
    <row r="49" hidden="1" spans="1:10">
      <c r="A49" s="14">
        <v>46195</v>
      </c>
      <c r="B49" s="5" t="s">
        <v>2</v>
      </c>
      <c r="C49" s="15">
        <v>1614016</v>
      </c>
      <c r="D49" s="15" t="s">
        <v>21</v>
      </c>
      <c r="E49" s="15" t="s">
        <v>25</v>
      </c>
      <c r="F49" s="6">
        <v>20009154</v>
      </c>
      <c r="G49" s="15" t="s">
        <v>36</v>
      </c>
      <c r="H49" s="6">
        <v>1</v>
      </c>
      <c r="I49" s="16">
        <v>8</v>
      </c>
      <c r="J49" s="16">
        <v>8</v>
      </c>
    </row>
    <row r="50" hidden="1" spans="1:10">
      <c r="A50" s="14">
        <v>46195</v>
      </c>
      <c r="B50" s="5" t="s">
        <v>2</v>
      </c>
      <c r="C50" s="15">
        <v>1614016</v>
      </c>
      <c r="D50" s="15" t="s">
        <v>21</v>
      </c>
      <c r="E50" s="15" t="s">
        <v>25</v>
      </c>
      <c r="F50" s="6">
        <v>20349077</v>
      </c>
      <c r="G50" s="15" t="s">
        <v>39</v>
      </c>
      <c r="H50" s="6">
        <v>1</v>
      </c>
      <c r="I50" s="16">
        <v>13</v>
      </c>
      <c r="J50" s="16">
        <v>13</v>
      </c>
    </row>
    <row r="51" hidden="1" spans="1:10">
      <c r="A51" s="14">
        <v>46195</v>
      </c>
      <c r="B51" s="5" t="s">
        <v>2</v>
      </c>
      <c r="C51" s="15">
        <v>1614016</v>
      </c>
      <c r="D51" s="15" t="s">
        <v>21</v>
      </c>
      <c r="E51" s="15" t="s">
        <v>28</v>
      </c>
      <c r="F51" s="6">
        <v>20012999</v>
      </c>
      <c r="G51" s="15" t="s">
        <v>29</v>
      </c>
      <c r="H51" s="6">
        <v>1</v>
      </c>
      <c r="I51" s="16">
        <v>16.5</v>
      </c>
      <c r="J51" s="16">
        <v>16.5</v>
      </c>
    </row>
    <row r="52" hidden="1" spans="1:10">
      <c r="A52" s="14">
        <v>46196</v>
      </c>
      <c r="B52" s="5" t="s">
        <v>2</v>
      </c>
      <c r="C52" s="15">
        <v>1614216</v>
      </c>
      <c r="D52" s="15" t="s">
        <v>21</v>
      </c>
      <c r="E52" s="15" t="s">
        <v>22</v>
      </c>
      <c r="F52" s="6">
        <v>20344020</v>
      </c>
      <c r="G52" s="15" t="s">
        <v>30</v>
      </c>
      <c r="H52" s="6">
        <v>1</v>
      </c>
      <c r="I52" s="16">
        <v>25</v>
      </c>
      <c r="J52" s="16">
        <v>25</v>
      </c>
    </row>
    <row r="53" hidden="1" spans="1:10">
      <c r="A53" s="14">
        <v>46196</v>
      </c>
      <c r="B53" s="5" t="s">
        <v>2</v>
      </c>
      <c r="C53" s="15">
        <v>1614216</v>
      </c>
      <c r="D53" s="15" t="s">
        <v>21</v>
      </c>
      <c r="E53" s="15" t="s">
        <v>22</v>
      </c>
      <c r="F53" s="6">
        <v>20303908</v>
      </c>
      <c r="G53" s="15" t="s">
        <v>35</v>
      </c>
      <c r="H53" s="6">
        <v>1</v>
      </c>
      <c r="I53" s="16">
        <v>25</v>
      </c>
      <c r="J53" s="16">
        <v>25</v>
      </c>
    </row>
    <row r="54" hidden="1" spans="1:10">
      <c r="A54" s="14">
        <v>46196</v>
      </c>
      <c r="B54" s="5" t="s">
        <v>2</v>
      </c>
      <c r="C54" s="15">
        <v>1614216</v>
      </c>
      <c r="D54" s="15" t="s">
        <v>21</v>
      </c>
      <c r="E54" s="15" t="s">
        <v>22</v>
      </c>
      <c r="F54" s="6">
        <v>20347730</v>
      </c>
      <c r="G54" s="15" t="s">
        <v>31</v>
      </c>
      <c r="H54" s="6">
        <v>1</v>
      </c>
      <c r="I54" s="16">
        <v>44</v>
      </c>
      <c r="J54" s="16">
        <v>44</v>
      </c>
    </row>
    <row r="55" hidden="1" spans="1:10">
      <c r="A55" s="14">
        <v>46196</v>
      </c>
      <c r="B55" s="5" t="s">
        <v>2</v>
      </c>
      <c r="C55" s="15">
        <v>1614432</v>
      </c>
      <c r="D55" s="15" t="s">
        <v>21</v>
      </c>
      <c r="E55" s="15" t="s">
        <v>25</v>
      </c>
      <c r="F55" s="6">
        <v>20007872</v>
      </c>
      <c r="G55" s="15" t="s">
        <v>40</v>
      </c>
      <c r="H55" s="6">
        <v>1</v>
      </c>
      <c r="I55" s="16">
        <v>16.5</v>
      </c>
      <c r="J55" s="16">
        <v>16.5</v>
      </c>
    </row>
    <row r="56" hidden="1" spans="1:10">
      <c r="A56" s="14">
        <v>46196</v>
      </c>
      <c r="B56" s="5" t="s">
        <v>2</v>
      </c>
      <c r="C56" s="15">
        <v>1614435</v>
      </c>
      <c r="D56" s="15" t="s">
        <v>21</v>
      </c>
      <c r="E56" s="15" t="s">
        <v>25</v>
      </c>
      <c r="F56" s="6">
        <v>20009172</v>
      </c>
      <c r="G56" s="15" t="s">
        <v>41</v>
      </c>
      <c r="H56" s="6">
        <v>1</v>
      </c>
      <c r="I56" s="16">
        <v>16.5</v>
      </c>
      <c r="J56" s="16">
        <v>16.5</v>
      </c>
    </row>
    <row r="57" hidden="1" spans="1:10">
      <c r="A57" s="14">
        <v>46197</v>
      </c>
      <c r="B57" s="5" t="s">
        <v>2</v>
      </c>
      <c r="C57" s="15">
        <v>1614782</v>
      </c>
      <c r="D57" s="15" t="s">
        <v>21</v>
      </c>
      <c r="E57" s="15" t="s">
        <v>25</v>
      </c>
      <c r="F57" s="6">
        <v>20009154</v>
      </c>
      <c r="G57" s="15" t="s">
        <v>36</v>
      </c>
      <c r="H57" s="6">
        <v>1</v>
      </c>
      <c r="I57" s="16">
        <v>8</v>
      </c>
      <c r="J57" s="16">
        <v>8</v>
      </c>
    </row>
    <row r="58" hidden="1" spans="1:10">
      <c r="A58" s="14">
        <v>46197</v>
      </c>
      <c r="B58" s="5" t="s">
        <v>2</v>
      </c>
      <c r="C58" s="15">
        <v>1614782</v>
      </c>
      <c r="D58" s="15" t="s">
        <v>21</v>
      </c>
      <c r="E58" s="15" t="s">
        <v>25</v>
      </c>
      <c r="F58" s="6">
        <v>20009155</v>
      </c>
      <c r="G58" s="15" t="s">
        <v>42</v>
      </c>
      <c r="H58" s="6">
        <v>1</v>
      </c>
      <c r="I58" s="16">
        <v>8</v>
      </c>
      <c r="J58" s="16">
        <v>8</v>
      </c>
    </row>
    <row r="59" hidden="1" spans="1:10">
      <c r="A59" s="14">
        <v>46198</v>
      </c>
      <c r="B59" s="5" t="s">
        <v>2</v>
      </c>
      <c r="C59" s="15">
        <v>1614964</v>
      </c>
      <c r="D59" s="15" t="s">
        <v>21</v>
      </c>
      <c r="E59" s="15" t="s">
        <v>22</v>
      </c>
      <c r="F59" s="6">
        <v>20303908</v>
      </c>
      <c r="G59" s="15" t="s">
        <v>35</v>
      </c>
      <c r="H59" s="6">
        <v>1</v>
      </c>
      <c r="I59" s="16">
        <v>25</v>
      </c>
      <c r="J59" s="16">
        <v>25</v>
      </c>
    </row>
    <row r="60" hidden="1" spans="1:10">
      <c r="A60" s="14">
        <v>46198</v>
      </c>
      <c r="B60" s="5" t="s">
        <v>2</v>
      </c>
      <c r="C60" s="15">
        <v>1614964</v>
      </c>
      <c r="D60" s="15" t="s">
        <v>21</v>
      </c>
      <c r="E60" s="15" t="s">
        <v>22</v>
      </c>
      <c r="F60" s="6">
        <v>20007874</v>
      </c>
      <c r="G60" s="15" t="s">
        <v>33</v>
      </c>
      <c r="H60" s="6">
        <v>1</v>
      </c>
      <c r="I60" s="16">
        <v>35</v>
      </c>
      <c r="J60" s="16">
        <v>35</v>
      </c>
    </row>
    <row r="61" spans="1:10">
      <c r="A61" s="14">
        <v>46198</v>
      </c>
      <c r="B61" s="5" t="s">
        <v>2</v>
      </c>
      <c r="C61" s="15">
        <v>1615149</v>
      </c>
      <c r="D61" s="15" t="s">
        <v>14</v>
      </c>
      <c r="E61" s="15" t="s">
        <v>15</v>
      </c>
      <c r="F61" s="6">
        <v>20009044</v>
      </c>
      <c r="G61" s="15" t="s">
        <v>43</v>
      </c>
      <c r="H61" s="6">
        <v>1</v>
      </c>
      <c r="I61" s="16">
        <v>115.5</v>
      </c>
      <c r="J61" s="16">
        <v>115.5</v>
      </c>
    </row>
    <row r="62" hidden="1" spans="1:10">
      <c r="A62" s="14">
        <v>46198</v>
      </c>
      <c r="B62" s="5" t="s">
        <v>2</v>
      </c>
      <c r="C62" s="15">
        <v>1615149</v>
      </c>
      <c r="D62" s="15" t="s">
        <v>21</v>
      </c>
      <c r="E62" s="15" t="s">
        <v>28</v>
      </c>
      <c r="F62" s="6">
        <v>20012999</v>
      </c>
      <c r="G62" s="15" t="s">
        <v>29</v>
      </c>
      <c r="H62" s="6">
        <v>1</v>
      </c>
      <c r="I62" s="16">
        <v>16.5</v>
      </c>
      <c r="J62" s="16">
        <v>16.5</v>
      </c>
    </row>
    <row r="63" hidden="1" spans="1:10">
      <c r="A63" s="18" t="s">
        <v>2</v>
      </c>
      <c r="C63" s="18" t="s">
        <v>2</v>
      </c>
      <c r="D63" s="18" t="s">
        <v>2</v>
      </c>
      <c r="E63" s="18" t="s">
        <v>2</v>
      </c>
      <c r="F63" s="19" t="s">
        <v>2</v>
      </c>
      <c r="G63" s="18" t="s">
        <v>2</v>
      </c>
      <c r="H63" s="18" t="s">
        <v>2</v>
      </c>
      <c r="I63" s="18" t="s">
        <v>2</v>
      </c>
      <c r="J63" s="18" t="s">
        <v>2</v>
      </c>
    </row>
    <row r="64" ht="14.25" hidden="1" spans="1:10">
      <c r="A64" s="11" t="s">
        <v>44</v>
      </c>
      <c r="B64" s="8" t="s">
        <v>2</v>
      </c>
      <c r="C64" s="8" t="s">
        <v>2</v>
      </c>
      <c r="D64" s="8" t="s">
        <v>2</v>
      </c>
      <c r="E64" s="8" t="s">
        <v>2</v>
      </c>
      <c r="F64" s="8" t="s">
        <v>2</v>
      </c>
      <c r="G64" s="8" t="s">
        <v>2</v>
      </c>
      <c r="H64" s="12">
        <v>51</v>
      </c>
      <c r="I64" s="13"/>
      <c r="J64" s="13">
        <v>1581</v>
      </c>
    </row>
    <row r="65" spans="1:10">
      <c r="A65" s="14">
        <v>46168</v>
      </c>
      <c r="B65" s="5" t="s">
        <v>2</v>
      </c>
      <c r="C65" s="15">
        <v>1606491</v>
      </c>
      <c r="D65" s="15" t="s">
        <v>14</v>
      </c>
      <c r="E65" s="15" t="s">
        <v>14</v>
      </c>
      <c r="F65" s="6">
        <v>20009194</v>
      </c>
      <c r="G65" s="15" t="s">
        <v>24</v>
      </c>
      <c r="H65" s="6">
        <v>1</v>
      </c>
      <c r="I65" s="16">
        <v>60.5</v>
      </c>
      <c r="J65" s="16">
        <v>60.5</v>
      </c>
    </row>
    <row r="66" hidden="1" spans="1:10">
      <c r="A66" s="14">
        <v>46168</v>
      </c>
      <c r="B66" s="5" t="s">
        <v>2</v>
      </c>
      <c r="C66" s="15">
        <v>1606491</v>
      </c>
      <c r="D66" s="15" t="s">
        <v>21</v>
      </c>
      <c r="E66" s="15" t="s">
        <v>25</v>
      </c>
      <c r="F66" s="6">
        <v>20009250</v>
      </c>
      <c r="G66" s="15" t="s">
        <v>45</v>
      </c>
      <c r="H66" s="6">
        <v>1</v>
      </c>
      <c r="I66" s="16">
        <v>11</v>
      </c>
      <c r="J66" s="16">
        <v>11</v>
      </c>
    </row>
    <row r="67" hidden="1" spans="1:10">
      <c r="A67" s="14">
        <v>46168</v>
      </c>
      <c r="B67" s="5" t="s">
        <v>2</v>
      </c>
      <c r="C67" s="15">
        <v>1606491</v>
      </c>
      <c r="D67" s="15" t="s">
        <v>21</v>
      </c>
      <c r="E67" s="15" t="s">
        <v>25</v>
      </c>
      <c r="F67" s="6">
        <v>20324187</v>
      </c>
      <c r="G67" s="15" t="s">
        <v>46</v>
      </c>
      <c r="H67" s="6">
        <v>1</v>
      </c>
      <c r="I67" s="16">
        <v>8</v>
      </c>
      <c r="J67" s="16">
        <v>8</v>
      </c>
    </row>
    <row r="68" hidden="1" spans="1:10">
      <c r="A68" s="14">
        <v>46168</v>
      </c>
      <c r="B68" s="5" t="s">
        <v>2</v>
      </c>
      <c r="C68" s="15">
        <v>1606491</v>
      </c>
      <c r="D68" s="15" t="s">
        <v>21</v>
      </c>
      <c r="E68" s="15" t="s">
        <v>25</v>
      </c>
      <c r="F68" s="6">
        <v>20009320</v>
      </c>
      <c r="G68" s="15" t="s">
        <v>47</v>
      </c>
      <c r="H68" s="6">
        <v>1</v>
      </c>
      <c r="I68" s="16">
        <v>11</v>
      </c>
      <c r="J68" s="16">
        <v>11</v>
      </c>
    </row>
    <row r="69" hidden="1" spans="1:10">
      <c r="A69" s="14">
        <v>46168</v>
      </c>
      <c r="B69" s="5" t="s">
        <v>2</v>
      </c>
      <c r="C69" s="15">
        <v>1606491</v>
      </c>
      <c r="D69" s="15" t="s">
        <v>21</v>
      </c>
      <c r="E69" s="15" t="s">
        <v>25</v>
      </c>
      <c r="F69" s="6">
        <v>20002914</v>
      </c>
      <c r="G69" s="15" t="s">
        <v>48</v>
      </c>
      <c r="H69" s="6">
        <v>1</v>
      </c>
      <c r="I69" s="16">
        <v>11</v>
      </c>
      <c r="J69" s="16">
        <v>11</v>
      </c>
    </row>
    <row r="70" hidden="1" spans="1:10">
      <c r="A70" s="14">
        <v>46168</v>
      </c>
      <c r="B70" s="5" t="s">
        <v>2</v>
      </c>
      <c r="C70" s="15">
        <v>1606491</v>
      </c>
      <c r="D70" s="15" t="s">
        <v>21</v>
      </c>
      <c r="E70" s="15" t="s">
        <v>25</v>
      </c>
      <c r="F70" s="6">
        <v>20009155</v>
      </c>
      <c r="G70" s="15" t="s">
        <v>42</v>
      </c>
      <c r="H70" s="6">
        <v>1</v>
      </c>
      <c r="I70" s="16">
        <v>8</v>
      </c>
      <c r="J70" s="16">
        <v>8</v>
      </c>
    </row>
    <row r="71" spans="1:10">
      <c r="A71" s="14">
        <v>46169</v>
      </c>
      <c r="B71" s="5" t="s">
        <v>2</v>
      </c>
      <c r="C71" s="15">
        <v>1606884</v>
      </c>
      <c r="D71" s="15" t="s">
        <v>14</v>
      </c>
      <c r="E71" s="15" t="s">
        <v>15</v>
      </c>
      <c r="F71" s="6">
        <v>20009198</v>
      </c>
      <c r="G71" s="15" t="s">
        <v>49</v>
      </c>
      <c r="H71" s="6">
        <v>1</v>
      </c>
      <c r="I71" s="16">
        <v>44</v>
      </c>
      <c r="J71" s="16">
        <v>44</v>
      </c>
    </row>
    <row r="72" spans="1:10">
      <c r="A72" s="14">
        <v>46170</v>
      </c>
      <c r="B72" s="5" t="s">
        <v>2</v>
      </c>
      <c r="C72" s="15">
        <v>1607252</v>
      </c>
      <c r="D72" s="15" t="s">
        <v>14</v>
      </c>
      <c r="E72" s="15" t="s">
        <v>14</v>
      </c>
      <c r="F72" s="6">
        <v>20009194</v>
      </c>
      <c r="G72" s="15" t="s">
        <v>24</v>
      </c>
      <c r="H72" s="6">
        <v>1</v>
      </c>
      <c r="I72" s="16">
        <v>60.5</v>
      </c>
      <c r="J72" s="16">
        <v>60.5</v>
      </c>
    </row>
    <row r="73" hidden="1" spans="1:10">
      <c r="A73" s="14">
        <v>46170</v>
      </c>
      <c r="B73" s="5" t="s">
        <v>2</v>
      </c>
      <c r="C73" s="15">
        <v>1607252</v>
      </c>
      <c r="D73" s="15" t="s">
        <v>21</v>
      </c>
      <c r="E73" s="15" t="s">
        <v>25</v>
      </c>
      <c r="F73" s="6">
        <v>20413471</v>
      </c>
      <c r="G73" s="15" t="s">
        <v>50</v>
      </c>
      <c r="H73" s="6">
        <v>1</v>
      </c>
      <c r="I73" s="16">
        <v>16.5</v>
      </c>
      <c r="J73" s="16">
        <v>16.5</v>
      </c>
    </row>
    <row r="74" hidden="1" spans="1:10">
      <c r="A74" s="14">
        <v>46170</v>
      </c>
      <c r="B74" s="5" t="s">
        <v>2</v>
      </c>
      <c r="C74" s="15">
        <v>1607252</v>
      </c>
      <c r="D74" s="15" t="s">
        <v>21</v>
      </c>
      <c r="E74" s="15" t="s">
        <v>25</v>
      </c>
      <c r="F74" s="6">
        <v>20006093</v>
      </c>
      <c r="G74" s="15" t="s">
        <v>32</v>
      </c>
      <c r="H74" s="6">
        <v>1</v>
      </c>
      <c r="I74" s="16">
        <v>8</v>
      </c>
      <c r="J74" s="16">
        <v>8</v>
      </c>
    </row>
    <row r="75" spans="1:10">
      <c r="A75" s="14">
        <v>46170</v>
      </c>
      <c r="B75" s="5" t="s">
        <v>2</v>
      </c>
      <c r="C75" s="15">
        <v>1607252</v>
      </c>
      <c r="D75" s="15" t="s">
        <v>14</v>
      </c>
      <c r="E75" s="15" t="s">
        <v>15</v>
      </c>
      <c r="F75" s="6">
        <v>20009195</v>
      </c>
      <c r="G75" s="15" t="s">
        <v>51</v>
      </c>
      <c r="H75" s="6">
        <v>3</v>
      </c>
      <c r="I75" s="16">
        <v>49.5</v>
      </c>
      <c r="J75" s="16">
        <v>148.5</v>
      </c>
    </row>
    <row r="76" hidden="1" spans="1:10">
      <c r="A76" s="14">
        <v>46171</v>
      </c>
      <c r="B76" s="5" t="s">
        <v>2</v>
      </c>
      <c r="C76" s="15">
        <v>1607604</v>
      </c>
      <c r="D76" s="15" t="s">
        <v>21</v>
      </c>
      <c r="E76" s="15" t="s">
        <v>25</v>
      </c>
      <c r="F76" s="6">
        <v>20324187</v>
      </c>
      <c r="G76" s="15" t="s">
        <v>46</v>
      </c>
      <c r="H76" s="6">
        <v>1</v>
      </c>
      <c r="I76" s="16">
        <v>8</v>
      </c>
      <c r="J76" s="16">
        <v>8</v>
      </c>
    </row>
    <row r="77" spans="1:10">
      <c r="A77" s="14">
        <v>46171</v>
      </c>
      <c r="B77" s="5" t="s">
        <v>2</v>
      </c>
      <c r="C77" s="15">
        <v>1607604</v>
      </c>
      <c r="D77" s="15" t="s">
        <v>14</v>
      </c>
      <c r="E77" s="15" t="s">
        <v>15</v>
      </c>
      <c r="F77" s="6">
        <v>20009195</v>
      </c>
      <c r="G77" s="15" t="s">
        <v>51</v>
      </c>
      <c r="H77" s="6">
        <v>1</v>
      </c>
      <c r="I77" s="16">
        <v>49.5</v>
      </c>
      <c r="J77" s="16">
        <v>49.5</v>
      </c>
    </row>
    <row r="78" spans="1:10">
      <c r="A78" s="14">
        <v>46174</v>
      </c>
      <c r="B78" s="5" t="s">
        <v>2</v>
      </c>
      <c r="C78" s="15">
        <v>1608156</v>
      </c>
      <c r="D78" s="15" t="s">
        <v>14</v>
      </c>
      <c r="E78" s="15" t="s">
        <v>15</v>
      </c>
      <c r="F78" s="6">
        <v>20009195</v>
      </c>
      <c r="G78" s="15" t="s">
        <v>51</v>
      </c>
      <c r="H78" s="6">
        <v>1</v>
      </c>
      <c r="I78" s="16">
        <v>49.5</v>
      </c>
      <c r="J78" s="16">
        <v>49.5</v>
      </c>
    </row>
    <row r="79" hidden="1" spans="1:10">
      <c r="A79" s="14">
        <v>46175</v>
      </c>
      <c r="B79" s="5" t="s">
        <v>2</v>
      </c>
      <c r="C79" s="15">
        <v>1608588</v>
      </c>
      <c r="D79" s="15" t="s">
        <v>21</v>
      </c>
      <c r="E79" s="15" t="s">
        <v>25</v>
      </c>
      <c r="F79" s="6">
        <v>20009250</v>
      </c>
      <c r="G79" s="15" t="s">
        <v>45</v>
      </c>
      <c r="H79" s="6">
        <v>1</v>
      </c>
      <c r="I79" s="16">
        <v>11</v>
      </c>
      <c r="J79" s="16">
        <v>11</v>
      </c>
    </row>
    <row r="80" hidden="1" spans="1:10">
      <c r="A80" s="14">
        <v>46175</v>
      </c>
      <c r="B80" s="5" t="s">
        <v>2</v>
      </c>
      <c r="C80" s="15">
        <v>1608588</v>
      </c>
      <c r="D80" s="15" t="s">
        <v>21</v>
      </c>
      <c r="E80" s="15" t="s">
        <v>25</v>
      </c>
      <c r="F80" s="6">
        <v>20009320</v>
      </c>
      <c r="G80" s="15" t="s">
        <v>47</v>
      </c>
      <c r="H80" s="6">
        <v>1</v>
      </c>
      <c r="I80" s="16">
        <v>11</v>
      </c>
      <c r="J80" s="16">
        <v>11</v>
      </c>
    </row>
    <row r="81" spans="1:10">
      <c r="A81" s="14">
        <v>46175</v>
      </c>
      <c r="B81" s="5" t="s">
        <v>2</v>
      </c>
      <c r="C81" s="15">
        <v>1608588</v>
      </c>
      <c r="D81" s="15" t="s">
        <v>14</v>
      </c>
      <c r="E81" s="15" t="s">
        <v>15</v>
      </c>
      <c r="F81" s="6">
        <v>20009195</v>
      </c>
      <c r="G81" s="15" t="s">
        <v>51</v>
      </c>
      <c r="H81" s="6">
        <v>1</v>
      </c>
      <c r="I81" s="16">
        <v>49.5</v>
      </c>
      <c r="J81" s="16">
        <v>49.5</v>
      </c>
    </row>
    <row r="82" spans="1:10">
      <c r="A82" s="14">
        <v>46178</v>
      </c>
      <c r="B82" s="5" t="s">
        <v>2</v>
      </c>
      <c r="C82" s="15">
        <v>1609665</v>
      </c>
      <c r="D82" s="15" t="s">
        <v>14</v>
      </c>
      <c r="E82" s="15" t="s">
        <v>15</v>
      </c>
      <c r="F82" s="6">
        <v>20009195</v>
      </c>
      <c r="G82" s="15" t="s">
        <v>51</v>
      </c>
      <c r="H82" s="6">
        <v>2</v>
      </c>
      <c r="I82" s="16">
        <v>49.5</v>
      </c>
      <c r="J82" s="16">
        <v>99</v>
      </c>
    </row>
    <row r="83" spans="1:10">
      <c r="A83" s="14">
        <v>46182</v>
      </c>
      <c r="B83" s="5" t="s">
        <v>2</v>
      </c>
      <c r="C83" s="15">
        <v>1610680</v>
      </c>
      <c r="D83" s="15" t="s">
        <v>14</v>
      </c>
      <c r="E83" s="15" t="s">
        <v>14</v>
      </c>
      <c r="F83" s="6">
        <v>20009194</v>
      </c>
      <c r="G83" s="15" t="s">
        <v>24</v>
      </c>
      <c r="H83" s="6">
        <v>1</v>
      </c>
      <c r="I83" s="16">
        <v>60.5</v>
      </c>
      <c r="J83" s="16">
        <v>60.5</v>
      </c>
    </row>
    <row r="84" hidden="1" spans="1:10">
      <c r="A84" s="14">
        <v>46182</v>
      </c>
      <c r="B84" s="5" t="s">
        <v>2</v>
      </c>
      <c r="C84" s="15">
        <v>1610680</v>
      </c>
      <c r="D84" s="15" t="s">
        <v>21</v>
      </c>
      <c r="E84" s="15" t="s">
        <v>25</v>
      </c>
      <c r="F84" s="6">
        <v>20009250</v>
      </c>
      <c r="G84" s="15" t="s">
        <v>52</v>
      </c>
      <c r="H84" s="6">
        <v>1</v>
      </c>
      <c r="I84" s="16">
        <v>11</v>
      </c>
      <c r="J84" s="16">
        <v>11</v>
      </c>
    </row>
    <row r="85" hidden="1" spans="1:10">
      <c r="A85" s="14">
        <v>46182</v>
      </c>
      <c r="B85" s="5" t="s">
        <v>2</v>
      </c>
      <c r="C85" s="15">
        <v>1610680</v>
      </c>
      <c r="D85" s="15" t="s">
        <v>21</v>
      </c>
      <c r="E85" s="15" t="s">
        <v>25</v>
      </c>
      <c r="F85" s="6">
        <v>20009320</v>
      </c>
      <c r="G85" s="15" t="s">
        <v>47</v>
      </c>
      <c r="H85" s="6">
        <v>1</v>
      </c>
      <c r="I85" s="16">
        <v>11</v>
      </c>
      <c r="J85" s="16">
        <v>11</v>
      </c>
    </row>
    <row r="86" hidden="1" spans="1:10">
      <c r="A86" s="14">
        <v>46182</v>
      </c>
      <c r="B86" s="5" t="s">
        <v>2</v>
      </c>
      <c r="C86" s="15">
        <v>1610680</v>
      </c>
      <c r="D86" s="15" t="s">
        <v>21</v>
      </c>
      <c r="E86" s="15" t="s">
        <v>25</v>
      </c>
      <c r="F86" s="6">
        <v>20009155</v>
      </c>
      <c r="G86" s="15" t="s">
        <v>42</v>
      </c>
      <c r="H86" s="6">
        <v>1</v>
      </c>
      <c r="I86" s="16">
        <v>8</v>
      </c>
      <c r="J86" s="16">
        <v>8</v>
      </c>
    </row>
    <row r="87" spans="1:10">
      <c r="A87" s="14">
        <v>46182</v>
      </c>
      <c r="B87" s="5" t="s">
        <v>2</v>
      </c>
      <c r="C87" s="15">
        <v>1610680</v>
      </c>
      <c r="D87" s="15" t="s">
        <v>14</v>
      </c>
      <c r="E87" s="15" t="s">
        <v>15</v>
      </c>
      <c r="F87" s="6">
        <v>20009195</v>
      </c>
      <c r="G87" s="15" t="s">
        <v>51</v>
      </c>
      <c r="H87" s="6">
        <v>2</v>
      </c>
      <c r="I87" s="16">
        <v>49.5</v>
      </c>
      <c r="J87" s="16">
        <v>99</v>
      </c>
    </row>
    <row r="88" hidden="1" spans="1:10">
      <c r="A88" s="14">
        <v>46182</v>
      </c>
      <c r="B88" s="5" t="s">
        <v>2</v>
      </c>
      <c r="C88" s="15">
        <v>1610693</v>
      </c>
      <c r="D88" s="15" t="s">
        <v>21</v>
      </c>
      <c r="E88" s="15" t="s">
        <v>25</v>
      </c>
      <c r="F88" s="6">
        <v>20324187</v>
      </c>
      <c r="G88" s="15" t="s">
        <v>46</v>
      </c>
      <c r="H88" s="6">
        <v>1</v>
      </c>
      <c r="I88" s="16">
        <v>8</v>
      </c>
      <c r="J88" s="16">
        <v>8</v>
      </c>
    </row>
    <row r="89" spans="1:10">
      <c r="A89" s="14">
        <v>46183</v>
      </c>
      <c r="B89" s="5" t="s">
        <v>2</v>
      </c>
      <c r="C89" s="15">
        <v>1611039</v>
      </c>
      <c r="D89" s="15" t="s">
        <v>14</v>
      </c>
      <c r="E89" s="15" t="s">
        <v>15</v>
      </c>
      <c r="F89" s="6">
        <v>20009195</v>
      </c>
      <c r="G89" s="15" t="s">
        <v>51</v>
      </c>
      <c r="H89" s="6">
        <v>1</v>
      </c>
      <c r="I89" s="16">
        <v>49.5</v>
      </c>
      <c r="J89" s="16">
        <v>49.5</v>
      </c>
    </row>
    <row r="90" hidden="1" spans="1:10">
      <c r="A90" s="14">
        <v>46185</v>
      </c>
      <c r="B90" s="5" t="s">
        <v>2</v>
      </c>
      <c r="C90" s="15">
        <v>1611784</v>
      </c>
      <c r="D90" s="15" t="s">
        <v>21</v>
      </c>
      <c r="E90" s="15" t="s">
        <v>25</v>
      </c>
      <c r="F90" s="6">
        <v>20002914</v>
      </c>
      <c r="G90" s="15" t="s">
        <v>48</v>
      </c>
      <c r="H90" s="6">
        <v>1</v>
      </c>
      <c r="I90" s="16">
        <v>11</v>
      </c>
      <c r="J90" s="16">
        <v>11</v>
      </c>
    </row>
    <row r="91" hidden="1" spans="1:10">
      <c r="A91" s="14">
        <v>46185</v>
      </c>
      <c r="B91" s="5" t="s">
        <v>2</v>
      </c>
      <c r="C91" s="15">
        <v>1611784</v>
      </c>
      <c r="D91" s="15" t="s">
        <v>21</v>
      </c>
      <c r="E91" s="15" t="s">
        <v>25</v>
      </c>
      <c r="F91" s="6">
        <v>20006093</v>
      </c>
      <c r="G91" s="15" t="s">
        <v>32</v>
      </c>
      <c r="H91" s="6">
        <v>1</v>
      </c>
      <c r="I91" s="16">
        <v>8</v>
      </c>
      <c r="J91" s="16">
        <v>8</v>
      </c>
    </row>
    <row r="92" spans="1:10">
      <c r="A92" s="14">
        <v>46185</v>
      </c>
      <c r="B92" s="5" t="s">
        <v>2</v>
      </c>
      <c r="C92" s="15">
        <v>1611784</v>
      </c>
      <c r="D92" s="15" t="s">
        <v>14</v>
      </c>
      <c r="E92" s="15" t="s">
        <v>15</v>
      </c>
      <c r="F92" s="6">
        <v>20009195</v>
      </c>
      <c r="G92" s="15" t="s">
        <v>51</v>
      </c>
      <c r="H92" s="6">
        <v>2</v>
      </c>
      <c r="I92" s="16">
        <v>49.5</v>
      </c>
      <c r="J92" s="16">
        <v>99</v>
      </c>
    </row>
    <row r="93" spans="1:10">
      <c r="A93" s="14">
        <v>46190</v>
      </c>
      <c r="B93" s="5" t="s">
        <v>2</v>
      </c>
      <c r="C93" s="15">
        <v>1613088</v>
      </c>
      <c r="D93" s="15" t="s">
        <v>14</v>
      </c>
      <c r="E93" s="15" t="s">
        <v>15</v>
      </c>
      <c r="F93" s="6">
        <v>20009195</v>
      </c>
      <c r="G93" s="15" t="s">
        <v>51</v>
      </c>
      <c r="H93" s="6">
        <v>1</v>
      </c>
      <c r="I93" s="16">
        <v>49.5</v>
      </c>
      <c r="J93" s="16">
        <v>49.5</v>
      </c>
    </row>
    <row r="94" hidden="1" spans="1:10">
      <c r="A94" s="14">
        <v>46191</v>
      </c>
      <c r="B94" s="5" t="s">
        <v>2</v>
      </c>
      <c r="C94" s="15">
        <v>1613443</v>
      </c>
      <c r="D94" s="15" t="s">
        <v>21</v>
      </c>
      <c r="E94" s="15" t="s">
        <v>25</v>
      </c>
      <c r="F94" s="6">
        <v>20009256</v>
      </c>
      <c r="G94" s="15" t="s">
        <v>53</v>
      </c>
      <c r="H94" s="6">
        <v>2</v>
      </c>
      <c r="I94" s="16">
        <v>8</v>
      </c>
      <c r="J94" s="16">
        <v>16</v>
      </c>
    </row>
    <row r="95" hidden="1" spans="1:10">
      <c r="A95" s="14">
        <v>46191</v>
      </c>
      <c r="B95" s="5" t="s">
        <v>2</v>
      </c>
      <c r="C95" s="15">
        <v>1613443</v>
      </c>
      <c r="D95" s="15" t="s">
        <v>21</v>
      </c>
      <c r="E95" s="15" t="s">
        <v>25</v>
      </c>
      <c r="F95" s="6">
        <v>20002914</v>
      </c>
      <c r="G95" s="15" t="s">
        <v>48</v>
      </c>
      <c r="H95" s="6">
        <v>1</v>
      </c>
      <c r="I95" s="16">
        <v>11</v>
      </c>
      <c r="J95" s="16">
        <v>11</v>
      </c>
    </row>
    <row r="96" hidden="1" spans="1:10">
      <c r="A96" s="14">
        <v>46191</v>
      </c>
      <c r="B96" s="5" t="s">
        <v>2</v>
      </c>
      <c r="C96" s="15">
        <v>1613443</v>
      </c>
      <c r="D96" s="15" t="s">
        <v>21</v>
      </c>
      <c r="E96" s="15" t="s">
        <v>25</v>
      </c>
      <c r="F96" s="6">
        <v>20009251</v>
      </c>
      <c r="G96" s="15" t="s">
        <v>54</v>
      </c>
      <c r="H96" s="6">
        <v>1</v>
      </c>
      <c r="I96" s="16">
        <v>8</v>
      </c>
      <c r="J96" s="16">
        <v>8</v>
      </c>
    </row>
    <row r="97" spans="1:10">
      <c r="A97" s="14">
        <v>46191</v>
      </c>
      <c r="B97" s="5" t="s">
        <v>2</v>
      </c>
      <c r="C97" s="15">
        <v>1613443</v>
      </c>
      <c r="D97" s="15" t="s">
        <v>14</v>
      </c>
      <c r="E97" s="15" t="s">
        <v>15</v>
      </c>
      <c r="F97" s="6">
        <v>20009195</v>
      </c>
      <c r="G97" s="15" t="s">
        <v>51</v>
      </c>
      <c r="H97" s="6">
        <v>2</v>
      </c>
      <c r="I97" s="16">
        <v>49.5</v>
      </c>
      <c r="J97" s="16">
        <v>99</v>
      </c>
    </row>
    <row r="98" hidden="1" spans="1:10">
      <c r="A98" s="14">
        <v>46191</v>
      </c>
      <c r="B98" s="5" t="s">
        <v>2</v>
      </c>
      <c r="C98" s="15">
        <v>1613443</v>
      </c>
      <c r="D98" s="15" t="s">
        <v>21</v>
      </c>
      <c r="E98" s="15" t="s">
        <v>28</v>
      </c>
      <c r="F98" s="6">
        <v>20014776</v>
      </c>
      <c r="G98" s="15" t="s">
        <v>55</v>
      </c>
      <c r="H98" s="6">
        <v>1</v>
      </c>
      <c r="I98" s="16">
        <v>22</v>
      </c>
      <c r="J98" s="16">
        <v>22</v>
      </c>
    </row>
    <row r="99" hidden="1" spans="1:10">
      <c r="A99" s="14">
        <v>46195</v>
      </c>
      <c r="B99" s="5" t="s">
        <v>2</v>
      </c>
      <c r="C99" s="15">
        <v>1614017</v>
      </c>
      <c r="D99" s="15" t="s">
        <v>21</v>
      </c>
      <c r="E99" s="15" t="s">
        <v>25</v>
      </c>
      <c r="F99" s="6">
        <v>20009250</v>
      </c>
      <c r="G99" s="15" t="s">
        <v>52</v>
      </c>
      <c r="H99" s="6">
        <v>1</v>
      </c>
      <c r="I99" s="16">
        <v>11</v>
      </c>
      <c r="J99" s="16">
        <v>11</v>
      </c>
    </row>
    <row r="100" hidden="1" spans="1:10">
      <c r="A100" s="14">
        <v>46195</v>
      </c>
      <c r="B100" s="5" t="s">
        <v>2</v>
      </c>
      <c r="C100" s="15">
        <v>1614017</v>
      </c>
      <c r="D100" s="15" t="s">
        <v>21</v>
      </c>
      <c r="E100" s="15" t="s">
        <v>25</v>
      </c>
      <c r="F100" s="6">
        <v>20324187</v>
      </c>
      <c r="G100" s="15" t="s">
        <v>46</v>
      </c>
      <c r="H100" s="6">
        <v>1</v>
      </c>
      <c r="I100" s="16">
        <v>8</v>
      </c>
      <c r="J100" s="16">
        <v>8</v>
      </c>
    </row>
    <row r="101" spans="1:10">
      <c r="A101" s="14">
        <v>46195</v>
      </c>
      <c r="B101" s="5" t="s">
        <v>2</v>
      </c>
      <c r="C101" s="15">
        <v>1614017</v>
      </c>
      <c r="D101" s="15" t="s">
        <v>14</v>
      </c>
      <c r="E101" s="15" t="s">
        <v>15</v>
      </c>
      <c r="F101" s="6">
        <v>20009195</v>
      </c>
      <c r="G101" s="15" t="s">
        <v>51</v>
      </c>
      <c r="H101" s="6">
        <v>1</v>
      </c>
      <c r="I101" s="16">
        <v>49.5</v>
      </c>
      <c r="J101" s="16">
        <v>49.5</v>
      </c>
    </row>
    <row r="102" spans="1:10">
      <c r="A102" s="14">
        <v>46195</v>
      </c>
      <c r="B102" s="5" t="s">
        <v>2</v>
      </c>
      <c r="C102" s="15">
        <v>1614118</v>
      </c>
      <c r="D102" s="15" t="s">
        <v>14</v>
      </c>
      <c r="E102" s="15" t="s">
        <v>15</v>
      </c>
      <c r="F102" s="6">
        <v>20009195</v>
      </c>
      <c r="G102" s="15" t="s">
        <v>51</v>
      </c>
      <c r="H102" s="6">
        <v>1</v>
      </c>
      <c r="I102" s="16">
        <v>49.5</v>
      </c>
      <c r="J102" s="16">
        <v>49.5</v>
      </c>
    </row>
    <row r="103" spans="1:10">
      <c r="A103" s="14">
        <v>46196</v>
      </c>
      <c r="B103" s="5" t="s">
        <v>2</v>
      </c>
      <c r="C103" s="15">
        <v>1614433</v>
      </c>
      <c r="D103" s="15" t="s">
        <v>14</v>
      </c>
      <c r="E103" s="15" t="s">
        <v>14</v>
      </c>
      <c r="F103" s="6">
        <v>20009194</v>
      </c>
      <c r="G103" s="15" t="s">
        <v>24</v>
      </c>
      <c r="H103" s="6">
        <v>1</v>
      </c>
      <c r="I103" s="16">
        <v>60.5</v>
      </c>
      <c r="J103" s="16">
        <v>60.5</v>
      </c>
    </row>
    <row r="104" hidden="1" spans="1:10">
      <c r="A104" s="14">
        <v>46196</v>
      </c>
      <c r="B104" s="5" t="s">
        <v>2</v>
      </c>
      <c r="C104" s="15">
        <v>1614433</v>
      </c>
      <c r="D104" s="15" t="s">
        <v>21</v>
      </c>
      <c r="E104" s="15" t="s">
        <v>25</v>
      </c>
      <c r="F104" s="6">
        <v>20002914</v>
      </c>
      <c r="G104" s="15" t="s">
        <v>48</v>
      </c>
      <c r="H104" s="6">
        <v>1</v>
      </c>
      <c r="I104" s="16">
        <v>11</v>
      </c>
      <c r="J104" s="16">
        <v>11</v>
      </c>
    </row>
    <row r="105" hidden="1" spans="1:10">
      <c r="A105" s="14">
        <v>46196</v>
      </c>
      <c r="B105" s="5" t="s">
        <v>2</v>
      </c>
      <c r="C105" s="15">
        <v>1614433</v>
      </c>
      <c r="D105" s="15" t="s">
        <v>21</v>
      </c>
      <c r="E105" s="15" t="s">
        <v>25</v>
      </c>
      <c r="F105" s="6">
        <v>20006093</v>
      </c>
      <c r="G105" s="15" t="s">
        <v>32</v>
      </c>
      <c r="H105" s="6">
        <v>1</v>
      </c>
      <c r="I105" s="16">
        <v>8</v>
      </c>
      <c r="J105" s="16">
        <v>8</v>
      </c>
    </row>
    <row r="106" spans="1:10">
      <c r="A106" s="14">
        <v>46196</v>
      </c>
      <c r="B106" s="5" t="s">
        <v>2</v>
      </c>
      <c r="C106" s="15">
        <v>1614433</v>
      </c>
      <c r="D106" s="15" t="s">
        <v>14</v>
      </c>
      <c r="E106" s="15" t="s">
        <v>15</v>
      </c>
      <c r="F106" s="6">
        <v>20009195</v>
      </c>
      <c r="G106" s="15" t="s">
        <v>51</v>
      </c>
      <c r="H106" s="6">
        <v>2</v>
      </c>
      <c r="I106" s="16">
        <v>49.5</v>
      </c>
      <c r="J106" s="16">
        <v>99</v>
      </c>
    </row>
    <row r="107" spans="1:10">
      <c r="A107" s="14">
        <v>46197</v>
      </c>
      <c r="B107" s="5" t="s">
        <v>2</v>
      </c>
      <c r="C107" s="15">
        <v>1614783</v>
      </c>
      <c r="D107" s="15" t="s">
        <v>14</v>
      </c>
      <c r="E107" s="15" t="s">
        <v>15</v>
      </c>
      <c r="F107" s="6">
        <v>20009195</v>
      </c>
      <c r="G107" s="15" t="s">
        <v>51</v>
      </c>
      <c r="H107" s="6">
        <v>1</v>
      </c>
      <c r="I107" s="16">
        <v>49.5</v>
      </c>
      <c r="J107" s="16">
        <v>49.5</v>
      </c>
    </row>
    <row r="108" hidden="1" spans="1:10">
      <c r="A108" s="18" t="s">
        <v>2</v>
      </c>
      <c r="C108" s="18" t="s">
        <v>2</v>
      </c>
      <c r="D108" s="18" t="s">
        <v>2</v>
      </c>
      <c r="E108" s="18" t="s">
        <v>2</v>
      </c>
      <c r="F108" s="19" t="s">
        <v>2</v>
      </c>
      <c r="G108" s="18" t="s">
        <v>2</v>
      </c>
      <c r="H108" s="18" t="s">
        <v>2</v>
      </c>
      <c r="I108" s="18" t="s">
        <v>2</v>
      </c>
      <c r="J108" s="18" t="s">
        <v>2</v>
      </c>
    </row>
    <row r="109" ht="14.25" hidden="1" spans="1:10">
      <c r="A109" s="11" t="s">
        <v>56</v>
      </c>
      <c r="B109" s="8" t="s">
        <v>2</v>
      </c>
      <c r="C109" s="8" t="s">
        <v>2</v>
      </c>
      <c r="D109" s="8" t="s">
        <v>2</v>
      </c>
      <c r="E109" s="8" t="s">
        <v>2</v>
      </c>
      <c r="F109" s="8" t="s">
        <v>2</v>
      </c>
      <c r="G109" s="8" t="s">
        <v>2</v>
      </c>
      <c r="H109" s="12">
        <v>118</v>
      </c>
      <c r="I109" s="13"/>
      <c r="J109" s="13">
        <v>5151.5</v>
      </c>
    </row>
    <row r="110" spans="1:10">
      <c r="A110" s="14">
        <v>46168</v>
      </c>
      <c r="B110" s="5" t="s">
        <v>2</v>
      </c>
      <c r="C110" s="15">
        <v>1606492</v>
      </c>
      <c r="D110" s="15" t="s">
        <v>14</v>
      </c>
      <c r="E110" s="15" t="s">
        <v>14</v>
      </c>
      <c r="F110" s="6">
        <v>20014104</v>
      </c>
      <c r="G110" s="15" t="s">
        <v>57</v>
      </c>
      <c r="H110" s="6">
        <v>3</v>
      </c>
      <c r="I110" s="16">
        <v>198</v>
      </c>
      <c r="J110" s="16">
        <v>594</v>
      </c>
    </row>
    <row r="111" hidden="1" spans="1:10">
      <c r="A111" s="14">
        <v>46168</v>
      </c>
      <c r="B111" s="5" t="s">
        <v>2</v>
      </c>
      <c r="C111" s="15">
        <v>1606492</v>
      </c>
      <c r="D111" s="15" t="s">
        <v>58</v>
      </c>
      <c r="E111" s="15" t="s">
        <v>58</v>
      </c>
      <c r="F111" s="6">
        <v>20009168</v>
      </c>
      <c r="G111" s="15" t="s">
        <v>59</v>
      </c>
      <c r="H111" s="6">
        <v>2</v>
      </c>
      <c r="I111" s="16">
        <v>16</v>
      </c>
      <c r="J111" s="16">
        <v>32</v>
      </c>
    </row>
    <row r="112" hidden="1" spans="1:10">
      <c r="A112" s="14">
        <v>46168</v>
      </c>
      <c r="B112" s="5" t="s">
        <v>2</v>
      </c>
      <c r="C112" s="15">
        <v>1606492</v>
      </c>
      <c r="D112" s="15" t="s">
        <v>58</v>
      </c>
      <c r="E112" s="15" t="s">
        <v>58</v>
      </c>
      <c r="F112" s="6">
        <v>20009773</v>
      </c>
      <c r="G112" s="15" t="s">
        <v>60</v>
      </c>
      <c r="H112" s="6">
        <v>2</v>
      </c>
      <c r="I112" s="16">
        <v>16.5</v>
      </c>
      <c r="J112" s="16">
        <v>33</v>
      </c>
    </row>
    <row r="113" hidden="1" spans="1:10">
      <c r="A113" s="14">
        <v>46168</v>
      </c>
      <c r="B113" s="5" t="s">
        <v>2</v>
      </c>
      <c r="C113" s="15">
        <v>1606492</v>
      </c>
      <c r="D113" s="15" t="s">
        <v>58</v>
      </c>
      <c r="E113" s="15" t="s">
        <v>58</v>
      </c>
      <c r="F113" s="6">
        <v>20011010</v>
      </c>
      <c r="G113" s="15" t="s">
        <v>60</v>
      </c>
      <c r="H113" s="6">
        <v>1</v>
      </c>
      <c r="I113" s="16">
        <v>16.5</v>
      </c>
      <c r="J113" s="16">
        <v>16.5</v>
      </c>
    </row>
    <row r="114" hidden="1" spans="1:10">
      <c r="A114" s="14">
        <v>46174</v>
      </c>
      <c r="B114" s="5" t="s">
        <v>2</v>
      </c>
      <c r="C114" s="15">
        <v>1608125</v>
      </c>
      <c r="D114" s="15" t="s">
        <v>58</v>
      </c>
      <c r="E114" s="15" t="s">
        <v>58</v>
      </c>
      <c r="F114" s="6">
        <v>20009168</v>
      </c>
      <c r="G114" s="15" t="s">
        <v>59</v>
      </c>
      <c r="H114" s="6">
        <v>3</v>
      </c>
      <c r="I114" s="16">
        <v>16</v>
      </c>
      <c r="J114" s="16">
        <v>48</v>
      </c>
    </row>
    <row r="115" hidden="1" spans="1:10">
      <c r="A115" s="14">
        <v>46174</v>
      </c>
      <c r="B115" s="5" t="s">
        <v>2</v>
      </c>
      <c r="C115" s="15">
        <v>1608125</v>
      </c>
      <c r="D115" s="15" t="s">
        <v>58</v>
      </c>
      <c r="E115" s="15" t="s">
        <v>58</v>
      </c>
      <c r="F115" s="6">
        <v>20011010</v>
      </c>
      <c r="G115" s="15" t="s">
        <v>60</v>
      </c>
      <c r="H115" s="6">
        <v>1</v>
      </c>
      <c r="I115" s="16">
        <v>16.5</v>
      </c>
      <c r="J115" s="16">
        <v>16.5</v>
      </c>
    </row>
    <row r="116" hidden="1" spans="1:10">
      <c r="A116" s="14">
        <v>46174</v>
      </c>
      <c r="B116" s="5" t="s">
        <v>2</v>
      </c>
      <c r="C116" s="15">
        <v>1608125</v>
      </c>
      <c r="D116" s="15" t="s">
        <v>21</v>
      </c>
      <c r="E116" s="15" t="s">
        <v>25</v>
      </c>
      <c r="F116" s="6">
        <v>20012155</v>
      </c>
      <c r="G116" s="15" t="s">
        <v>61</v>
      </c>
      <c r="H116" s="6">
        <v>8</v>
      </c>
      <c r="I116" s="16">
        <v>11</v>
      </c>
      <c r="J116" s="16">
        <v>88</v>
      </c>
    </row>
    <row r="117" hidden="1" spans="1:10">
      <c r="A117" s="14">
        <v>46174</v>
      </c>
      <c r="B117" s="5" t="s">
        <v>2</v>
      </c>
      <c r="C117" s="15">
        <v>1608125</v>
      </c>
      <c r="D117" s="15" t="s">
        <v>21</v>
      </c>
      <c r="E117" s="15" t="s">
        <v>25</v>
      </c>
      <c r="F117" s="6">
        <v>20014105</v>
      </c>
      <c r="G117" s="15" t="s">
        <v>62</v>
      </c>
      <c r="H117" s="6">
        <v>2</v>
      </c>
      <c r="I117" s="16">
        <v>8</v>
      </c>
      <c r="J117" s="16">
        <v>16</v>
      </c>
    </row>
    <row r="118" hidden="1" spans="1:10">
      <c r="A118" s="14">
        <v>46174</v>
      </c>
      <c r="B118" s="5" t="s">
        <v>2</v>
      </c>
      <c r="C118" s="15">
        <v>1608125</v>
      </c>
      <c r="D118" s="15" t="s">
        <v>21</v>
      </c>
      <c r="E118" s="15" t="s">
        <v>28</v>
      </c>
      <c r="F118" s="6">
        <v>20009291</v>
      </c>
      <c r="G118" s="15" t="s">
        <v>63</v>
      </c>
      <c r="H118" s="6">
        <v>1</v>
      </c>
      <c r="I118" s="16">
        <v>22</v>
      </c>
      <c r="J118" s="16">
        <v>22</v>
      </c>
    </row>
    <row r="119" hidden="1" spans="1:10">
      <c r="A119" s="14">
        <v>46174</v>
      </c>
      <c r="B119" s="5" t="s">
        <v>2</v>
      </c>
      <c r="C119" s="15">
        <v>1608125</v>
      </c>
      <c r="D119" s="15" t="s">
        <v>21</v>
      </c>
      <c r="E119" s="15" t="s">
        <v>28</v>
      </c>
      <c r="F119" s="6">
        <v>20009257</v>
      </c>
      <c r="G119" s="15" t="s">
        <v>64</v>
      </c>
      <c r="H119" s="6">
        <v>1</v>
      </c>
      <c r="I119" s="16">
        <v>71.5</v>
      </c>
      <c r="J119" s="16">
        <v>71.5</v>
      </c>
    </row>
    <row r="120" spans="1:10">
      <c r="A120" s="14">
        <v>46174</v>
      </c>
      <c r="B120" s="5" t="s">
        <v>2</v>
      </c>
      <c r="C120" s="15">
        <v>1608157</v>
      </c>
      <c r="D120" s="15" t="s">
        <v>14</v>
      </c>
      <c r="E120" s="15" t="s">
        <v>14</v>
      </c>
      <c r="F120" s="6">
        <v>20014104</v>
      </c>
      <c r="G120" s="15" t="s">
        <v>57</v>
      </c>
      <c r="H120" s="6">
        <v>2</v>
      </c>
      <c r="I120" s="16">
        <v>198</v>
      </c>
      <c r="J120" s="16">
        <v>396</v>
      </c>
    </row>
    <row r="121" hidden="1" spans="1:10">
      <c r="A121" s="14">
        <v>46174</v>
      </c>
      <c r="B121" s="5" t="s">
        <v>2</v>
      </c>
      <c r="C121" s="15">
        <v>1608157</v>
      </c>
      <c r="D121" s="15" t="s">
        <v>21</v>
      </c>
      <c r="E121" s="15" t="s">
        <v>25</v>
      </c>
      <c r="F121" s="6">
        <v>20009258</v>
      </c>
      <c r="G121" s="15" t="s">
        <v>65</v>
      </c>
      <c r="H121" s="6">
        <v>1</v>
      </c>
      <c r="I121" s="16">
        <v>16</v>
      </c>
      <c r="J121" s="16">
        <v>16</v>
      </c>
    </row>
    <row r="122" spans="1:10">
      <c r="A122" s="14">
        <v>46175</v>
      </c>
      <c r="B122" s="5" t="s">
        <v>2</v>
      </c>
      <c r="C122" s="15">
        <v>1608589</v>
      </c>
      <c r="D122" s="15" t="s">
        <v>14</v>
      </c>
      <c r="E122" s="15" t="s">
        <v>14</v>
      </c>
      <c r="F122" s="6">
        <v>20014104</v>
      </c>
      <c r="G122" s="15" t="s">
        <v>57</v>
      </c>
      <c r="H122" s="6">
        <v>2</v>
      </c>
      <c r="I122" s="16">
        <v>198</v>
      </c>
      <c r="J122" s="16">
        <v>396</v>
      </c>
    </row>
    <row r="123" hidden="1" spans="1:10">
      <c r="A123" s="14">
        <v>46175</v>
      </c>
      <c r="B123" s="5" t="s">
        <v>2</v>
      </c>
      <c r="C123" s="15">
        <v>1608589</v>
      </c>
      <c r="D123" s="15" t="s">
        <v>58</v>
      </c>
      <c r="E123" s="15" t="s">
        <v>58</v>
      </c>
      <c r="F123" s="6">
        <v>20009168</v>
      </c>
      <c r="G123" s="15" t="s">
        <v>59</v>
      </c>
      <c r="H123" s="6">
        <v>1</v>
      </c>
      <c r="I123" s="16">
        <v>16</v>
      </c>
      <c r="J123" s="16">
        <v>16</v>
      </c>
    </row>
    <row r="124" hidden="1" spans="1:10">
      <c r="A124" s="14">
        <v>46175</v>
      </c>
      <c r="B124" s="5" t="s">
        <v>2</v>
      </c>
      <c r="C124" s="15">
        <v>1608589</v>
      </c>
      <c r="D124" s="15" t="s">
        <v>58</v>
      </c>
      <c r="E124" s="15" t="s">
        <v>58</v>
      </c>
      <c r="F124" s="6">
        <v>20009773</v>
      </c>
      <c r="G124" s="15" t="s">
        <v>60</v>
      </c>
      <c r="H124" s="6">
        <v>1</v>
      </c>
      <c r="I124" s="16">
        <v>16.5</v>
      </c>
      <c r="J124" s="16">
        <v>16.5</v>
      </c>
    </row>
    <row r="125" hidden="1" spans="1:10">
      <c r="A125" s="14">
        <v>46175</v>
      </c>
      <c r="B125" s="5" t="s">
        <v>2</v>
      </c>
      <c r="C125" s="15">
        <v>1608589</v>
      </c>
      <c r="D125" s="15" t="s">
        <v>58</v>
      </c>
      <c r="E125" s="15" t="s">
        <v>58</v>
      </c>
      <c r="F125" s="6">
        <v>20011010</v>
      </c>
      <c r="G125" s="15" t="s">
        <v>60</v>
      </c>
      <c r="H125" s="6">
        <v>2</v>
      </c>
      <c r="I125" s="16">
        <v>16.5</v>
      </c>
      <c r="J125" s="16">
        <v>33</v>
      </c>
    </row>
    <row r="126" hidden="1" spans="1:10">
      <c r="A126" s="14">
        <v>46175</v>
      </c>
      <c r="B126" s="5" t="s">
        <v>2</v>
      </c>
      <c r="C126" s="15">
        <v>1608589</v>
      </c>
      <c r="D126" s="15" t="s">
        <v>21</v>
      </c>
      <c r="E126" s="15" t="s">
        <v>28</v>
      </c>
      <c r="F126" s="6">
        <v>20378852</v>
      </c>
      <c r="G126" s="15" t="s">
        <v>66</v>
      </c>
      <c r="H126" s="6">
        <v>1</v>
      </c>
      <c r="I126" s="16">
        <v>49.5</v>
      </c>
      <c r="J126" s="16">
        <v>49.5</v>
      </c>
    </row>
    <row r="127" hidden="1" spans="1:10">
      <c r="A127" s="14">
        <v>46176</v>
      </c>
      <c r="B127" s="5" t="s">
        <v>2</v>
      </c>
      <c r="C127" s="15">
        <v>1608699</v>
      </c>
      <c r="D127" s="15" t="s">
        <v>21</v>
      </c>
      <c r="E127" s="15" t="s">
        <v>25</v>
      </c>
      <c r="F127" s="6">
        <v>20012155</v>
      </c>
      <c r="G127" s="15" t="s">
        <v>61</v>
      </c>
      <c r="H127" s="6">
        <v>1</v>
      </c>
      <c r="I127" s="16">
        <v>11</v>
      </c>
      <c r="J127" s="16">
        <v>11</v>
      </c>
    </row>
    <row r="128" hidden="1" spans="1:10">
      <c r="A128" s="14">
        <v>46176</v>
      </c>
      <c r="B128" s="5" t="s">
        <v>2</v>
      </c>
      <c r="C128" s="15">
        <v>1608699</v>
      </c>
      <c r="D128" s="15" t="s">
        <v>21</v>
      </c>
      <c r="E128" s="15" t="s">
        <v>25</v>
      </c>
      <c r="F128" s="6">
        <v>20009042</v>
      </c>
      <c r="G128" s="15" t="s">
        <v>67</v>
      </c>
      <c r="H128" s="6">
        <v>2</v>
      </c>
      <c r="I128" s="16">
        <v>16</v>
      </c>
      <c r="J128" s="16">
        <v>32</v>
      </c>
    </row>
    <row r="129" hidden="1" spans="1:10">
      <c r="A129" s="14">
        <v>46176</v>
      </c>
      <c r="B129" s="5" t="s">
        <v>2</v>
      </c>
      <c r="C129" s="15">
        <v>1608699</v>
      </c>
      <c r="D129" s="15" t="s">
        <v>21</v>
      </c>
      <c r="E129" s="15" t="s">
        <v>25</v>
      </c>
      <c r="F129" s="6">
        <v>20009258</v>
      </c>
      <c r="G129" s="15" t="s">
        <v>65</v>
      </c>
      <c r="H129" s="6">
        <v>1</v>
      </c>
      <c r="I129" s="16">
        <v>16</v>
      </c>
      <c r="J129" s="16">
        <v>16</v>
      </c>
    </row>
    <row r="130" hidden="1" spans="1:10">
      <c r="A130" s="14">
        <v>46176</v>
      </c>
      <c r="B130" s="5" t="s">
        <v>2</v>
      </c>
      <c r="C130" s="15">
        <v>1608699</v>
      </c>
      <c r="D130" s="15" t="s">
        <v>21</v>
      </c>
      <c r="E130" s="15" t="s">
        <v>28</v>
      </c>
      <c r="F130" s="6">
        <v>20383747</v>
      </c>
      <c r="G130" s="15" t="s">
        <v>68</v>
      </c>
      <c r="H130" s="6">
        <v>1</v>
      </c>
      <c r="I130" s="16">
        <v>27.5</v>
      </c>
      <c r="J130" s="16">
        <v>27.5</v>
      </c>
    </row>
    <row r="131" spans="1:10">
      <c r="A131" s="14">
        <v>46181</v>
      </c>
      <c r="B131" s="5" t="s">
        <v>2</v>
      </c>
      <c r="C131" s="15">
        <v>1610253</v>
      </c>
      <c r="D131" s="15" t="s">
        <v>14</v>
      </c>
      <c r="E131" s="15" t="s">
        <v>14</v>
      </c>
      <c r="F131" s="6">
        <v>20014104</v>
      </c>
      <c r="G131" s="15" t="s">
        <v>57</v>
      </c>
      <c r="H131" s="6">
        <v>3</v>
      </c>
      <c r="I131" s="16">
        <v>198</v>
      </c>
      <c r="J131" s="16">
        <v>594</v>
      </c>
    </row>
    <row r="132" hidden="1" spans="1:10">
      <c r="A132" s="14">
        <v>46181</v>
      </c>
      <c r="B132" s="5" t="s">
        <v>2</v>
      </c>
      <c r="C132" s="15">
        <v>1610253</v>
      </c>
      <c r="D132" s="15" t="s">
        <v>58</v>
      </c>
      <c r="E132" s="15" t="s">
        <v>58</v>
      </c>
      <c r="F132" s="6">
        <v>20009168</v>
      </c>
      <c r="G132" s="15" t="s">
        <v>59</v>
      </c>
      <c r="H132" s="6">
        <v>1</v>
      </c>
      <c r="I132" s="16">
        <v>16</v>
      </c>
      <c r="J132" s="16">
        <v>16</v>
      </c>
    </row>
    <row r="133" hidden="1" spans="1:10">
      <c r="A133" s="14">
        <v>46181</v>
      </c>
      <c r="B133" s="5" t="s">
        <v>2</v>
      </c>
      <c r="C133" s="15">
        <v>1610253</v>
      </c>
      <c r="D133" s="15" t="s">
        <v>58</v>
      </c>
      <c r="E133" s="15" t="s">
        <v>58</v>
      </c>
      <c r="F133" s="6">
        <v>20009773</v>
      </c>
      <c r="G133" s="15" t="s">
        <v>60</v>
      </c>
      <c r="H133" s="6">
        <v>4</v>
      </c>
      <c r="I133" s="16">
        <v>16.5</v>
      </c>
      <c r="J133" s="16">
        <v>66</v>
      </c>
    </row>
    <row r="134" hidden="1" spans="1:10">
      <c r="A134" s="14">
        <v>46181</v>
      </c>
      <c r="B134" s="5" t="s">
        <v>2</v>
      </c>
      <c r="C134" s="15">
        <v>1610253</v>
      </c>
      <c r="D134" s="15" t="s">
        <v>58</v>
      </c>
      <c r="E134" s="15" t="s">
        <v>58</v>
      </c>
      <c r="F134" s="6">
        <v>20011010</v>
      </c>
      <c r="G134" s="15" t="s">
        <v>60</v>
      </c>
      <c r="H134" s="6">
        <v>2</v>
      </c>
      <c r="I134" s="16">
        <v>16.5</v>
      </c>
      <c r="J134" s="16">
        <v>33</v>
      </c>
    </row>
    <row r="135" hidden="1" spans="1:10">
      <c r="A135" s="14">
        <v>46181</v>
      </c>
      <c r="B135" s="5" t="s">
        <v>2</v>
      </c>
      <c r="C135" s="15">
        <v>1610253</v>
      </c>
      <c r="D135" s="15" t="s">
        <v>21</v>
      </c>
      <c r="E135" s="15" t="s">
        <v>25</v>
      </c>
      <c r="F135" s="6">
        <v>20012155</v>
      </c>
      <c r="G135" s="15" t="s">
        <v>61</v>
      </c>
      <c r="H135" s="6">
        <v>4</v>
      </c>
      <c r="I135" s="16">
        <v>11</v>
      </c>
      <c r="J135" s="16">
        <v>44</v>
      </c>
    </row>
    <row r="136" hidden="1" spans="1:10">
      <c r="A136" s="14">
        <v>46181</v>
      </c>
      <c r="B136" s="5" t="s">
        <v>2</v>
      </c>
      <c r="C136" s="15">
        <v>1610253</v>
      </c>
      <c r="D136" s="15" t="s">
        <v>21</v>
      </c>
      <c r="E136" s="15" t="s">
        <v>25</v>
      </c>
      <c r="F136" s="6">
        <v>20014105</v>
      </c>
      <c r="G136" s="15" t="s">
        <v>62</v>
      </c>
      <c r="H136" s="6">
        <v>1</v>
      </c>
      <c r="I136" s="16">
        <v>8</v>
      </c>
      <c r="J136" s="16">
        <v>8</v>
      </c>
    </row>
    <row r="137" hidden="1" spans="1:10">
      <c r="A137" s="14">
        <v>46181</v>
      </c>
      <c r="B137" s="5" t="s">
        <v>2</v>
      </c>
      <c r="C137" s="15">
        <v>1610253</v>
      </c>
      <c r="D137" s="15" t="s">
        <v>21</v>
      </c>
      <c r="E137" s="15" t="s">
        <v>28</v>
      </c>
      <c r="F137" s="6">
        <v>20009291</v>
      </c>
      <c r="G137" s="15" t="s">
        <v>63</v>
      </c>
      <c r="H137" s="6">
        <v>1</v>
      </c>
      <c r="I137" s="16">
        <v>22</v>
      </c>
      <c r="J137" s="16">
        <v>22</v>
      </c>
    </row>
    <row r="138" spans="1:10">
      <c r="A138" s="14">
        <v>46184</v>
      </c>
      <c r="B138" s="5" t="s">
        <v>2</v>
      </c>
      <c r="C138" s="15">
        <v>1611416</v>
      </c>
      <c r="D138" s="15" t="s">
        <v>14</v>
      </c>
      <c r="E138" s="15" t="s">
        <v>14</v>
      </c>
      <c r="F138" s="6">
        <v>20014104</v>
      </c>
      <c r="G138" s="15" t="s">
        <v>57</v>
      </c>
      <c r="H138" s="6">
        <v>1</v>
      </c>
      <c r="I138" s="16">
        <v>198</v>
      </c>
      <c r="J138" s="16">
        <v>198</v>
      </c>
    </row>
    <row r="139" hidden="1" spans="1:10">
      <c r="A139" s="14">
        <v>46184</v>
      </c>
      <c r="B139" s="5" t="s">
        <v>2</v>
      </c>
      <c r="C139" s="15">
        <v>1611416</v>
      </c>
      <c r="D139" s="15" t="s">
        <v>58</v>
      </c>
      <c r="E139" s="15" t="s">
        <v>58</v>
      </c>
      <c r="F139" s="6">
        <v>20009168</v>
      </c>
      <c r="G139" s="15" t="s">
        <v>59</v>
      </c>
      <c r="H139" s="6">
        <v>1</v>
      </c>
      <c r="I139" s="16">
        <v>16</v>
      </c>
      <c r="J139" s="16">
        <v>16</v>
      </c>
    </row>
    <row r="140" hidden="1" spans="1:10">
      <c r="A140" s="14">
        <v>46184</v>
      </c>
      <c r="B140" s="5" t="s">
        <v>2</v>
      </c>
      <c r="C140" s="15">
        <v>1611416</v>
      </c>
      <c r="D140" s="15" t="s">
        <v>58</v>
      </c>
      <c r="E140" s="15" t="s">
        <v>58</v>
      </c>
      <c r="F140" s="6">
        <v>20011010</v>
      </c>
      <c r="G140" s="15" t="s">
        <v>60</v>
      </c>
      <c r="H140" s="6">
        <v>2</v>
      </c>
      <c r="I140" s="16">
        <v>16.5</v>
      </c>
      <c r="J140" s="16">
        <v>33</v>
      </c>
    </row>
    <row r="141" hidden="1" spans="1:10">
      <c r="A141" s="14">
        <v>46184</v>
      </c>
      <c r="B141" s="5" t="s">
        <v>2</v>
      </c>
      <c r="C141" s="15">
        <v>1611416</v>
      </c>
      <c r="D141" s="15" t="s">
        <v>21</v>
      </c>
      <c r="E141" s="15" t="s">
        <v>25</v>
      </c>
      <c r="F141" s="6">
        <v>20012155</v>
      </c>
      <c r="G141" s="15" t="s">
        <v>61</v>
      </c>
      <c r="H141" s="6">
        <v>1</v>
      </c>
      <c r="I141" s="16">
        <v>11</v>
      </c>
      <c r="J141" s="16">
        <v>11</v>
      </c>
    </row>
    <row r="142" hidden="1" spans="1:10">
      <c r="A142" s="14">
        <v>46184</v>
      </c>
      <c r="B142" s="5" t="s">
        <v>2</v>
      </c>
      <c r="C142" s="15">
        <v>1611416</v>
      </c>
      <c r="D142" s="15" t="s">
        <v>21</v>
      </c>
      <c r="E142" s="15" t="s">
        <v>25</v>
      </c>
      <c r="F142" s="6">
        <v>20014105</v>
      </c>
      <c r="G142" s="15" t="s">
        <v>62</v>
      </c>
      <c r="H142" s="6">
        <v>1</v>
      </c>
      <c r="I142" s="16">
        <v>8</v>
      </c>
      <c r="J142" s="16">
        <v>8</v>
      </c>
    </row>
    <row r="143" hidden="1" spans="1:10">
      <c r="A143" s="14">
        <v>46184</v>
      </c>
      <c r="B143" s="5" t="s">
        <v>2</v>
      </c>
      <c r="C143" s="15">
        <v>1611416</v>
      </c>
      <c r="D143" s="15" t="s">
        <v>21</v>
      </c>
      <c r="E143" s="15" t="s">
        <v>25</v>
      </c>
      <c r="F143" s="6">
        <v>20009042</v>
      </c>
      <c r="G143" s="15" t="s">
        <v>67</v>
      </c>
      <c r="H143" s="6">
        <v>2</v>
      </c>
      <c r="I143" s="16">
        <v>16</v>
      </c>
      <c r="J143" s="16">
        <v>32</v>
      </c>
    </row>
    <row r="144" hidden="1" spans="1:10">
      <c r="A144" s="14">
        <v>46184</v>
      </c>
      <c r="B144" s="5" t="s">
        <v>2</v>
      </c>
      <c r="C144" s="15">
        <v>1611416</v>
      </c>
      <c r="D144" s="15" t="s">
        <v>21</v>
      </c>
      <c r="E144" s="15" t="s">
        <v>28</v>
      </c>
      <c r="F144" s="6">
        <v>20009291</v>
      </c>
      <c r="G144" s="15" t="s">
        <v>63</v>
      </c>
      <c r="H144" s="6">
        <v>1</v>
      </c>
      <c r="I144" s="16">
        <v>22</v>
      </c>
      <c r="J144" s="16">
        <v>22</v>
      </c>
    </row>
    <row r="145" hidden="1" spans="1:10">
      <c r="A145" s="14">
        <v>46184</v>
      </c>
      <c r="B145" s="5" t="s">
        <v>2</v>
      </c>
      <c r="C145" s="15">
        <v>1611416</v>
      </c>
      <c r="D145" s="15" t="s">
        <v>21</v>
      </c>
      <c r="E145" s="15" t="s">
        <v>28</v>
      </c>
      <c r="F145" s="6">
        <v>20009257</v>
      </c>
      <c r="G145" s="15" t="s">
        <v>64</v>
      </c>
      <c r="H145" s="6">
        <v>1</v>
      </c>
      <c r="I145" s="16">
        <v>71.5</v>
      </c>
      <c r="J145" s="16">
        <v>71.5</v>
      </c>
    </row>
    <row r="146" spans="1:10">
      <c r="A146" s="14">
        <v>46189</v>
      </c>
      <c r="B146" s="5" t="s">
        <v>2</v>
      </c>
      <c r="C146" s="15">
        <v>1612666</v>
      </c>
      <c r="D146" s="15" t="s">
        <v>14</v>
      </c>
      <c r="E146" s="15" t="s">
        <v>14</v>
      </c>
      <c r="F146" s="6">
        <v>20014104</v>
      </c>
      <c r="G146" s="15" t="s">
        <v>57</v>
      </c>
      <c r="H146" s="6">
        <v>4</v>
      </c>
      <c r="I146" s="16">
        <v>198</v>
      </c>
      <c r="J146" s="16">
        <v>792</v>
      </c>
    </row>
    <row r="147" hidden="1" spans="1:10">
      <c r="A147" s="14">
        <v>46189</v>
      </c>
      <c r="B147" s="5" t="s">
        <v>2</v>
      </c>
      <c r="C147" s="15">
        <v>1612666</v>
      </c>
      <c r="D147" s="15" t="s">
        <v>58</v>
      </c>
      <c r="E147" s="15" t="s">
        <v>58</v>
      </c>
      <c r="F147" s="6">
        <v>20009168</v>
      </c>
      <c r="G147" s="15" t="s">
        <v>59</v>
      </c>
      <c r="H147" s="6">
        <v>2</v>
      </c>
      <c r="I147" s="16">
        <v>16</v>
      </c>
      <c r="J147" s="16">
        <v>32</v>
      </c>
    </row>
    <row r="148" hidden="1" spans="1:10">
      <c r="A148" s="14">
        <v>46189</v>
      </c>
      <c r="B148" s="5" t="s">
        <v>2</v>
      </c>
      <c r="C148" s="15">
        <v>1612666</v>
      </c>
      <c r="D148" s="15" t="s">
        <v>58</v>
      </c>
      <c r="E148" s="15" t="s">
        <v>58</v>
      </c>
      <c r="F148" s="6">
        <v>20009773</v>
      </c>
      <c r="G148" s="15" t="s">
        <v>60</v>
      </c>
      <c r="H148" s="6">
        <v>3</v>
      </c>
      <c r="I148" s="16">
        <v>16.5</v>
      </c>
      <c r="J148" s="16">
        <v>49.5</v>
      </c>
    </row>
    <row r="149" hidden="1" spans="1:10">
      <c r="A149" s="14">
        <v>46189</v>
      </c>
      <c r="B149" s="5" t="s">
        <v>2</v>
      </c>
      <c r="C149" s="15">
        <v>1612666</v>
      </c>
      <c r="D149" s="15" t="s">
        <v>58</v>
      </c>
      <c r="E149" s="15" t="s">
        <v>58</v>
      </c>
      <c r="F149" s="6">
        <v>20011010</v>
      </c>
      <c r="G149" s="15" t="s">
        <v>60</v>
      </c>
      <c r="H149" s="6">
        <v>2</v>
      </c>
      <c r="I149" s="16">
        <v>16.5</v>
      </c>
      <c r="J149" s="16">
        <v>33</v>
      </c>
    </row>
    <row r="150" hidden="1" spans="1:10">
      <c r="A150" s="14">
        <v>46189</v>
      </c>
      <c r="B150" s="5" t="s">
        <v>2</v>
      </c>
      <c r="C150" s="15">
        <v>1612666</v>
      </c>
      <c r="D150" s="15" t="s">
        <v>21</v>
      </c>
      <c r="E150" s="15" t="s">
        <v>25</v>
      </c>
      <c r="F150" s="6">
        <v>20012155</v>
      </c>
      <c r="G150" s="15" t="s">
        <v>61</v>
      </c>
      <c r="H150" s="6">
        <v>3</v>
      </c>
      <c r="I150" s="16">
        <v>11</v>
      </c>
      <c r="J150" s="16">
        <v>33</v>
      </c>
    </row>
    <row r="151" hidden="1" spans="1:10">
      <c r="A151" s="14">
        <v>46189</v>
      </c>
      <c r="B151" s="5" t="s">
        <v>2</v>
      </c>
      <c r="C151" s="15">
        <v>1612666</v>
      </c>
      <c r="D151" s="15" t="s">
        <v>21</v>
      </c>
      <c r="E151" s="15" t="s">
        <v>25</v>
      </c>
      <c r="F151" s="6">
        <v>20014105</v>
      </c>
      <c r="G151" s="15" t="s">
        <v>62</v>
      </c>
      <c r="H151" s="6">
        <v>1</v>
      </c>
      <c r="I151" s="16">
        <v>8</v>
      </c>
      <c r="J151" s="16">
        <v>8</v>
      </c>
    </row>
    <row r="152" hidden="1" spans="1:10">
      <c r="A152" s="14">
        <v>46189</v>
      </c>
      <c r="B152" s="5" t="s">
        <v>2</v>
      </c>
      <c r="C152" s="15">
        <v>1612666</v>
      </c>
      <c r="D152" s="15" t="s">
        <v>21</v>
      </c>
      <c r="E152" s="15" t="s">
        <v>25</v>
      </c>
      <c r="F152" s="6">
        <v>20009042</v>
      </c>
      <c r="G152" s="15" t="s">
        <v>67</v>
      </c>
      <c r="H152" s="6">
        <v>2</v>
      </c>
      <c r="I152" s="16">
        <v>16</v>
      </c>
      <c r="J152" s="16">
        <v>32</v>
      </c>
    </row>
    <row r="153" hidden="1" spans="1:10">
      <c r="A153" s="14">
        <v>46189</v>
      </c>
      <c r="B153" s="5" t="s">
        <v>2</v>
      </c>
      <c r="C153" s="15">
        <v>1612666</v>
      </c>
      <c r="D153" s="15" t="s">
        <v>21</v>
      </c>
      <c r="E153" s="15" t="s">
        <v>25</v>
      </c>
      <c r="F153" s="6">
        <v>20014746</v>
      </c>
      <c r="G153" s="15" t="s">
        <v>69</v>
      </c>
      <c r="H153" s="6">
        <v>1</v>
      </c>
      <c r="I153" s="16">
        <v>16</v>
      </c>
      <c r="J153" s="16">
        <v>16</v>
      </c>
    </row>
    <row r="154" hidden="1" spans="1:10">
      <c r="A154" s="14">
        <v>46189</v>
      </c>
      <c r="B154" s="5" t="s">
        <v>2</v>
      </c>
      <c r="C154" s="15">
        <v>1612666</v>
      </c>
      <c r="D154" s="15" t="s">
        <v>21</v>
      </c>
      <c r="E154" s="15" t="s">
        <v>28</v>
      </c>
      <c r="F154" s="6">
        <v>20011513</v>
      </c>
      <c r="G154" s="15" t="s">
        <v>70</v>
      </c>
      <c r="H154" s="6">
        <v>2</v>
      </c>
      <c r="I154" s="16">
        <v>27.5</v>
      </c>
      <c r="J154" s="16">
        <v>55</v>
      </c>
    </row>
    <row r="155" hidden="1" spans="1:10">
      <c r="A155" s="14">
        <v>46189</v>
      </c>
      <c r="B155" s="5" t="s">
        <v>2</v>
      </c>
      <c r="C155" s="15">
        <v>1612666</v>
      </c>
      <c r="D155" s="15" t="s">
        <v>18</v>
      </c>
      <c r="E155" s="15" t="s">
        <v>19</v>
      </c>
      <c r="F155" s="6">
        <v>20009252</v>
      </c>
      <c r="G155" s="15" t="s">
        <v>71</v>
      </c>
      <c r="H155" s="6">
        <v>1</v>
      </c>
      <c r="I155" s="16">
        <v>4</v>
      </c>
      <c r="J155" s="16">
        <v>4</v>
      </c>
    </row>
    <row r="156" hidden="1" spans="1:10">
      <c r="A156" s="14">
        <v>46189</v>
      </c>
      <c r="B156" s="5" t="s">
        <v>2</v>
      </c>
      <c r="C156" s="15">
        <v>1612666</v>
      </c>
      <c r="D156" s="15" t="s">
        <v>18</v>
      </c>
      <c r="E156" s="15" t="s">
        <v>19</v>
      </c>
      <c r="F156" s="6">
        <v>20009759</v>
      </c>
      <c r="G156" s="15" t="s">
        <v>72</v>
      </c>
      <c r="H156" s="6">
        <v>5</v>
      </c>
      <c r="I156" s="16">
        <v>4</v>
      </c>
      <c r="J156" s="16">
        <v>20</v>
      </c>
    </row>
    <row r="157" hidden="1" spans="1:10">
      <c r="A157" s="14">
        <v>46190</v>
      </c>
      <c r="B157" s="5" t="s">
        <v>2</v>
      </c>
      <c r="C157" s="15">
        <v>1613089</v>
      </c>
      <c r="D157" s="15" t="s">
        <v>58</v>
      </c>
      <c r="E157" s="15" t="s">
        <v>58</v>
      </c>
      <c r="F157" s="6">
        <v>20011010</v>
      </c>
      <c r="G157" s="15" t="s">
        <v>60</v>
      </c>
      <c r="H157" s="6">
        <v>1</v>
      </c>
      <c r="I157" s="16">
        <v>16.5</v>
      </c>
      <c r="J157" s="16">
        <v>16.5</v>
      </c>
    </row>
    <row r="158" hidden="1" spans="1:10">
      <c r="A158" s="14">
        <v>46190</v>
      </c>
      <c r="B158" s="5" t="s">
        <v>2</v>
      </c>
      <c r="C158" s="15">
        <v>1613089</v>
      </c>
      <c r="D158" s="15" t="s">
        <v>21</v>
      </c>
      <c r="E158" s="15" t="s">
        <v>25</v>
      </c>
      <c r="F158" s="6">
        <v>20012155</v>
      </c>
      <c r="G158" s="15" t="s">
        <v>61</v>
      </c>
      <c r="H158" s="6">
        <v>1</v>
      </c>
      <c r="I158" s="16">
        <v>11</v>
      </c>
      <c r="J158" s="16">
        <v>11</v>
      </c>
    </row>
    <row r="159" hidden="1" spans="1:10">
      <c r="A159" s="14">
        <v>46190</v>
      </c>
      <c r="B159" s="5" t="s">
        <v>2</v>
      </c>
      <c r="C159" s="15">
        <v>1613089</v>
      </c>
      <c r="D159" s="15" t="s">
        <v>21</v>
      </c>
      <c r="E159" s="15" t="s">
        <v>25</v>
      </c>
      <c r="F159" s="6">
        <v>20009258</v>
      </c>
      <c r="G159" s="15" t="s">
        <v>65</v>
      </c>
      <c r="H159" s="6">
        <v>1</v>
      </c>
      <c r="I159" s="16">
        <v>16</v>
      </c>
      <c r="J159" s="16">
        <v>16</v>
      </c>
    </row>
    <row r="160" hidden="1" spans="1:10">
      <c r="A160" s="14">
        <v>46190</v>
      </c>
      <c r="B160" s="5" t="s">
        <v>2</v>
      </c>
      <c r="C160" s="15">
        <v>1613089</v>
      </c>
      <c r="D160" s="15" t="s">
        <v>21</v>
      </c>
      <c r="E160" s="15" t="s">
        <v>28</v>
      </c>
      <c r="F160" s="6">
        <v>20011513</v>
      </c>
      <c r="G160" s="15" t="s">
        <v>70</v>
      </c>
      <c r="H160" s="6">
        <v>1</v>
      </c>
      <c r="I160" s="16">
        <v>27.5</v>
      </c>
      <c r="J160" s="16">
        <v>27.5</v>
      </c>
    </row>
    <row r="161" hidden="1" spans="1:10">
      <c r="A161" s="14">
        <v>46190</v>
      </c>
      <c r="B161" s="5" t="s">
        <v>2</v>
      </c>
      <c r="C161" s="15">
        <v>1613089</v>
      </c>
      <c r="D161" s="15" t="s">
        <v>21</v>
      </c>
      <c r="E161" s="15" t="s">
        <v>28</v>
      </c>
      <c r="F161" s="6">
        <v>20378852</v>
      </c>
      <c r="G161" s="15" t="s">
        <v>66</v>
      </c>
      <c r="H161" s="6">
        <v>1</v>
      </c>
      <c r="I161" s="16">
        <v>49.5</v>
      </c>
      <c r="J161" s="16">
        <v>49.5</v>
      </c>
    </row>
    <row r="162" hidden="1" spans="1:10">
      <c r="A162" s="14">
        <v>46190</v>
      </c>
      <c r="B162" s="5" t="s">
        <v>2</v>
      </c>
      <c r="C162" s="15">
        <v>1613089</v>
      </c>
      <c r="D162" s="15" t="s">
        <v>18</v>
      </c>
      <c r="E162" s="15" t="s">
        <v>19</v>
      </c>
      <c r="F162" s="6">
        <v>20009322</v>
      </c>
      <c r="G162" s="15" t="s">
        <v>73</v>
      </c>
      <c r="H162" s="6">
        <v>2</v>
      </c>
      <c r="I162" s="16">
        <v>4</v>
      </c>
      <c r="J162" s="16">
        <v>8</v>
      </c>
    </row>
    <row r="163" spans="1:10">
      <c r="A163" s="14">
        <v>46195</v>
      </c>
      <c r="B163" s="5" t="s">
        <v>2</v>
      </c>
      <c r="C163" s="15">
        <v>1614018</v>
      </c>
      <c r="D163" s="15" t="s">
        <v>14</v>
      </c>
      <c r="E163" s="15" t="s">
        <v>14</v>
      </c>
      <c r="F163" s="6">
        <v>20014104</v>
      </c>
      <c r="G163" s="15" t="s">
        <v>57</v>
      </c>
      <c r="H163" s="6">
        <v>1</v>
      </c>
      <c r="I163" s="16">
        <v>198</v>
      </c>
      <c r="J163" s="16">
        <v>198</v>
      </c>
    </row>
    <row r="164" hidden="1" spans="1:10">
      <c r="A164" s="14">
        <v>46195</v>
      </c>
      <c r="B164" s="5" t="s">
        <v>2</v>
      </c>
      <c r="C164" s="15">
        <v>1614018</v>
      </c>
      <c r="D164" s="15" t="s">
        <v>58</v>
      </c>
      <c r="E164" s="15" t="s">
        <v>58</v>
      </c>
      <c r="F164" s="6">
        <v>20009773</v>
      </c>
      <c r="G164" s="15" t="s">
        <v>60</v>
      </c>
      <c r="H164" s="6">
        <v>3</v>
      </c>
      <c r="I164" s="16">
        <v>16.5</v>
      </c>
      <c r="J164" s="16">
        <v>49.5</v>
      </c>
    </row>
    <row r="165" hidden="1" spans="1:10">
      <c r="A165" s="14">
        <v>46195</v>
      </c>
      <c r="B165" s="5" t="s">
        <v>2</v>
      </c>
      <c r="C165" s="15">
        <v>1614018</v>
      </c>
      <c r="D165" s="15" t="s">
        <v>58</v>
      </c>
      <c r="E165" s="15" t="s">
        <v>58</v>
      </c>
      <c r="F165" s="6">
        <v>20011010</v>
      </c>
      <c r="G165" s="15" t="s">
        <v>60</v>
      </c>
      <c r="H165" s="6">
        <v>2</v>
      </c>
      <c r="I165" s="16">
        <v>16.5</v>
      </c>
      <c r="J165" s="16">
        <v>33</v>
      </c>
    </row>
    <row r="166" hidden="1" spans="1:10">
      <c r="A166" s="14">
        <v>46195</v>
      </c>
      <c r="B166" s="5" t="s">
        <v>2</v>
      </c>
      <c r="C166" s="15">
        <v>1614018</v>
      </c>
      <c r="D166" s="15" t="s">
        <v>18</v>
      </c>
      <c r="E166" s="15" t="s">
        <v>19</v>
      </c>
      <c r="F166" s="6">
        <v>20009169</v>
      </c>
      <c r="G166" s="15" t="s">
        <v>20</v>
      </c>
      <c r="H166" s="6">
        <v>3</v>
      </c>
      <c r="I166" s="16">
        <v>4</v>
      </c>
      <c r="J166" s="16">
        <v>12</v>
      </c>
    </row>
    <row r="167" spans="1:10">
      <c r="A167" s="14">
        <v>46195</v>
      </c>
      <c r="B167" s="5" t="s">
        <v>2</v>
      </c>
      <c r="C167" s="15">
        <v>1614119</v>
      </c>
      <c r="D167" s="15" t="s">
        <v>14</v>
      </c>
      <c r="E167" s="15" t="s">
        <v>14</v>
      </c>
      <c r="F167" s="6">
        <v>20014104</v>
      </c>
      <c r="G167" s="15" t="s">
        <v>57</v>
      </c>
      <c r="H167" s="6">
        <v>1</v>
      </c>
      <c r="I167" s="16">
        <v>198</v>
      </c>
      <c r="J167" s="16">
        <v>198</v>
      </c>
    </row>
    <row r="168" hidden="1" spans="1:10">
      <c r="A168" s="14">
        <v>46195</v>
      </c>
      <c r="B168" s="5" t="s">
        <v>2</v>
      </c>
      <c r="C168" s="15">
        <v>1614119</v>
      </c>
      <c r="D168" s="15" t="s">
        <v>58</v>
      </c>
      <c r="E168" s="15" t="s">
        <v>58</v>
      </c>
      <c r="F168" s="6">
        <v>20009168</v>
      </c>
      <c r="G168" s="15" t="s">
        <v>59</v>
      </c>
      <c r="H168" s="6">
        <v>1</v>
      </c>
      <c r="I168" s="16">
        <v>16</v>
      </c>
      <c r="J168" s="16">
        <v>16</v>
      </c>
    </row>
    <row r="169" spans="1:10">
      <c r="A169" s="14">
        <v>46197</v>
      </c>
      <c r="B169" s="5" t="s">
        <v>2</v>
      </c>
      <c r="C169" s="15">
        <v>1614784</v>
      </c>
      <c r="D169" s="15" t="s">
        <v>14</v>
      </c>
      <c r="E169" s="15" t="s">
        <v>14</v>
      </c>
      <c r="F169" s="6">
        <v>20014104</v>
      </c>
      <c r="G169" s="15" t="s">
        <v>57</v>
      </c>
      <c r="H169" s="6">
        <v>1</v>
      </c>
      <c r="I169" s="16">
        <v>198</v>
      </c>
      <c r="J169" s="16">
        <v>198</v>
      </c>
    </row>
    <row r="170" hidden="1" spans="1:10">
      <c r="A170" s="14">
        <v>46197</v>
      </c>
      <c r="B170" s="5" t="s">
        <v>2</v>
      </c>
      <c r="C170" s="15">
        <v>1614784</v>
      </c>
      <c r="D170" s="15" t="s">
        <v>21</v>
      </c>
      <c r="E170" s="15" t="s">
        <v>25</v>
      </c>
      <c r="F170" s="6">
        <v>20012155</v>
      </c>
      <c r="G170" s="15" t="s">
        <v>61</v>
      </c>
      <c r="H170" s="6">
        <v>2</v>
      </c>
      <c r="I170" s="16">
        <v>11</v>
      </c>
      <c r="J170" s="16">
        <v>22</v>
      </c>
    </row>
    <row r="171" hidden="1" spans="1:10">
      <c r="A171" s="14">
        <v>46197</v>
      </c>
      <c r="B171" s="5" t="s">
        <v>2</v>
      </c>
      <c r="C171" s="15">
        <v>1614784</v>
      </c>
      <c r="D171" s="15" t="s">
        <v>21</v>
      </c>
      <c r="E171" s="15" t="s">
        <v>25</v>
      </c>
      <c r="F171" s="6">
        <v>20014105</v>
      </c>
      <c r="G171" s="15" t="s">
        <v>62</v>
      </c>
      <c r="H171" s="6">
        <v>1</v>
      </c>
      <c r="I171" s="16">
        <v>8</v>
      </c>
      <c r="J171" s="16">
        <v>8</v>
      </c>
    </row>
    <row r="172" hidden="1" spans="1:10">
      <c r="A172" s="14">
        <v>46197</v>
      </c>
      <c r="B172" s="5" t="s">
        <v>2</v>
      </c>
      <c r="C172" s="15">
        <v>1614784</v>
      </c>
      <c r="D172" s="15" t="s">
        <v>21</v>
      </c>
      <c r="E172" s="15" t="s">
        <v>25</v>
      </c>
      <c r="F172" s="6">
        <v>20009042</v>
      </c>
      <c r="G172" s="15" t="s">
        <v>67</v>
      </c>
      <c r="H172" s="6">
        <v>1</v>
      </c>
      <c r="I172" s="16">
        <v>16</v>
      </c>
      <c r="J172" s="16">
        <v>16</v>
      </c>
    </row>
    <row r="173" hidden="1" spans="1:10">
      <c r="A173" s="14">
        <v>46197</v>
      </c>
      <c r="B173" s="5" t="s">
        <v>2</v>
      </c>
      <c r="C173" s="15">
        <v>1614784</v>
      </c>
      <c r="D173" s="15" t="s">
        <v>21</v>
      </c>
      <c r="E173" s="15" t="s">
        <v>28</v>
      </c>
      <c r="F173" s="6">
        <v>20011513</v>
      </c>
      <c r="G173" s="15" t="s">
        <v>70</v>
      </c>
      <c r="H173" s="6">
        <v>1</v>
      </c>
      <c r="I173" s="16">
        <v>27.5</v>
      </c>
      <c r="J173" s="16">
        <v>27.5</v>
      </c>
    </row>
    <row r="174" hidden="1" spans="1:10">
      <c r="A174" s="14">
        <v>46197</v>
      </c>
      <c r="B174" s="5" t="s">
        <v>2</v>
      </c>
      <c r="C174" s="15">
        <v>1614819</v>
      </c>
      <c r="D174" s="15" t="s">
        <v>58</v>
      </c>
      <c r="E174" s="15" t="s">
        <v>58</v>
      </c>
      <c r="F174" s="6">
        <v>20009168</v>
      </c>
      <c r="G174" s="15" t="s">
        <v>59</v>
      </c>
      <c r="H174" s="6">
        <v>1</v>
      </c>
      <c r="I174" s="16">
        <v>16</v>
      </c>
      <c r="J174" s="16">
        <v>16</v>
      </c>
    </row>
    <row r="175" hidden="1" spans="1:10">
      <c r="A175" s="14">
        <v>46197</v>
      </c>
      <c r="B175" s="5" t="s">
        <v>2</v>
      </c>
      <c r="C175" s="15">
        <v>1614819</v>
      </c>
      <c r="D175" s="15" t="s">
        <v>58</v>
      </c>
      <c r="E175" s="15" t="s">
        <v>58</v>
      </c>
      <c r="F175" s="6">
        <v>20009773</v>
      </c>
      <c r="G175" s="15" t="s">
        <v>60</v>
      </c>
      <c r="H175" s="6">
        <v>1</v>
      </c>
      <c r="I175" s="16">
        <v>16.5</v>
      </c>
      <c r="J175" s="16">
        <v>16.5</v>
      </c>
    </row>
    <row r="176" hidden="1" spans="1:10">
      <c r="A176" s="14">
        <v>46197</v>
      </c>
      <c r="B176" s="5" t="s">
        <v>2</v>
      </c>
      <c r="C176" s="15">
        <v>1614819</v>
      </c>
      <c r="D176" s="15" t="s">
        <v>58</v>
      </c>
      <c r="E176" s="15" t="s">
        <v>58</v>
      </c>
      <c r="F176" s="6">
        <v>20011010</v>
      </c>
      <c r="G176" s="15" t="s">
        <v>60</v>
      </c>
      <c r="H176" s="6">
        <v>1</v>
      </c>
      <c r="I176" s="16">
        <v>16.5</v>
      </c>
      <c r="J176" s="16">
        <v>16.5</v>
      </c>
    </row>
    <row r="177" hidden="1" spans="1:10">
      <c r="A177" s="18" t="s">
        <v>2</v>
      </c>
      <c r="C177" s="18" t="s">
        <v>2</v>
      </c>
      <c r="D177" s="18" t="s">
        <v>2</v>
      </c>
      <c r="E177" s="18" t="s">
        <v>2</v>
      </c>
      <c r="F177" s="19" t="s">
        <v>2</v>
      </c>
      <c r="G177" s="18" t="s">
        <v>2</v>
      </c>
      <c r="H177" s="18" t="s">
        <v>2</v>
      </c>
      <c r="I177" s="18" t="s">
        <v>2</v>
      </c>
      <c r="J177" s="18" t="s">
        <v>2</v>
      </c>
    </row>
    <row r="178" ht="14.25" hidden="1" spans="1:10">
      <c r="A178" s="11" t="s">
        <v>74</v>
      </c>
      <c r="B178" s="8" t="s">
        <v>2</v>
      </c>
      <c r="C178" s="8" t="s">
        <v>2</v>
      </c>
      <c r="D178" s="8" t="s">
        <v>2</v>
      </c>
      <c r="E178" s="8" t="s">
        <v>2</v>
      </c>
      <c r="F178" s="8" t="s">
        <v>2</v>
      </c>
      <c r="G178" s="8" t="s">
        <v>2</v>
      </c>
      <c r="H178" s="12">
        <v>135</v>
      </c>
      <c r="I178" s="13"/>
      <c r="J178" s="13">
        <v>2401</v>
      </c>
    </row>
    <row r="179" hidden="1" spans="1:10">
      <c r="A179" s="14">
        <v>46168</v>
      </c>
      <c r="B179" s="5" t="s">
        <v>2</v>
      </c>
      <c r="C179" s="15">
        <v>1606493</v>
      </c>
      <c r="D179" s="15" t="s">
        <v>21</v>
      </c>
      <c r="E179" s="15" t="s">
        <v>25</v>
      </c>
      <c r="F179" s="6">
        <v>20009261</v>
      </c>
      <c r="G179" s="15" t="s">
        <v>75</v>
      </c>
      <c r="H179" s="6">
        <v>9</v>
      </c>
      <c r="I179" s="16">
        <v>13.5</v>
      </c>
      <c r="J179" s="16">
        <v>121.5</v>
      </c>
    </row>
    <row r="180" hidden="1" spans="1:10">
      <c r="A180" s="14">
        <v>46168</v>
      </c>
      <c r="B180" s="5" t="s">
        <v>2</v>
      </c>
      <c r="C180" s="15">
        <v>1606493</v>
      </c>
      <c r="D180" s="15" t="s">
        <v>21</v>
      </c>
      <c r="E180" s="15" t="s">
        <v>25</v>
      </c>
      <c r="F180" s="6">
        <v>20324927</v>
      </c>
      <c r="G180" s="15" t="s">
        <v>76</v>
      </c>
      <c r="H180" s="6">
        <v>1</v>
      </c>
      <c r="I180" s="16">
        <v>16.5</v>
      </c>
      <c r="J180" s="16">
        <v>16.5</v>
      </c>
    </row>
    <row r="181" hidden="1" spans="1:10">
      <c r="A181" s="14">
        <v>46168</v>
      </c>
      <c r="B181" s="5" t="s">
        <v>2</v>
      </c>
      <c r="C181" s="15">
        <v>1606493</v>
      </c>
      <c r="D181" s="15" t="s">
        <v>21</v>
      </c>
      <c r="E181" s="15" t="s">
        <v>25</v>
      </c>
      <c r="F181" s="6">
        <v>20009262</v>
      </c>
      <c r="G181" s="15" t="s">
        <v>77</v>
      </c>
      <c r="H181" s="6">
        <v>3</v>
      </c>
      <c r="I181" s="16">
        <v>22</v>
      </c>
      <c r="J181" s="16">
        <v>66</v>
      </c>
    </row>
    <row r="182" hidden="1" spans="1:10">
      <c r="A182" s="14">
        <v>46171</v>
      </c>
      <c r="B182" s="5" t="s">
        <v>2</v>
      </c>
      <c r="C182" s="15">
        <v>1607605</v>
      </c>
      <c r="D182" s="15" t="s">
        <v>21</v>
      </c>
      <c r="E182" s="15" t="s">
        <v>25</v>
      </c>
      <c r="F182" s="6">
        <v>20009261</v>
      </c>
      <c r="G182" s="15" t="s">
        <v>75</v>
      </c>
      <c r="H182" s="6">
        <v>3</v>
      </c>
      <c r="I182" s="16">
        <v>13.5</v>
      </c>
      <c r="J182" s="16">
        <v>40.5</v>
      </c>
    </row>
    <row r="183" hidden="1" spans="1:10">
      <c r="A183" s="14">
        <v>46171</v>
      </c>
      <c r="B183" s="5" t="s">
        <v>2</v>
      </c>
      <c r="C183" s="15">
        <v>1607605</v>
      </c>
      <c r="D183" s="15" t="s">
        <v>21</v>
      </c>
      <c r="E183" s="15" t="s">
        <v>25</v>
      </c>
      <c r="F183" s="6">
        <v>20324927</v>
      </c>
      <c r="G183" s="15" t="s">
        <v>76</v>
      </c>
      <c r="H183" s="6">
        <v>3</v>
      </c>
      <c r="I183" s="16">
        <v>16.5</v>
      </c>
      <c r="J183" s="16">
        <v>49.5</v>
      </c>
    </row>
    <row r="184" hidden="1" spans="1:10">
      <c r="A184" s="14">
        <v>46171</v>
      </c>
      <c r="B184" s="5" t="s">
        <v>2</v>
      </c>
      <c r="C184" s="15">
        <v>1607605</v>
      </c>
      <c r="D184" s="15" t="s">
        <v>21</v>
      </c>
      <c r="E184" s="15" t="s">
        <v>25</v>
      </c>
      <c r="F184" s="6">
        <v>20009262</v>
      </c>
      <c r="G184" s="15" t="s">
        <v>77</v>
      </c>
      <c r="H184" s="6">
        <v>1</v>
      </c>
      <c r="I184" s="16">
        <v>22</v>
      </c>
      <c r="J184" s="16">
        <v>22</v>
      </c>
    </row>
    <row r="185" spans="1:10">
      <c r="A185" s="14">
        <v>46171</v>
      </c>
      <c r="B185" s="5" t="s">
        <v>2</v>
      </c>
      <c r="C185" s="15">
        <v>1607605</v>
      </c>
      <c r="D185" s="15" t="s">
        <v>14</v>
      </c>
      <c r="E185" s="15" t="s">
        <v>15</v>
      </c>
      <c r="F185" s="6">
        <v>20370351</v>
      </c>
      <c r="G185" s="15" t="s">
        <v>78</v>
      </c>
      <c r="H185" s="6">
        <v>1</v>
      </c>
      <c r="I185" s="16">
        <v>27.5</v>
      </c>
      <c r="J185" s="16">
        <v>27.5</v>
      </c>
    </row>
    <row r="186" hidden="1" spans="1:10">
      <c r="A186" s="14">
        <v>46175</v>
      </c>
      <c r="B186" s="5" t="s">
        <v>2</v>
      </c>
      <c r="C186" s="15">
        <v>1608590</v>
      </c>
      <c r="D186" s="15" t="s">
        <v>21</v>
      </c>
      <c r="E186" s="15" t="s">
        <v>25</v>
      </c>
      <c r="F186" s="6">
        <v>20009261</v>
      </c>
      <c r="G186" s="15" t="s">
        <v>75</v>
      </c>
      <c r="H186" s="6">
        <v>3</v>
      </c>
      <c r="I186" s="16">
        <v>13.5</v>
      </c>
      <c r="J186" s="16">
        <v>40.5</v>
      </c>
    </row>
    <row r="187" hidden="1" spans="1:10">
      <c r="A187" s="14">
        <v>46175</v>
      </c>
      <c r="B187" s="5" t="s">
        <v>2</v>
      </c>
      <c r="C187" s="15">
        <v>1608590</v>
      </c>
      <c r="D187" s="15" t="s">
        <v>21</v>
      </c>
      <c r="E187" s="15" t="s">
        <v>25</v>
      </c>
      <c r="F187" s="6">
        <v>20324927</v>
      </c>
      <c r="G187" s="15" t="s">
        <v>76</v>
      </c>
      <c r="H187" s="6">
        <v>4</v>
      </c>
      <c r="I187" s="16">
        <v>16.5</v>
      </c>
      <c r="J187" s="16">
        <v>66</v>
      </c>
    </row>
    <row r="188" hidden="1" spans="1:10">
      <c r="A188" s="14">
        <v>46175</v>
      </c>
      <c r="B188" s="5" t="s">
        <v>2</v>
      </c>
      <c r="C188" s="15">
        <v>1608590</v>
      </c>
      <c r="D188" s="15" t="s">
        <v>21</v>
      </c>
      <c r="E188" s="15" t="s">
        <v>25</v>
      </c>
      <c r="F188" s="6">
        <v>20009262</v>
      </c>
      <c r="G188" s="15" t="s">
        <v>77</v>
      </c>
      <c r="H188" s="6">
        <v>3</v>
      </c>
      <c r="I188" s="16">
        <v>22</v>
      </c>
      <c r="J188" s="16">
        <v>66</v>
      </c>
    </row>
    <row r="189" hidden="1" spans="1:10">
      <c r="A189" s="14">
        <v>46175</v>
      </c>
      <c r="B189" s="5" t="s">
        <v>2</v>
      </c>
      <c r="C189" s="15">
        <v>1608590</v>
      </c>
      <c r="D189" s="15" t="s">
        <v>21</v>
      </c>
      <c r="E189" s="15" t="s">
        <v>25</v>
      </c>
      <c r="F189" s="6">
        <v>20011339</v>
      </c>
      <c r="G189" s="15" t="s">
        <v>79</v>
      </c>
      <c r="H189" s="6">
        <v>1</v>
      </c>
      <c r="I189" s="16">
        <v>16.5</v>
      </c>
      <c r="J189" s="16">
        <v>16.5</v>
      </c>
    </row>
    <row r="190" hidden="1" spans="1:10">
      <c r="A190" s="14">
        <v>46175</v>
      </c>
      <c r="B190" s="5" t="s">
        <v>2</v>
      </c>
      <c r="C190" s="15">
        <v>1608590</v>
      </c>
      <c r="D190" s="15" t="s">
        <v>21</v>
      </c>
      <c r="E190" s="15" t="s">
        <v>25</v>
      </c>
      <c r="F190" s="6">
        <v>20340626</v>
      </c>
      <c r="G190" s="15" t="s">
        <v>80</v>
      </c>
      <c r="H190" s="6">
        <v>1</v>
      </c>
      <c r="I190" s="16">
        <v>16.5</v>
      </c>
      <c r="J190" s="16">
        <v>16.5</v>
      </c>
    </row>
    <row r="191" hidden="1" spans="1:10">
      <c r="A191" s="14">
        <v>46175</v>
      </c>
      <c r="B191" s="5" t="s">
        <v>2</v>
      </c>
      <c r="C191" s="15">
        <v>1608590</v>
      </c>
      <c r="D191" s="15" t="s">
        <v>21</v>
      </c>
      <c r="E191" s="15" t="s">
        <v>25</v>
      </c>
      <c r="F191" s="6">
        <v>20013317</v>
      </c>
      <c r="G191" s="15" t="s">
        <v>81</v>
      </c>
      <c r="H191" s="6">
        <v>1</v>
      </c>
      <c r="I191" s="16">
        <v>27.5</v>
      </c>
      <c r="J191" s="16">
        <v>27.5</v>
      </c>
    </row>
    <row r="192" hidden="1" spans="1:10">
      <c r="A192" s="14">
        <v>46176</v>
      </c>
      <c r="B192" s="5" t="s">
        <v>2</v>
      </c>
      <c r="C192" s="15">
        <v>1608734</v>
      </c>
      <c r="D192" s="15" t="s">
        <v>58</v>
      </c>
      <c r="E192" s="15" t="s">
        <v>82</v>
      </c>
      <c r="F192" s="6">
        <v>20339168</v>
      </c>
      <c r="G192" s="15" t="s">
        <v>83</v>
      </c>
      <c r="H192" s="6">
        <v>2</v>
      </c>
      <c r="I192" s="16">
        <v>30</v>
      </c>
      <c r="J192" s="16">
        <v>60</v>
      </c>
    </row>
    <row r="193" hidden="1" spans="1:10">
      <c r="A193" s="14">
        <v>46178</v>
      </c>
      <c r="B193" s="5" t="s">
        <v>2</v>
      </c>
      <c r="C193" s="15">
        <v>1609666</v>
      </c>
      <c r="D193" s="15" t="s">
        <v>21</v>
      </c>
      <c r="E193" s="15" t="s">
        <v>25</v>
      </c>
      <c r="F193" s="6">
        <v>20009261</v>
      </c>
      <c r="G193" s="15" t="s">
        <v>75</v>
      </c>
      <c r="H193" s="6">
        <v>6</v>
      </c>
      <c r="I193" s="16">
        <v>13.5</v>
      </c>
      <c r="J193" s="16">
        <v>81</v>
      </c>
    </row>
    <row r="194" hidden="1" spans="1:10">
      <c r="A194" s="14">
        <v>46178</v>
      </c>
      <c r="B194" s="5" t="s">
        <v>2</v>
      </c>
      <c r="C194" s="15">
        <v>1609666</v>
      </c>
      <c r="D194" s="15" t="s">
        <v>21</v>
      </c>
      <c r="E194" s="15" t="s">
        <v>25</v>
      </c>
      <c r="F194" s="6">
        <v>20324927</v>
      </c>
      <c r="G194" s="15" t="s">
        <v>76</v>
      </c>
      <c r="H194" s="6">
        <v>1</v>
      </c>
      <c r="I194" s="16">
        <v>16.5</v>
      </c>
      <c r="J194" s="16">
        <v>16.5</v>
      </c>
    </row>
    <row r="195" hidden="1" spans="1:10">
      <c r="A195" s="14">
        <v>46178</v>
      </c>
      <c r="B195" s="5" t="s">
        <v>2</v>
      </c>
      <c r="C195" s="15">
        <v>1609666</v>
      </c>
      <c r="D195" s="15" t="s">
        <v>21</v>
      </c>
      <c r="E195" s="15" t="s">
        <v>25</v>
      </c>
      <c r="F195" s="6">
        <v>20009262</v>
      </c>
      <c r="G195" s="15" t="s">
        <v>77</v>
      </c>
      <c r="H195" s="6">
        <v>2</v>
      </c>
      <c r="I195" s="16">
        <v>22</v>
      </c>
      <c r="J195" s="16">
        <v>44</v>
      </c>
    </row>
    <row r="196" hidden="1" spans="1:10">
      <c r="A196" s="14">
        <v>46178</v>
      </c>
      <c r="B196" s="5" t="s">
        <v>2</v>
      </c>
      <c r="C196" s="15">
        <v>1609666</v>
      </c>
      <c r="D196" s="15" t="s">
        <v>21</v>
      </c>
      <c r="E196" s="15" t="s">
        <v>25</v>
      </c>
      <c r="F196" s="6">
        <v>20323506</v>
      </c>
      <c r="G196" s="15" t="s">
        <v>84</v>
      </c>
      <c r="H196" s="6">
        <v>2</v>
      </c>
      <c r="I196" s="16">
        <v>13.5</v>
      </c>
      <c r="J196" s="16">
        <v>27</v>
      </c>
    </row>
    <row r="197" hidden="1" spans="1:10">
      <c r="A197" s="14">
        <v>46182</v>
      </c>
      <c r="B197" s="5" t="s">
        <v>2</v>
      </c>
      <c r="C197" s="15">
        <v>1610681</v>
      </c>
      <c r="D197" s="15" t="s">
        <v>21</v>
      </c>
      <c r="E197" s="15" t="s">
        <v>25</v>
      </c>
      <c r="F197" s="6">
        <v>20009261</v>
      </c>
      <c r="G197" s="15" t="s">
        <v>75</v>
      </c>
      <c r="H197" s="6">
        <v>5</v>
      </c>
      <c r="I197" s="16">
        <v>13.5</v>
      </c>
      <c r="J197" s="16">
        <v>67.5</v>
      </c>
    </row>
    <row r="198" hidden="1" spans="1:10">
      <c r="A198" s="14">
        <v>46182</v>
      </c>
      <c r="B198" s="5" t="s">
        <v>2</v>
      </c>
      <c r="C198" s="15">
        <v>1610681</v>
      </c>
      <c r="D198" s="15" t="s">
        <v>21</v>
      </c>
      <c r="E198" s="15" t="s">
        <v>25</v>
      </c>
      <c r="F198" s="6">
        <v>20324927</v>
      </c>
      <c r="G198" s="15" t="s">
        <v>76</v>
      </c>
      <c r="H198" s="6">
        <v>3</v>
      </c>
      <c r="I198" s="16">
        <v>16.5</v>
      </c>
      <c r="J198" s="16">
        <v>49.5</v>
      </c>
    </row>
    <row r="199" hidden="1" spans="1:10">
      <c r="A199" s="14">
        <v>46182</v>
      </c>
      <c r="B199" s="5" t="s">
        <v>2</v>
      </c>
      <c r="C199" s="15">
        <v>1610681</v>
      </c>
      <c r="D199" s="15" t="s">
        <v>21</v>
      </c>
      <c r="E199" s="15" t="s">
        <v>25</v>
      </c>
      <c r="F199" s="6">
        <v>20009262</v>
      </c>
      <c r="G199" s="15" t="s">
        <v>77</v>
      </c>
      <c r="H199" s="6">
        <v>1</v>
      </c>
      <c r="I199" s="16">
        <v>22</v>
      </c>
      <c r="J199" s="16">
        <v>22</v>
      </c>
    </row>
    <row r="200" hidden="1" spans="1:10">
      <c r="A200" s="14">
        <v>46182</v>
      </c>
      <c r="B200" s="5" t="s">
        <v>2</v>
      </c>
      <c r="C200" s="15">
        <v>1610681</v>
      </c>
      <c r="D200" s="15" t="s">
        <v>21</v>
      </c>
      <c r="E200" s="15" t="s">
        <v>25</v>
      </c>
      <c r="F200" s="6">
        <v>20340626</v>
      </c>
      <c r="G200" s="15" t="s">
        <v>80</v>
      </c>
      <c r="H200" s="6">
        <v>2</v>
      </c>
      <c r="I200" s="16">
        <v>16.5</v>
      </c>
      <c r="J200" s="16">
        <v>33</v>
      </c>
    </row>
    <row r="201" hidden="1" spans="1:10">
      <c r="A201" s="14">
        <v>46182</v>
      </c>
      <c r="B201" s="5" t="s">
        <v>2</v>
      </c>
      <c r="C201" s="15">
        <v>1610681</v>
      </c>
      <c r="D201" s="15" t="s">
        <v>21</v>
      </c>
      <c r="E201" s="15" t="s">
        <v>25</v>
      </c>
      <c r="F201" s="6">
        <v>20006093</v>
      </c>
      <c r="G201" s="15" t="s">
        <v>32</v>
      </c>
      <c r="H201" s="6">
        <v>2</v>
      </c>
      <c r="I201" s="16">
        <v>8</v>
      </c>
      <c r="J201" s="16">
        <v>16</v>
      </c>
    </row>
    <row r="202" spans="1:10">
      <c r="A202" s="14">
        <v>46182</v>
      </c>
      <c r="B202" s="5" t="s">
        <v>2</v>
      </c>
      <c r="C202" s="15">
        <v>1610681</v>
      </c>
      <c r="D202" s="15" t="s">
        <v>14</v>
      </c>
      <c r="E202" s="15" t="s">
        <v>15</v>
      </c>
      <c r="F202" s="6">
        <v>20370351</v>
      </c>
      <c r="G202" s="15" t="s">
        <v>78</v>
      </c>
      <c r="H202" s="6">
        <v>1</v>
      </c>
      <c r="I202" s="16">
        <v>27.5</v>
      </c>
      <c r="J202" s="16">
        <v>27.5</v>
      </c>
    </row>
    <row r="203" hidden="1" spans="1:10">
      <c r="A203" s="14">
        <v>46184</v>
      </c>
      <c r="B203" s="5" t="s">
        <v>2</v>
      </c>
      <c r="C203" s="15">
        <v>1611417</v>
      </c>
      <c r="D203" s="15" t="s">
        <v>21</v>
      </c>
      <c r="E203" s="15" t="s">
        <v>25</v>
      </c>
      <c r="F203" s="6">
        <v>20009261</v>
      </c>
      <c r="G203" s="15" t="s">
        <v>75</v>
      </c>
      <c r="H203" s="6">
        <v>6</v>
      </c>
      <c r="I203" s="16">
        <v>13.5</v>
      </c>
      <c r="J203" s="16">
        <v>81</v>
      </c>
    </row>
    <row r="204" hidden="1" spans="1:10">
      <c r="A204" s="14">
        <v>46184</v>
      </c>
      <c r="B204" s="5" t="s">
        <v>2</v>
      </c>
      <c r="C204" s="15">
        <v>1611417</v>
      </c>
      <c r="D204" s="15" t="s">
        <v>21</v>
      </c>
      <c r="E204" s="15" t="s">
        <v>25</v>
      </c>
      <c r="F204" s="6">
        <v>20324927</v>
      </c>
      <c r="G204" s="15" t="s">
        <v>76</v>
      </c>
      <c r="H204" s="6">
        <v>2</v>
      </c>
      <c r="I204" s="16">
        <v>16.5</v>
      </c>
      <c r="J204" s="16">
        <v>33</v>
      </c>
    </row>
    <row r="205" hidden="1" spans="1:10">
      <c r="A205" s="14">
        <v>46184</v>
      </c>
      <c r="B205" s="5" t="s">
        <v>2</v>
      </c>
      <c r="C205" s="15">
        <v>1611417</v>
      </c>
      <c r="D205" s="15" t="s">
        <v>21</v>
      </c>
      <c r="E205" s="15" t="s">
        <v>25</v>
      </c>
      <c r="F205" s="6">
        <v>20323506</v>
      </c>
      <c r="G205" s="15" t="s">
        <v>84</v>
      </c>
      <c r="H205" s="6">
        <v>1</v>
      </c>
      <c r="I205" s="16">
        <v>13.5</v>
      </c>
      <c r="J205" s="16">
        <v>13.5</v>
      </c>
    </row>
    <row r="206" hidden="1" spans="1:10">
      <c r="A206" s="14">
        <v>46185</v>
      </c>
      <c r="B206" s="5" t="s">
        <v>2</v>
      </c>
      <c r="C206" s="15">
        <v>1611617</v>
      </c>
      <c r="D206" s="15" t="s">
        <v>58</v>
      </c>
      <c r="E206" s="15" t="s">
        <v>82</v>
      </c>
      <c r="F206" s="6">
        <v>20339168</v>
      </c>
      <c r="G206" s="15" t="s">
        <v>83</v>
      </c>
      <c r="H206" s="6">
        <v>1</v>
      </c>
      <c r="I206" s="16">
        <v>30</v>
      </c>
      <c r="J206" s="16">
        <v>30</v>
      </c>
    </row>
    <row r="207" hidden="1" spans="1:10">
      <c r="A207" s="14">
        <v>46188</v>
      </c>
      <c r="B207" s="5" t="s">
        <v>2</v>
      </c>
      <c r="C207" s="15">
        <v>1612262</v>
      </c>
      <c r="D207" s="15" t="s">
        <v>21</v>
      </c>
      <c r="E207" s="15" t="s">
        <v>25</v>
      </c>
      <c r="F207" s="6">
        <v>20009261</v>
      </c>
      <c r="G207" s="15" t="s">
        <v>75</v>
      </c>
      <c r="H207" s="6">
        <v>9</v>
      </c>
      <c r="I207" s="16">
        <v>13.5</v>
      </c>
      <c r="J207" s="16">
        <v>121.5</v>
      </c>
    </row>
    <row r="208" hidden="1" spans="1:10">
      <c r="A208" s="14">
        <v>46188</v>
      </c>
      <c r="B208" s="5" t="s">
        <v>2</v>
      </c>
      <c r="C208" s="15">
        <v>1612262</v>
      </c>
      <c r="D208" s="15" t="s">
        <v>21</v>
      </c>
      <c r="E208" s="15" t="s">
        <v>25</v>
      </c>
      <c r="F208" s="6">
        <v>20324927</v>
      </c>
      <c r="G208" s="15" t="s">
        <v>76</v>
      </c>
      <c r="H208" s="6">
        <v>4</v>
      </c>
      <c r="I208" s="16">
        <v>16.5</v>
      </c>
      <c r="J208" s="16">
        <v>66</v>
      </c>
    </row>
    <row r="209" hidden="1" spans="1:10">
      <c r="A209" s="14">
        <v>46188</v>
      </c>
      <c r="B209" s="5" t="s">
        <v>2</v>
      </c>
      <c r="C209" s="15">
        <v>1612262</v>
      </c>
      <c r="D209" s="15" t="s">
        <v>21</v>
      </c>
      <c r="E209" s="15" t="s">
        <v>25</v>
      </c>
      <c r="F209" s="6">
        <v>20009262</v>
      </c>
      <c r="G209" s="15" t="s">
        <v>77</v>
      </c>
      <c r="H209" s="6">
        <v>1</v>
      </c>
      <c r="I209" s="16">
        <v>22</v>
      </c>
      <c r="J209" s="16">
        <v>22</v>
      </c>
    </row>
    <row r="210" hidden="1" spans="1:10">
      <c r="A210" s="14">
        <v>46188</v>
      </c>
      <c r="B210" s="5" t="s">
        <v>2</v>
      </c>
      <c r="C210" s="15">
        <v>1612324</v>
      </c>
      <c r="D210" s="15" t="s">
        <v>58</v>
      </c>
      <c r="E210" s="15" t="s">
        <v>82</v>
      </c>
      <c r="F210" s="6">
        <v>20339168</v>
      </c>
      <c r="G210" s="15" t="s">
        <v>83</v>
      </c>
      <c r="H210" s="6">
        <v>1</v>
      </c>
      <c r="I210" s="16">
        <v>30</v>
      </c>
      <c r="J210" s="16">
        <v>30</v>
      </c>
    </row>
    <row r="211" spans="1:10">
      <c r="A211" s="14">
        <v>46189</v>
      </c>
      <c r="B211" s="5" t="s">
        <v>2</v>
      </c>
      <c r="C211" s="15">
        <v>1612667</v>
      </c>
      <c r="D211" s="15" t="s">
        <v>14</v>
      </c>
      <c r="E211" s="15" t="s">
        <v>14</v>
      </c>
      <c r="F211" s="6">
        <v>20429919</v>
      </c>
      <c r="G211" s="15" t="s">
        <v>85</v>
      </c>
      <c r="H211" s="6">
        <v>1</v>
      </c>
      <c r="I211" s="16">
        <v>165</v>
      </c>
      <c r="J211" s="16">
        <v>165</v>
      </c>
    </row>
    <row r="212" hidden="1" spans="1:10">
      <c r="A212" s="14">
        <v>46189</v>
      </c>
      <c r="B212" s="5" t="s">
        <v>2</v>
      </c>
      <c r="C212" s="15">
        <v>1612667</v>
      </c>
      <c r="D212" s="15" t="s">
        <v>21</v>
      </c>
      <c r="E212" s="15" t="s">
        <v>25</v>
      </c>
      <c r="F212" s="6">
        <v>20012122</v>
      </c>
      <c r="G212" s="15" t="s">
        <v>86</v>
      </c>
      <c r="H212" s="6">
        <v>1</v>
      </c>
      <c r="I212" s="16">
        <v>8</v>
      </c>
      <c r="J212" s="16">
        <v>8</v>
      </c>
    </row>
    <row r="213" hidden="1" spans="1:10">
      <c r="A213" s="14">
        <v>46189</v>
      </c>
      <c r="B213" s="5" t="s">
        <v>2</v>
      </c>
      <c r="C213" s="15">
        <v>1612667</v>
      </c>
      <c r="D213" s="15" t="s">
        <v>21</v>
      </c>
      <c r="E213" s="15" t="s">
        <v>25</v>
      </c>
      <c r="F213" s="6">
        <v>20011427</v>
      </c>
      <c r="G213" s="15" t="s">
        <v>87</v>
      </c>
      <c r="H213" s="6">
        <v>1</v>
      </c>
      <c r="I213" s="16">
        <v>8</v>
      </c>
      <c r="J213" s="16">
        <v>8</v>
      </c>
    </row>
    <row r="214" hidden="1" spans="1:10">
      <c r="A214" s="14">
        <v>46189</v>
      </c>
      <c r="B214" s="5" t="s">
        <v>2</v>
      </c>
      <c r="C214" s="15">
        <v>1612667</v>
      </c>
      <c r="D214" s="15" t="s">
        <v>21</v>
      </c>
      <c r="E214" s="15" t="s">
        <v>25</v>
      </c>
      <c r="F214" s="6">
        <v>20002803</v>
      </c>
      <c r="G214" s="15" t="s">
        <v>88</v>
      </c>
      <c r="H214" s="6">
        <v>1</v>
      </c>
      <c r="I214" s="16">
        <v>8</v>
      </c>
      <c r="J214" s="16">
        <v>8</v>
      </c>
    </row>
    <row r="215" hidden="1" spans="1:10">
      <c r="A215" s="14">
        <v>46189</v>
      </c>
      <c r="B215" s="5" t="s">
        <v>2</v>
      </c>
      <c r="C215" s="15">
        <v>1612667</v>
      </c>
      <c r="D215" s="15" t="s">
        <v>21</v>
      </c>
      <c r="E215" s="15" t="s">
        <v>25</v>
      </c>
      <c r="F215" s="6">
        <v>20009261</v>
      </c>
      <c r="G215" s="15" t="s">
        <v>75</v>
      </c>
      <c r="H215" s="6">
        <v>2</v>
      </c>
      <c r="I215" s="16">
        <v>13.5</v>
      </c>
      <c r="J215" s="16">
        <v>27</v>
      </c>
    </row>
    <row r="216" hidden="1" spans="1:10">
      <c r="A216" s="14">
        <v>46189</v>
      </c>
      <c r="B216" s="5" t="s">
        <v>2</v>
      </c>
      <c r="C216" s="15">
        <v>1612667</v>
      </c>
      <c r="D216" s="15" t="s">
        <v>21</v>
      </c>
      <c r="E216" s="15" t="s">
        <v>25</v>
      </c>
      <c r="F216" s="6">
        <v>20324927</v>
      </c>
      <c r="G216" s="15" t="s">
        <v>76</v>
      </c>
      <c r="H216" s="6">
        <v>2</v>
      </c>
      <c r="I216" s="16">
        <v>16.5</v>
      </c>
      <c r="J216" s="16">
        <v>33</v>
      </c>
    </row>
    <row r="217" hidden="1" spans="1:10">
      <c r="A217" s="14">
        <v>46189</v>
      </c>
      <c r="B217" s="5" t="s">
        <v>2</v>
      </c>
      <c r="C217" s="15">
        <v>1612667</v>
      </c>
      <c r="D217" s="15" t="s">
        <v>21</v>
      </c>
      <c r="E217" s="15" t="s">
        <v>25</v>
      </c>
      <c r="F217" s="6">
        <v>20370364</v>
      </c>
      <c r="G217" s="15" t="s">
        <v>89</v>
      </c>
      <c r="H217" s="6">
        <v>1</v>
      </c>
      <c r="I217" s="16">
        <v>16</v>
      </c>
      <c r="J217" s="16">
        <v>16</v>
      </c>
    </row>
    <row r="218" hidden="1" spans="1:10">
      <c r="A218" s="14">
        <v>46189</v>
      </c>
      <c r="B218" s="5" t="s">
        <v>2</v>
      </c>
      <c r="C218" s="15">
        <v>1612667</v>
      </c>
      <c r="D218" s="15" t="s">
        <v>21</v>
      </c>
      <c r="E218" s="15" t="s">
        <v>25</v>
      </c>
      <c r="F218" s="6">
        <v>20323506</v>
      </c>
      <c r="G218" s="15" t="s">
        <v>84</v>
      </c>
      <c r="H218" s="6">
        <v>2</v>
      </c>
      <c r="I218" s="16">
        <v>13.5</v>
      </c>
      <c r="J218" s="16">
        <v>27</v>
      </c>
    </row>
    <row r="219" hidden="1" spans="1:10">
      <c r="A219" s="14">
        <v>46189</v>
      </c>
      <c r="B219" s="5" t="s">
        <v>2</v>
      </c>
      <c r="C219" s="15">
        <v>1612667</v>
      </c>
      <c r="D219" s="15" t="s">
        <v>21</v>
      </c>
      <c r="E219" s="15" t="s">
        <v>25</v>
      </c>
      <c r="F219" s="6">
        <v>20005858</v>
      </c>
      <c r="G219" s="15" t="s">
        <v>90</v>
      </c>
      <c r="H219" s="6">
        <v>1</v>
      </c>
      <c r="I219" s="16">
        <v>8</v>
      </c>
      <c r="J219" s="16">
        <v>8</v>
      </c>
    </row>
    <row r="220" hidden="1" spans="1:10">
      <c r="A220" s="14">
        <v>46190</v>
      </c>
      <c r="B220" s="5" t="s">
        <v>2</v>
      </c>
      <c r="C220" s="15">
        <v>1612843</v>
      </c>
      <c r="D220" s="15" t="s">
        <v>21</v>
      </c>
      <c r="E220" s="15" t="s">
        <v>22</v>
      </c>
      <c r="F220" s="6">
        <v>20429961</v>
      </c>
      <c r="G220" s="15" t="s">
        <v>91</v>
      </c>
      <c r="H220" s="6">
        <v>1</v>
      </c>
      <c r="I220" s="16">
        <v>35</v>
      </c>
      <c r="J220" s="16">
        <v>35</v>
      </c>
    </row>
    <row r="221" hidden="1" spans="1:10">
      <c r="A221" s="14">
        <v>46190</v>
      </c>
      <c r="B221" s="5" t="s">
        <v>2</v>
      </c>
      <c r="C221" s="15">
        <v>1613090</v>
      </c>
      <c r="D221" s="15" t="s">
        <v>21</v>
      </c>
      <c r="E221" s="15" t="s">
        <v>25</v>
      </c>
      <c r="F221" s="6">
        <v>20009261</v>
      </c>
      <c r="G221" s="15" t="s">
        <v>75</v>
      </c>
      <c r="H221" s="6">
        <v>5</v>
      </c>
      <c r="I221" s="16">
        <v>13.5</v>
      </c>
      <c r="J221" s="16">
        <v>67.5</v>
      </c>
    </row>
    <row r="222" hidden="1" spans="1:10">
      <c r="A222" s="14">
        <v>46190</v>
      </c>
      <c r="B222" s="5" t="s">
        <v>2</v>
      </c>
      <c r="C222" s="15">
        <v>1613090</v>
      </c>
      <c r="D222" s="15" t="s">
        <v>21</v>
      </c>
      <c r="E222" s="15" t="s">
        <v>25</v>
      </c>
      <c r="F222" s="6">
        <v>20324927</v>
      </c>
      <c r="G222" s="15" t="s">
        <v>76</v>
      </c>
      <c r="H222" s="6">
        <v>1</v>
      </c>
      <c r="I222" s="16">
        <v>16.5</v>
      </c>
      <c r="J222" s="16">
        <v>16.5</v>
      </c>
    </row>
    <row r="223" hidden="1" spans="1:10">
      <c r="A223" s="14">
        <v>46190</v>
      </c>
      <c r="B223" s="5" t="s">
        <v>2</v>
      </c>
      <c r="C223" s="15">
        <v>1613090</v>
      </c>
      <c r="D223" s="15" t="s">
        <v>21</v>
      </c>
      <c r="E223" s="15" t="s">
        <v>25</v>
      </c>
      <c r="F223" s="6">
        <v>20009262</v>
      </c>
      <c r="G223" s="15" t="s">
        <v>77</v>
      </c>
      <c r="H223" s="6">
        <v>2</v>
      </c>
      <c r="I223" s="16">
        <v>22</v>
      </c>
      <c r="J223" s="16">
        <v>44</v>
      </c>
    </row>
    <row r="224" hidden="1" spans="1:10">
      <c r="A224" s="14">
        <v>46190</v>
      </c>
      <c r="B224" s="5" t="s">
        <v>2</v>
      </c>
      <c r="C224" s="15">
        <v>1613090</v>
      </c>
      <c r="D224" s="15" t="s">
        <v>21</v>
      </c>
      <c r="E224" s="15" t="s">
        <v>25</v>
      </c>
      <c r="F224" s="6">
        <v>20323506</v>
      </c>
      <c r="G224" s="15" t="s">
        <v>84</v>
      </c>
      <c r="H224" s="6">
        <v>1</v>
      </c>
      <c r="I224" s="16">
        <v>13.5</v>
      </c>
      <c r="J224" s="16">
        <v>13.5</v>
      </c>
    </row>
    <row r="225" hidden="1" spans="1:12">
      <c r="A225" s="14">
        <v>46190</v>
      </c>
      <c r="B225" s="5" t="s">
        <v>2</v>
      </c>
      <c r="C225" s="15">
        <v>1613090</v>
      </c>
      <c r="D225" s="15" t="s">
        <v>21</v>
      </c>
      <c r="E225" s="15" t="s">
        <v>25</v>
      </c>
      <c r="F225" s="6">
        <v>20006093</v>
      </c>
      <c r="G225" s="15" t="s">
        <v>32</v>
      </c>
      <c r="H225" s="6">
        <v>2</v>
      </c>
      <c r="I225" s="16">
        <v>8</v>
      </c>
      <c r="J225" s="16">
        <v>16</v>
      </c>
    </row>
    <row r="226" spans="1:12">
      <c r="A226" s="14">
        <v>46190</v>
      </c>
      <c r="B226" s="5" t="s">
        <v>2</v>
      </c>
      <c r="C226" s="15">
        <v>1613090</v>
      </c>
      <c r="D226" s="15" t="s">
        <v>14</v>
      </c>
      <c r="E226" s="15" t="s">
        <v>15</v>
      </c>
      <c r="F226" s="6">
        <v>20370351</v>
      </c>
      <c r="G226" s="15" t="s">
        <v>78</v>
      </c>
      <c r="H226" s="6">
        <v>1</v>
      </c>
      <c r="I226" s="16">
        <v>27.5</v>
      </c>
      <c r="J226" s="16">
        <v>27.5</v>
      </c>
      <c r="L226">
        <f>6534/5.5</f>
        <v>1188</v>
      </c>
    </row>
    <row r="227" hidden="1" spans="1:12">
      <c r="A227" s="14">
        <v>46195</v>
      </c>
      <c r="B227" s="5" t="s">
        <v>2</v>
      </c>
      <c r="C227" s="15">
        <v>1614019</v>
      </c>
      <c r="D227" s="15" t="s">
        <v>18</v>
      </c>
      <c r="E227" s="15" t="s">
        <v>92</v>
      </c>
      <c r="F227" s="6">
        <v>20412023</v>
      </c>
      <c r="G227" s="15" t="s">
        <v>93</v>
      </c>
      <c r="H227" s="6">
        <v>6</v>
      </c>
      <c r="I227" s="16">
        <v>30</v>
      </c>
      <c r="J227" s="16">
        <v>180</v>
      </c>
    </row>
    <row r="228" hidden="1" spans="1:12">
      <c r="A228" s="14">
        <v>46195</v>
      </c>
      <c r="B228" s="5" t="s">
        <v>2</v>
      </c>
      <c r="C228" s="15">
        <v>1614120</v>
      </c>
      <c r="D228" s="15" t="s">
        <v>21</v>
      </c>
      <c r="E228" s="15" t="s">
        <v>25</v>
      </c>
      <c r="F228" s="6">
        <v>20009261</v>
      </c>
      <c r="G228" s="15" t="s">
        <v>75</v>
      </c>
      <c r="H228" s="6">
        <v>8</v>
      </c>
      <c r="I228" s="16">
        <v>13.5</v>
      </c>
      <c r="J228" s="16">
        <v>108</v>
      </c>
    </row>
    <row r="229" hidden="1" spans="1:12">
      <c r="A229" s="14">
        <v>46195</v>
      </c>
      <c r="B229" s="5" t="s">
        <v>2</v>
      </c>
      <c r="C229" s="15">
        <v>1614120</v>
      </c>
      <c r="D229" s="15" t="s">
        <v>21</v>
      </c>
      <c r="E229" s="15" t="s">
        <v>25</v>
      </c>
      <c r="F229" s="6">
        <v>20324927</v>
      </c>
      <c r="G229" s="15" t="s">
        <v>76</v>
      </c>
      <c r="H229" s="6">
        <v>4</v>
      </c>
      <c r="I229" s="16">
        <v>16.5</v>
      </c>
      <c r="J229" s="16">
        <v>66</v>
      </c>
    </row>
    <row r="230" hidden="1" spans="1:12">
      <c r="A230" s="14">
        <v>46195</v>
      </c>
      <c r="B230" s="5" t="s">
        <v>2</v>
      </c>
      <c r="C230" s="15">
        <v>1614120</v>
      </c>
      <c r="D230" s="15" t="s">
        <v>21</v>
      </c>
      <c r="E230" s="15" t="s">
        <v>25</v>
      </c>
      <c r="F230" s="6">
        <v>20009262</v>
      </c>
      <c r="G230" s="15" t="s">
        <v>77</v>
      </c>
      <c r="H230" s="6">
        <v>4</v>
      </c>
      <c r="I230" s="16">
        <v>22</v>
      </c>
      <c r="J230" s="16">
        <v>88</v>
      </c>
    </row>
    <row r="231" hidden="1" spans="1:12">
      <c r="A231" s="14">
        <v>46195</v>
      </c>
      <c r="B231" s="5" t="s">
        <v>2</v>
      </c>
      <c r="C231" s="15">
        <v>1614120</v>
      </c>
      <c r="D231" s="15" t="s">
        <v>21</v>
      </c>
      <c r="E231" s="15" t="s">
        <v>25</v>
      </c>
      <c r="F231" s="6">
        <v>20323506</v>
      </c>
      <c r="G231" s="15" t="s">
        <v>84</v>
      </c>
      <c r="H231" s="6">
        <v>1</v>
      </c>
      <c r="I231" s="16">
        <v>13.5</v>
      </c>
      <c r="J231" s="16">
        <v>13.5</v>
      </c>
    </row>
    <row r="232" hidden="1" spans="1:12">
      <c r="A232" s="14">
        <v>46195</v>
      </c>
      <c r="B232" s="5" t="s">
        <v>2</v>
      </c>
      <c r="C232" s="15">
        <v>1614120</v>
      </c>
      <c r="D232" s="15" t="s">
        <v>21</v>
      </c>
      <c r="E232" s="15" t="s">
        <v>25</v>
      </c>
      <c r="F232" s="6">
        <v>20006093</v>
      </c>
      <c r="G232" s="15" t="s">
        <v>32</v>
      </c>
      <c r="H232" s="6">
        <v>1</v>
      </c>
      <c r="I232" s="16">
        <v>8</v>
      </c>
      <c r="J232" s="16">
        <v>8</v>
      </c>
    </row>
    <row r="233" hidden="1" spans="1:12">
      <c r="A233" s="18" t="s">
        <v>2</v>
      </c>
      <c r="C233" s="18" t="s">
        <v>2</v>
      </c>
      <c r="D233" s="18" t="s">
        <v>2</v>
      </c>
      <c r="E233" s="18" t="s">
        <v>2</v>
      </c>
      <c r="F233" s="19" t="s">
        <v>2</v>
      </c>
      <c r="G233" s="18" t="s">
        <v>2</v>
      </c>
      <c r="H233" s="18" t="s">
        <v>2</v>
      </c>
      <c r="I233" s="18" t="s">
        <v>2</v>
      </c>
      <c r="J233" s="18" t="s">
        <v>2</v>
      </c>
    </row>
    <row r="234" ht="14.25" hidden="1" spans="1:12">
      <c r="A234" s="11" t="s">
        <v>94</v>
      </c>
      <c r="B234" s="8" t="s">
        <v>2</v>
      </c>
      <c r="C234" s="8" t="s">
        <v>2</v>
      </c>
      <c r="D234" s="8" t="s">
        <v>2</v>
      </c>
      <c r="E234" s="8" t="s">
        <v>2</v>
      </c>
      <c r="F234" s="8" t="s">
        <v>2</v>
      </c>
      <c r="G234" s="8" t="s">
        <v>2</v>
      </c>
      <c r="H234" s="12">
        <v>198</v>
      </c>
      <c r="I234" s="13"/>
      <c r="J234" s="13">
        <v>8922.5</v>
      </c>
    </row>
    <row r="235" hidden="1" spans="1:12">
      <c r="A235" s="20">
        <v>46168</v>
      </c>
      <c r="B235" s="21" t="s">
        <v>2</v>
      </c>
      <c r="C235" s="22">
        <v>1606481</v>
      </c>
      <c r="D235" s="22" t="s">
        <v>21</v>
      </c>
      <c r="E235" s="22" t="s">
        <v>22</v>
      </c>
      <c r="F235" s="23">
        <v>20013855</v>
      </c>
      <c r="G235" s="22" t="s">
        <v>95</v>
      </c>
      <c r="H235" s="23">
        <v>1</v>
      </c>
      <c r="I235" s="24">
        <v>66</v>
      </c>
      <c r="J235" s="24">
        <v>66</v>
      </c>
    </row>
    <row r="236" hidden="1" spans="1:12">
      <c r="A236" s="20">
        <v>46168</v>
      </c>
      <c r="B236" s="21" t="s">
        <v>2</v>
      </c>
      <c r="C236" s="22">
        <v>1606481</v>
      </c>
      <c r="D236" s="22" t="s">
        <v>21</v>
      </c>
      <c r="E236" s="22" t="s">
        <v>22</v>
      </c>
      <c r="F236" s="23">
        <v>20378486</v>
      </c>
      <c r="G236" s="22" t="s">
        <v>96</v>
      </c>
      <c r="H236" s="23">
        <v>1</v>
      </c>
      <c r="I236" s="24">
        <v>35</v>
      </c>
      <c r="J236" s="24">
        <v>35</v>
      </c>
    </row>
    <row r="237" hidden="1" spans="1:12">
      <c r="A237" s="20">
        <v>46168</v>
      </c>
      <c r="B237" s="21" t="s">
        <v>2</v>
      </c>
      <c r="C237" s="22">
        <v>1606481</v>
      </c>
      <c r="D237" s="22" t="s">
        <v>21</v>
      </c>
      <c r="E237" s="22" t="s">
        <v>22</v>
      </c>
      <c r="F237" s="23">
        <v>20014286</v>
      </c>
      <c r="G237" s="22" t="s">
        <v>97</v>
      </c>
      <c r="H237" s="23">
        <v>1</v>
      </c>
      <c r="I237" s="24">
        <v>44</v>
      </c>
      <c r="J237" s="24">
        <v>44</v>
      </c>
    </row>
    <row r="238" hidden="1" spans="1:12">
      <c r="A238" s="20">
        <v>46168</v>
      </c>
      <c r="B238" s="21" t="s">
        <v>2</v>
      </c>
      <c r="C238" s="22">
        <v>1606481</v>
      </c>
      <c r="D238" s="22" t="s">
        <v>21</v>
      </c>
      <c r="E238" s="22" t="s">
        <v>22</v>
      </c>
      <c r="F238" s="23">
        <v>20013437</v>
      </c>
      <c r="G238" s="22" t="s">
        <v>98</v>
      </c>
      <c r="H238" s="23">
        <v>2</v>
      </c>
      <c r="I238" s="24">
        <v>28</v>
      </c>
      <c r="J238" s="24">
        <v>56</v>
      </c>
    </row>
    <row r="239" hidden="1" spans="1:12">
      <c r="A239" s="20">
        <v>46168</v>
      </c>
      <c r="B239" s="21" t="s">
        <v>2</v>
      </c>
      <c r="C239" s="22">
        <v>1606481</v>
      </c>
      <c r="D239" s="22" t="s">
        <v>21</v>
      </c>
      <c r="E239" s="22" t="s">
        <v>22</v>
      </c>
      <c r="F239" s="23">
        <v>20324395</v>
      </c>
      <c r="G239" s="22" t="s">
        <v>99</v>
      </c>
      <c r="H239" s="23">
        <v>1</v>
      </c>
      <c r="I239" s="24">
        <v>25</v>
      </c>
      <c r="J239" s="24">
        <v>25</v>
      </c>
    </row>
    <row r="240" hidden="1" spans="1:12">
      <c r="A240" s="20">
        <v>46168</v>
      </c>
      <c r="B240" s="21" t="s">
        <v>2</v>
      </c>
      <c r="C240" s="22">
        <v>1606481</v>
      </c>
      <c r="D240" s="22" t="s">
        <v>21</v>
      </c>
      <c r="E240" s="22" t="s">
        <v>22</v>
      </c>
      <c r="F240" s="23">
        <v>20007873</v>
      </c>
      <c r="G240" s="22" t="s">
        <v>100</v>
      </c>
      <c r="H240" s="23">
        <v>1</v>
      </c>
      <c r="I240" s="24">
        <v>35</v>
      </c>
      <c r="J240" s="24">
        <v>35</v>
      </c>
    </row>
    <row r="241" hidden="1" spans="1:11">
      <c r="A241" s="20">
        <v>46168</v>
      </c>
      <c r="B241" s="21" t="s">
        <v>2</v>
      </c>
      <c r="C241" s="22">
        <v>1606481</v>
      </c>
      <c r="D241" s="22" t="s">
        <v>21</v>
      </c>
      <c r="E241" s="22" t="s">
        <v>22</v>
      </c>
      <c r="F241" s="23">
        <v>20013860</v>
      </c>
      <c r="G241" s="22" t="s">
        <v>101</v>
      </c>
      <c r="H241" s="23">
        <v>1</v>
      </c>
      <c r="I241" s="24">
        <v>44</v>
      </c>
      <c r="J241" s="24">
        <v>44</v>
      </c>
    </row>
    <row r="242" hidden="1" spans="1:11">
      <c r="A242" s="20">
        <v>46168</v>
      </c>
      <c r="B242" s="21" t="s">
        <v>2</v>
      </c>
      <c r="C242" s="22">
        <v>1606494</v>
      </c>
      <c r="D242" s="22" t="s">
        <v>21</v>
      </c>
      <c r="E242" s="22" t="s">
        <v>25</v>
      </c>
      <c r="F242" s="23">
        <v>20005860</v>
      </c>
      <c r="G242" s="22" t="s">
        <v>102</v>
      </c>
      <c r="H242" s="23">
        <v>1</v>
      </c>
      <c r="I242" s="24">
        <v>11</v>
      </c>
      <c r="J242" s="24">
        <v>11</v>
      </c>
    </row>
    <row r="243" hidden="1" spans="1:11">
      <c r="A243" s="20">
        <v>46168</v>
      </c>
      <c r="B243" s="21" t="s">
        <v>2</v>
      </c>
      <c r="C243" s="22">
        <v>1606494</v>
      </c>
      <c r="D243" s="22" t="s">
        <v>21</v>
      </c>
      <c r="E243" s="22" t="s">
        <v>25</v>
      </c>
      <c r="F243" s="23">
        <v>20008081</v>
      </c>
      <c r="G243" s="22" t="s">
        <v>103</v>
      </c>
      <c r="H243" s="23">
        <v>1</v>
      </c>
      <c r="I243" s="24">
        <v>8</v>
      </c>
      <c r="J243" s="24">
        <v>8</v>
      </c>
    </row>
    <row r="244" hidden="1" spans="1:11">
      <c r="A244" s="20">
        <v>46168</v>
      </c>
      <c r="B244" s="21" t="s">
        <v>2</v>
      </c>
      <c r="C244" s="22">
        <v>1606494</v>
      </c>
      <c r="D244" s="22" t="s">
        <v>21</v>
      </c>
      <c r="E244" s="22" t="s">
        <v>28</v>
      </c>
      <c r="F244" s="23">
        <v>20315682</v>
      </c>
      <c r="G244" s="22" t="s">
        <v>104</v>
      </c>
      <c r="H244" s="23">
        <v>1</v>
      </c>
      <c r="I244" s="24">
        <v>16.5</v>
      </c>
      <c r="J244" s="24">
        <v>16.5</v>
      </c>
    </row>
    <row r="245" hidden="1" spans="1:11">
      <c r="A245" s="20">
        <v>46168</v>
      </c>
      <c r="B245" s="21" t="s">
        <v>2</v>
      </c>
      <c r="C245" s="22">
        <v>1606494</v>
      </c>
      <c r="D245" s="22" t="s">
        <v>21</v>
      </c>
      <c r="E245" s="22" t="s">
        <v>28</v>
      </c>
      <c r="F245" s="23">
        <v>20310799</v>
      </c>
      <c r="G245" s="22" t="s">
        <v>105</v>
      </c>
      <c r="H245" s="23">
        <v>1</v>
      </c>
      <c r="I245" s="24">
        <v>16.5</v>
      </c>
      <c r="J245" s="24">
        <v>16.5</v>
      </c>
    </row>
    <row r="246" hidden="1" spans="1:11">
      <c r="A246" s="20">
        <v>46168</v>
      </c>
      <c r="B246" s="21" t="s">
        <v>2</v>
      </c>
      <c r="C246" s="22">
        <v>1606494</v>
      </c>
      <c r="D246" s="22" t="s">
        <v>21</v>
      </c>
      <c r="E246" s="22" t="s">
        <v>28</v>
      </c>
      <c r="F246" s="23">
        <v>20355112</v>
      </c>
      <c r="G246" s="22" t="s">
        <v>106</v>
      </c>
      <c r="H246" s="23">
        <v>1</v>
      </c>
      <c r="I246" s="24">
        <v>16.5</v>
      </c>
      <c r="J246" s="24">
        <v>16.5</v>
      </c>
    </row>
    <row r="247" spans="1:11">
      <c r="A247" s="20">
        <v>46169</v>
      </c>
      <c r="B247" s="21" t="s">
        <v>2</v>
      </c>
      <c r="C247" s="22">
        <v>1606885</v>
      </c>
      <c r="D247" s="22" t="s">
        <v>14</v>
      </c>
      <c r="E247" s="22" t="s">
        <v>14</v>
      </c>
      <c r="F247" s="23">
        <v>20008595</v>
      </c>
      <c r="G247" s="22" t="s">
        <v>107</v>
      </c>
      <c r="H247" s="23">
        <v>1</v>
      </c>
      <c r="I247" s="24">
        <v>165</v>
      </c>
      <c r="J247" s="24">
        <v>165</v>
      </c>
      <c r="K247">
        <v>4972</v>
      </c>
    </row>
    <row r="248" hidden="1" spans="1:11">
      <c r="A248" s="20">
        <v>46169</v>
      </c>
      <c r="B248" s="21" t="s">
        <v>2</v>
      </c>
      <c r="C248" s="22">
        <v>1606885</v>
      </c>
      <c r="D248" s="22" t="s">
        <v>21</v>
      </c>
      <c r="E248" s="22" t="s">
        <v>25</v>
      </c>
      <c r="F248" s="23">
        <v>20012122</v>
      </c>
      <c r="G248" s="22" t="s">
        <v>86</v>
      </c>
      <c r="H248" s="23">
        <v>4</v>
      </c>
      <c r="I248" s="24">
        <v>8</v>
      </c>
      <c r="J248" s="24">
        <v>32</v>
      </c>
    </row>
    <row r="249" spans="1:11">
      <c r="A249" s="20">
        <v>46169</v>
      </c>
      <c r="B249" s="21" t="s">
        <v>2</v>
      </c>
      <c r="C249" s="22">
        <v>1606885</v>
      </c>
      <c r="D249" s="22" t="s">
        <v>14</v>
      </c>
      <c r="E249" s="22" t="s">
        <v>15</v>
      </c>
      <c r="F249" s="23">
        <v>20002375</v>
      </c>
      <c r="G249" s="22" t="s">
        <v>108</v>
      </c>
      <c r="H249" s="23">
        <v>2</v>
      </c>
      <c r="I249" s="24">
        <v>38.5</v>
      </c>
      <c r="J249" s="24">
        <v>77</v>
      </c>
      <c r="K249" s="17">
        <f>K247/5.5</f>
        <v>904</v>
      </c>
    </row>
    <row r="250" hidden="1" spans="1:11">
      <c r="A250" s="20">
        <v>46170</v>
      </c>
      <c r="B250" s="21" t="s">
        <v>2</v>
      </c>
      <c r="C250" s="22">
        <v>1607226</v>
      </c>
      <c r="D250" s="22" t="s">
        <v>21</v>
      </c>
      <c r="E250" s="22" t="s">
        <v>22</v>
      </c>
      <c r="F250" s="23">
        <v>20348125</v>
      </c>
      <c r="G250" s="22" t="s">
        <v>109</v>
      </c>
      <c r="H250" s="23">
        <v>2</v>
      </c>
      <c r="I250" s="24">
        <v>25</v>
      </c>
      <c r="J250" s="24">
        <v>50</v>
      </c>
    </row>
    <row r="251" hidden="1" spans="1:11">
      <c r="A251" s="20">
        <v>46170</v>
      </c>
      <c r="B251" s="21" t="s">
        <v>2</v>
      </c>
      <c r="C251" s="22">
        <v>1607226</v>
      </c>
      <c r="D251" s="22" t="s">
        <v>21</v>
      </c>
      <c r="E251" s="22" t="s">
        <v>22</v>
      </c>
      <c r="F251" s="23">
        <v>20013872</v>
      </c>
      <c r="G251" s="22" t="s">
        <v>110</v>
      </c>
      <c r="H251" s="23">
        <v>1</v>
      </c>
      <c r="I251" s="24">
        <v>25</v>
      </c>
      <c r="J251" s="24">
        <v>25</v>
      </c>
    </row>
    <row r="252" hidden="1" spans="1:11">
      <c r="A252" s="20">
        <v>46170</v>
      </c>
      <c r="B252" s="21" t="s">
        <v>2</v>
      </c>
      <c r="C252" s="22">
        <v>1607226</v>
      </c>
      <c r="D252" s="22" t="s">
        <v>21</v>
      </c>
      <c r="E252" s="22" t="s">
        <v>22</v>
      </c>
      <c r="F252" s="23">
        <v>20321304</v>
      </c>
      <c r="G252" s="22" t="s">
        <v>111</v>
      </c>
      <c r="H252" s="23">
        <v>2</v>
      </c>
      <c r="I252" s="24">
        <v>25</v>
      </c>
      <c r="J252" s="24">
        <v>50</v>
      </c>
    </row>
    <row r="253" hidden="1" spans="1:11">
      <c r="A253" s="20">
        <v>46170</v>
      </c>
      <c r="B253" s="21" t="s">
        <v>2</v>
      </c>
      <c r="C253" s="22">
        <v>1607226</v>
      </c>
      <c r="D253" s="22" t="s">
        <v>21</v>
      </c>
      <c r="E253" s="22" t="s">
        <v>22</v>
      </c>
      <c r="F253" s="23">
        <v>20313086</v>
      </c>
      <c r="G253" s="22" t="s">
        <v>112</v>
      </c>
      <c r="H253" s="23">
        <v>2</v>
      </c>
      <c r="I253" s="24">
        <v>25</v>
      </c>
      <c r="J253" s="24">
        <v>50</v>
      </c>
    </row>
    <row r="254" hidden="1" spans="1:11">
      <c r="A254" s="20">
        <v>46170</v>
      </c>
      <c r="B254" s="21" t="s">
        <v>2</v>
      </c>
      <c r="C254" s="22">
        <v>1607226</v>
      </c>
      <c r="D254" s="22" t="s">
        <v>21</v>
      </c>
      <c r="E254" s="22" t="s">
        <v>22</v>
      </c>
      <c r="F254" s="23">
        <v>20318020</v>
      </c>
      <c r="G254" s="22" t="s">
        <v>113</v>
      </c>
      <c r="H254" s="23">
        <v>2</v>
      </c>
      <c r="I254" s="24">
        <v>22</v>
      </c>
      <c r="J254" s="24">
        <v>44</v>
      </c>
    </row>
    <row r="255" hidden="1" spans="1:11">
      <c r="A255" s="20">
        <v>46170</v>
      </c>
      <c r="B255" s="21" t="s">
        <v>2</v>
      </c>
      <c r="C255" s="22">
        <v>1607226</v>
      </c>
      <c r="D255" s="22" t="s">
        <v>21</v>
      </c>
      <c r="E255" s="22" t="s">
        <v>22</v>
      </c>
      <c r="F255" s="23">
        <v>20013871</v>
      </c>
      <c r="G255" s="22" t="s">
        <v>114</v>
      </c>
      <c r="H255" s="23">
        <v>2</v>
      </c>
      <c r="I255" s="24">
        <v>28</v>
      </c>
      <c r="J255" s="24">
        <v>56</v>
      </c>
    </row>
    <row r="256" hidden="1" spans="1:11">
      <c r="A256" s="20">
        <v>46170</v>
      </c>
      <c r="B256" s="21" t="s">
        <v>2</v>
      </c>
      <c r="C256" s="22">
        <v>1607226</v>
      </c>
      <c r="D256" s="22" t="s">
        <v>21</v>
      </c>
      <c r="E256" s="22" t="s">
        <v>22</v>
      </c>
      <c r="F256" s="23">
        <v>20013489</v>
      </c>
      <c r="G256" s="22" t="s">
        <v>115</v>
      </c>
      <c r="H256" s="23">
        <v>1</v>
      </c>
      <c r="I256" s="24">
        <v>35</v>
      </c>
      <c r="J256" s="24">
        <v>35</v>
      </c>
    </row>
    <row r="257" hidden="1" spans="1:11">
      <c r="A257" s="20">
        <v>46170</v>
      </c>
      <c r="B257" s="21" t="s">
        <v>2</v>
      </c>
      <c r="C257" s="22">
        <v>1607226</v>
      </c>
      <c r="D257" s="22" t="s">
        <v>21</v>
      </c>
      <c r="E257" s="22" t="s">
        <v>22</v>
      </c>
      <c r="F257" s="23">
        <v>20013477</v>
      </c>
      <c r="G257" s="22" t="s">
        <v>116</v>
      </c>
      <c r="H257" s="23">
        <v>2</v>
      </c>
      <c r="I257" s="24">
        <v>35</v>
      </c>
      <c r="J257" s="24">
        <v>70</v>
      </c>
    </row>
    <row r="258" hidden="1" spans="1:11">
      <c r="A258" s="20">
        <v>46170</v>
      </c>
      <c r="B258" s="21" t="s">
        <v>2</v>
      </c>
      <c r="C258" s="22">
        <v>1607226</v>
      </c>
      <c r="D258" s="22" t="s">
        <v>21</v>
      </c>
      <c r="E258" s="22" t="s">
        <v>22</v>
      </c>
      <c r="F258" s="23">
        <v>20013480</v>
      </c>
      <c r="G258" s="22" t="s">
        <v>117</v>
      </c>
      <c r="H258" s="23">
        <v>1</v>
      </c>
      <c r="I258" s="24">
        <v>22</v>
      </c>
      <c r="J258" s="24">
        <v>22</v>
      </c>
    </row>
    <row r="259" hidden="1" spans="1:11">
      <c r="A259" s="20">
        <v>46170</v>
      </c>
      <c r="B259" s="21" t="s">
        <v>2</v>
      </c>
      <c r="C259" s="22">
        <v>1607226</v>
      </c>
      <c r="D259" s="22" t="s">
        <v>21</v>
      </c>
      <c r="E259" s="22" t="s">
        <v>22</v>
      </c>
      <c r="F259" s="23">
        <v>20007873</v>
      </c>
      <c r="G259" s="22" t="s">
        <v>100</v>
      </c>
      <c r="H259" s="23">
        <v>1</v>
      </c>
      <c r="I259" s="24">
        <v>35</v>
      </c>
      <c r="J259" s="24">
        <v>35</v>
      </c>
    </row>
    <row r="260" hidden="1" spans="1:11">
      <c r="A260" s="20">
        <v>46170</v>
      </c>
      <c r="B260" s="21" t="s">
        <v>2</v>
      </c>
      <c r="C260" s="22">
        <v>1607226</v>
      </c>
      <c r="D260" s="22" t="s">
        <v>21</v>
      </c>
      <c r="E260" s="22" t="s">
        <v>22</v>
      </c>
      <c r="F260" s="23">
        <v>20013476</v>
      </c>
      <c r="G260" s="22" t="s">
        <v>118</v>
      </c>
      <c r="H260" s="23">
        <v>2</v>
      </c>
      <c r="I260" s="24">
        <v>28</v>
      </c>
      <c r="J260" s="24">
        <v>56</v>
      </c>
    </row>
    <row r="261" hidden="1" spans="1:11">
      <c r="A261" s="20">
        <v>46170</v>
      </c>
      <c r="B261" s="21" t="s">
        <v>2</v>
      </c>
      <c r="C261" s="22">
        <v>1607226</v>
      </c>
      <c r="D261" s="22" t="s">
        <v>21</v>
      </c>
      <c r="E261" s="22" t="s">
        <v>22</v>
      </c>
      <c r="F261" s="23">
        <v>20321303</v>
      </c>
      <c r="G261" s="22" t="s">
        <v>119</v>
      </c>
      <c r="H261" s="23">
        <v>2</v>
      </c>
      <c r="I261" s="24">
        <v>28</v>
      </c>
      <c r="J261" s="24">
        <v>56</v>
      </c>
    </row>
    <row r="262" hidden="1" spans="1:11">
      <c r="A262" s="20">
        <v>46170</v>
      </c>
      <c r="B262" s="21" t="s">
        <v>2</v>
      </c>
      <c r="C262" s="22">
        <v>1607226</v>
      </c>
      <c r="D262" s="22" t="s">
        <v>21</v>
      </c>
      <c r="E262" s="22" t="s">
        <v>22</v>
      </c>
      <c r="F262" s="23">
        <v>20346794</v>
      </c>
      <c r="G262" s="22" t="s">
        <v>120</v>
      </c>
      <c r="H262" s="23">
        <v>1</v>
      </c>
      <c r="I262" s="24">
        <v>28</v>
      </c>
      <c r="J262" s="24">
        <v>28</v>
      </c>
    </row>
    <row r="263" hidden="1" spans="1:11">
      <c r="A263" s="20">
        <v>46170</v>
      </c>
      <c r="B263" s="21" t="s">
        <v>2</v>
      </c>
      <c r="C263" s="22">
        <v>1607226</v>
      </c>
      <c r="D263" s="22" t="s">
        <v>21</v>
      </c>
      <c r="E263" s="22" t="s">
        <v>22</v>
      </c>
      <c r="F263" s="23">
        <v>20321301</v>
      </c>
      <c r="G263" s="22" t="s">
        <v>121</v>
      </c>
      <c r="H263" s="23">
        <v>1</v>
      </c>
      <c r="I263" s="24">
        <v>28</v>
      </c>
      <c r="J263" s="24">
        <v>28</v>
      </c>
    </row>
    <row r="264" hidden="1" spans="1:11">
      <c r="A264" s="20">
        <v>46170</v>
      </c>
      <c r="B264" s="21" t="s">
        <v>2</v>
      </c>
      <c r="C264" s="22">
        <v>1607226</v>
      </c>
      <c r="D264" s="22" t="s">
        <v>21</v>
      </c>
      <c r="E264" s="22" t="s">
        <v>22</v>
      </c>
      <c r="F264" s="23">
        <v>20312689</v>
      </c>
      <c r="G264" s="22" t="s">
        <v>122</v>
      </c>
      <c r="H264" s="23">
        <v>2</v>
      </c>
      <c r="I264" s="24">
        <v>25</v>
      </c>
      <c r="J264" s="24">
        <v>50</v>
      </c>
    </row>
    <row r="265" hidden="1" spans="1:11">
      <c r="A265" s="20">
        <v>46170</v>
      </c>
      <c r="B265" s="21" t="s">
        <v>2</v>
      </c>
      <c r="C265" s="22">
        <v>1607226</v>
      </c>
      <c r="D265" s="22" t="s">
        <v>21</v>
      </c>
      <c r="E265" s="22" t="s">
        <v>22</v>
      </c>
      <c r="F265" s="23">
        <v>20313087</v>
      </c>
      <c r="G265" s="22" t="s">
        <v>123</v>
      </c>
      <c r="H265" s="23">
        <v>1</v>
      </c>
      <c r="I265" s="24">
        <v>22</v>
      </c>
      <c r="J265" s="24">
        <v>22</v>
      </c>
    </row>
    <row r="266" hidden="1" spans="1:11">
      <c r="A266" s="20">
        <v>46170</v>
      </c>
      <c r="B266" s="21" t="s">
        <v>2</v>
      </c>
      <c r="C266" s="22">
        <v>1607226</v>
      </c>
      <c r="D266" s="22" t="s">
        <v>21</v>
      </c>
      <c r="E266" s="22" t="s">
        <v>22</v>
      </c>
      <c r="F266" s="23">
        <v>20013970</v>
      </c>
      <c r="G266" s="22" t="s">
        <v>124</v>
      </c>
      <c r="H266" s="23">
        <v>1</v>
      </c>
      <c r="I266" s="24">
        <v>22</v>
      </c>
      <c r="J266" s="24">
        <v>22</v>
      </c>
    </row>
    <row r="267" spans="1:11">
      <c r="A267" s="20">
        <v>46170</v>
      </c>
      <c r="B267" s="21" t="s">
        <v>2</v>
      </c>
      <c r="C267" s="22">
        <v>1607232</v>
      </c>
      <c r="D267" s="22" t="s">
        <v>14</v>
      </c>
      <c r="E267" s="22" t="s">
        <v>14</v>
      </c>
      <c r="F267" s="23">
        <v>20347124</v>
      </c>
      <c r="G267" s="22" t="s">
        <v>125</v>
      </c>
      <c r="H267" s="23">
        <v>2</v>
      </c>
      <c r="I267" s="24">
        <v>126.5</v>
      </c>
      <c r="J267" s="24">
        <v>253</v>
      </c>
      <c r="K267">
        <f>900/15</f>
        <v>60</v>
      </c>
    </row>
    <row r="268" spans="1:11">
      <c r="A268" s="20">
        <v>46170</v>
      </c>
      <c r="B268" s="21" t="s">
        <v>2</v>
      </c>
      <c r="C268" s="22">
        <v>1607232</v>
      </c>
      <c r="D268" s="22" t="s">
        <v>14</v>
      </c>
      <c r="E268" s="22" t="s">
        <v>15</v>
      </c>
      <c r="F268" s="23">
        <v>20002375</v>
      </c>
      <c r="G268" s="22" t="s">
        <v>108</v>
      </c>
      <c r="H268" s="23">
        <v>1</v>
      </c>
      <c r="I268" s="24">
        <v>38.5</v>
      </c>
      <c r="J268" s="24">
        <v>38.5</v>
      </c>
      <c r="K268" s="17">
        <f>K267*10+4</f>
        <v>604</v>
      </c>
    </row>
    <row r="269" hidden="1" spans="1:11">
      <c r="A269" s="20">
        <v>46170</v>
      </c>
      <c r="B269" s="21" t="s">
        <v>2</v>
      </c>
      <c r="C269" s="22">
        <v>1607253</v>
      </c>
      <c r="D269" s="22" t="s">
        <v>58</v>
      </c>
      <c r="E269" s="22" t="s">
        <v>58</v>
      </c>
      <c r="F269" s="23">
        <v>20371395</v>
      </c>
      <c r="G269" s="22" t="s">
        <v>126</v>
      </c>
      <c r="H269" s="23">
        <v>1</v>
      </c>
      <c r="I269" s="24">
        <v>28</v>
      </c>
      <c r="J269" s="24">
        <v>28</v>
      </c>
    </row>
    <row r="270" spans="1:11">
      <c r="A270" s="20">
        <v>46171</v>
      </c>
      <c r="B270" s="21" t="s">
        <v>2</v>
      </c>
      <c r="C270" s="22">
        <v>1607606</v>
      </c>
      <c r="D270" s="22" t="s">
        <v>14</v>
      </c>
      <c r="E270" s="22" t="s">
        <v>14</v>
      </c>
      <c r="F270" s="23">
        <v>20003239</v>
      </c>
      <c r="G270" s="22" t="s">
        <v>127</v>
      </c>
      <c r="H270" s="23">
        <v>1</v>
      </c>
      <c r="I270" s="24">
        <v>99</v>
      </c>
      <c r="J270" s="24">
        <v>99</v>
      </c>
      <c r="K270" s="17">
        <f>K268*5.5</f>
        <v>3322</v>
      </c>
    </row>
    <row r="271" spans="1:11">
      <c r="A271" s="20">
        <v>46171</v>
      </c>
      <c r="B271" s="21" t="s">
        <v>2</v>
      </c>
      <c r="C271" s="22">
        <v>1607606</v>
      </c>
      <c r="D271" s="22" t="s">
        <v>14</v>
      </c>
      <c r="E271" s="22" t="s">
        <v>14</v>
      </c>
      <c r="F271" s="23">
        <v>20347124</v>
      </c>
      <c r="G271" s="22" t="s">
        <v>125</v>
      </c>
      <c r="H271" s="23">
        <v>1</v>
      </c>
      <c r="I271" s="24">
        <v>126.5</v>
      </c>
      <c r="J271" s="24">
        <v>126.5</v>
      </c>
    </row>
    <row r="272" spans="1:11">
      <c r="A272" s="20">
        <v>46171</v>
      </c>
      <c r="B272" s="21" t="s">
        <v>2</v>
      </c>
      <c r="C272" s="22">
        <v>1607606</v>
      </c>
      <c r="D272" s="22" t="s">
        <v>14</v>
      </c>
      <c r="E272" s="22" t="s">
        <v>14</v>
      </c>
      <c r="F272" s="23">
        <v>20011399</v>
      </c>
      <c r="G272" s="22" t="s">
        <v>128</v>
      </c>
      <c r="H272" s="23">
        <v>1</v>
      </c>
      <c r="I272" s="24">
        <v>165</v>
      </c>
      <c r="J272" s="24">
        <v>165</v>
      </c>
    </row>
    <row r="273" spans="1:10">
      <c r="A273" s="20">
        <v>46171</v>
      </c>
      <c r="B273" s="21" t="s">
        <v>2</v>
      </c>
      <c r="C273" s="22">
        <v>1607606</v>
      </c>
      <c r="D273" s="22" t="s">
        <v>14</v>
      </c>
      <c r="E273" s="22" t="s">
        <v>14</v>
      </c>
      <c r="F273" s="23">
        <v>20003772</v>
      </c>
      <c r="G273" s="22" t="s">
        <v>129</v>
      </c>
      <c r="H273" s="23">
        <v>1</v>
      </c>
      <c r="I273" s="24">
        <v>66</v>
      </c>
      <c r="J273" s="24">
        <v>66</v>
      </c>
    </row>
    <row r="274" hidden="1" spans="1:10">
      <c r="A274" s="20">
        <v>46171</v>
      </c>
      <c r="B274" s="21" t="s">
        <v>2</v>
      </c>
      <c r="C274" s="22">
        <v>1607606</v>
      </c>
      <c r="D274" s="22" t="s">
        <v>21</v>
      </c>
      <c r="E274" s="22" t="s">
        <v>25</v>
      </c>
      <c r="F274" s="23">
        <v>20002515</v>
      </c>
      <c r="G274" s="22" t="s">
        <v>130</v>
      </c>
      <c r="H274" s="23">
        <v>1</v>
      </c>
      <c r="I274" s="24">
        <v>13.5</v>
      </c>
      <c r="J274" s="24">
        <v>13.5</v>
      </c>
    </row>
    <row r="275" hidden="1" spans="1:10">
      <c r="A275" s="20">
        <v>46171</v>
      </c>
      <c r="B275" s="21" t="s">
        <v>2</v>
      </c>
      <c r="C275" s="22">
        <v>1607606</v>
      </c>
      <c r="D275" s="22" t="s">
        <v>21</v>
      </c>
      <c r="E275" s="22" t="s">
        <v>25</v>
      </c>
      <c r="F275" s="23">
        <v>20318294</v>
      </c>
      <c r="G275" s="22" t="s">
        <v>131</v>
      </c>
      <c r="H275" s="23">
        <v>1</v>
      </c>
      <c r="I275" s="24">
        <v>16.5</v>
      </c>
      <c r="J275" s="24">
        <v>16.5</v>
      </c>
    </row>
    <row r="276" hidden="1" spans="1:10">
      <c r="A276" s="20">
        <v>46171</v>
      </c>
      <c r="B276" s="21" t="s">
        <v>2</v>
      </c>
      <c r="C276" s="22">
        <v>1607606</v>
      </c>
      <c r="D276" s="22" t="s">
        <v>21</v>
      </c>
      <c r="E276" s="22" t="s">
        <v>25</v>
      </c>
      <c r="F276" s="23">
        <v>20006239</v>
      </c>
      <c r="G276" s="22" t="s">
        <v>132</v>
      </c>
      <c r="H276" s="23">
        <v>1</v>
      </c>
      <c r="I276" s="24">
        <v>22</v>
      </c>
      <c r="J276" s="24">
        <v>22</v>
      </c>
    </row>
    <row r="277" spans="1:10">
      <c r="A277" s="20">
        <v>46171</v>
      </c>
      <c r="B277" s="21" t="s">
        <v>2</v>
      </c>
      <c r="C277" s="22">
        <v>1607606</v>
      </c>
      <c r="D277" s="22" t="s">
        <v>14</v>
      </c>
      <c r="E277" s="22" t="s">
        <v>15</v>
      </c>
      <c r="F277" s="23">
        <v>20002375</v>
      </c>
      <c r="G277" s="22" t="s">
        <v>108</v>
      </c>
      <c r="H277" s="23">
        <v>1</v>
      </c>
      <c r="I277" s="24">
        <v>38.5</v>
      </c>
      <c r="J277" s="24">
        <v>38.5</v>
      </c>
    </row>
    <row r="278" hidden="1" spans="1:10">
      <c r="A278" s="20">
        <v>46172</v>
      </c>
      <c r="B278" s="21" t="s">
        <v>2</v>
      </c>
      <c r="C278" s="22">
        <v>1607801</v>
      </c>
      <c r="D278" s="22" t="s">
        <v>21</v>
      </c>
      <c r="E278" s="22" t="s">
        <v>22</v>
      </c>
      <c r="F278" s="23">
        <v>20348125</v>
      </c>
      <c r="G278" s="22" t="s">
        <v>109</v>
      </c>
      <c r="H278" s="23">
        <v>1</v>
      </c>
      <c r="I278" s="24">
        <v>25</v>
      </c>
      <c r="J278" s="24">
        <v>25</v>
      </c>
    </row>
    <row r="279" hidden="1" spans="1:10">
      <c r="A279" s="20">
        <v>46172</v>
      </c>
      <c r="B279" s="21" t="s">
        <v>2</v>
      </c>
      <c r="C279" s="22">
        <v>1607801</v>
      </c>
      <c r="D279" s="22" t="s">
        <v>21</v>
      </c>
      <c r="E279" s="22" t="s">
        <v>22</v>
      </c>
      <c r="F279" s="23">
        <v>20313088</v>
      </c>
      <c r="G279" s="22" t="s">
        <v>133</v>
      </c>
      <c r="H279" s="23">
        <v>1</v>
      </c>
      <c r="I279" s="24">
        <v>25</v>
      </c>
      <c r="J279" s="24">
        <v>25</v>
      </c>
    </row>
    <row r="280" hidden="1" spans="1:10">
      <c r="A280" s="20">
        <v>46172</v>
      </c>
      <c r="B280" s="21" t="s">
        <v>2</v>
      </c>
      <c r="C280" s="22">
        <v>1607801</v>
      </c>
      <c r="D280" s="22" t="s">
        <v>21</v>
      </c>
      <c r="E280" s="22" t="s">
        <v>22</v>
      </c>
      <c r="F280" s="23">
        <v>20321304</v>
      </c>
      <c r="G280" s="22" t="s">
        <v>111</v>
      </c>
      <c r="H280" s="23">
        <v>1</v>
      </c>
      <c r="I280" s="24">
        <v>25</v>
      </c>
      <c r="J280" s="24">
        <v>25</v>
      </c>
    </row>
    <row r="281" hidden="1" spans="1:10">
      <c r="A281" s="20">
        <v>46172</v>
      </c>
      <c r="B281" s="21" t="s">
        <v>2</v>
      </c>
      <c r="C281" s="22">
        <v>1607801</v>
      </c>
      <c r="D281" s="22" t="s">
        <v>21</v>
      </c>
      <c r="E281" s="22" t="s">
        <v>22</v>
      </c>
      <c r="F281" s="23">
        <v>20313086</v>
      </c>
      <c r="G281" s="22" t="s">
        <v>112</v>
      </c>
      <c r="H281" s="23">
        <v>1</v>
      </c>
      <c r="I281" s="24">
        <v>25</v>
      </c>
      <c r="J281" s="24">
        <v>25</v>
      </c>
    </row>
    <row r="282" hidden="1" spans="1:10">
      <c r="A282" s="20">
        <v>46172</v>
      </c>
      <c r="B282" s="21" t="s">
        <v>2</v>
      </c>
      <c r="C282" s="22">
        <v>1607801</v>
      </c>
      <c r="D282" s="22" t="s">
        <v>21</v>
      </c>
      <c r="E282" s="22" t="s">
        <v>22</v>
      </c>
      <c r="F282" s="23">
        <v>20318020</v>
      </c>
      <c r="G282" s="22" t="s">
        <v>113</v>
      </c>
      <c r="H282" s="23">
        <v>1</v>
      </c>
      <c r="I282" s="24">
        <v>22</v>
      </c>
      <c r="J282" s="24">
        <v>22</v>
      </c>
    </row>
    <row r="283" hidden="1" spans="1:10">
      <c r="A283" s="20">
        <v>46172</v>
      </c>
      <c r="B283" s="21" t="s">
        <v>2</v>
      </c>
      <c r="C283" s="22">
        <v>1607801</v>
      </c>
      <c r="D283" s="22" t="s">
        <v>21</v>
      </c>
      <c r="E283" s="22" t="s">
        <v>22</v>
      </c>
      <c r="F283" s="23">
        <v>20013871</v>
      </c>
      <c r="G283" s="22" t="s">
        <v>114</v>
      </c>
      <c r="H283" s="23">
        <v>1</v>
      </c>
      <c r="I283" s="24">
        <v>28</v>
      </c>
      <c r="J283" s="24">
        <v>28</v>
      </c>
    </row>
    <row r="284" hidden="1" spans="1:10">
      <c r="A284" s="20">
        <v>46172</v>
      </c>
      <c r="B284" s="21" t="s">
        <v>2</v>
      </c>
      <c r="C284" s="22">
        <v>1607801</v>
      </c>
      <c r="D284" s="22" t="s">
        <v>21</v>
      </c>
      <c r="E284" s="22" t="s">
        <v>22</v>
      </c>
      <c r="F284" s="23">
        <v>20013489</v>
      </c>
      <c r="G284" s="22" t="s">
        <v>115</v>
      </c>
      <c r="H284" s="23">
        <v>1</v>
      </c>
      <c r="I284" s="24">
        <v>35</v>
      </c>
      <c r="J284" s="24">
        <v>35</v>
      </c>
    </row>
    <row r="285" hidden="1" spans="1:10">
      <c r="A285" s="20">
        <v>46172</v>
      </c>
      <c r="B285" s="21" t="s">
        <v>2</v>
      </c>
      <c r="C285" s="22">
        <v>1607801</v>
      </c>
      <c r="D285" s="22" t="s">
        <v>21</v>
      </c>
      <c r="E285" s="22" t="s">
        <v>22</v>
      </c>
      <c r="F285" s="23">
        <v>20013477</v>
      </c>
      <c r="G285" s="22" t="s">
        <v>116</v>
      </c>
      <c r="H285" s="23">
        <v>1</v>
      </c>
      <c r="I285" s="24">
        <v>35</v>
      </c>
      <c r="J285" s="24">
        <v>35</v>
      </c>
    </row>
    <row r="286" hidden="1" spans="1:10">
      <c r="A286" s="20">
        <v>46172</v>
      </c>
      <c r="B286" s="21" t="s">
        <v>2</v>
      </c>
      <c r="C286" s="22">
        <v>1607801</v>
      </c>
      <c r="D286" s="22" t="s">
        <v>21</v>
      </c>
      <c r="E286" s="22" t="s">
        <v>22</v>
      </c>
      <c r="F286" s="23">
        <v>20007873</v>
      </c>
      <c r="G286" s="22" t="s">
        <v>100</v>
      </c>
      <c r="H286" s="23">
        <v>1</v>
      </c>
      <c r="I286" s="24">
        <v>35</v>
      </c>
      <c r="J286" s="24">
        <v>35</v>
      </c>
    </row>
    <row r="287" hidden="1" spans="1:10">
      <c r="A287" s="20">
        <v>46172</v>
      </c>
      <c r="B287" s="21" t="s">
        <v>2</v>
      </c>
      <c r="C287" s="22">
        <v>1607801</v>
      </c>
      <c r="D287" s="22" t="s">
        <v>21</v>
      </c>
      <c r="E287" s="22" t="s">
        <v>22</v>
      </c>
      <c r="F287" s="23">
        <v>20013476</v>
      </c>
      <c r="G287" s="22" t="s">
        <v>118</v>
      </c>
      <c r="H287" s="23">
        <v>1</v>
      </c>
      <c r="I287" s="24">
        <v>28</v>
      </c>
      <c r="J287" s="24">
        <v>28</v>
      </c>
    </row>
    <row r="288" hidden="1" spans="1:10">
      <c r="A288" s="20">
        <v>46172</v>
      </c>
      <c r="B288" s="21" t="s">
        <v>2</v>
      </c>
      <c r="C288" s="22">
        <v>1607801</v>
      </c>
      <c r="D288" s="22" t="s">
        <v>21</v>
      </c>
      <c r="E288" s="22" t="s">
        <v>22</v>
      </c>
      <c r="F288" s="23">
        <v>20321303</v>
      </c>
      <c r="G288" s="22" t="s">
        <v>119</v>
      </c>
      <c r="H288" s="23">
        <v>1</v>
      </c>
      <c r="I288" s="24">
        <v>28</v>
      </c>
      <c r="J288" s="24">
        <v>28</v>
      </c>
    </row>
    <row r="289" hidden="1" spans="1:10">
      <c r="A289" s="20">
        <v>46172</v>
      </c>
      <c r="B289" s="21" t="s">
        <v>2</v>
      </c>
      <c r="C289" s="22">
        <v>1607801</v>
      </c>
      <c r="D289" s="22" t="s">
        <v>21</v>
      </c>
      <c r="E289" s="22" t="s">
        <v>22</v>
      </c>
      <c r="F289" s="23">
        <v>20346794</v>
      </c>
      <c r="G289" s="22" t="s">
        <v>120</v>
      </c>
      <c r="H289" s="23">
        <v>1</v>
      </c>
      <c r="I289" s="24">
        <v>28</v>
      </c>
      <c r="J289" s="24">
        <v>28</v>
      </c>
    </row>
    <row r="290" hidden="1" spans="1:10">
      <c r="A290" s="20">
        <v>46172</v>
      </c>
      <c r="B290" s="21" t="s">
        <v>2</v>
      </c>
      <c r="C290" s="22">
        <v>1607801</v>
      </c>
      <c r="D290" s="22" t="s">
        <v>21</v>
      </c>
      <c r="E290" s="22" t="s">
        <v>22</v>
      </c>
      <c r="F290" s="23">
        <v>20013970</v>
      </c>
      <c r="G290" s="22" t="s">
        <v>124</v>
      </c>
      <c r="H290" s="23">
        <v>1</v>
      </c>
      <c r="I290" s="24">
        <v>22</v>
      </c>
      <c r="J290" s="24">
        <v>22</v>
      </c>
    </row>
    <row r="291" spans="1:10">
      <c r="A291" s="20">
        <v>46174</v>
      </c>
      <c r="B291" s="21" t="s">
        <v>2</v>
      </c>
      <c r="C291" s="22">
        <v>1608158</v>
      </c>
      <c r="D291" s="22" t="s">
        <v>14</v>
      </c>
      <c r="E291" s="22" t="s">
        <v>14</v>
      </c>
      <c r="F291" s="23">
        <v>20014618</v>
      </c>
      <c r="G291" s="22" t="s">
        <v>134</v>
      </c>
      <c r="H291" s="23">
        <v>1</v>
      </c>
      <c r="I291" s="24">
        <v>170.5</v>
      </c>
      <c r="J291" s="24">
        <v>170.5</v>
      </c>
    </row>
    <row r="292" spans="1:10">
      <c r="A292" s="20">
        <v>46174</v>
      </c>
      <c r="B292" s="21" t="s">
        <v>2</v>
      </c>
      <c r="C292" s="22">
        <v>1608158</v>
      </c>
      <c r="D292" s="22" t="s">
        <v>14</v>
      </c>
      <c r="E292" s="22" t="s">
        <v>15</v>
      </c>
      <c r="F292" s="23">
        <v>20002375</v>
      </c>
      <c r="G292" s="22" t="s">
        <v>108</v>
      </c>
      <c r="H292" s="23">
        <v>1</v>
      </c>
      <c r="I292" s="24">
        <v>38.5</v>
      </c>
      <c r="J292" s="24">
        <v>38.5</v>
      </c>
    </row>
    <row r="293" hidden="1" spans="1:10">
      <c r="A293" s="20">
        <v>46175</v>
      </c>
      <c r="B293" s="21" t="s">
        <v>2</v>
      </c>
      <c r="C293" s="22">
        <v>1608367</v>
      </c>
      <c r="D293" s="22" t="s">
        <v>21</v>
      </c>
      <c r="E293" s="22" t="s">
        <v>22</v>
      </c>
      <c r="F293" s="23">
        <v>20007873</v>
      </c>
      <c r="G293" s="22" t="s">
        <v>100</v>
      </c>
      <c r="H293" s="23">
        <v>1</v>
      </c>
      <c r="I293" s="24">
        <v>35</v>
      </c>
      <c r="J293" s="24">
        <v>35</v>
      </c>
    </row>
    <row r="294" hidden="1" spans="1:10">
      <c r="A294" s="20">
        <v>46175</v>
      </c>
      <c r="B294" s="21" t="s">
        <v>2</v>
      </c>
      <c r="C294" s="22">
        <v>1608367</v>
      </c>
      <c r="D294" s="22" t="s">
        <v>21</v>
      </c>
      <c r="E294" s="22" t="s">
        <v>22</v>
      </c>
      <c r="F294" s="23">
        <v>20352828</v>
      </c>
      <c r="G294" s="22" t="s">
        <v>135</v>
      </c>
      <c r="H294" s="23">
        <v>1</v>
      </c>
      <c r="I294" s="24">
        <v>35</v>
      </c>
      <c r="J294" s="24">
        <v>35</v>
      </c>
    </row>
    <row r="295" hidden="1" spans="1:10">
      <c r="A295" s="20">
        <v>46175</v>
      </c>
      <c r="B295" s="21" t="s">
        <v>2</v>
      </c>
      <c r="C295" s="22">
        <v>1608591</v>
      </c>
      <c r="D295" s="22" t="s">
        <v>21</v>
      </c>
      <c r="E295" s="22" t="s">
        <v>25</v>
      </c>
      <c r="F295" s="23">
        <v>20011427</v>
      </c>
      <c r="G295" s="22" t="s">
        <v>87</v>
      </c>
      <c r="H295" s="23">
        <v>1</v>
      </c>
      <c r="I295" s="24">
        <v>8</v>
      </c>
      <c r="J295" s="24">
        <v>8</v>
      </c>
    </row>
    <row r="296" spans="1:10">
      <c r="A296" s="20">
        <v>46175</v>
      </c>
      <c r="B296" s="21" t="s">
        <v>2</v>
      </c>
      <c r="C296" s="22">
        <v>1608591</v>
      </c>
      <c r="D296" s="22" t="s">
        <v>14</v>
      </c>
      <c r="E296" s="22" t="s">
        <v>15</v>
      </c>
      <c r="F296" s="23">
        <v>20002375</v>
      </c>
      <c r="G296" s="22" t="s">
        <v>108</v>
      </c>
      <c r="H296" s="23">
        <v>3</v>
      </c>
      <c r="I296" s="24">
        <v>38.5</v>
      </c>
      <c r="J296" s="24">
        <v>115.5</v>
      </c>
    </row>
    <row r="297" hidden="1" spans="1:10">
      <c r="A297" s="20">
        <v>46175</v>
      </c>
      <c r="B297" s="21" t="s">
        <v>2</v>
      </c>
      <c r="C297" s="22">
        <v>1608591</v>
      </c>
      <c r="D297" s="22" t="s">
        <v>21</v>
      </c>
      <c r="E297" s="22" t="s">
        <v>28</v>
      </c>
      <c r="F297" s="23">
        <v>20007877</v>
      </c>
      <c r="G297" s="22" t="s">
        <v>136</v>
      </c>
      <c r="H297" s="23">
        <v>1</v>
      </c>
      <c r="I297" s="24">
        <v>16.5</v>
      </c>
      <c r="J297" s="24">
        <v>16.5</v>
      </c>
    </row>
    <row r="298" hidden="1" spans="1:10">
      <c r="A298" s="20">
        <v>46176</v>
      </c>
      <c r="B298" s="21" t="s">
        <v>2</v>
      </c>
      <c r="C298" s="22">
        <v>1608735</v>
      </c>
      <c r="D298" s="22" t="s">
        <v>21</v>
      </c>
      <c r="E298" s="22" t="s">
        <v>22</v>
      </c>
      <c r="F298" s="23">
        <v>20013872</v>
      </c>
      <c r="G298" s="22" t="s">
        <v>110</v>
      </c>
      <c r="H298" s="23">
        <v>1</v>
      </c>
      <c r="I298" s="24">
        <v>25</v>
      </c>
      <c r="J298" s="24">
        <v>25</v>
      </c>
    </row>
    <row r="299" hidden="1" spans="1:10">
      <c r="A299" s="20">
        <v>46176</v>
      </c>
      <c r="B299" s="21" t="s">
        <v>2</v>
      </c>
      <c r="C299" s="22">
        <v>1608735</v>
      </c>
      <c r="D299" s="22" t="s">
        <v>21</v>
      </c>
      <c r="E299" s="22" t="s">
        <v>22</v>
      </c>
      <c r="F299" s="23">
        <v>20013529</v>
      </c>
      <c r="G299" s="22" t="s">
        <v>137</v>
      </c>
      <c r="H299" s="23">
        <v>2</v>
      </c>
      <c r="I299" s="24">
        <v>25</v>
      </c>
      <c r="J299" s="24">
        <v>50</v>
      </c>
    </row>
    <row r="300" hidden="1" spans="1:10">
      <c r="A300" s="20">
        <v>46176</v>
      </c>
      <c r="B300" s="21" t="s">
        <v>2</v>
      </c>
      <c r="C300" s="22">
        <v>1608735</v>
      </c>
      <c r="D300" s="22" t="s">
        <v>21</v>
      </c>
      <c r="E300" s="22" t="s">
        <v>22</v>
      </c>
      <c r="F300" s="23">
        <v>20313090</v>
      </c>
      <c r="G300" s="22" t="s">
        <v>138</v>
      </c>
      <c r="H300" s="23">
        <v>1</v>
      </c>
      <c r="I300" s="24">
        <v>25</v>
      </c>
      <c r="J300" s="24">
        <v>25</v>
      </c>
    </row>
    <row r="301" spans="1:10">
      <c r="A301" s="20">
        <v>46176</v>
      </c>
      <c r="B301" s="21" t="s">
        <v>2</v>
      </c>
      <c r="C301" s="22">
        <v>1608919</v>
      </c>
      <c r="D301" s="22" t="s">
        <v>14</v>
      </c>
      <c r="E301" s="22" t="s">
        <v>14</v>
      </c>
      <c r="F301" s="23">
        <v>20003667</v>
      </c>
      <c r="G301" s="22" t="s">
        <v>139</v>
      </c>
      <c r="H301" s="23">
        <v>2</v>
      </c>
      <c r="I301" s="24">
        <v>165</v>
      </c>
      <c r="J301" s="24">
        <v>330</v>
      </c>
    </row>
    <row r="302" spans="1:10">
      <c r="A302" s="20">
        <v>46176</v>
      </c>
      <c r="B302" s="21" t="s">
        <v>2</v>
      </c>
      <c r="C302" s="22">
        <v>1608919</v>
      </c>
      <c r="D302" s="22" t="s">
        <v>14</v>
      </c>
      <c r="E302" s="22" t="s">
        <v>15</v>
      </c>
      <c r="F302" s="23">
        <v>20002375</v>
      </c>
      <c r="G302" s="22" t="s">
        <v>108</v>
      </c>
      <c r="H302" s="23">
        <v>2</v>
      </c>
      <c r="I302" s="24">
        <v>38.5</v>
      </c>
      <c r="J302" s="24">
        <v>77</v>
      </c>
    </row>
    <row r="303" spans="1:10">
      <c r="A303" s="20">
        <v>46178</v>
      </c>
      <c r="B303" s="21" t="s">
        <v>2</v>
      </c>
      <c r="C303" s="22">
        <v>1609463</v>
      </c>
      <c r="D303" s="22" t="s">
        <v>14</v>
      </c>
      <c r="E303" s="22" t="s">
        <v>15</v>
      </c>
      <c r="F303" s="23">
        <v>20002375</v>
      </c>
      <c r="G303" s="22" t="s">
        <v>108</v>
      </c>
      <c r="H303" s="23">
        <v>1</v>
      </c>
      <c r="I303" s="24">
        <v>38.5</v>
      </c>
      <c r="J303" s="24">
        <v>38.5</v>
      </c>
    </row>
    <row r="304" hidden="1" spans="1:10">
      <c r="A304" s="20">
        <v>46178</v>
      </c>
      <c r="B304" s="21" t="s">
        <v>2</v>
      </c>
      <c r="C304" s="22">
        <v>1609492</v>
      </c>
      <c r="D304" s="22" t="s">
        <v>21</v>
      </c>
      <c r="E304" s="22" t="s">
        <v>22</v>
      </c>
      <c r="F304" s="23">
        <v>20372898</v>
      </c>
      <c r="G304" s="22" t="s">
        <v>140</v>
      </c>
      <c r="H304" s="23">
        <v>1</v>
      </c>
      <c r="I304" s="24">
        <v>28</v>
      </c>
      <c r="J304" s="24">
        <v>28</v>
      </c>
    </row>
    <row r="305" hidden="1" spans="1:10">
      <c r="A305" s="20">
        <v>46178</v>
      </c>
      <c r="B305" s="21" t="s">
        <v>2</v>
      </c>
      <c r="C305" s="22">
        <v>1609492</v>
      </c>
      <c r="D305" s="22" t="s">
        <v>21</v>
      </c>
      <c r="E305" s="22" t="s">
        <v>22</v>
      </c>
      <c r="F305" s="23">
        <v>20009477</v>
      </c>
      <c r="G305" s="22" t="s">
        <v>141</v>
      </c>
      <c r="H305" s="23">
        <v>1</v>
      </c>
      <c r="I305" s="24">
        <v>35</v>
      </c>
      <c r="J305" s="24">
        <v>35</v>
      </c>
    </row>
    <row r="306" hidden="1" spans="1:10">
      <c r="A306" s="20">
        <v>46178</v>
      </c>
      <c r="B306" s="21" t="s">
        <v>2</v>
      </c>
      <c r="C306" s="22">
        <v>1609492</v>
      </c>
      <c r="D306" s="22" t="s">
        <v>21</v>
      </c>
      <c r="E306" s="22" t="s">
        <v>22</v>
      </c>
      <c r="F306" s="23">
        <v>20007873</v>
      </c>
      <c r="G306" s="22" t="s">
        <v>100</v>
      </c>
      <c r="H306" s="23">
        <v>1</v>
      </c>
      <c r="I306" s="24">
        <v>35</v>
      </c>
      <c r="J306" s="24">
        <v>35</v>
      </c>
    </row>
    <row r="307" hidden="1" spans="1:10">
      <c r="A307" s="20">
        <v>46178</v>
      </c>
      <c r="B307" s="21" t="s">
        <v>2</v>
      </c>
      <c r="C307" s="22">
        <v>1609492</v>
      </c>
      <c r="D307" s="22" t="s">
        <v>21</v>
      </c>
      <c r="E307" s="22" t="s">
        <v>22</v>
      </c>
      <c r="F307" s="23">
        <v>20357819</v>
      </c>
      <c r="G307" s="22" t="s">
        <v>37</v>
      </c>
      <c r="H307" s="23">
        <v>1</v>
      </c>
      <c r="I307" s="24">
        <v>22</v>
      </c>
      <c r="J307" s="24">
        <v>22</v>
      </c>
    </row>
    <row r="308" hidden="1" spans="1:10">
      <c r="A308" s="20">
        <v>46178</v>
      </c>
      <c r="B308" s="21" t="s">
        <v>2</v>
      </c>
      <c r="C308" s="22">
        <v>1609659</v>
      </c>
      <c r="D308" s="22" t="s">
        <v>21</v>
      </c>
      <c r="E308" s="22" t="s">
        <v>22</v>
      </c>
      <c r="F308" s="23">
        <v>20313088</v>
      </c>
      <c r="G308" s="22" t="s">
        <v>133</v>
      </c>
      <c r="H308" s="23">
        <v>1</v>
      </c>
      <c r="I308" s="24">
        <v>25</v>
      </c>
      <c r="J308" s="24">
        <v>25</v>
      </c>
    </row>
    <row r="309" hidden="1" spans="1:10">
      <c r="A309" s="20">
        <v>46178</v>
      </c>
      <c r="B309" s="21" t="s">
        <v>2</v>
      </c>
      <c r="C309" s="22">
        <v>1609659</v>
      </c>
      <c r="D309" s="22" t="s">
        <v>21</v>
      </c>
      <c r="E309" s="22" t="s">
        <v>22</v>
      </c>
      <c r="F309" s="23">
        <v>20318020</v>
      </c>
      <c r="G309" s="22" t="s">
        <v>113</v>
      </c>
      <c r="H309" s="23">
        <v>1</v>
      </c>
      <c r="I309" s="24">
        <v>22</v>
      </c>
      <c r="J309" s="24">
        <v>22</v>
      </c>
    </row>
    <row r="310" hidden="1" spans="1:10">
      <c r="A310" s="20">
        <v>46178</v>
      </c>
      <c r="B310" s="21" t="s">
        <v>2</v>
      </c>
      <c r="C310" s="22">
        <v>1609659</v>
      </c>
      <c r="D310" s="22" t="s">
        <v>21</v>
      </c>
      <c r="E310" s="22" t="s">
        <v>22</v>
      </c>
      <c r="F310" s="23">
        <v>20013871</v>
      </c>
      <c r="G310" s="22" t="s">
        <v>114</v>
      </c>
      <c r="H310" s="23">
        <v>1</v>
      </c>
      <c r="I310" s="24">
        <v>28</v>
      </c>
      <c r="J310" s="24">
        <v>28</v>
      </c>
    </row>
    <row r="311" hidden="1" spans="1:10">
      <c r="A311" s="20">
        <v>46178</v>
      </c>
      <c r="B311" s="21" t="s">
        <v>2</v>
      </c>
      <c r="C311" s="22">
        <v>1609659</v>
      </c>
      <c r="D311" s="22" t="s">
        <v>21</v>
      </c>
      <c r="E311" s="22" t="s">
        <v>22</v>
      </c>
      <c r="F311" s="23">
        <v>20013489</v>
      </c>
      <c r="G311" s="22" t="s">
        <v>115</v>
      </c>
      <c r="H311" s="23">
        <v>1</v>
      </c>
      <c r="I311" s="24">
        <v>35</v>
      </c>
      <c r="J311" s="24">
        <v>35</v>
      </c>
    </row>
    <row r="312" hidden="1" spans="1:10">
      <c r="A312" s="20">
        <v>46178</v>
      </c>
      <c r="B312" s="21" t="s">
        <v>2</v>
      </c>
      <c r="C312" s="22">
        <v>1609659</v>
      </c>
      <c r="D312" s="22" t="s">
        <v>21</v>
      </c>
      <c r="E312" s="22" t="s">
        <v>22</v>
      </c>
      <c r="F312" s="23">
        <v>20013477</v>
      </c>
      <c r="G312" s="22" t="s">
        <v>116</v>
      </c>
      <c r="H312" s="23">
        <v>1</v>
      </c>
      <c r="I312" s="24">
        <v>35</v>
      </c>
      <c r="J312" s="24">
        <v>35</v>
      </c>
    </row>
    <row r="313" hidden="1" spans="1:10">
      <c r="A313" s="20">
        <v>46178</v>
      </c>
      <c r="B313" s="21" t="s">
        <v>2</v>
      </c>
      <c r="C313" s="22">
        <v>1609659</v>
      </c>
      <c r="D313" s="22" t="s">
        <v>21</v>
      </c>
      <c r="E313" s="22" t="s">
        <v>22</v>
      </c>
      <c r="F313" s="23">
        <v>20007873</v>
      </c>
      <c r="G313" s="22" t="s">
        <v>100</v>
      </c>
      <c r="H313" s="23">
        <v>1</v>
      </c>
      <c r="I313" s="24">
        <v>35</v>
      </c>
      <c r="J313" s="24">
        <v>35</v>
      </c>
    </row>
    <row r="314" hidden="1" spans="1:10">
      <c r="A314" s="20">
        <v>46178</v>
      </c>
      <c r="B314" s="21" t="s">
        <v>2</v>
      </c>
      <c r="C314" s="22">
        <v>1609659</v>
      </c>
      <c r="D314" s="22" t="s">
        <v>21</v>
      </c>
      <c r="E314" s="22" t="s">
        <v>22</v>
      </c>
      <c r="F314" s="23">
        <v>20013476</v>
      </c>
      <c r="G314" s="22" t="s">
        <v>118</v>
      </c>
      <c r="H314" s="23">
        <v>1</v>
      </c>
      <c r="I314" s="24">
        <v>28</v>
      </c>
      <c r="J314" s="24">
        <v>28</v>
      </c>
    </row>
    <row r="315" hidden="1" spans="1:10">
      <c r="A315" s="20">
        <v>46178</v>
      </c>
      <c r="B315" s="21" t="s">
        <v>2</v>
      </c>
      <c r="C315" s="22">
        <v>1609659</v>
      </c>
      <c r="D315" s="22" t="s">
        <v>21</v>
      </c>
      <c r="E315" s="22" t="s">
        <v>22</v>
      </c>
      <c r="F315" s="23">
        <v>20321303</v>
      </c>
      <c r="G315" s="22" t="s">
        <v>119</v>
      </c>
      <c r="H315" s="23">
        <v>1</v>
      </c>
      <c r="I315" s="24">
        <v>28</v>
      </c>
      <c r="J315" s="24">
        <v>28</v>
      </c>
    </row>
    <row r="316" hidden="1" spans="1:10">
      <c r="A316" s="20">
        <v>46178</v>
      </c>
      <c r="B316" s="21" t="s">
        <v>2</v>
      </c>
      <c r="C316" s="22">
        <v>1609659</v>
      </c>
      <c r="D316" s="22" t="s">
        <v>21</v>
      </c>
      <c r="E316" s="22" t="s">
        <v>22</v>
      </c>
      <c r="F316" s="23">
        <v>20346794</v>
      </c>
      <c r="G316" s="22" t="s">
        <v>120</v>
      </c>
      <c r="H316" s="23">
        <v>1</v>
      </c>
      <c r="I316" s="24">
        <v>28</v>
      </c>
      <c r="J316" s="24">
        <v>28</v>
      </c>
    </row>
    <row r="317" spans="1:10">
      <c r="A317" s="20">
        <v>46178</v>
      </c>
      <c r="B317" s="21" t="s">
        <v>2</v>
      </c>
      <c r="C317" s="22">
        <v>1609667</v>
      </c>
      <c r="D317" s="22" t="s">
        <v>14</v>
      </c>
      <c r="E317" s="22" t="s">
        <v>14</v>
      </c>
      <c r="F317" s="23">
        <v>20347124</v>
      </c>
      <c r="G317" s="22" t="s">
        <v>125</v>
      </c>
      <c r="H317" s="23">
        <v>1</v>
      </c>
      <c r="I317" s="24">
        <v>126.5</v>
      </c>
      <c r="J317" s="24">
        <v>126.5</v>
      </c>
    </row>
    <row r="318" hidden="1" spans="1:10">
      <c r="A318" s="20">
        <v>46178</v>
      </c>
      <c r="B318" s="21" t="s">
        <v>2</v>
      </c>
      <c r="C318" s="22">
        <v>1609667</v>
      </c>
      <c r="D318" s="22" t="s">
        <v>21</v>
      </c>
      <c r="E318" s="22" t="s">
        <v>25</v>
      </c>
      <c r="F318" s="23">
        <v>20365183</v>
      </c>
      <c r="G318" s="22" t="s">
        <v>142</v>
      </c>
      <c r="H318" s="23">
        <v>1</v>
      </c>
      <c r="I318" s="24">
        <v>13.5</v>
      </c>
      <c r="J318" s="24">
        <v>13.5</v>
      </c>
    </row>
    <row r="319" spans="1:10">
      <c r="A319" s="20">
        <v>46181</v>
      </c>
      <c r="B319" s="21" t="s">
        <v>2</v>
      </c>
      <c r="C319" s="22">
        <v>1610254</v>
      </c>
      <c r="D319" s="22" t="s">
        <v>14</v>
      </c>
      <c r="E319" s="22" t="s">
        <v>14</v>
      </c>
      <c r="F319" s="23">
        <v>20003239</v>
      </c>
      <c r="G319" s="22" t="s">
        <v>127</v>
      </c>
      <c r="H319" s="23">
        <v>1</v>
      </c>
      <c r="I319" s="24">
        <v>99</v>
      </c>
      <c r="J319" s="24">
        <v>99</v>
      </c>
    </row>
    <row r="320" spans="1:10">
      <c r="A320" s="20">
        <v>46181</v>
      </c>
      <c r="B320" s="21" t="s">
        <v>2</v>
      </c>
      <c r="C320" s="22">
        <v>1610254</v>
      </c>
      <c r="D320" s="22" t="s">
        <v>14</v>
      </c>
      <c r="E320" s="22" t="s">
        <v>14</v>
      </c>
      <c r="F320" s="23">
        <v>20011399</v>
      </c>
      <c r="G320" s="22" t="s">
        <v>128</v>
      </c>
      <c r="H320" s="23">
        <v>1</v>
      </c>
      <c r="I320" s="24">
        <v>165</v>
      </c>
      <c r="J320" s="24">
        <v>165</v>
      </c>
    </row>
    <row r="321" spans="1:10">
      <c r="A321" s="20">
        <v>46181</v>
      </c>
      <c r="B321" s="21" t="s">
        <v>2</v>
      </c>
      <c r="C321" s="22">
        <v>1610254</v>
      </c>
      <c r="D321" s="22" t="s">
        <v>14</v>
      </c>
      <c r="E321" s="22" t="s">
        <v>14</v>
      </c>
      <c r="F321" s="23">
        <v>20008595</v>
      </c>
      <c r="G321" s="22" t="s">
        <v>107</v>
      </c>
      <c r="H321" s="23">
        <v>1</v>
      </c>
      <c r="I321" s="24">
        <v>165</v>
      </c>
      <c r="J321" s="24">
        <v>165</v>
      </c>
    </row>
    <row r="322" spans="1:10">
      <c r="A322" s="20">
        <v>46181</v>
      </c>
      <c r="B322" s="21" t="s">
        <v>2</v>
      </c>
      <c r="C322" s="22">
        <v>1610254</v>
      </c>
      <c r="D322" s="22" t="s">
        <v>14</v>
      </c>
      <c r="E322" s="22" t="s">
        <v>15</v>
      </c>
      <c r="F322" s="23">
        <v>20002375</v>
      </c>
      <c r="G322" s="22" t="s">
        <v>108</v>
      </c>
      <c r="H322" s="23">
        <v>1</v>
      </c>
      <c r="I322" s="24">
        <v>38.5</v>
      </c>
      <c r="J322" s="24">
        <v>38.5</v>
      </c>
    </row>
    <row r="323" hidden="1" spans="1:10">
      <c r="A323" s="20">
        <v>46182</v>
      </c>
      <c r="B323" s="21" t="s">
        <v>2</v>
      </c>
      <c r="C323" s="22">
        <v>1610458</v>
      </c>
      <c r="D323" s="22" t="s">
        <v>21</v>
      </c>
      <c r="E323" s="22" t="s">
        <v>22</v>
      </c>
      <c r="F323" s="23">
        <v>20007873</v>
      </c>
      <c r="G323" s="22" t="s">
        <v>100</v>
      </c>
      <c r="H323" s="23">
        <v>1</v>
      </c>
      <c r="I323" s="24">
        <v>35</v>
      </c>
      <c r="J323" s="24">
        <v>35</v>
      </c>
    </row>
    <row r="324" spans="1:10">
      <c r="A324" s="20">
        <v>46182</v>
      </c>
      <c r="B324" s="21" t="s">
        <v>2</v>
      </c>
      <c r="C324" s="22">
        <v>1610682</v>
      </c>
      <c r="D324" s="22" t="s">
        <v>14</v>
      </c>
      <c r="E324" s="22" t="s">
        <v>14</v>
      </c>
      <c r="F324" s="23">
        <v>20003239</v>
      </c>
      <c r="G324" s="22" t="s">
        <v>127</v>
      </c>
      <c r="H324" s="23">
        <v>1</v>
      </c>
      <c r="I324" s="24">
        <v>99</v>
      </c>
      <c r="J324" s="24">
        <v>99</v>
      </c>
    </row>
    <row r="325" spans="1:10">
      <c r="A325" s="20">
        <v>46182</v>
      </c>
      <c r="B325" s="21" t="s">
        <v>2</v>
      </c>
      <c r="C325" s="22">
        <v>1610682</v>
      </c>
      <c r="D325" s="22" t="s">
        <v>14</v>
      </c>
      <c r="E325" s="22" t="s">
        <v>14</v>
      </c>
      <c r="F325" s="23">
        <v>20003772</v>
      </c>
      <c r="G325" s="22" t="s">
        <v>129</v>
      </c>
      <c r="H325" s="23">
        <v>1</v>
      </c>
      <c r="I325" s="24">
        <v>66</v>
      </c>
      <c r="J325" s="24">
        <v>66</v>
      </c>
    </row>
    <row r="326" hidden="1" spans="1:10">
      <c r="A326" s="20">
        <v>46182</v>
      </c>
      <c r="B326" s="21" t="s">
        <v>2</v>
      </c>
      <c r="C326" s="22">
        <v>1610682</v>
      </c>
      <c r="D326" s="22" t="s">
        <v>21</v>
      </c>
      <c r="E326" s="22" t="s">
        <v>25</v>
      </c>
      <c r="F326" s="23">
        <v>20007889</v>
      </c>
      <c r="G326" s="22" t="s">
        <v>143</v>
      </c>
      <c r="H326" s="23">
        <v>1</v>
      </c>
      <c r="I326" s="24">
        <v>16.5</v>
      </c>
      <c r="J326" s="24">
        <v>16.5</v>
      </c>
    </row>
    <row r="327" spans="1:10">
      <c r="A327" s="20">
        <v>46183</v>
      </c>
      <c r="B327" s="21" t="s">
        <v>2</v>
      </c>
      <c r="C327" s="22">
        <v>1611040</v>
      </c>
      <c r="D327" s="22" t="s">
        <v>14</v>
      </c>
      <c r="E327" s="22" t="s">
        <v>14</v>
      </c>
      <c r="F327" s="23">
        <v>20005257</v>
      </c>
      <c r="G327" s="22" t="s">
        <v>144</v>
      </c>
      <c r="H327" s="23">
        <v>1</v>
      </c>
      <c r="I327" s="24">
        <v>154</v>
      </c>
      <c r="J327" s="24">
        <v>154</v>
      </c>
    </row>
    <row r="328" hidden="1" spans="1:10">
      <c r="A328" s="20">
        <v>46184</v>
      </c>
      <c r="B328" s="21" t="s">
        <v>2</v>
      </c>
      <c r="C328" s="22">
        <v>1611203</v>
      </c>
      <c r="D328" s="22" t="s">
        <v>21</v>
      </c>
      <c r="E328" s="22" t="s">
        <v>22</v>
      </c>
      <c r="F328" s="23">
        <v>20321304</v>
      </c>
      <c r="G328" s="22" t="s">
        <v>111</v>
      </c>
      <c r="H328" s="23">
        <v>1</v>
      </c>
      <c r="I328" s="24">
        <v>25</v>
      </c>
      <c r="J328" s="24">
        <v>25</v>
      </c>
    </row>
    <row r="329" hidden="1" spans="1:10">
      <c r="A329" s="20">
        <v>46184</v>
      </c>
      <c r="B329" s="21" t="s">
        <v>2</v>
      </c>
      <c r="C329" s="22">
        <v>1611203</v>
      </c>
      <c r="D329" s="22" t="s">
        <v>21</v>
      </c>
      <c r="E329" s="22" t="s">
        <v>22</v>
      </c>
      <c r="F329" s="23">
        <v>20313086</v>
      </c>
      <c r="G329" s="22" t="s">
        <v>112</v>
      </c>
      <c r="H329" s="23">
        <v>2</v>
      </c>
      <c r="I329" s="24">
        <v>25</v>
      </c>
      <c r="J329" s="24">
        <v>50</v>
      </c>
    </row>
    <row r="330" hidden="1" spans="1:10">
      <c r="A330" s="20">
        <v>46184</v>
      </c>
      <c r="B330" s="21" t="s">
        <v>2</v>
      </c>
      <c r="C330" s="22">
        <v>1611203</v>
      </c>
      <c r="D330" s="22" t="s">
        <v>21</v>
      </c>
      <c r="E330" s="22" t="s">
        <v>22</v>
      </c>
      <c r="F330" s="23">
        <v>20013895</v>
      </c>
      <c r="G330" s="22" t="s">
        <v>145</v>
      </c>
      <c r="H330" s="23">
        <v>1</v>
      </c>
      <c r="I330" s="24">
        <v>44</v>
      </c>
      <c r="J330" s="24">
        <v>44</v>
      </c>
    </row>
    <row r="331" hidden="1" spans="1:10">
      <c r="A331" s="20">
        <v>46184</v>
      </c>
      <c r="B331" s="21" t="s">
        <v>2</v>
      </c>
      <c r="C331" s="22">
        <v>1611203</v>
      </c>
      <c r="D331" s="22" t="s">
        <v>21</v>
      </c>
      <c r="E331" s="22" t="s">
        <v>22</v>
      </c>
      <c r="F331" s="23">
        <v>20318020</v>
      </c>
      <c r="G331" s="22" t="s">
        <v>113</v>
      </c>
      <c r="H331" s="23">
        <v>1</v>
      </c>
      <c r="I331" s="24">
        <v>22</v>
      </c>
      <c r="J331" s="24">
        <v>22</v>
      </c>
    </row>
    <row r="332" hidden="1" spans="1:10">
      <c r="A332" s="20">
        <v>46184</v>
      </c>
      <c r="B332" s="21" t="s">
        <v>2</v>
      </c>
      <c r="C332" s="22">
        <v>1611203</v>
      </c>
      <c r="D332" s="22" t="s">
        <v>21</v>
      </c>
      <c r="E332" s="22" t="s">
        <v>22</v>
      </c>
      <c r="F332" s="23">
        <v>20347718</v>
      </c>
      <c r="G332" s="22" t="s">
        <v>146</v>
      </c>
      <c r="H332" s="23">
        <v>1</v>
      </c>
      <c r="I332" s="24">
        <v>22</v>
      </c>
      <c r="J332" s="24">
        <v>22</v>
      </c>
    </row>
    <row r="333" hidden="1" spans="1:10">
      <c r="A333" s="20">
        <v>46184</v>
      </c>
      <c r="B333" s="21" t="s">
        <v>2</v>
      </c>
      <c r="C333" s="22">
        <v>1611203</v>
      </c>
      <c r="D333" s="22" t="s">
        <v>21</v>
      </c>
      <c r="E333" s="22" t="s">
        <v>22</v>
      </c>
      <c r="F333" s="23">
        <v>20013969</v>
      </c>
      <c r="G333" s="22" t="s">
        <v>147</v>
      </c>
      <c r="H333" s="23">
        <v>1</v>
      </c>
      <c r="I333" s="24">
        <v>44</v>
      </c>
      <c r="J333" s="24">
        <v>44</v>
      </c>
    </row>
    <row r="334" hidden="1" spans="1:10">
      <c r="A334" s="20">
        <v>46184</v>
      </c>
      <c r="B334" s="21" t="s">
        <v>2</v>
      </c>
      <c r="C334" s="22">
        <v>1611203</v>
      </c>
      <c r="D334" s="22" t="s">
        <v>21</v>
      </c>
      <c r="E334" s="22" t="s">
        <v>22</v>
      </c>
      <c r="F334" s="23">
        <v>20013871</v>
      </c>
      <c r="G334" s="22" t="s">
        <v>114</v>
      </c>
      <c r="H334" s="23">
        <v>2</v>
      </c>
      <c r="I334" s="24">
        <v>28</v>
      </c>
      <c r="J334" s="24">
        <v>56</v>
      </c>
    </row>
    <row r="335" hidden="1" spans="1:10">
      <c r="A335" s="20">
        <v>46184</v>
      </c>
      <c r="B335" s="21" t="s">
        <v>2</v>
      </c>
      <c r="C335" s="22">
        <v>1611203</v>
      </c>
      <c r="D335" s="22" t="s">
        <v>21</v>
      </c>
      <c r="E335" s="22" t="s">
        <v>22</v>
      </c>
      <c r="F335" s="23">
        <v>20013489</v>
      </c>
      <c r="G335" s="22" t="s">
        <v>115</v>
      </c>
      <c r="H335" s="23">
        <v>1</v>
      </c>
      <c r="I335" s="24">
        <v>35</v>
      </c>
      <c r="J335" s="24">
        <v>35</v>
      </c>
    </row>
    <row r="336" hidden="1" spans="1:10">
      <c r="A336" s="20">
        <v>46184</v>
      </c>
      <c r="B336" s="21" t="s">
        <v>2</v>
      </c>
      <c r="C336" s="22">
        <v>1611203</v>
      </c>
      <c r="D336" s="22" t="s">
        <v>21</v>
      </c>
      <c r="E336" s="22" t="s">
        <v>22</v>
      </c>
      <c r="F336" s="23">
        <v>20013477</v>
      </c>
      <c r="G336" s="22" t="s">
        <v>116</v>
      </c>
      <c r="H336" s="23">
        <v>1</v>
      </c>
      <c r="I336" s="24">
        <v>35</v>
      </c>
      <c r="J336" s="24">
        <v>35</v>
      </c>
    </row>
    <row r="337" hidden="1" spans="1:11">
      <c r="A337" s="20">
        <v>46184</v>
      </c>
      <c r="B337" s="21" t="s">
        <v>2</v>
      </c>
      <c r="C337" s="22">
        <v>1611203</v>
      </c>
      <c r="D337" s="22" t="s">
        <v>21</v>
      </c>
      <c r="E337" s="22" t="s">
        <v>22</v>
      </c>
      <c r="F337" s="23">
        <v>20013480</v>
      </c>
      <c r="G337" s="22" t="s">
        <v>117</v>
      </c>
      <c r="H337" s="23">
        <v>1</v>
      </c>
      <c r="I337" s="24">
        <v>22</v>
      </c>
      <c r="J337" s="24">
        <v>22</v>
      </c>
    </row>
    <row r="338" hidden="1" spans="1:11">
      <c r="A338" s="20">
        <v>46184</v>
      </c>
      <c r="B338" s="21" t="s">
        <v>2</v>
      </c>
      <c r="C338" s="22">
        <v>1611203</v>
      </c>
      <c r="D338" s="22" t="s">
        <v>21</v>
      </c>
      <c r="E338" s="22" t="s">
        <v>22</v>
      </c>
      <c r="F338" s="23">
        <v>20013869</v>
      </c>
      <c r="G338" s="22" t="s">
        <v>148</v>
      </c>
      <c r="H338" s="23">
        <v>1</v>
      </c>
      <c r="I338" s="24">
        <v>28</v>
      </c>
      <c r="J338" s="24">
        <v>28</v>
      </c>
    </row>
    <row r="339" hidden="1" spans="1:11">
      <c r="A339" s="20">
        <v>46184</v>
      </c>
      <c r="B339" s="21" t="s">
        <v>2</v>
      </c>
      <c r="C339" s="22">
        <v>1611203</v>
      </c>
      <c r="D339" s="22" t="s">
        <v>21</v>
      </c>
      <c r="E339" s="22" t="s">
        <v>22</v>
      </c>
      <c r="F339" s="23">
        <v>20007873</v>
      </c>
      <c r="G339" s="22" t="s">
        <v>100</v>
      </c>
      <c r="H339" s="23">
        <v>1</v>
      </c>
      <c r="I339" s="24">
        <v>35</v>
      </c>
      <c r="J339" s="24">
        <v>35</v>
      </c>
    </row>
    <row r="340" hidden="1" spans="1:11">
      <c r="A340" s="20">
        <v>46184</v>
      </c>
      <c r="B340" s="21" t="s">
        <v>2</v>
      </c>
      <c r="C340" s="22">
        <v>1611203</v>
      </c>
      <c r="D340" s="22" t="s">
        <v>21</v>
      </c>
      <c r="E340" s="22" t="s">
        <v>22</v>
      </c>
      <c r="F340" s="23">
        <v>20014242</v>
      </c>
      <c r="G340" s="22" t="s">
        <v>149</v>
      </c>
      <c r="H340" s="23">
        <v>1</v>
      </c>
      <c r="I340" s="24">
        <v>22</v>
      </c>
      <c r="J340" s="24">
        <v>22</v>
      </c>
    </row>
    <row r="341" hidden="1" spans="1:11">
      <c r="A341" s="20">
        <v>46184</v>
      </c>
      <c r="B341" s="21" t="s">
        <v>2</v>
      </c>
      <c r="C341" s="22">
        <v>1611203</v>
      </c>
      <c r="D341" s="22" t="s">
        <v>21</v>
      </c>
      <c r="E341" s="22" t="s">
        <v>22</v>
      </c>
      <c r="F341" s="23">
        <v>20321301</v>
      </c>
      <c r="G341" s="22" t="s">
        <v>121</v>
      </c>
      <c r="H341" s="23">
        <v>1</v>
      </c>
      <c r="I341" s="24">
        <v>28</v>
      </c>
      <c r="J341" s="24">
        <v>28</v>
      </c>
    </row>
    <row r="342" hidden="1" spans="1:11">
      <c r="A342" s="20">
        <v>46184</v>
      </c>
      <c r="B342" s="21" t="s">
        <v>2</v>
      </c>
      <c r="C342" s="22">
        <v>1611203</v>
      </c>
      <c r="D342" s="22" t="s">
        <v>21</v>
      </c>
      <c r="E342" s="22" t="s">
        <v>22</v>
      </c>
      <c r="F342" s="23">
        <v>20312689</v>
      </c>
      <c r="G342" s="22" t="s">
        <v>122</v>
      </c>
      <c r="H342" s="23">
        <v>1</v>
      </c>
      <c r="I342" s="24">
        <v>25</v>
      </c>
      <c r="J342" s="24">
        <v>25</v>
      </c>
    </row>
    <row r="343" hidden="1" spans="1:11">
      <c r="A343" s="20">
        <v>46184</v>
      </c>
      <c r="B343" s="21" t="s">
        <v>2</v>
      </c>
      <c r="C343" s="22">
        <v>1611203</v>
      </c>
      <c r="D343" s="22" t="s">
        <v>21</v>
      </c>
      <c r="E343" s="22" t="s">
        <v>22</v>
      </c>
      <c r="F343" s="23">
        <v>20313087</v>
      </c>
      <c r="G343" s="22" t="s">
        <v>123</v>
      </c>
      <c r="H343" s="23">
        <v>1</v>
      </c>
      <c r="I343" s="24">
        <v>22</v>
      </c>
      <c r="J343" s="24">
        <v>22</v>
      </c>
    </row>
    <row r="344" spans="1:11">
      <c r="A344" s="20">
        <v>46184</v>
      </c>
      <c r="B344" s="21" t="s">
        <v>2</v>
      </c>
      <c r="C344" s="22">
        <v>1611418</v>
      </c>
      <c r="D344" s="22" t="s">
        <v>14</v>
      </c>
      <c r="E344" s="22" t="s">
        <v>14</v>
      </c>
      <c r="F344" s="23">
        <v>20003239</v>
      </c>
      <c r="G344" s="22" t="s">
        <v>127</v>
      </c>
      <c r="H344" s="23">
        <v>2</v>
      </c>
      <c r="I344" s="24">
        <v>99</v>
      </c>
      <c r="J344" s="24">
        <v>198</v>
      </c>
    </row>
    <row r="345" spans="1:11">
      <c r="A345" s="20">
        <v>46184</v>
      </c>
      <c r="B345" s="21" t="s">
        <v>2</v>
      </c>
      <c r="C345" s="22">
        <v>1611418</v>
      </c>
      <c r="D345" s="22" t="s">
        <v>14</v>
      </c>
      <c r="E345" s="22" t="s">
        <v>14</v>
      </c>
      <c r="F345" s="23">
        <v>20008595</v>
      </c>
      <c r="G345" s="22" t="s">
        <v>107</v>
      </c>
      <c r="H345" s="23">
        <v>1</v>
      </c>
      <c r="I345" s="24">
        <v>165</v>
      </c>
      <c r="J345" s="24">
        <v>165</v>
      </c>
    </row>
    <row r="346" spans="1:11">
      <c r="A346" s="20">
        <v>46184</v>
      </c>
      <c r="B346" s="21" t="s">
        <v>2</v>
      </c>
      <c r="C346" s="22">
        <v>1611418</v>
      </c>
      <c r="D346" s="22" t="s">
        <v>14</v>
      </c>
      <c r="E346" s="22" t="s">
        <v>15</v>
      </c>
      <c r="F346" s="23">
        <v>20002375</v>
      </c>
      <c r="G346" s="22" t="s">
        <v>108</v>
      </c>
      <c r="H346" s="23">
        <v>2</v>
      </c>
      <c r="I346" s="24">
        <v>38.5</v>
      </c>
      <c r="J346" s="24">
        <v>77</v>
      </c>
    </row>
    <row r="347" hidden="1" spans="1:11">
      <c r="A347" s="20">
        <v>46184</v>
      </c>
      <c r="B347" s="21" t="s">
        <v>2</v>
      </c>
      <c r="C347" s="22">
        <v>1611462</v>
      </c>
      <c r="D347" s="22" t="s">
        <v>21</v>
      </c>
      <c r="E347" s="22" t="s">
        <v>22</v>
      </c>
      <c r="F347" s="23">
        <v>20013489</v>
      </c>
      <c r="G347" s="22" t="s">
        <v>115</v>
      </c>
      <c r="H347" s="23">
        <v>1</v>
      </c>
      <c r="I347" s="24">
        <v>35</v>
      </c>
      <c r="J347" s="24">
        <v>35</v>
      </c>
    </row>
    <row r="348" hidden="1" spans="1:11">
      <c r="A348" s="20">
        <v>46184</v>
      </c>
      <c r="B348" s="21" t="s">
        <v>2</v>
      </c>
      <c r="C348" s="22">
        <v>1611462</v>
      </c>
      <c r="D348" s="22" t="s">
        <v>21</v>
      </c>
      <c r="E348" s="22" t="s">
        <v>22</v>
      </c>
      <c r="F348" s="23">
        <v>20013869</v>
      </c>
      <c r="G348" s="22" t="s">
        <v>148</v>
      </c>
      <c r="H348" s="23">
        <v>1</v>
      </c>
      <c r="I348" s="24">
        <v>28</v>
      </c>
      <c r="J348" s="24">
        <v>28</v>
      </c>
    </row>
    <row r="349" spans="1:11">
      <c r="A349" s="20">
        <v>46185</v>
      </c>
      <c r="B349" s="21" t="s">
        <v>2</v>
      </c>
      <c r="C349" s="22">
        <v>1611785</v>
      </c>
      <c r="D349" s="22" t="s">
        <v>14</v>
      </c>
      <c r="E349" s="22" t="s">
        <v>14</v>
      </c>
      <c r="F349" s="23">
        <v>20003772</v>
      </c>
      <c r="G349" s="22" t="s">
        <v>129</v>
      </c>
      <c r="H349" s="23">
        <v>1</v>
      </c>
      <c r="I349" s="24">
        <v>66</v>
      </c>
      <c r="J349" s="24">
        <v>66</v>
      </c>
    </row>
    <row r="350" spans="1:11">
      <c r="A350" s="20">
        <v>46185</v>
      </c>
      <c r="B350" s="21" t="s">
        <v>2</v>
      </c>
      <c r="C350" s="22">
        <v>1611785</v>
      </c>
      <c r="D350" s="22" t="s">
        <v>14</v>
      </c>
      <c r="E350" s="22" t="s">
        <v>14</v>
      </c>
      <c r="F350" s="23">
        <v>20008595</v>
      </c>
      <c r="G350" s="22" t="s">
        <v>107</v>
      </c>
      <c r="H350" s="23">
        <v>1</v>
      </c>
      <c r="I350" s="24">
        <v>165</v>
      </c>
      <c r="J350" s="24">
        <v>165</v>
      </c>
      <c r="K350">
        <f>5544+990</f>
        <v>6534</v>
      </c>
    </row>
    <row r="351" hidden="1" spans="1:11">
      <c r="A351" s="20">
        <v>46185</v>
      </c>
      <c r="B351" s="21" t="s">
        <v>2</v>
      </c>
      <c r="C351" s="22">
        <v>1611785</v>
      </c>
      <c r="D351" s="22" t="s">
        <v>21</v>
      </c>
      <c r="E351" s="22" t="s">
        <v>25</v>
      </c>
      <c r="F351" s="23">
        <v>20008408</v>
      </c>
      <c r="G351" s="22" t="s">
        <v>150</v>
      </c>
      <c r="H351" s="23">
        <v>1</v>
      </c>
      <c r="I351" s="24">
        <v>8</v>
      </c>
      <c r="J351" s="24">
        <v>8</v>
      </c>
    </row>
    <row r="352" hidden="1" spans="1:11">
      <c r="A352" s="20">
        <v>46185</v>
      </c>
      <c r="B352" s="21" t="s">
        <v>2</v>
      </c>
      <c r="C352" s="22">
        <v>1611928</v>
      </c>
      <c r="D352" s="22" t="s">
        <v>21</v>
      </c>
      <c r="E352" s="22" t="s">
        <v>22</v>
      </c>
      <c r="F352" s="23">
        <v>20378486</v>
      </c>
      <c r="G352" s="22" t="s">
        <v>96</v>
      </c>
      <c r="H352" s="23">
        <v>1</v>
      </c>
      <c r="I352" s="24">
        <v>35</v>
      </c>
      <c r="J352" s="24">
        <v>35</v>
      </c>
    </row>
    <row r="353" hidden="1" spans="1:10">
      <c r="A353" s="20">
        <v>46185</v>
      </c>
      <c r="B353" s="21" t="s">
        <v>2</v>
      </c>
      <c r="C353" s="22">
        <v>1611928</v>
      </c>
      <c r="D353" s="22" t="s">
        <v>21</v>
      </c>
      <c r="E353" s="22" t="s">
        <v>22</v>
      </c>
      <c r="F353" s="23">
        <v>20372898</v>
      </c>
      <c r="G353" s="22" t="s">
        <v>140</v>
      </c>
      <c r="H353" s="23">
        <v>1</v>
      </c>
      <c r="I353" s="24">
        <v>28</v>
      </c>
      <c r="J353" s="24">
        <v>28</v>
      </c>
    </row>
    <row r="354" hidden="1" spans="1:10">
      <c r="A354" s="20">
        <v>46185</v>
      </c>
      <c r="B354" s="21" t="s">
        <v>2</v>
      </c>
      <c r="C354" s="22">
        <v>1611928</v>
      </c>
      <c r="D354" s="22" t="s">
        <v>21</v>
      </c>
      <c r="E354" s="22" t="s">
        <v>22</v>
      </c>
      <c r="F354" s="23">
        <v>20325211</v>
      </c>
      <c r="G354" s="22" t="s">
        <v>151</v>
      </c>
      <c r="H354" s="23">
        <v>1</v>
      </c>
      <c r="I354" s="24">
        <v>66</v>
      </c>
      <c r="J354" s="24">
        <v>66</v>
      </c>
    </row>
    <row r="355" hidden="1" spans="1:10">
      <c r="A355" s="20">
        <v>46185</v>
      </c>
      <c r="B355" s="21" t="s">
        <v>2</v>
      </c>
      <c r="C355" s="22">
        <v>1611928</v>
      </c>
      <c r="D355" s="22" t="s">
        <v>21</v>
      </c>
      <c r="E355" s="22" t="s">
        <v>22</v>
      </c>
      <c r="F355" s="23">
        <v>20356603</v>
      </c>
      <c r="G355" s="22" t="s">
        <v>152</v>
      </c>
      <c r="H355" s="23">
        <v>1</v>
      </c>
      <c r="I355" s="24">
        <v>25</v>
      </c>
      <c r="J355" s="24">
        <v>25</v>
      </c>
    </row>
    <row r="356" hidden="1" spans="1:10">
      <c r="A356" s="20">
        <v>46188</v>
      </c>
      <c r="B356" s="21" t="s">
        <v>2</v>
      </c>
      <c r="C356" s="22">
        <v>1612325</v>
      </c>
      <c r="D356" s="22" t="s">
        <v>21</v>
      </c>
      <c r="E356" s="22" t="s">
        <v>22</v>
      </c>
      <c r="F356" s="23">
        <v>20013855</v>
      </c>
      <c r="G356" s="22" t="s">
        <v>95</v>
      </c>
      <c r="H356" s="23">
        <v>1</v>
      </c>
      <c r="I356" s="24">
        <v>66</v>
      </c>
      <c r="J356" s="24">
        <v>66</v>
      </c>
    </row>
    <row r="357" hidden="1" spans="1:10">
      <c r="A357" s="20">
        <v>46188</v>
      </c>
      <c r="B357" s="21" t="s">
        <v>2</v>
      </c>
      <c r="C357" s="22">
        <v>1612325</v>
      </c>
      <c r="D357" s="22" t="s">
        <v>21</v>
      </c>
      <c r="E357" s="22" t="s">
        <v>22</v>
      </c>
      <c r="F357" s="23">
        <v>20013862</v>
      </c>
      <c r="G357" s="22" t="s">
        <v>153</v>
      </c>
      <c r="H357" s="23">
        <v>1</v>
      </c>
      <c r="I357" s="24">
        <v>22</v>
      </c>
      <c r="J357" s="24">
        <v>22</v>
      </c>
    </row>
    <row r="358" hidden="1" spans="1:10">
      <c r="A358" s="20">
        <v>46188</v>
      </c>
      <c r="B358" s="21" t="s">
        <v>2</v>
      </c>
      <c r="C358" s="22">
        <v>1612325</v>
      </c>
      <c r="D358" s="22" t="s">
        <v>21</v>
      </c>
      <c r="E358" s="22" t="s">
        <v>22</v>
      </c>
      <c r="F358" s="23">
        <v>20014286</v>
      </c>
      <c r="G358" s="22" t="s">
        <v>97</v>
      </c>
      <c r="H358" s="23">
        <v>1</v>
      </c>
      <c r="I358" s="24">
        <v>44</v>
      </c>
      <c r="J358" s="24">
        <v>44</v>
      </c>
    </row>
    <row r="359" hidden="1" spans="1:10">
      <c r="A359" s="20">
        <v>46188</v>
      </c>
      <c r="B359" s="21" t="s">
        <v>2</v>
      </c>
      <c r="C359" s="22">
        <v>1612325</v>
      </c>
      <c r="D359" s="22" t="s">
        <v>21</v>
      </c>
      <c r="E359" s="22" t="s">
        <v>22</v>
      </c>
      <c r="F359" s="23">
        <v>20013437</v>
      </c>
      <c r="G359" s="22" t="s">
        <v>98</v>
      </c>
      <c r="H359" s="23">
        <v>1</v>
      </c>
      <c r="I359" s="24">
        <v>28</v>
      </c>
      <c r="J359" s="24">
        <v>28</v>
      </c>
    </row>
    <row r="360" hidden="1" spans="1:10">
      <c r="A360" s="20">
        <v>46188</v>
      </c>
      <c r="B360" s="21" t="s">
        <v>2</v>
      </c>
      <c r="C360" s="22">
        <v>1612325</v>
      </c>
      <c r="D360" s="22" t="s">
        <v>21</v>
      </c>
      <c r="E360" s="22" t="s">
        <v>22</v>
      </c>
      <c r="F360" s="23">
        <v>20013970</v>
      </c>
      <c r="G360" s="22" t="s">
        <v>124</v>
      </c>
      <c r="H360" s="23">
        <v>1</v>
      </c>
      <c r="I360" s="24">
        <v>22</v>
      </c>
      <c r="J360" s="24">
        <v>22</v>
      </c>
    </row>
    <row r="361" spans="1:10">
      <c r="A361" s="20">
        <v>46189</v>
      </c>
      <c r="B361" s="21" t="s">
        <v>2</v>
      </c>
      <c r="C361" s="22">
        <v>1612668</v>
      </c>
      <c r="D361" s="22" t="s">
        <v>14</v>
      </c>
      <c r="E361" s="22" t="s">
        <v>14</v>
      </c>
      <c r="F361" s="23">
        <v>20003239</v>
      </c>
      <c r="G361" s="22" t="s">
        <v>127</v>
      </c>
      <c r="H361" s="23">
        <v>1</v>
      </c>
      <c r="I361" s="24">
        <v>99</v>
      </c>
      <c r="J361" s="24">
        <v>99</v>
      </c>
    </row>
    <row r="362" hidden="1" spans="1:10">
      <c r="A362" s="20">
        <v>46189</v>
      </c>
      <c r="B362" s="21" t="s">
        <v>2</v>
      </c>
      <c r="C362" s="22">
        <v>1612668</v>
      </c>
      <c r="D362" s="22" t="s">
        <v>21</v>
      </c>
      <c r="E362" s="22" t="s">
        <v>25</v>
      </c>
      <c r="F362" s="23">
        <v>20353582</v>
      </c>
      <c r="G362" s="22" t="s">
        <v>154</v>
      </c>
      <c r="H362" s="23">
        <v>1</v>
      </c>
      <c r="I362" s="24">
        <v>22</v>
      </c>
      <c r="J362" s="24">
        <v>22</v>
      </c>
    </row>
    <row r="363" hidden="1" spans="1:10">
      <c r="A363" s="20">
        <v>46189</v>
      </c>
      <c r="B363" s="21" t="s">
        <v>2</v>
      </c>
      <c r="C363" s="22">
        <v>1612668</v>
      </c>
      <c r="D363" s="22" t="s">
        <v>21</v>
      </c>
      <c r="E363" s="22" t="s">
        <v>25</v>
      </c>
      <c r="F363" s="23">
        <v>20007889</v>
      </c>
      <c r="G363" s="22" t="s">
        <v>143</v>
      </c>
      <c r="H363" s="23">
        <v>1</v>
      </c>
      <c r="I363" s="24">
        <v>16.5</v>
      </c>
      <c r="J363" s="24">
        <v>16.5</v>
      </c>
    </row>
    <row r="364" hidden="1" spans="1:10">
      <c r="A364" s="20">
        <v>46190</v>
      </c>
      <c r="B364" s="21" t="s">
        <v>2</v>
      </c>
      <c r="C364" s="22">
        <v>1612844</v>
      </c>
      <c r="D364" s="22" t="s">
        <v>21</v>
      </c>
      <c r="E364" s="22" t="s">
        <v>22</v>
      </c>
      <c r="F364" s="23">
        <v>20344027</v>
      </c>
      <c r="G364" s="22" t="s">
        <v>155</v>
      </c>
      <c r="H364" s="23">
        <v>4</v>
      </c>
      <c r="I364" s="24">
        <v>22</v>
      </c>
      <c r="J364" s="24">
        <v>88</v>
      </c>
    </row>
    <row r="365" spans="1:10">
      <c r="A365" s="20">
        <v>46191</v>
      </c>
      <c r="B365" s="21" t="s">
        <v>2</v>
      </c>
      <c r="C365" s="22">
        <v>1613441</v>
      </c>
      <c r="D365" s="22" t="s">
        <v>14</v>
      </c>
      <c r="E365" s="22" t="s">
        <v>14</v>
      </c>
      <c r="F365" s="23">
        <v>20003239</v>
      </c>
      <c r="G365" s="22" t="s">
        <v>127</v>
      </c>
      <c r="H365" s="23">
        <v>2</v>
      </c>
      <c r="I365" s="24">
        <v>99</v>
      </c>
      <c r="J365" s="24">
        <v>198</v>
      </c>
    </row>
    <row r="366" spans="1:10">
      <c r="A366" s="20">
        <v>46191</v>
      </c>
      <c r="B366" s="21" t="s">
        <v>2</v>
      </c>
      <c r="C366" s="22">
        <v>1613441</v>
      </c>
      <c r="D366" s="22" t="s">
        <v>14</v>
      </c>
      <c r="E366" s="22" t="s">
        <v>14</v>
      </c>
      <c r="F366" s="23">
        <v>20347124</v>
      </c>
      <c r="G366" s="22" t="s">
        <v>125</v>
      </c>
      <c r="H366" s="23">
        <v>1</v>
      </c>
      <c r="I366" s="24">
        <v>126.5</v>
      </c>
      <c r="J366" s="24">
        <v>126.5</v>
      </c>
    </row>
    <row r="367" hidden="1" spans="1:10">
      <c r="A367" s="20">
        <v>46191</v>
      </c>
      <c r="B367" s="21" t="s">
        <v>2</v>
      </c>
      <c r="C367" s="22">
        <v>1613441</v>
      </c>
      <c r="D367" s="22" t="s">
        <v>21</v>
      </c>
      <c r="E367" s="22" t="s">
        <v>25</v>
      </c>
      <c r="F367" s="23">
        <v>20007889</v>
      </c>
      <c r="G367" s="22" t="s">
        <v>143</v>
      </c>
      <c r="H367" s="23">
        <v>1</v>
      </c>
      <c r="I367" s="24">
        <v>16.5</v>
      </c>
      <c r="J367" s="24">
        <v>16.5</v>
      </c>
    </row>
    <row r="368" spans="1:10">
      <c r="A368" s="20">
        <v>46191</v>
      </c>
      <c r="B368" s="21" t="s">
        <v>2</v>
      </c>
      <c r="C368" s="22">
        <v>1613441</v>
      </c>
      <c r="D368" s="22" t="s">
        <v>14</v>
      </c>
      <c r="E368" s="22" t="s">
        <v>15</v>
      </c>
      <c r="F368" s="23">
        <v>20002375</v>
      </c>
      <c r="G368" s="22" t="s">
        <v>108</v>
      </c>
      <c r="H368" s="23">
        <v>3</v>
      </c>
      <c r="I368" s="24">
        <v>38.5</v>
      </c>
      <c r="J368" s="24">
        <v>115.5</v>
      </c>
    </row>
    <row r="369" hidden="1" spans="1:10">
      <c r="A369" s="20">
        <v>46192</v>
      </c>
      <c r="B369" s="21" t="s">
        <v>2</v>
      </c>
      <c r="C369" s="22">
        <v>1613615</v>
      </c>
      <c r="D369" s="22" t="s">
        <v>21</v>
      </c>
      <c r="E369" s="22" t="s">
        <v>22</v>
      </c>
      <c r="F369" s="23">
        <v>20378487</v>
      </c>
      <c r="G369" s="22" t="s">
        <v>156</v>
      </c>
      <c r="H369" s="23">
        <v>1</v>
      </c>
      <c r="I369" s="24">
        <v>35</v>
      </c>
      <c r="J369" s="24">
        <v>35</v>
      </c>
    </row>
    <row r="370" hidden="1" spans="1:10">
      <c r="A370" s="20">
        <v>46192</v>
      </c>
      <c r="B370" s="21" t="s">
        <v>2</v>
      </c>
      <c r="C370" s="22">
        <v>1613615</v>
      </c>
      <c r="D370" s="22" t="s">
        <v>21</v>
      </c>
      <c r="E370" s="22" t="s">
        <v>22</v>
      </c>
      <c r="F370" s="23">
        <v>20348125</v>
      </c>
      <c r="G370" s="22" t="s">
        <v>109</v>
      </c>
      <c r="H370" s="23">
        <v>1</v>
      </c>
      <c r="I370" s="24">
        <v>25</v>
      </c>
      <c r="J370" s="24">
        <v>25</v>
      </c>
    </row>
    <row r="371" hidden="1" spans="1:10">
      <c r="A371" s="20">
        <v>46192</v>
      </c>
      <c r="B371" s="21" t="s">
        <v>2</v>
      </c>
      <c r="C371" s="22">
        <v>1613615</v>
      </c>
      <c r="D371" s="22" t="s">
        <v>21</v>
      </c>
      <c r="E371" s="22" t="s">
        <v>22</v>
      </c>
      <c r="F371" s="23">
        <v>20013872</v>
      </c>
      <c r="G371" s="22" t="s">
        <v>110</v>
      </c>
      <c r="H371" s="23">
        <v>1</v>
      </c>
      <c r="I371" s="24">
        <v>25</v>
      </c>
      <c r="J371" s="24">
        <v>25</v>
      </c>
    </row>
    <row r="372" hidden="1" spans="1:10">
      <c r="A372" s="20">
        <v>46192</v>
      </c>
      <c r="B372" s="21" t="s">
        <v>2</v>
      </c>
      <c r="C372" s="22">
        <v>1613615</v>
      </c>
      <c r="D372" s="22" t="s">
        <v>21</v>
      </c>
      <c r="E372" s="22" t="s">
        <v>22</v>
      </c>
      <c r="F372" s="23">
        <v>20313086</v>
      </c>
      <c r="G372" s="22" t="s">
        <v>112</v>
      </c>
      <c r="H372" s="23">
        <v>2</v>
      </c>
      <c r="I372" s="24">
        <v>25</v>
      </c>
      <c r="J372" s="24">
        <v>50</v>
      </c>
    </row>
    <row r="373" hidden="1" spans="1:10">
      <c r="A373" s="20">
        <v>46192</v>
      </c>
      <c r="B373" s="21" t="s">
        <v>2</v>
      </c>
      <c r="C373" s="22">
        <v>1613615</v>
      </c>
      <c r="D373" s="22" t="s">
        <v>21</v>
      </c>
      <c r="E373" s="22" t="s">
        <v>22</v>
      </c>
      <c r="F373" s="23">
        <v>20318020</v>
      </c>
      <c r="G373" s="22" t="s">
        <v>113</v>
      </c>
      <c r="H373" s="23">
        <v>1</v>
      </c>
      <c r="I373" s="24">
        <v>22</v>
      </c>
      <c r="J373" s="24">
        <v>22</v>
      </c>
    </row>
    <row r="374" hidden="1" spans="1:10">
      <c r="A374" s="20">
        <v>46192</v>
      </c>
      <c r="B374" s="21" t="s">
        <v>2</v>
      </c>
      <c r="C374" s="22">
        <v>1613615</v>
      </c>
      <c r="D374" s="22" t="s">
        <v>21</v>
      </c>
      <c r="E374" s="22" t="s">
        <v>22</v>
      </c>
      <c r="F374" s="23">
        <v>20013871</v>
      </c>
      <c r="G374" s="22" t="s">
        <v>114</v>
      </c>
      <c r="H374" s="23">
        <v>1</v>
      </c>
      <c r="I374" s="24">
        <v>28</v>
      </c>
      <c r="J374" s="24">
        <v>28</v>
      </c>
    </row>
    <row r="375" hidden="1" spans="1:10">
      <c r="A375" s="20">
        <v>46192</v>
      </c>
      <c r="B375" s="21" t="s">
        <v>2</v>
      </c>
      <c r="C375" s="22">
        <v>1613615</v>
      </c>
      <c r="D375" s="22" t="s">
        <v>21</v>
      </c>
      <c r="E375" s="22" t="s">
        <v>22</v>
      </c>
      <c r="F375" s="23">
        <v>20013477</v>
      </c>
      <c r="G375" s="22" t="s">
        <v>116</v>
      </c>
      <c r="H375" s="23">
        <v>1</v>
      </c>
      <c r="I375" s="24">
        <v>35</v>
      </c>
      <c r="J375" s="24">
        <v>35</v>
      </c>
    </row>
    <row r="376" hidden="1" spans="1:10">
      <c r="A376" s="20">
        <v>46192</v>
      </c>
      <c r="B376" s="21" t="s">
        <v>2</v>
      </c>
      <c r="C376" s="22">
        <v>1613615</v>
      </c>
      <c r="D376" s="22" t="s">
        <v>21</v>
      </c>
      <c r="E376" s="22" t="s">
        <v>22</v>
      </c>
      <c r="F376" s="23">
        <v>20013476</v>
      </c>
      <c r="G376" s="22" t="s">
        <v>118</v>
      </c>
      <c r="H376" s="23">
        <v>1</v>
      </c>
      <c r="I376" s="24">
        <v>28</v>
      </c>
      <c r="J376" s="24">
        <v>28</v>
      </c>
    </row>
    <row r="377" hidden="1" spans="1:10">
      <c r="A377" s="20">
        <v>46192</v>
      </c>
      <c r="B377" s="21" t="s">
        <v>2</v>
      </c>
      <c r="C377" s="22">
        <v>1613615</v>
      </c>
      <c r="D377" s="22" t="s">
        <v>21</v>
      </c>
      <c r="E377" s="22" t="s">
        <v>22</v>
      </c>
      <c r="F377" s="23">
        <v>20321303</v>
      </c>
      <c r="G377" s="22" t="s">
        <v>119</v>
      </c>
      <c r="H377" s="23">
        <v>1</v>
      </c>
      <c r="I377" s="24">
        <v>28</v>
      </c>
      <c r="J377" s="24">
        <v>28</v>
      </c>
    </row>
    <row r="378" hidden="1" spans="1:10">
      <c r="A378" s="20">
        <v>46192</v>
      </c>
      <c r="B378" s="21" t="s">
        <v>2</v>
      </c>
      <c r="C378" s="22">
        <v>1613615</v>
      </c>
      <c r="D378" s="22" t="s">
        <v>21</v>
      </c>
      <c r="E378" s="22" t="s">
        <v>22</v>
      </c>
      <c r="F378" s="23">
        <v>20346794</v>
      </c>
      <c r="G378" s="22" t="s">
        <v>120</v>
      </c>
      <c r="H378" s="23">
        <v>1</v>
      </c>
      <c r="I378" s="24">
        <v>28</v>
      </c>
      <c r="J378" s="24">
        <v>28</v>
      </c>
    </row>
    <row r="379" spans="1:10">
      <c r="A379" s="20">
        <v>46195</v>
      </c>
      <c r="B379" s="21" t="s">
        <v>2</v>
      </c>
      <c r="C379" s="22">
        <v>1614121</v>
      </c>
      <c r="D379" s="22" t="s">
        <v>14</v>
      </c>
      <c r="E379" s="22" t="s">
        <v>14</v>
      </c>
      <c r="F379" s="23">
        <v>20003239</v>
      </c>
      <c r="G379" s="22" t="s">
        <v>127</v>
      </c>
      <c r="H379" s="23">
        <v>1</v>
      </c>
      <c r="I379" s="24">
        <v>99</v>
      </c>
      <c r="J379" s="24">
        <v>99</v>
      </c>
    </row>
    <row r="380" hidden="1" spans="1:10">
      <c r="A380" s="20">
        <v>46196</v>
      </c>
      <c r="B380" s="21" t="s">
        <v>2</v>
      </c>
      <c r="C380" s="22">
        <v>1614217</v>
      </c>
      <c r="D380" s="22" t="s">
        <v>21</v>
      </c>
      <c r="E380" s="22" t="s">
        <v>22</v>
      </c>
      <c r="F380" s="23">
        <v>20013855</v>
      </c>
      <c r="G380" s="22" t="s">
        <v>95</v>
      </c>
      <c r="H380" s="23">
        <v>1</v>
      </c>
      <c r="I380" s="24">
        <v>66</v>
      </c>
      <c r="J380" s="24">
        <v>66</v>
      </c>
    </row>
    <row r="381" hidden="1" spans="1:10">
      <c r="A381" s="20">
        <v>46196</v>
      </c>
      <c r="B381" s="21" t="s">
        <v>2</v>
      </c>
      <c r="C381" s="22">
        <v>1614217</v>
      </c>
      <c r="D381" s="22" t="s">
        <v>21</v>
      </c>
      <c r="E381" s="22" t="s">
        <v>22</v>
      </c>
      <c r="F381" s="23">
        <v>20378486</v>
      </c>
      <c r="G381" s="22" t="s">
        <v>96</v>
      </c>
      <c r="H381" s="23">
        <v>1</v>
      </c>
      <c r="I381" s="24">
        <v>35</v>
      </c>
      <c r="J381" s="24">
        <v>35</v>
      </c>
    </row>
    <row r="382" hidden="1" spans="1:10">
      <c r="A382" s="20">
        <v>46196</v>
      </c>
      <c r="B382" s="21" t="s">
        <v>2</v>
      </c>
      <c r="C382" s="22">
        <v>1614217</v>
      </c>
      <c r="D382" s="22" t="s">
        <v>21</v>
      </c>
      <c r="E382" s="22" t="s">
        <v>22</v>
      </c>
      <c r="F382" s="23">
        <v>20014286</v>
      </c>
      <c r="G382" s="22" t="s">
        <v>97</v>
      </c>
      <c r="H382" s="23">
        <v>1</v>
      </c>
      <c r="I382" s="24">
        <v>44</v>
      </c>
      <c r="J382" s="24">
        <v>44</v>
      </c>
    </row>
    <row r="383" hidden="1" spans="1:10">
      <c r="A383" s="20">
        <v>46196</v>
      </c>
      <c r="B383" s="21" t="s">
        <v>2</v>
      </c>
      <c r="C383" s="22">
        <v>1614217</v>
      </c>
      <c r="D383" s="22" t="s">
        <v>21</v>
      </c>
      <c r="E383" s="22" t="s">
        <v>22</v>
      </c>
      <c r="F383" s="23">
        <v>20013437</v>
      </c>
      <c r="G383" s="22" t="s">
        <v>98</v>
      </c>
      <c r="H383" s="23">
        <v>1</v>
      </c>
      <c r="I383" s="24">
        <v>28</v>
      </c>
      <c r="J383" s="24">
        <v>28</v>
      </c>
    </row>
    <row r="384" hidden="1" spans="1:10">
      <c r="A384" s="20">
        <v>46196</v>
      </c>
      <c r="B384" s="21" t="s">
        <v>2</v>
      </c>
      <c r="C384" s="22">
        <v>1614217</v>
      </c>
      <c r="D384" s="22" t="s">
        <v>21</v>
      </c>
      <c r="E384" s="22" t="s">
        <v>22</v>
      </c>
      <c r="F384" s="23">
        <v>20007873</v>
      </c>
      <c r="G384" s="22" t="s">
        <v>100</v>
      </c>
      <c r="H384" s="23">
        <v>1</v>
      </c>
      <c r="I384" s="24">
        <v>35</v>
      </c>
      <c r="J384" s="24">
        <v>35</v>
      </c>
    </row>
    <row r="385" spans="1:10">
      <c r="A385" s="20">
        <v>46196</v>
      </c>
      <c r="B385" s="21" t="s">
        <v>2</v>
      </c>
      <c r="C385" s="22">
        <v>1614434</v>
      </c>
      <c r="D385" s="22" t="s">
        <v>14</v>
      </c>
      <c r="E385" s="22" t="s">
        <v>14</v>
      </c>
      <c r="F385" s="23">
        <v>20003239</v>
      </c>
      <c r="G385" s="22" t="s">
        <v>127</v>
      </c>
      <c r="H385" s="23">
        <v>1</v>
      </c>
      <c r="I385" s="24">
        <v>99</v>
      </c>
      <c r="J385" s="24">
        <v>99</v>
      </c>
    </row>
    <row r="386" hidden="1" spans="1:10">
      <c r="A386" s="20">
        <v>46196</v>
      </c>
      <c r="B386" s="21" t="s">
        <v>2</v>
      </c>
      <c r="C386" s="22">
        <v>1614480</v>
      </c>
      <c r="D386" s="22" t="s">
        <v>21</v>
      </c>
      <c r="E386" s="22" t="s">
        <v>22</v>
      </c>
      <c r="F386" s="23">
        <v>20352828</v>
      </c>
      <c r="G386" s="22" t="s">
        <v>135</v>
      </c>
      <c r="H386" s="23">
        <v>1</v>
      </c>
      <c r="I386" s="24">
        <v>35</v>
      </c>
      <c r="J386" s="24">
        <v>35</v>
      </c>
    </row>
    <row r="387" spans="1:10">
      <c r="A387" s="20">
        <v>46197</v>
      </c>
      <c r="B387" s="21" t="s">
        <v>2</v>
      </c>
      <c r="C387" s="22">
        <v>1614785</v>
      </c>
      <c r="D387" s="22" t="s">
        <v>14</v>
      </c>
      <c r="E387" s="22" t="s">
        <v>14</v>
      </c>
      <c r="F387" s="23">
        <v>20014618</v>
      </c>
      <c r="G387" s="22" t="s">
        <v>134</v>
      </c>
      <c r="H387" s="23">
        <v>1</v>
      </c>
      <c r="I387" s="24">
        <v>170.5</v>
      </c>
      <c r="J387" s="24">
        <v>170.5</v>
      </c>
    </row>
    <row r="388" spans="1:10">
      <c r="A388" s="20">
        <v>46197</v>
      </c>
      <c r="B388" s="21" t="s">
        <v>2</v>
      </c>
      <c r="C388" s="22">
        <v>1614785</v>
      </c>
      <c r="D388" s="22" t="s">
        <v>14</v>
      </c>
      <c r="E388" s="22" t="s">
        <v>14</v>
      </c>
      <c r="F388" s="23">
        <v>20008595</v>
      </c>
      <c r="G388" s="22" t="s">
        <v>107</v>
      </c>
      <c r="H388" s="23">
        <v>1</v>
      </c>
      <c r="I388" s="24">
        <v>165</v>
      </c>
      <c r="J388" s="24">
        <v>165</v>
      </c>
    </row>
    <row r="389" spans="1:10">
      <c r="A389" s="20">
        <v>46197</v>
      </c>
      <c r="B389" s="21" t="s">
        <v>2</v>
      </c>
      <c r="C389" s="22">
        <v>1614785</v>
      </c>
      <c r="D389" s="22" t="s">
        <v>14</v>
      </c>
      <c r="E389" s="22" t="s">
        <v>15</v>
      </c>
      <c r="F389" s="23">
        <v>20002375</v>
      </c>
      <c r="G389" s="22" t="s">
        <v>108</v>
      </c>
      <c r="H389" s="23">
        <v>1</v>
      </c>
      <c r="I389" s="24">
        <v>38.5</v>
      </c>
      <c r="J389" s="24">
        <v>38.5</v>
      </c>
    </row>
    <row r="390" hidden="1" spans="1:10">
      <c r="A390" s="20">
        <v>46198</v>
      </c>
      <c r="B390" s="21" t="s">
        <v>2</v>
      </c>
      <c r="C390" s="22">
        <v>1614965</v>
      </c>
      <c r="D390" s="22" t="s">
        <v>21</v>
      </c>
      <c r="E390" s="22" t="s">
        <v>22</v>
      </c>
      <c r="F390" s="23">
        <v>20013855</v>
      </c>
      <c r="G390" s="22" t="s">
        <v>95</v>
      </c>
      <c r="H390" s="23">
        <v>1</v>
      </c>
      <c r="I390" s="24">
        <v>66</v>
      </c>
      <c r="J390" s="24">
        <v>66</v>
      </c>
    </row>
    <row r="391" hidden="1" spans="1:10">
      <c r="A391" s="20">
        <v>46198</v>
      </c>
      <c r="B391" s="21" t="s">
        <v>2</v>
      </c>
      <c r="C391" s="22">
        <v>1614965</v>
      </c>
      <c r="D391" s="22" t="s">
        <v>21</v>
      </c>
      <c r="E391" s="22" t="s">
        <v>22</v>
      </c>
      <c r="F391" s="23">
        <v>20378486</v>
      </c>
      <c r="G391" s="22" t="s">
        <v>96</v>
      </c>
      <c r="H391" s="23">
        <v>1</v>
      </c>
      <c r="I391" s="24">
        <v>35</v>
      </c>
      <c r="J391" s="24">
        <v>35</v>
      </c>
    </row>
    <row r="392" hidden="1" spans="1:10">
      <c r="A392" s="20">
        <v>46198</v>
      </c>
      <c r="B392" s="21" t="s">
        <v>2</v>
      </c>
      <c r="C392" s="22">
        <v>1614965</v>
      </c>
      <c r="D392" s="22" t="s">
        <v>21</v>
      </c>
      <c r="E392" s="22" t="s">
        <v>22</v>
      </c>
      <c r="F392" s="23">
        <v>20014286</v>
      </c>
      <c r="G392" s="22" t="s">
        <v>97</v>
      </c>
      <c r="H392" s="23">
        <v>1</v>
      </c>
      <c r="I392" s="24">
        <v>44</v>
      </c>
      <c r="J392" s="24">
        <v>44</v>
      </c>
    </row>
    <row r="393" hidden="1" spans="1:10">
      <c r="A393" s="20">
        <v>46198</v>
      </c>
      <c r="B393" s="21" t="s">
        <v>2</v>
      </c>
      <c r="C393" s="22">
        <v>1614965</v>
      </c>
      <c r="D393" s="22" t="s">
        <v>21</v>
      </c>
      <c r="E393" s="22" t="s">
        <v>22</v>
      </c>
      <c r="F393" s="23">
        <v>20013437</v>
      </c>
      <c r="G393" s="22" t="s">
        <v>98</v>
      </c>
      <c r="H393" s="23">
        <v>1</v>
      </c>
      <c r="I393" s="24">
        <v>28</v>
      </c>
      <c r="J393" s="24">
        <v>28</v>
      </c>
    </row>
    <row r="394" spans="1:10">
      <c r="A394" s="20">
        <v>46198</v>
      </c>
      <c r="B394" s="21" t="s">
        <v>2</v>
      </c>
      <c r="C394" s="22">
        <v>1615150</v>
      </c>
      <c r="D394" s="22" t="s">
        <v>14</v>
      </c>
      <c r="E394" s="22" t="s">
        <v>14</v>
      </c>
      <c r="F394" s="23">
        <v>20003239</v>
      </c>
      <c r="G394" s="22" t="s">
        <v>127</v>
      </c>
      <c r="H394" s="23">
        <v>1</v>
      </c>
      <c r="I394" s="24">
        <v>99</v>
      </c>
      <c r="J394" s="24">
        <v>99</v>
      </c>
    </row>
    <row r="395" spans="1:10">
      <c r="A395" s="20">
        <v>46198</v>
      </c>
      <c r="B395" s="21" t="s">
        <v>2</v>
      </c>
      <c r="C395" s="22">
        <v>1615150</v>
      </c>
      <c r="D395" s="22" t="s">
        <v>14</v>
      </c>
      <c r="E395" s="22" t="s">
        <v>14</v>
      </c>
      <c r="F395" s="23">
        <v>20011399</v>
      </c>
      <c r="G395" s="22" t="s">
        <v>128</v>
      </c>
      <c r="H395" s="23">
        <v>1</v>
      </c>
      <c r="I395" s="24">
        <v>165</v>
      </c>
      <c r="J395" s="24">
        <v>165</v>
      </c>
    </row>
    <row r="396" hidden="1" spans="1:10">
      <c r="A396" s="20">
        <v>46198</v>
      </c>
      <c r="B396" s="21" t="s">
        <v>2</v>
      </c>
      <c r="C396" s="22">
        <v>1615150</v>
      </c>
      <c r="D396" s="22" t="s">
        <v>21</v>
      </c>
      <c r="E396" s="22" t="s">
        <v>25</v>
      </c>
      <c r="F396" s="23">
        <v>20007889</v>
      </c>
      <c r="G396" s="22" t="s">
        <v>143</v>
      </c>
      <c r="H396" s="23">
        <v>1</v>
      </c>
      <c r="I396" s="24">
        <v>16.5</v>
      </c>
      <c r="J396" s="24">
        <v>16.5</v>
      </c>
    </row>
    <row r="397" spans="1:10">
      <c r="A397" s="20">
        <v>46198</v>
      </c>
      <c r="B397" s="21" t="s">
        <v>2</v>
      </c>
      <c r="C397" s="22">
        <v>1615150</v>
      </c>
      <c r="D397" s="22" t="s">
        <v>14</v>
      </c>
      <c r="E397" s="22" t="s">
        <v>15</v>
      </c>
      <c r="F397" s="23">
        <v>20002375</v>
      </c>
      <c r="G397" s="22" t="s">
        <v>108</v>
      </c>
      <c r="H397" s="23">
        <v>1</v>
      </c>
      <c r="I397" s="24">
        <v>38.5</v>
      </c>
      <c r="J397" s="24">
        <v>38.5</v>
      </c>
    </row>
    <row r="398" hidden="1" spans="1:10">
      <c r="A398" s="20">
        <v>46198</v>
      </c>
      <c r="B398" s="21" t="s">
        <v>2</v>
      </c>
      <c r="C398" s="22">
        <v>1615219</v>
      </c>
      <c r="D398" s="22" t="s">
        <v>21</v>
      </c>
      <c r="E398" s="22" t="s">
        <v>22</v>
      </c>
      <c r="F398" s="23">
        <v>20378487</v>
      </c>
      <c r="G398" s="22" t="s">
        <v>156</v>
      </c>
      <c r="H398" s="23">
        <v>1</v>
      </c>
      <c r="I398" s="24">
        <v>35</v>
      </c>
      <c r="J398" s="24">
        <v>35</v>
      </c>
    </row>
    <row r="399" hidden="1" spans="1:10">
      <c r="A399" s="20">
        <v>46198</v>
      </c>
      <c r="B399" s="21" t="s">
        <v>2</v>
      </c>
      <c r="C399" s="22">
        <v>1615219</v>
      </c>
      <c r="D399" s="22" t="s">
        <v>21</v>
      </c>
      <c r="E399" s="22" t="s">
        <v>22</v>
      </c>
      <c r="F399" s="23">
        <v>20355122</v>
      </c>
      <c r="G399" s="22" t="s">
        <v>157</v>
      </c>
      <c r="H399" s="23">
        <v>1</v>
      </c>
      <c r="I399" s="24">
        <v>22</v>
      </c>
      <c r="J399" s="24">
        <v>22</v>
      </c>
    </row>
    <row r="400" hidden="1" spans="1:10">
      <c r="A400" s="20">
        <v>46198</v>
      </c>
      <c r="B400" s="21" t="s">
        <v>2</v>
      </c>
      <c r="C400" s="22">
        <v>1615219</v>
      </c>
      <c r="D400" s="22" t="s">
        <v>21</v>
      </c>
      <c r="E400" s="22" t="s">
        <v>22</v>
      </c>
      <c r="F400" s="23">
        <v>20007873</v>
      </c>
      <c r="G400" s="22" t="s">
        <v>100</v>
      </c>
      <c r="H400" s="23">
        <v>1</v>
      </c>
      <c r="I400" s="24">
        <v>35</v>
      </c>
      <c r="J400" s="24">
        <v>35</v>
      </c>
    </row>
    <row r="401" hidden="1" spans="1:10">
      <c r="A401" s="20">
        <v>46198</v>
      </c>
      <c r="B401" s="21" t="s">
        <v>2</v>
      </c>
      <c r="C401" s="22">
        <v>1615219</v>
      </c>
      <c r="D401" s="22" t="s">
        <v>21</v>
      </c>
      <c r="E401" s="22" t="s">
        <v>22</v>
      </c>
      <c r="F401" s="23">
        <v>20013860</v>
      </c>
      <c r="G401" s="22" t="s">
        <v>101</v>
      </c>
      <c r="H401" s="23">
        <v>1</v>
      </c>
      <c r="I401" s="24">
        <v>44</v>
      </c>
      <c r="J401" s="24">
        <v>44</v>
      </c>
    </row>
    <row r="402" hidden="1" spans="1:10">
      <c r="A402" s="18" t="s">
        <v>2</v>
      </c>
      <c r="C402" s="18" t="s">
        <v>2</v>
      </c>
      <c r="D402" s="18" t="s">
        <v>2</v>
      </c>
      <c r="E402" s="18" t="s">
        <v>2</v>
      </c>
      <c r="F402" s="19" t="s">
        <v>2</v>
      </c>
      <c r="G402" s="18" t="s">
        <v>2</v>
      </c>
      <c r="H402" s="18" t="s">
        <v>2</v>
      </c>
      <c r="I402" s="18" t="s">
        <v>2</v>
      </c>
      <c r="J402" s="18" t="s">
        <v>2</v>
      </c>
    </row>
    <row r="403" ht="14.25" hidden="1" spans="1:10">
      <c r="A403" s="11" t="s">
        <v>158</v>
      </c>
      <c r="B403" s="8" t="s">
        <v>2</v>
      </c>
      <c r="C403" s="8" t="s">
        <v>2</v>
      </c>
      <c r="D403" s="8" t="s">
        <v>2</v>
      </c>
      <c r="E403" s="8" t="s">
        <v>2</v>
      </c>
      <c r="F403" s="8" t="s">
        <v>2</v>
      </c>
      <c r="G403" s="8" t="s">
        <v>2</v>
      </c>
      <c r="H403" s="12">
        <v>6</v>
      </c>
      <c r="I403" s="13"/>
      <c r="J403" s="13">
        <v>334</v>
      </c>
    </row>
    <row r="404" hidden="1" spans="1:10">
      <c r="A404" s="20">
        <v>46170</v>
      </c>
      <c r="B404" s="21" t="s">
        <v>2</v>
      </c>
      <c r="C404" s="22">
        <v>1607227</v>
      </c>
      <c r="D404" s="22" t="s">
        <v>21</v>
      </c>
      <c r="E404" s="22" t="s">
        <v>22</v>
      </c>
      <c r="F404" s="23">
        <v>20347718</v>
      </c>
      <c r="G404" s="22" t="s">
        <v>146</v>
      </c>
      <c r="H404" s="23">
        <v>1</v>
      </c>
      <c r="I404" s="24">
        <v>22</v>
      </c>
      <c r="J404" s="24">
        <v>22</v>
      </c>
    </row>
    <row r="405" hidden="1" spans="1:10">
      <c r="A405" s="20">
        <v>46170</v>
      </c>
      <c r="B405" s="21" t="s">
        <v>2</v>
      </c>
      <c r="C405" s="22">
        <v>1607227</v>
      </c>
      <c r="D405" s="22" t="s">
        <v>21</v>
      </c>
      <c r="E405" s="22" t="s">
        <v>22</v>
      </c>
      <c r="F405" s="23">
        <v>20325211</v>
      </c>
      <c r="G405" s="22" t="s">
        <v>151</v>
      </c>
      <c r="H405" s="23">
        <v>1</v>
      </c>
      <c r="I405" s="24">
        <v>66</v>
      </c>
      <c r="J405" s="24">
        <v>66</v>
      </c>
    </row>
    <row r="406" hidden="1" spans="1:10">
      <c r="A406" s="20">
        <v>46170</v>
      </c>
      <c r="B406" s="21" t="s">
        <v>2</v>
      </c>
      <c r="C406" s="22">
        <v>1607227</v>
      </c>
      <c r="D406" s="22" t="s">
        <v>21</v>
      </c>
      <c r="E406" s="22" t="s">
        <v>22</v>
      </c>
      <c r="F406" s="23">
        <v>20013489</v>
      </c>
      <c r="G406" s="22" t="s">
        <v>115</v>
      </c>
      <c r="H406" s="23">
        <v>1</v>
      </c>
      <c r="I406" s="24">
        <v>35</v>
      </c>
      <c r="J406" s="24">
        <v>35</v>
      </c>
    </row>
    <row r="407" spans="1:10">
      <c r="A407" s="20">
        <v>46170</v>
      </c>
      <c r="B407" s="21" t="s">
        <v>2</v>
      </c>
      <c r="C407" s="22">
        <v>1607254</v>
      </c>
      <c r="D407" s="22" t="s">
        <v>14</v>
      </c>
      <c r="E407" s="22" t="s">
        <v>15</v>
      </c>
      <c r="F407" s="23">
        <v>20011428</v>
      </c>
      <c r="G407" s="22" t="s">
        <v>159</v>
      </c>
      <c r="H407" s="23">
        <v>1</v>
      </c>
      <c r="I407" s="24">
        <v>88</v>
      </c>
      <c r="J407" s="24">
        <v>88</v>
      </c>
    </row>
    <row r="408" spans="1:10">
      <c r="A408" s="20">
        <v>46183</v>
      </c>
      <c r="B408" s="21" t="s">
        <v>2</v>
      </c>
      <c r="C408" s="22">
        <v>1611041</v>
      </c>
      <c r="D408" s="22" t="s">
        <v>14</v>
      </c>
      <c r="E408" s="22" t="s">
        <v>15</v>
      </c>
      <c r="F408" s="23">
        <v>20011428</v>
      </c>
      <c r="G408" s="22" t="s">
        <v>159</v>
      </c>
      <c r="H408" s="23">
        <v>1</v>
      </c>
      <c r="I408" s="24">
        <v>88</v>
      </c>
      <c r="J408" s="24">
        <v>88</v>
      </c>
    </row>
    <row r="409" hidden="1" spans="1:10">
      <c r="A409" s="20">
        <v>46184</v>
      </c>
      <c r="B409" s="21" t="s">
        <v>2</v>
      </c>
      <c r="C409" s="22">
        <v>1611463</v>
      </c>
      <c r="D409" s="22" t="s">
        <v>21</v>
      </c>
      <c r="E409" s="22" t="s">
        <v>22</v>
      </c>
      <c r="F409" s="23">
        <v>20013489</v>
      </c>
      <c r="G409" s="22" t="s">
        <v>115</v>
      </c>
      <c r="H409" s="23">
        <v>1</v>
      </c>
      <c r="I409" s="24">
        <v>35</v>
      </c>
      <c r="J409" s="24">
        <v>35</v>
      </c>
    </row>
    <row r="410" hidden="1" spans="1:10">
      <c r="A410" s="18" t="s">
        <v>2</v>
      </c>
      <c r="C410" s="18" t="s">
        <v>2</v>
      </c>
      <c r="D410" s="18" t="s">
        <v>2</v>
      </c>
      <c r="E410" s="18" t="s">
        <v>2</v>
      </c>
      <c r="F410" s="19" t="s">
        <v>2</v>
      </c>
      <c r="G410" s="18" t="s">
        <v>2</v>
      </c>
      <c r="H410" s="18" t="s">
        <v>2</v>
      </c>
      <c r="I410" s="18" t="s">
        <v>2</v>
      </c>
      <c r="J410" s="18" t="s">
        <v>2</v>
      </c>
    </row>
    <row r="411" ht="14.25" hidden="1" spans="1:10">
      <c r="A411" s="11" t="s">
        <v>160</v>
      </c>
      <c r="B411" s="8" t="s">
        <v>2</v>
      </c>
      <c r="C411" s="8" t="s">
        <v>2</v>
      </c>
      <c r="D411" s="8" t="s">
        <v>2</v>
      </c>
      <c r="E411" s="8" t="s">
        <v>2</v>
      </c>
      <c r="F411" s="8" t="s">
        <v>2</v>
      </c>
      <c r="G411" s="8" t="s">
        <v>2</v>
      </c>
      <c r="H411" s="12">
        <v>75</v>
      </c>
      <c r="I411" s="13"/>
      <c r="J411" s="13">
        <v>1416.5</v>
      </c>
    </row>
    <row r="412" spans="1:10">
      <c r="A412" s="14">
        <v>46169</v>
      </c>
      <c r="B412" s="5" t="s">
        <v>2</v>
      </c>
      <c r="C412" s="15">
        <v>1606886</v>
      </c>
      <c r="D412" s="15" t="s">
        <v>14</v>
      </c>
      <c r="E412" s="15" t="s">
        <v>14</v>
      </c>
      <c r="F412" s="6">
        <v>20002800</v>
      </c>
      <c r="G412" s="15" t="s">
        <v>161</v>
      </c>
      <c r="H412" s="6">
        <v>8</v>
      </c>
      <c r="I412" s="16">
        <v>33</v>
      </c>
      <c r="J412" s="16">
        <v>264</v>
      </c>
    </row>
    <row r="413" hidden="1" spans="1:10">
      <c r="A413" s="14">
        <v>46169</v>
      </c>
      <c r="B413" s="5" t="s">
        <v>2</v>
      </c>
      <c r="C413" s="15">
        <v>1606886</v>
      </c>
      <c r="D413" s="15" t="s">
        <v>21</v>
      </c>
      <c r="E413" s="15" t="s">
        <v>25</v>
      </c>
      <c r="F413" s="6">
        <v>20009154</v>
      </c>
      <c r="G413" s="15" t="s">
        <v>36</v>
      </c>
      <c r="H413" s="6">
        <v>1</v>
      </c>
      <c r="I413" s="16">
        <v>8</v>
      </c>
      <c r="J413" s="16">
        <v>8</v>
      </c>
    </row>
    <row r="414" hidden="1" spans="1:10">
      <c r="A414" s="14">
        <v>46169</v>
      </c>
      <c r="B414" s="5" t="s">
        <v>2</v>
      </c>
      <c r="C414" s="15">
        <v>1606886</v>
      </c>
      <c r="D414" s="15" t="s">
        <v>21</v>
      </c>
      <c r="E414" s="15" t="s">
        <v>25</v>
      </c>
      <c r="F414" s="6">
        <v>20385151</v>
      </c>
      <c r="G414" s="15" t="s">
        <v>162</v>
      </c>
      <c r="H414" s="6">
        <v>3</v>
      </c>
      <c r="I414" s="16">
        <v>8</v>
      </c>
      <c r="J414" s="16">
        <v>24</v>
      </c>
    </row>
    <row r="415" hidden="1" spans="1:10">
      <c r="A415" s="14">
        <v>46169</v>
      </c>
      <c r="B415" s="5" t="s">
        <v>2</v>
      </c>
      <c r="C415" s="15">
        <v>1606886</v>
      </c>
      <c r="D415" s="15" t="s">
        <v>21</v>
      </c>
      <c r="E415" s="15" t="s">
        <v>25</v>
      </c>
      <c r="F415" s="6">
        <v>20006093</v>
      </c>
      <c r="G415" s="15" t="s">
        <v>32</v>
      </c>
      <c r="H415" s="6">
        <v>2</v>
      </c>
      <c r="I415" s="16">
        <v>8</v>
      </c>
      <c r="J415" s="16">
        <v>16</v>
      </c>
    </row>
    <row r="416" hidden="1" spans="1:10">
      <c r="A416" s="14">
        <v>46169</v>
      </c>
      <c r="B416" s="5" t="s">
        <v>2</v>
      </c>
      <c r="C416" s="15">
        <v>1606886</v>
      </c>
      <c r="D416" s="15" t="s">
        <v>21</v>
      </c>
      <c r="E416" s="15" t="s">
        <v>28</v>
      </c>
      <c r="F416" s="6">
        <v>20012999</v>
      </c>
      <c r="G416" s="15" t="s">
        <v>29</v>
      </c>
      <c r="H416" s="6">
        <v>1</v>
      </c>
      <c r="I416" s="16">
        <v>16.5</v>
      </c>
      <c r="J416" s="16">
        <v>16.5</v>
      </c>
    </row>
    <row r="417" spans="1:11">
      <c r="A417" s="14">
        <v>46174</v>
      </c>
      <c r="B417" s="5" t="s">
        <v>2</v>
      </c>
      <c r="C417" s="15">
        <v>1608159</v>
      </c>
      <c r="D417" s="15" t="s">
        <v>14</v>
      </c>
      <c r="E417" s="15" t="s">
        <v>14</v>
      </c>
      <c r="F417" s="6">
        <v>20002800</v>
      </c>
      <c r="G417" s="15" t="s">
        <v>161</v>
      </c>
      <c r="H417" s="6">
        <v>4</v>
      </c>
      <c r="I417" s="16">
        <v>33</v>
      </c>
      <c r="J417" s="16">
        <v>132</v>
      </c>
    </row>
    <row r="418" hidden="1" spans="1:11">
      <c r="A418" s="14">
        <v>46174</v>
      </c>
      <c r="B418" s="5" t="s">
        <v>2</v>
      </c>
      <c r="C418" s="15">
        <v>1608159</v>
      </c>
      <c r="D418" s="15" t="s">
        <v>21</v>
      </c>
      <c r="E418" s="15" t="s">
        <v>25</v>
      </c>
      <c r="F418" s="6">
        <v>20012122</v>
      </c>
      <c r="G418" s="15" t="s">
        <v>86</v>
      </c>
      <c r="H418" s="6">
        <v>1</v>
      </c>
      <c r="I418" s="16">
        <v>8</v>
      </c>
      <c r="J418" s="16">
        <v>8</v>
      </c>
    </row>
    <row r="419" hidden="1" spans="1:11">
      <c r="A419" s="14">
        <v>46174</v>
      </c>
      <c r="B419" s="5" t="s">
        <v>2</v>
      </c>
      <c r="C419" s="15">
        <v>1608159</v>
      </c>
      <c r="D419" s="15" t="s">
        <v>21</v>
      </c>
      <c r="E419" s="15" t="s">
        <v>25</v>
      </c>
      <c r="F419" s="6">
        <v>20011868</v>
      </c>
      <c r="G419" s="15" t="s">
        <v>163</v>
      </c>
      <c r="H419" s="6">
        <v>3</v>
      </c>
      <c r="I419" s="16">
        <v>8</v>
      </c>
      <c r="J419" s="16">
        <v>24</v>
      </c>
    </row>
    <row r="420" hidden="1" spans="1:11">
      <c r="A420" s="14">
        <v>46174</v>
      </c>
      <c r="B420" s="5" t="s">
        <v>2</v>
      </c>
      <c r="C420" s="15">
        <v>1608159</v>
      </c>
      <c r="D420" s="15" t="s">
        <v>21</v>
      </c>
      <c r="E420" s="15" t="s">
        <v>25</v>
      </c>
      <c r="F420" s="6">
        <v>20006093</v>
      </c>
      <c r="G420" s="15" t="s">
        <v>32</v>
      </c>
      <c r="H420" s="6">
        <v>1</v>
      </c>
      <c r="I420" s="16">
        <v>8</v>
      </c>
      <c r="J420" s="16">
        <v>8</v>
      </c>
    </row>
    <row r="421" hidden="1" spans="1:11">
      <c r="A421" s="14">
        <v>46174</v>
      </c>
      <c r="B421" s="5" t="s">
        <v>2</v>
      </c>
      <c r="C421" s="15">
        <v>1608159</v>
      </c>
      <c r="D421" s="15" t="s">
        <v>21</v>
      </c>
      <c r="E421" s="15" t="s">
        <v>28</v>
      </c>
      <c r="F421" s="6">
        <v>20012999</v>
      </c>
      <c r="G421" s="15" t="s">
        <v>29</v>
      </c>
      <c r="H421" s="6">
        <v>1</v>
      </c>
      <c r="I421" s="16">
        <v>16.5</v>
      </c>
      <c r="J421" s="16">
        <v>16.5</v>
      </c>
    </row>
    <row r="422" spans="1:11">
      <c r="A422" s="14">
        <v>46182</v>
      </c>
      <c r="B422" s="5" t="s">
        <v>2</v>
      </c>
      <c r="C422" s="15">
        <v>1610683</v>
      </c>
      <c r="D422" s="15" t="s">
        <v>14</v>
      </c>
      <c r="E422" s="15" t="s">
        <v>14</v>
      </c>
      <c r="F422" s="6">
        <v>20002800</v>
      </c>
      <c r="G422" s="15" t="s">
        <v>161</v>
      </c>
      <c r="H422" s="6">
        <v>6</v>
      </c>
      <c r="I422" s="16">
        <v>33</v>
      </c>
      <c r="J422" s="16">
        <v>198</v>
      </c>
    </row>
    <row r="423" hidden="1" spans="1:11">
      <c r="A423" s="14">
        <v>46182</v>
      </c>
      <c r="B423" s="5" t="s">
        <v>2</v>
      </c>
      <c r="C423" s="15">
        <v>1610683</v>
      </c>
      <c r="D423" s="15" t="s">
        <v>21</v>
      </c>
      <c r="E423" s="15" t="s">
        <v>25</v>
      </c>
      <c r="F423" s="6">
        <v>20012122</v>
      </c>
      <c r="G423" s="15" t="s">
        <v>86</v>
      </c>
      <c r="H423" s="6">
        <v>1</v>
      </c>
      <c r="I423" s="16">
        <v>8</v>
      </c>
      <c r="J423" s="16">
        <v>8</v>
      </c>
      <c r="K423">
        <f>3222.5+720</f>
        <v>3942.5</v>
      </c>
    </row>
    <row r="424" hidden="1" spans="1:11">
      <c r="A424" s="14">
        <v>46182</v>
      </c>
      <c r="B424" s="5" t="s">
        <v>2</v>
      </c>
      <c r="C424" s="15">
        <v>1610683</v>
      </c>
      <c r="D424" s="15" t="s">
        <v>21</v>
      </c>
      <c r="E424" s="15" t="s">
        <v>25</v>
      </c>
      <c r="F424" s="6">
        <v>20011868</v>
      </c>
      <c r="G424" s="15" t="s">
        <v>163</v>
      </c>
      <c r="H424" s="6">
        <v>1</v>
      </c>
      <c r="I424" s="16">
        <v>8</v>
      </c>
      <c r="J424" s="16">
        <v>8</v>
      </c>
    </row>
    <row r="425" hidden="1" spans="1:11">
      <c r="A425" s="14">
        <v>46182</v>
      </c>
      <c r="B425" s="5" t="s">
        <v>2</v>
      </c>
      <c r="C425" s="15">
        <v>1610683</v>
      </c>
      <c r="D425" s="15" t="s">
        <v>21</v>
      </c>
      <c r="E425" s="15" t="s">
        <v>25</v>
      </c>
      <c r="F425" s="6">
        <v>20008408</v>
      </c>
      <c r="G425" s="15" t="s">
        <v>150</v>
      </c>
      <c r="H425" s="6">
        <v>1</v>
      </c>
      <c r="I425" s="16">
        <v>8</v>
      </c>
      <c r="J425" s="16">
        <v>8</v>
      </c>
    </row>
    <row r="426" hidden="1" spans="1:11">
      <c r="A426" s="14">
        <v>46182</v>
      </c>
      <c r="B426" s="5" t="s">
        <v>2</v>
      </c>
      <c r="C426" s="15">
        <v>1610683</v>
      </c>
      <c r="D426" s="15" t="s">
        <v>21</v>
      </c>
      <c r="E426" s="15" t="s">
        <v>25</v>
      </c>
      <c r="F426" s="6">
        <v>20013542</v>
      </c>
      <c r="G426" s="15" t="s">
        <v>164</v>
      </c>
      <c r="H426" s="6">
        <v>1</v>
      </c>
      <c r="I426" s="16">
        <v>8</v>
      </c>
      <c r="J426" s="16">
        <v>8</v>
      </c>
    </row>
    <row r="427" hidden="1" spans="1:11">
      <c r="A427" s="14">
        <v>46182</v>
      </c>
      <c r="B427" s="5" t="s">
        <v>2</v>
      </c>
      <c r="C427" s="15">
        <v>1610683</v>
      </c>
      <c r="D427" s="15" t="s">
        <v>21</v>
      </c>
      <c r="E427" s="15" t="s">
        <v>25</v>
      </c>
      <c r="F427" s="6">
        <v>20320706</v>
      </c>
      <c r="G427" s="15" t="s">
        <v>165</v>
      </c>
      <c r="H427" s="6">
        <v>8</v>
      </c>
      <c r="I427" s="16">
        <v>8</v>
      </c>
      <c r="J427" s="16">
        <v>64</v>
      </c>
    </row>
    <row r="428" hidden="1" spans="1:11">
      <c r="A428" s="14">
        <v>46182</v>
      </c>
      <c r="B428" s="5" t="s">
        <v>2</v>
      </c>
      <c r="C428" s="15">
        <v>1610683</v>
      </c>
      <c r="D428" s="15" t="s">
        <v>21</v>
      </c>
      <c r="E428" s="15" t="s">
        <v>25</v>
      </c>
      <c r="F428" s="6">
        <v>20014746</v>
      </c>
      <c r="G428" s="15" t="s">
        <v>69</v>
      </c>
      <c r="H428" s="6">
        <v>3</v>
      </c>
      <c r="I428" s="16">
        <v>16</v>
      </c>
      <c r="J428" s="16">
        <v>48</v>
      </c>
    </row>
    <row r="429" hidden="1" spans="1:11">
      <c r="A429" s="14">
        <v>46182</v>
      </c>
      <c r="B429" s="5" t="s">
        <v>2</v>
      </c>
      <c r="C429" s="15">
        <v>1610683</v>
      </c>
      <c r="D429" s="15" t="s">
        <v>21</v>
      </c>
      <c r="E429" s="15" t="s">
        <v>28</v>
      </c>
      <c r="F429" s="6">
        <v>20012999</v>
      </c>
      <c r="G429" s="15" t="s">
        <v>29</v>
      </c>
      <c r="H429" s="6">
        <v>1</v>
      </c>
      <c r="I429" s="16">
        <v>16.5</v>
      </c>
      <c r="J429" s="16">
        <v>16.5</v>
      </c>
    </row>
    <row r="430" spans="1:11">
      <c r="A430" s="14">
        <v>46195</v>
      </c>
      <c r="B430" s="5" t="s">
        <v>2</v>
      </c>
      <c r="C430" s="15">
        <v>1614020</v>
      </c>
      <c r="D430" s="15" t="s">
        <v>14</v>
      </c>
      <c r="E430" s="15" t="s">
        <v>14</v>
      </c>
      <c r="F430" s="6">
        <v>20002800</v>
      </c>
      <c r="G430" s="15" t="s">
        <v>161</v>
      </c>
      <c r="H430" s="6">
        <v>12</v>
      </c>
      <c r="I430" s="16">
        <v>33</v>
      </c>
      <c r="J430" s="16">
        <v>396</v>
      </c>
    </row>
    <row r="431" hidden="1" spans="1:11">
      <c r="A431" s="14">
        <v>46195</v>
      </c>
      <c r="B431" s="5" t="s">
        <v>2</v>
      </c>
      <c r="C431" s="15">
        <v>1614122</v>
      </c>
      <c r="D431" s="15" t="s">
        <v>21</v>
      </c>
      <c r="E431" s="15" t="s">
        <v>25</v>
      </c>
      <c r="F431" s="6">
        <v>20011868</v>
      </c>
      <c r="G431" s="15" t="s">
        <v>163</v>
      </c>
      <c r="H431" s="6">
        <v>3</v>
      </c>
      <c r="I431" s="16">
        <v>8</v>
      </c>
      <c r="J431" s="16">
        <v>24</v>
      </c>
    </row>
    <row r="432" hidden="1" spans="1:11">
      <c r="A432" s="14">
        <v>46195</v>
      </c>
      <c r="B432" s="5" t="s">
        <v>2</v>
      </c>
      <c r="C432" s="15">
        <v>1614122</v>
      </c>
      <c r="D432" s="15" t="s">
        <v>21</v>
      </c>
      <c r="E432" s="15" t="s">
        <v>25</v>
      </c>
      <c r="F432" s="6">
        <v>20009154</v>
      </c>
      <c r="G432" s="15" t="s">
        <v>36</v>
      </c>
      <c r="H432" s="6">
        <v>2</v>
      </c>
      <c r="I432" s="16">
        <v>8</v>
      </c>
      <c r="J432" s="16">
        <v>16</v>
      </c>
    </row>
    <row r="433" hidden="1" spans="1:10">
      <c r="A433" s="14">
        <v>46195</v>
      </c>
      <c r="B433" s="5" t="s">
        <v>2</v>
      </c>
      <c r="C433" s="15">
        <v>1614122</v>
      </c>
      <c r="D433" s="15" t="s">
        <v>21</v>
      </c>
      <c r="E433" s="15" t="s">
        <v>25</v>
      </c>
      <c r="F433" s="6">
        <v>20008408</v>
      </c>
      <c r="G433" s="15" t="s">
        <v>150</v>
      </c>
      <c r="H433" s="6">
        <v>2</v>
      </c>
      <c r="I433" s="16">
        <v>8</v>
      </c>
      <c r="J433" s="16">
        <v>16</v>
      </c>
    </row>
    <row r="434" hidden="1" spans="1:10">
      <c r="A434" s="14">
        <v>46195</v>
      </c>
      <c r="B434" s="5" t="s">
        <v>2</v>
      </c>
      <c r="C434" s="15">
        <v>1614122</v>
      </c>
      <c r="D434" s="15" t="s">
        <v>21</v>
      </c>
      <c r="E434" s="15" t="s">
        <v>25</v>
      </c>
      <c r="F434" s="6">
        <v>20006093</v>
      </c>
      <c r="G434" s="15" t="s">
        <v>32</v>
      </c>
      <c r="H434" s="6">
        <v>7</v>
      </c>
      <c r="I434" s="16">
        <v>8</v>
      </c>
      <c r="J434" s="16">
        <v>56</v>
      </c>
    </row>
    <row r="435" hidden="1" spans="1:10">
      <c r="A435" s="14">
        <v>46195</v>
      </c>
      <c r="B435" s="5" t="s">
        <v>2</v>
      </c>
      <c r="C435" s="15">
        <v>1614122</v>
      </c>
      <c r="D435" s="15" t="s">
        <v>21</v>
      </c>
      <c r="E435" s="15" t="s">
        <v>28</v>
      </c>
      <c r="F435" s="6">
        <v>20012999</v>
      </c>
      <c r="G435" s="15" t="s">
        <v>29</v>
      </c>
      <c r="H435" s="6">
        <v>2</v>
      </c>
      <c r="I435" s="16">
        <v>16.5</v>
      </c>
      <c r="J435" s="16">
        <v>33</v>
      </c>
    </row>
    <row r="436" hidden="1" spans="1:10">
      <c r="A436" s="18" t="s">
        <v>2</v>
      </c>
      <c r="C436" s="18" t="s">
        <v>2</v>
      </c>
      <c r="D436" s="18" t="s">
        <v>2</v>
      </c>
      <c r="E436" s="18" t="s">
        <v>2</v>
      </c>
      <c r="F436" s="19" t="s">
        <v>2</v>
      </c>
      <c r="G436" s="18" t="s">
        <v>2</v>
      </c>
      <c r="H436" s="18" t="s">
        <v>2</v>
      </c>
      <c r="I436" s="18" t="s">
        <v>2</v>
      </c>
      <c r="J436" s="18" t="s">
        <v>2</v>
      </c>
    </row>
    <row r="437" ht="14.25" hidden="1" spans="1:10">
      <c r="A437" s="11" t="s">
        <v>166</v>
      </c>
      <c r="B437" s="8" t="s">
        <v>2</v>
      </c>
      <c r="C437" s="8" t="s">
        <v>2</v>
      </c>
      <c r="D437" s="8" t="s">
        <v>2</v>
      </c>
      <c r="E437" s="8" t="s">
        <v>2</v>
      </c>
      <c r="F437" s="8" t="s">
        <v>2</v>
      </c>
      <c r="G437" s="8" t="s">
        <v>2</v>
      </c>
      <c r="H437" s="12">
        <v>20</v>
      </c>
      <c r="I437" s="13"/>
      <c r="J437" s="13">
        <v>575</v>
      </c>
    </row>
    <row r="438" hidden="1" spans="1:10">
      <c r="A438" s="14">
        <v>46174</v>
      </c>
      <c r="B438" s="5" t="s">
        <v>2</v>
      </c>
      <c r="C438" s="15">
        <v>1608160</v>
      </c>
      <c r="D438" s="15" t="s">
        <v>18</v>
      </c>
      <c r="E438" s="15" t="s">
        <v>92</v>
      </c>
      <c r="F438" s="6">
        <v>20356631</v>
      </c>
      <c r="G438" s="15" t="s">
        <v>167</v>
      </c>
      <c r="H438" s="6">
        <v>4</v>
      </c>
      <c r="I438" s="16">
        <v>30</v>
      </c>
      <c r="J438" s="16">
        <v>120</v>
      </c>
    </row>
    <row r="439" hidden="1" spans="1:10">
      <c r="A439" s="14">
        <v>46174</v>
      </c>
      <c r="B439" s="5" t="s">
        <v>2</v>
      </c>
      <c r="C439" s="15">
        <v>1608171</v>
      </c>
      <c r="D439" s="15" t="s">
        <v>18</v>
      </c>
      <c r="E439" s="15" t="s">
        <v>92</v>
      </c>
      <c r="F439" s="6">
        <v>20356631</v>
      </c>
      <c r="G439" s="15" t="s">
        <v>167</v>
      </c>
      <c r="H439" s="6">
        <v>1</v>
      </c>
      <c r="I439" s="16">
        <v>30</v>
      </c>
      <c r="J439" s="16">
        <v>30</v>
      </c>
    </row>
    <row r="440" hidden="1" spans="1:10">
      <c r="A440" s="14">
        <v>46181</v>
      </c>
      <c r="B440" s="5" t="s">
        <v>2</v>
      </c>
      <c r="C440" s="15">
        <v>1610255</v>
      </c>
      <c r="D440" s="15" t="s">
        <v>18</v>
      </c>
      <c r="E440" s="15" t="s">
        <v>92</v>
      </c>
      <c r="F440" s="6">
        <v>20009719</v>
      </c>
      <c r="G440" s="15" t="s">
        <v>168</v>
      </c>
      <c r="H440" s="6">
        <v>5</v>
      </c>
      <c r="I440" s="16">
        <v>25</v>
      </c>
      <c r="J440" s="16">
        <v>125</v>
      </c>
    </row>
    <row r="441" hidden="1" spans="1:10">
      <c r="A441" s="14">
        <v>46188</v>
      </c>
      <c r="B441" s="5" t="s">
        <v>2</v>
      </c>
      <c r="C441" s="15">
        <v>1612242</v>
      </c>
      <c r="D441" s="15" t="s">
        <v>18</v>
      </c>
      <c r="E441" s="15" t="s">
        <v>92</v>
      </c>
      <c r="F441" s="6">
        <v>20356631</v>
      </c>
      <c r="G441" s="15" t="s">
        <v>167</v>
      </c>
      <c r="H441" s="6">
        <v>5</v>
      </c>
      <c r="I441" s="16">
        <v>30</v>
      </c>
      <c r="J441" s="16">
        <v>150</v>
      </c>
    </row>
    <row r="442" hidden="1" spans="1:10">
      <c r="A442" s="14">
        <v>46195</v>
      </c>
      <c r="B442" s="5" t="s">
        <v>2</v>
      </c>
      <c r="C442" s="15">
        <v>1614021</v>
      </c>
      <c r="D442" s="15" t="s">
        <v>18</v>
      </c>
      <c r="E442" s="15" t="s">
        <v>92</v>
      </c>
      <c r="F442" s="6">
        <v>20356631</v>
      </c>
      <c r="G442" s="15" t="s">
        <v>167</v>
      </c>
      <c r="H442" s="6">
        <v>5</v>
      </c>
      <c r="I442" s="16">
        <v>30</v>
      </c>
      <c r="J442" s="16">
        <v>150</v>
      </c>
    </row>
    <row r="443" hidden="1" spans="1:10">
      <c r="A443" s="18" t="s">
        <v>2</v>
      </c>
      <c r="C443" s="18" t="s">
        <v>2</v>
      </c>
      <c r="D443" s="18" t="s">
        <v>2</v>
      </c>
      <c r="E443" s="18" t="s">
        <v>2</v>
      </c>
      <c r="F443" s="19" t="s">
        <v>2</v>
      </c>
      <c r="G443" s="18" t="s">
        <v>2</v>
      </c>
      <c r="H443" s="18" t="s">
        <v>2</v>
      </c>
      <c r="I443" s="18" t="s">
        <v>2</v>
      </c>
      <c r="J443" s="18" t="s">
        <v>2</v>
      </c>
    </row>
    <row r="444" ht="14.25" hidden="1" spans="1:10">
      <c r="A444" s="11" t="s">
        <v>169</v>
      </c>
      <c r="B444" s="8" t="s">
        <v>2</v>
      </c>
      <c r="C444" s="8" t="s">
        <v>2</v>
      </c>
      <c r="D444" s="8" t="s">
        <v>2</v>
      </c>
      <c r="E444" s="8" t="s">
        <v>2</v>
      </c>
      <c r="F444" s="8" t="s">
        <v>2</v>
      </c>
      <c r="G444" s="8" t="s">
        <v>2</v>
      </c>
      <c r="H444" s="12">
        <v>36</v>
      </c>
      <c r="I444" s="13"/>
      <c r="J444" s="13">
        <v>293.5</v>
      </c>
    </row>
    <row r="445" hidden="1" spans="1:10">
      <c r="A445" s="14">
        <v>46168</v>
      </c>
      <c r="B445" s="5" t="s">
        <v>2</v>
      </c>
      <c r="C445" s="15">
        <v>1606495</v>
      </c>
      <c r="D445" s="15" t="s">
        <v>21</v>
      </c>
      <c r="E445" s="15" t="s">
        <v>25</v>
      </c>
      <c r="F445" s="6">
        <v>20418906</v>
      </c>
      <c r="G445" s="15" t="s">
        <v>170</v>
      </c>
      <c r="H445" s="6">
        <v>3</v>
      </c>
      <c r="I445" s="16">
        <v>8</v>
      </c>
      <c r="J445" s="16">
        <v>24</v>
      </c>
    </row>
    <row r="446" hidden="1" spans="1:10">
      <c r="A446" s="14">
        <v>46170</v>
      </c>
      <c r="B446" s="5" t="s">
        <v>2</v>
      </c>
      <c r="C446" s="15">
        <v>1607255</v>
      </c>
      <c r="D446" s="15" t="s">
        <v>21</v>
      </c>
      <c r="E446" s="15" t="s">
        <v>25</v>
      </c>
      <c r="F446" s="6">
        <v>20418906</v>
      </c>
      <c r="G446" s="15" t="s">
        <v>170</v>
      </c>
      <c r="H446" s="6">
        <v>2</v>
      </c>
      <c r="I446" s="16">
        <v>8</v>
      </c>
      <c r="J446" s="16">
        <v>16</v>
      </c>
    </row>
    <row r="447" hidden="1" spans="1:10">
      <c r="A447" s="14">
        <v>46170</v>
      </c>
      <c r="B447" s="5" t="s">
        <v>2</v>
      </c>
      <c r="C447" s="15">
        <v>1607255</v>
      </c>
      <c r="D447" s="15" t="s">
        <v>21</v>
      </c>
      <c r="E447" s="15" t="s">
        <v>25</v>
      </c>
      <c r="F447" s="6">
        <v>20417015</v>
      </c>
      <c r="G447" s="15" t="s">
        <v>171</v>
      </c>
      <c r="H447" s="6">
        <v>1</v>
      </c>
      <c r="I447" s="16">
        <v>8</v>
      </c>
      <c r="J447" s="16">
        <v>8</v>
      </c>
    </row>
    <row r="448" hidden="1" spans="1:10">
      <c r="A448" s="14">
        <v>46171</v>
      </c>
      <c r="B448" s="5" t="s">
        <v>2</v>
      </c>
      <c r="C448" s="15">
        <v>1607607</v>
      </c>
      <c r="D448" s="15" t="s">
        <v>21</v>
      </c>
      <c r="E448" s="15" t="s">
        <v>25</v>
      </c>
      <c r="F448" s="6">
        <v>20418906</v>
      </c>
      <c r="G448" s="15" t="s">
        <v>170</v>
      </c>
      <c r="H448" s="6">
        <v>1</v>
      </c>
      <c r="I448" s="16">
        <v>8</v>
      </c>
      <c r="J448" s="16">
        <v>8</v>
      </c>
    </row>
    <row r="449" hidden="1" spans="1:10">
      <c r="A449" s="14">
        <v>46175</v>
      </c>
      <c r="B449" s="5" t="s">
        <v>2</v>
      </c>
      <c r="C449" s="15">
        <v>1608592</v>
      </c>
      <c r="D449" s="15" t="s">
        <v>21</v>
      </c>
      <c r="E449" s="15" t="s">
        <v>25</v>
      </c>
      <c r="F449" s="6">
        <v>20418906</v>
      </c>
      <c r="G449" s="15" t="s">
        <v>170</v>
      </c>
      <c r="H449" s="6">
        <v>5</v>
      </c>
      <c r="I449" s="16">
        <v>8</v>
      </c>
      <c r="J449" s="16">
        <v>40</v>
      </c>
    </row>
    <row r="450" hidden="1" spans="1:10">
      <c r="A450" s="14">
        <v>46175</v>
      </c>
      <c r="B450" s="5" t="s">
        <v>2</v>
      </c>
      <c r="C450" s="15">
        <v>1608592</v>
      </c>
      <c r="D450" s="15" t="s">
        <v>21</v>
      </c>
      <c r="E450" s="15" t="s">
        <v>25</v>
      </c>
      <c r="F450" s="6">
        <v>20417016</v>
      </c>
      <c r="G450" s="15" t="s">
        <v>172</v>
      </c>
      <c r="H450" s="6">
        <v>1</v>
      </c>
      <c r="I450" s="16">
        <v>13.5</v>
      </c>
      <c r="J450" s="16">
        <v>13.5</v>
      </c>
    </row>
    <row r="451" hidden="1" spans="1:10">
      <c r="A451" s="14">
        <v>46178</v>
      </c>
      <c r="B451" s="5" t="s">
        <v>2</v>
      </c>
      <c r="C451" s="15">
        <v>1609668</v>
      </c>
      <c r="D451" s="15" t="s">
        <v>21</v>
      </c>
      <c r="E451" s="15" t="s">
        <v>25</v>
      </c>
      <c r="F451" s="6">
        <v>20418906</v>
      </c>
      <c r="G451" s="15" t="s">
        <v>170</v>
      </c>
      <c r="H451" s="6">
        <v>5</v>
      </c>
      <c r="I451" s="16">
        <v>8</v>
      </c>
      <c r="J451" s="16">
        <v>40</v>
      </c>
    </row>
    <row r="452" hidden="1" spans="1:10">
      <c r="A452" s="14">
        <v>46185</v>
      </c>
      <c r="B452" s="5" t="s">
        <v>2</v>
      </c>
      <c r="C452" s="15">
        <v>1611786</v>
      </c>
      <c r="D452" s="15" t="s">
        <v>21</v>
      </c>
      <c r="E452" s="15" t="s">
        <v>25</v>
      </c>
      <c r="F452" s="6">
        <v>20418906</v>
      </c>
      <c r="G452" s="15" t="s">
        <v>170</v>
      </c>
      <c r="H452" s="6">
        <v>4</v>
      </c>
      <c r="I452" s="16">
        <v>8</v>
      </c>
      <c r="J452" s="16">
        <v>32</v>
      </c>
    </row>
    <row r="453" hidden="1" spans="1:10">
      <c r="A453" s="14">
        <v>46188</v>
      </c>
      <c r="B453" s="5" t="s">
        <v>2</v>
      </c>
      <c r="C453" s="15">
        <v>1612263</v>
      </c>
      <c r="D453" s="15" t="s">
        <v>21</v>
      </c>
      <c r="E453" s="15" t="s">
        <v>25</v>
      </c>
      <c r="F453" s="6">
        <v>20418906</v>
      </c>
      <c r="G453" s="15" t="s">
        <v>170</v>
      </c>
      <c r="H453" s="6">
        <v>4</v>
      </c>
      <c r="I453" s="16">
        <v>8</v>
      </c>
      <c r="J453" s="16">
        <v>32</v>
      </c>
    </row>
    <row r="454" hidden="1" spans="1:10">
      <c r="A454" s="14">
        <v>46191</v>
      </c>
      <c r="B454" s="5" t="s">
        <v>2</v>
      </c>
      <c r="C454" s="15">
        <v>1613444</v>
      </c>
      <c r="D454" s="15" t="s">
        <v>21</v>
      </c>
      <c r="E454" s="15" t="s">
        <v>25</v>
      </c>
      <c r="F454" s="6">
        <v>20418906</v>
      </c>
      <c r="G454" s="15" t="s">
        <v>170</v>
      </c>
      <c r="H454" s="6">
        <v>5</v>
      </c>
      <c r="I454" s="16">
        <v>8</v>
      </c>
      <c r="J454" s="16">
        <v>40</v>
      </c>
    </row>
    <row r="455" hidden="1" spans="1:10">
      <c r="A455" s="14">
        <v>46198</v>
      </c>
      <c r="B455" s="5" t="s">
        <v>2</v>
      </c>
      <c r="C455" s="15">
        <v>1615151</v>
      </c>
      <c r="D455" s="15" t="s">
        <v>21</v>
      </c>
      <c r="E455" s="15" t="s">
        <v>25</v>
      </c>
      <c r="F455" s="6">
        <v>20418906</v>
      </c>
      <c r="G455" s="15" t="s">
        <v>170</v>
      </c>
      <c r="H455" s="6">
        <v>5</v>
      </c>
      <c r="I455" s="16">
        <v>8</v>
      </c>
      <c r="J455" s="16">
        <v>40</v>
      </c>
    </row>
    <row r="456" hidden="1" spans="1:10">
      <c r="A456" s="18" t="s">
        <v>2</v>
      </c>
      <c r="C456" s="18" t="s">
        <v>2</v>
      </c>
      <c r="D456" s="18" t="s">
        <v>2</v>
      </c>
      <c r="E456" s="18" t="s">
        <v>2</v>
      </c>
      <c r="F456" s="19" t="s">
        <v>2</v>
      </c>
      <c r="G456" s="18" t="s">
        <v>2</v>
      </c>
      <c r="H456" s="18" t="s">
        <v>2</v>
      </c>
      <c r="I456" s="18" t="s">
        <v>2</v>
      </c>
      <c r="J456" s="18" t="s">
        <v>2</v>
      </c>
    </row>
    <row r="457" hidden="1" spans="1:10">
      <c r="A457" s="18" t="s">
        <v>2</v>
      </c>
      <c r="C457" s="18" t="s">
        <v>2</v>
      </c>
      <c r="D457" s="18" t="s">
        <v>2</v>
      </c>
      <c r="E457" s="18" t="s">
        <v>2</v>
      </c>
      <c r="F457" s="19" t="s">
        <v>2</v>
      </c>
      <c r="G457" s="18" t="s">
        <v>2</v>
      </c>
      <c r="H457" s="18" t="s">
        <v>2</v>
      </c>
      <c r="I457" s="18" t="s">
        <v>2</v>
      </c>
      <c r="J457" s="18" t="s">
        <v>2</v>
      </c>
    </row>
    <row r="458" ht="0.05" customHeight="1"/>
    <row r="459" ht="0.9" customHeight="1"/>
  </sheetData>
  <autoFilter xmlns:etc="http://www.wps.cn/officeDocument/2017/etCustomData" ref="A12:J457" etc:filterBottomFollowUsedRange="0">
    <filterColumn colId="4">
      <filters>
        <filter val="器械包"/>
        <filter val="器械包(ZSD)"/>
      </filters>
    </filterColumn>
    <extLst/>
  </autoFilter>
  <mergeCells count="450">
    <mergeCell ref="A12:B12"/>
    <mergeCell ref="A13:G13"/>
    <mergeCell ref="A14:G14"/>
    <mergeCell ref="A15:B15"/>
    <mergeCell ref="A16:B16"/>
    <mergeCell ref="A17:B17"/>
    <mergeCell ref="A18:B18"/>
    <mergeCell ref="A19:G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G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G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G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G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G403"/>
    <mergeCell ref="A404:B404"/>
    <mergeCell ref="A405:B405"/>
    <mergeCell ref="A406:B406"/>
    <mergeCell ref="A407:B407"/>
    <mergeCell ref="A408:B408"/>
    <mergeCell ref="A409:B409"/>
    <mergeCell ref="A410:B410"/>
    <mergeCell ref="A411:G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G437"/>
    <mergeCell ref="A438:B438"/>
    <mergeCell ref="A439:B439"/>
    <mergeCell ref="A440:B440"/>
    <mergeCell ref="A441:B441"/>
    <mergeCell ref="A442:B442"/>
    <mergeCell ref="A443:B443"/>
    <mergeCell ref="A444:G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H8:H9"/>
    <mergeCell ref="B1:G2"/>
    <mergeCell ref="B4:G5"/>
    <mergeCell ref="I9:J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RPTGL-0072 
&amp;"-,Regular"执行用户: 
&amp;"-,Regular"销售内勤 &amp;C&amp;"Droid Sans Fallback,Regular"&amp;9 执行时间: 
&amp;"-,Regular"2026年6月26日 15:30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DeliveryNoteSummaryWithPackingM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2026-06-26T07:30:00Z</dcterms:created>
  <dcterms:modified xsi:type="dcterms:W3CDTF">2026-07-01T08:12:25Z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2A7EE3C026FB46709DE8AF2B0382E189_13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