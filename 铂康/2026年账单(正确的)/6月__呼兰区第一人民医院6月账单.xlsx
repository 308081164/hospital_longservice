
<file path=[Content_Types].xml><?xml version="1.0" encoding="utf-8"?>
<Types xmlns="http://schemas.openxmlformats.org/package/2006/content-types">
  <Default Extension="jpeg" ContentType="image/jpeg"/>
  <Default Extension="JPG" ContentType="image/.jp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drawings/drawing10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255" firstSheet="5"/>
  </bookViews>
  <sheets>
    <sheet name="门诊耳鼻喉" sheetId="1" r:id="rId1"/>
    <sheet name="门诊妇科" sheetId="2" r:id="rId2"/>
    <sheet name="门诊肛肠科" sheetId="3" r:id="rId3"/>
    <sheet name="门诊计划生育" sheetId="4" r:id="rId4"/>
    <sheet name="门诊口腔科" sheetId="5" r:id="rId5"/>
    <sheet name="门诊手术室" sheetId="6" r:id="rId6"/>
    <sheet name="门诊外科" sheetId="7" r:id="rId7"/>
    <sheet name="门诊眼科" sheetId="8" r:id="rId8"/>
    <sheet name="外科（住院处）" sheetId="9" r:id="rId9"/>
    <sheet name="住院处手术室" sheetId="10" r:id="rId10"/>
  </sheets>
  <definedNames>
    <definedName name="_xlnm._FilterDatabase" localSheetId="0" hidden="1">门诊耳鼻喉!$A$9:$K$19</definedName>
    <definedName name="_xlnm._FilterDatabase" localSheetId="1" hidden="1">门诊妇科!$A$7:$K$156</definedName>
    <definedName name="_xlnm._FilterDatabase" localSheetId="3" hidden="1">门诊计划生育!$A$7:$K$111</definedName>
    <definedName name="_xlnm._FilterDatabase" localSheetId="5" hidden="1">门诊手术室!$A$7:$K$34</definedName>
    <definedName name="_xlnm._FilterDatabase" localSheetId="6" hidden="1">门诊外科!$A$7:$K$34</definedName>
    <definedName name="_xlnm._FilterDatabase" localSheetId="7" hidden="1">门诊眼科!$A$7:$K$39</definedName>
    <definedName name="_xlnm._FilterDatabase" localSheetId="8" hidden="1">'外科（住院处）'!$A$7:$K$31</definedName>
    <definedName name="_xlnm._FilterDatabase" localSheetId="9" hidden="1">住院处手术室!$A$7:$K$39</definedName>
    <definedName name="_xlnm.Print_Titles" localSheetId="0">门诊耳鼻喉!$1:$6</definedName>
    <definedName name="_xlnm.Print_Titles" localSheetId="1">门诊妇科!$1:$6</definedName>
    <definedName name="_xlnm.Print_Titles" localSheetId="2">门诊肛肠科!$1:$6</definedName>
    <definedName name="_xlnm.Print_Titles" localSheetId="3">门诊计划生育!$1:$6</definedName>
    <definedName name="_xlnm.Print_Titles" localSheetId="4">门诊口腔科!$1:$6</definedName>
    <definedName name="_xlnm.Print_Titles" localSheetId="5">门诊手术室!$1:$6</definedName>
    <definedName name="_xlnm.Print_Titles" localSheetId="6">门诊外科!$1:$6</definedName>
    <definedName name="_xlnm.Print_Titles" localSheetId="7">门诊眼科!$1:$6</definedName>
    <definedName name="_xlnm.Print_Titles" localSheetId="8">'外科（住院处）'!$1:$6</definedName>
    <definedName name="_xlnm.Print_Titles" localSheetId="9">住院处手术室!$1:$6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<sst xmlns="http://schemas.openxmlformats.org/spreadsheetml/2006/main" count="1040" uniqueCount="111">
  <si>
    <t>发货单汇总表-显示包装材料</t>
  </si>
  <si>
    <r>
      <rPr>
        <sz val="9"/>
        <color rgb="FF000000"/>
        <rFont val="Droid Sans Fallback"/>
        <charset val="134"/>
      </rPr>
      <t>从:</t>
    </r>
    <r>
      <rPr>
        <sz val="9"/>
        <color rgb="FF000000"/>
        <rFont val="Droid Sans Fallback"/>
        <charset val="134"/>
      </rPr>
      <t>2026/6/1</t>
    </r>
    <r>
      <rPr>
        <sz val="9"/>
        <color rgb="FF000000"/>
        <rFont val="Droid Sans Fallback"/>
        <charset val="134"/>
      </rPr>
      <t xml:space="preserve"> </t>
    </r>
    <r>
      <rPr>
        <sz val="9"/>
        <color rgb="FF000000"/>
        <rFont val="Droid Sans Fallback"/>
        <charset val="134"/>
      </rPr>
      <t>00:00:00</t>
    </r>
    <r>
      <rPr>
        <sz val="9"/>
        <color rgb="FF000000"/>
        <rFont val="Droid Sans Fallback"/>
        <charset val="134"/>
      </rPr>
      <t xml:space="preserve"> 至: </t>
    </r>
    <r>
      <rPr>
        <sz val="9"/>
        <color rgb="FF000000"/>
        <rFont val="Droid Sans Fallback"/>
        <charset val="134"/>
      </rPr>
      <t>2026/6/30</t>
    </r>
    <r>
      <rPr>
        <sz val="9"/>
        <color rgb="FF000000"/>
        <rFont val="Droid Sans Fallback"/>
        <charset val="134"/>
      </rPr>
      <t xml:space="preserve"> </t>
    </r>
    <r>
      <rPr>
        <sz val="9"/>
        <color rgb="FF000000"/>
        <rFont val="Droid Sans Fallback"/>
        <charset val="134"/>
      </rPr>
      <t>23:59:59.999</t>
    </r>
  </si>
  <si>
    <t/>
  </si>
  <si>
    <t>呼兰区第一人民医院</t>
  </si>
  <si>
    <t>发货日期</t>
  </si>
  <si>
    <t>发货单号</t>
  </si>
  <si>
    <t>类型</t>
  </si>
  <si>
    <t>包类别号</t>
  </si>
  <si>
    <t>包名</t>
  </si>
  <si>
    <t>包数</t>
  </si>
  <si>
    <t>单价</t>
  </si>
  <si>
    <t>总价</t>
  </si>
  <si>
    <t>门诊耳鼻喉</t>
  </si>
  <si>
    <t>器械包(ZSD)</t>
  </si>
  <si>
    <t>耳鼻喉器械包</t>
  </si>
  <si>
    <t>缝合包</t>
  </si>
  <si>
    <t>门诊妇科</t>
  </si>
  <si>
    <t>带环包</t>
  </si>
  <si>
    <t>刮宫包</t>
  </si>
  <si>
    <t>取环包</t>
  </si>
  <si>
    <t>额外包(纸塑袋)</t>
  </si>
  <si>
    <t>8号吸头-1/Z7534</t>
  </si>
  <si>
    <t>妇科刮勺-1/Z7537</t>
  </si>
  <si>
    <t>宫颈钳-1/Z1535</t>
  </si>
  <si>
    <t>窥器-1/Z1526</t>
  </si>
  <si>
    <t>扩棒4.5号-1/Z7526</t>
  </si>
  <si>
    <t>扩棒6.5号-1件/Z7526</t>
  </si>
  <si>
    <t>扩棒8号-1件/Z7526</t>
  </si>
  <si>
    <t>卵圆钳-1/Z1535</t>
  </si>
  <si>
    <t>取环钩-1/Z7537</t>
  </si>
  <si>
    <t>探针-1/Z7537</t>
  </si>
  <si>
    <t>止血钳-1/Z1029</t>
  </si>
  <si>
    <t>扩棒5.5号-1件/Z7526</t>
  </si>
  <si>
    <t>镊子-1/Z7534</t>
  </si>
  <si>
    <t>取环器-1/Z1535</t>
  </si>
  <si>
    <t>吸头5号-1/Z7534</t>
  </si>
  <si>
    <t>吸头6号-1/Z7534</t>
  </si>
  <si>
    <t>扩棒5号-1件/Z7526</t>
  </si>
  <si>
    <t>扩棒6号-1件/Z7526</t>
  </si>
  <si>
    <t>剪刀-1/Z1029</t>
  </si>
  <si>
    <t>上环叉-1/Z7537</t>
  </si>
  <si>
    <t>扩棒4号-1/Z7526</t>
  </si>
  <si>
    <t>额外包(无纺布)</t>
  </si>
  <si>
    <t>产包-4件/W6050</t>
  </si>
  <si>
    <t>扩棒8.5号-1/Z7526</t>
  </si>
  <si>
    <t>敷料包(纸塑袋)</t>
  </si>
  <si>
    <t>卫生纸/W2032</t>
  </si>
  <si>
    <t>病理钳-1/Z2032</t>
  </si>
  <si>
    <t>扩棒7.5号-1件/Z7526</t>
  </si>
  <si>
    <t>扩棒7号-1/Z7526</t>
  </si>
  <si>
    <t>吸头7号-1/Z7534</t>
  </si>
  <si>
    <t>门诊肛肠科</t>
  </si>
  <si>
    <t>切开包</t>
  </si>
  <si>
    <t>门诊计划生育</t>
  </si>
  <si>
    <t>持针器-1/Z1029</t>
  </si>
  <si>
    <t>大镊子-1/Z7534</t>
  </si>
  <si>
    <t>门诊口腔科</t>
  </si>
  <si>
    <t>拔牙钳-1/Z1029</t>
  </si>
  <si>
    <t>拔牙挺-1/Z7526</t>
  </si>
  <si>
    <t>挖勺-1/Z7534</t>
  </si>
  <si>
    <t>车针-9/Z7520</t>
  </si>
  <si>
    <t>洁牙机手柄-1/Z7526</t>
  </si>
  <si>
    <t>洁牙尖-1/Z7520</t>
  </si>
  <si>
    <t>手机-1/Z1026</t>
  </si>
  <si>
    <t>三角挺-1/Z1026</t>
  </si>
  <si>
    <t>门诊手术室</t>
  </si>
  <si>
    <t>器械包</t>
  </si>
  <si>
    <t>阑尾钳-1/Z1026</t>
  </si>
  <si>
    <t>腔镜器械包</t>
  </si>
  <si>
    <t>持物钳罐-3 /W7050</t>
  </si>
  <si>
    <t>大盆1小盆1碗1盘1/W9050</t>
  </si>
  <si>
    <t>阴道拉钩-1/Z1535</t>
  </si>
  <si>
    <t>大S钩-1/w7050</t>
  </si>
  <si>
    <t>开力-2/Z1535</t>
  </si>
  <si>
    <t>子宫动脉钳-1/Z1029</t>
  </si>
  <si>
    <t>大盆1小盆1盘1/W9050</t>
  </si>
  <si>
    <t>门诊外科</t>
  </si>
  <si>
    <t>剪刀缸-2/Z1535</t>
  </si>
  <si>
    <t>器械切开包</t>
  </si>
  <si>
    <t>剪刀缸-3/W6050</t>
  </si>
  <si>
    <t>门诊眼科</t>
  </si>
  <si>
    <t>眼科器械包</t>
  </si>
  <si>
    <t>孔巾/Z2032</t>
  </si>
  <si>
    <t>棉签/Z1026</t>
  </si>
  <si>
    <t>纱布/Z1526</t>
  </si>
  <si>
    <t>镊子缸-2/Z2044</t>
  </si>
  <si>
    <t>显微剪刀-1/Z1020</t>
  </si>
  <si>
    <t>显微无钩镊-1/Z7520</t>
  </si>
  <si>
    <t>外科（住院处）</t>
  </si>
  <si>
    <t>持物钳罐-4/W7050</t>
  </si>
  <si>
    <t>消毒缸-1/Z2032</t>
  </si>
  <si>
    <t>棉球/Z3044</t>
  </si>
  <si>
    <t>剪刀缸-4/W6050</t>
  </si>
  <si>
    <t>咬骨钳-1/Z1535</t>
  </si>
  <si>
    <t>住院处手术室</t>
  </si>
  <si>
    <t>外科包</t>
  </si>
  <si>
    <t>弯盘-2/Z2032</t>
  </si>
  <si>
    <t>折弯器-2/Z1535</t>
  </si>
  <si>
    <t>锤子-1/W6050</t>
  </si>
  <si>
    <t>大盆1小盆1/W9050</t>
  </si>
  <si>
    <t>蚊式-6/W6050</t>
  </si>
  <si>
    <t>眼科包(弯盘1巾钳子2)/W6050</t>
  </si>
  <si>
    <t>棉球/Z1020</t>
  </si>
  <si>
    <t>腔镜纱布/Z1026</t>
  </si>
  <si>
    <t>眼科纱布/Z1026</t>
  </si>
  <si>
    <t>敷料包(无纺布包)</t>
  </si>
  <si>
    <t>刷手服（男）/W1250</t>
  </si>
  <si>
    <t>蚊氏包</t>
  </si>
  <si>
    <t>阑尾钳 -1/Z1026</t>
  </si>
  <si>
    <t>S钩（小）-2件/W6050</t>
  </si>
  <si>
    <t>科服/W1250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</si>
</sst>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[$-10804]0.00;\(0.00\)"/>
    <numFmt numFmtId="177" formatCode="[$-10804]yyyy/m/d"/>
  </numFmts>
  <fonts count="28">
    <font>
      <sz val="11"/>
      <name val="宋体"/>
      <charset val="134"/>
      <scheme val="minor"/>
    </font>
    <font>
      <sz val="18"/>
      <color rgb="FF000000"/>
      <name val="Droid Sans Fallback"/>
      <charset val="134"/>
    </font>
    <font>
      <sz val="9"/>
      <color rgb="FF000000"/>
      <name val="Droid Sans Fallback"/>
      <charset val="134"/>
    </font>
    <font>
      <sz val="10"/>
      <color rgb="FF000000"/>
      <name val="Droid Sans Fallback"/>
      <charset val="134"/>
    </font>
    <font>
      <sz val="11"/>
      <color rgb="FF000000"/>
      <name val="Droid Sans Fallback"/>
      <charset val="134"/>
    </font>
    <font>
      <sz val="12"/>
      <color rgb="FFFFFFFF"/>
      <name val="宋体"/>
      <charset val="134"/>
    </font>
    <font>
      <sz val="12"/>
      <color rgb="FFFFFFFF"/>
      <name val="Droid Sans Fallback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rgb="FF000000"/>
      <name val="宋体"/>
      <charset val="134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BCC3CC"/>
        <bgColor rgb="FFBCC3CC"/>
      </patternFill>
    </fill>
    <fill>
      <patternFill patternType="solid">
        <fgColor rgb="FF6799AF"/>
        <bgColor rgb="FF6799AF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/>
      <right/>
      <top style="thin">
        <color rgb="FF000000"/>
      </top>
      <bottom/>
      <diagonal/>
    </border>
    <border>
      <left style="thin">
        <color rgb="FF808080"/>
      </left>
      <right style="thin">
        <color rgb="FF808080"/>
      </right>
      <top style="thin">
        <color rgb="FF000000"/>
      </top>
      <bottom style="thin">
        <color rgb="FF808080"/>
      </bottom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/>
      <right/>
      <top style="thin">
        <color rgb="FF808080"/>
      </top>
      <bottom style="thin">
        <color rgb="FF80808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7" fillId="0" borderId="0" applyFont="0" applyFill="0" applyBorder="0" applyAlignment="0" applyProtection="0">
      <alignment vertical="center"/>
    </xf>
    <xf numFmtId="44" fontId="7" fillId="0" borderId="0" applyFont="0" applyFill="0" applyBorder="0" applyAlignment="0" applyProtection="0">
      <alignment vertical="center"/>
    </xf>
    <xf numFmtId="9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7" fillId="4" borderId="5" applyNumberFormat="0" applyFont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6" applyNumberFormat="0" applyFill="0" applyAlignment="0" applyProtection="0">
      <alignment vertical="center"/>
    </xf>
    <xf numFmtId="0" fontId="14" fillId="0" borderId="6" applyNumberFormat="0" applyFill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5" borderId="8" applyNumberFormat="0" applyAlignment="0" applyProtection="0">
      <alignment vertical="center"/>
    </xf>
    <xf numFmtId="0" fontId="17" fillId="6" borderId="9" applyNumberFormat="0" applyAlignment="0" applyProtection="0">
      <alignment vertical="center"/>
    </xf>
    <xf numFmtId="0" fontId="18" fillId="6" borderId="8" applyNumberFormat="0" applyAlignment="0" applyProtection="0">
      <alignment vertical="center"/>
    </xf>
    <xf numFmtId="0" fontId="19" fillId="7" borderId="10" applyNumberFormat="0" applyAlignment="0" applyProtection="0">
      <alignment vertical="center"/>
    </xf>
    <xf numFmtId="0" fontId="20" fillId="0" borderId="11" applyNumberFormat="0" applyFill="0" applyAlignment="0" applyProtection="0">
      <alignment vertical="center"/>
    </xf>
    <xf numFmtId="0" fontId="21" fillId="0" borderId="12" applyNumberFormat="0" applyFill="0" applyAlignment="0" applyProtection="0">
      <alignment vertical="center"/>
    </xf>
    <xf numFmtId="0" fontId="22" fillId="8" borderId="0" applyNumberFormat="0" applyBorder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4" fillId="10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6" fillId="12" borderId="0" applyNumberFormat="0" applyBorder="0" applyAlignment="0" applyProtection="0">
      <alignment vertical="center"/>
    </xf>
    <xf numFmtId="0" fontId="26" fillId="13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26" fillId="17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6" fillId="20" borderId="0" applyNumberFormat="0" applyBorder="0" applyAlignment="0" applyProtection="0">
      <alignment vertical="center"/>
    </xf>
    <xf numFmtId="0" fontId="26" fillId="21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6" fillId="24" borderId="0" applyNumberFormat="0" applyBorder="0" applyAlignment="0" applyProtection="0">
      <alignment vertical="center"/>
    </xf>
    <xf numFmtId="0" fontId="26" fillId="25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6" fillId="28" borderId="0" applyNumberFormat="0" applyBorder="0" applyAlignment="0" applyProtection="0">
      <alignment vertical="center"/>
    </xf>
    <xf numFmtId="0" fontId="26" fillId="29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6" fillId="32" borderId="0" applyNumberFormat="0" applyBorder="0" applyAlignment="0" applyProtection="0">
      <alignment vertical="center"/>
    </xf>
    <xf numFmtId="0" fontId="26" fillId="33" borderId="0" applyNumberFormat="0" applyBorder="0" applyAlignment="0" applyProtection="0">
      <alignment vertical="center"/>
    </xf>
    <xf numFmtId="0" fontId="25" fillId="34" borderId="0" applyNumberFormat="0" applyBorder="0" applyAlignment="0" applyProtection="0">
      <alignment vertical="center"/>
    </xf>
    <xf numFmtId="0" fontId="27" fillId="0" borderId="0"/>
  </cellStyleXfs>
  <cellXfs count="18">
    <xf numFmtId="0" fontId="0" fillId="0" borderId="0" xfId="49" applyFont="1" applyFill="1" applyBorder="1"/>
    <xf numFmtId="0" fontId="1" fillId="0" borderId="0" xfId="49" applyNumberFormat="1" applyFont="1" applyFill="1" applyBorder="1" applyAlignment="1">
      <alignment horizontal="left" vertical="top" wrapText="1" readingOrder="1"/>
    </xf>
    <xf numFmtId="0" fontId="2" fillId="0" borderId="0" xfId="49" applyNumberFormat="1" applyFont="1" applyFill="1" applyBorder="1" applyAlignment="1">
      <alignment vertical="top" wrapText="1" readingOrder="1"/>
    </xf>
    <xf numFmtId="0" fontId="3" fillId="0" borderId="0" xfId="49" applyNumberFormat="1" applyFont="1" applyFill="1" applyBorder="1" applyAlignment="1">
      <alignment vertical="top" wrapText="1" readingOrder="1"/>
    </xf>
    <xf numFmtId="0" fontId="0" fillId="0" borderId="1" xfId="49" applyNumberFormat="1" applyFont="1" applyFill="1" applyBorder="1" applyAlignment="1">
      <alignment vertical="top" wrapText="1"/>
    </xf>
    <xf numFmtId="0" fontId="3" fillId="0" borderId="1" xfId="49" applyNumberFormat="1" applyFont="1" applyFill="1" applyBorder="1" applyAlignment="1">
      <alignment vertical="top" wrapText="1" readingOrder="1"/>
    </xf>
    <xf numFmtId="0" fontId="3" fillId="0" borderId="2" xfId="49" applyNumberFormat="1" applyFont="1" applyFill="1" applyBorder="1" applyAlignment="1">
      <alignment horizontal="center" vertical="top" wrapText="1" readingOrder="1"/>
    </xf>
    <xf numFmtId="0" fontId="4" fillId="2" borderId="3" xfId="49" applyNumberFormat="1" applyFont="1" applyFill="1" applyBorder="1" applyAlignment="1">
      <alignment vertical="top" wrapText="1" readingOrder="1"/>
    </xf>
    <xf numFmtId="0" fontId="0" fillId="0" borderId="4" xfId="49" applyNumberFormat="1" applyFont="1" applyFill="1" applyBorder="1" applyAlignment="1">
      <alignment vertical="top" wrapText="1"/>
    </xf>
    <xf numFmtId="0" fontId="4" fillId="2" borderId="3" xfId="49" applyNumberFormat="1" applyFont="1" applyFill="1" applyBorder="1" applyAlignment="1">
      <alignment horizontal="center" vertical="top" wrapText="1" readingOrder="1"/>
    </xf>
    <xf numFmtId="176" fontId="4" fillId="2" borderId="3" xfId="49" applyNumberFormat="1" applyFont="1" applyFill="1" applyBorder="1" applyAlignment="1">
      <alignment horizontal="center" vertical="top" wrapText="1" readingOrder="1"/>
    </xf>
    <xf numFmtId="177" fontId="3" fillId="0" borderId="3" xfId="49" applyNumberFormat="1" applyFont="1" applyFill="1" applyBorder="1" applyAlignment="1">
      <alignment vertical="top" wrapText="1" readingOrder="1"/>
    </xf>
    <xf numFmtId="0" fontId="3" fillId="0" borderId="3" xfId="49" applyNumberFormat="1" applyFont="1" applyFill="1" applyBorder="1" applyAlignment="1">
      <alignment vertical="top" wrapText="1" readingOrder="1"/>
    </xf>
    <xf numFmtId="0" fontId="3" fillId="0" borderId="3" xfId="49" applyNumberFormat="1" applyFont="1" applyFill="1" applyBorder="1" applyAlignment="1">
      <alignment horizontal="center" vertical="top" wrapText="1" readingOrder="1"/>
    </xf>
    <xf numFmtId="176" fontId="3" fillId="0" borderId="3" xfId="49" applyNumberFormat="1" applyFont="1" applyFill="1" applyBorder="1" applyAlignment="1">
      <alignment horizontal="center" vertical="top" wrapText="1" readingOrder="1"/>
    </xf>
    <xf numFmtId="0" fontId="5" fillId="3" borderId="3" xfId="49" applyNumberFormat="1" applyFont="1" applyFill="1" applyBorder="1" applyAlignment="1">
      <alignment vertical="top" wrapText="1" readingOrder="1"/>
    </xf>
    <xf numFmtId="0" fontId="6" fillId="3" borderId="3" xfId="49" applyNumberFormat="1" applyFont="1" applyFill="1" applyBorder="1" applyAlignment="1">
      <alignment horizontal="center" vertical="top" wrapText="1" readingOrder="1"/>
    </xf>
    <xf numFmtId="176" fontId="6" fillId="3" borderId="3" xfId="49" applyNumberFormat="1" applyFont="1" applyFill="1" applyBorder="1" applyAlignment="1">
      <alignment horizontal="center" vertical="top" wrapText="1" readingOrder="1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" xfId="49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D3D3D3"/>
      <rgbColor rgb="00808080"/>
      <rgbColor rgb="006799AF"/>
      <rgbColor rgb="00FFFFFF"/>
      <rgbColor rgb="00BCC3CC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FF000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3" Type="http://schemas.openxmlformats.org/officeDocument/2006/relationships/styles" Target="styles.xml"/><Relationship Id="rId12" Type="http://schemas.openxmlformats.org/officeDocument/2006/relationships/sharedStrings" Target="sharedStrings.xml"/><Relationship Id="rId11" Type="http://schemas.openxmlformats.org/officeDocument/2006/relationships/theme" Target="theme/theme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10</xdr:col>
      <xdr:colOff>200025</xdr:colOff>
      <xdr:row>0</xdr:row>
      <xdr:rowOff>142875</xdr:rowOff>
    </xdr:from>
    <xdr:to>
      <xdr:col>10</xdr:col>
      <xdr:colOff>710013</xdr:colOff>
      <xdr:row>3</xdr:row>
      <xdr:rowOff>161925</xdr:rowOff>
    </xdr:to>
    <xdr:pic>
      <xdr:nvPicPr>
        <xdr:cNvPr id="2" name="Picture 1"/>
        <xdr:cNvPicPr/>
      </xdr:nvPicPr>
      <xdr:blipFill>
        <a:blip r:embed="rId1" cstate="print"/>
        <a:stretch>
          <a:fillRect/>
        </a:stretch>
      </xdr:blipFill>
      <xdr:spPr>
        <a:xfrm>
          <a:off x="6823075" y="142875"/>
          <a:ext cx="509905" cy="50863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10</xdr:col>
      <xdr:colOff>123825</xdr:colOff>
      <xdr:row>1</xdr:row>
      <xdr:rowOff>0</xdr:rowOff>
    </xdr:from>
    <xdr:to>
      <xdr:col>10</xdr:col>
      <xdr:colOff>633813</xdr:colOff>
      <xdr:row>3</xdr:row>
      <xdr:rowOff>190500</xdr:rowOff>
    </xdr:to>
    <xdr:pic>
      <xdr:nvPicPr>
        <xdr:cNvPr id="2" name="Picture 1"/>
        <xdr:cNvPicPr/>
      </xdr:nvPicPr>
      <xdr:blipFill>
        <a:blip r:embed="rId1" cstate="print"/>
        <a:stretch>
          <a:fillRect/>
        </a:stretch>
      </xdr:blipFill>
      <xdr:spPr>
        <a:xfrm>
          <a:off x="6746875" y="171450"/>
          <a:ext cx="509905" cy="508635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10</xdr:col>
      <xdr:colOff>209550</xdr:colOff>
      <xdr:row>1</xdr:row>
      <xdr:rowOff>0</xdr:rowOff>
    </xdr:from>
    <xdr:to>
      <xdr:col>10</xdr:col>
      <xdr:colOff>719538</xdr:colOff>
      <xdr:row>3</xdr:row>
      <xdr:rowOff>190500</xdr:rowOff>
    </xdr:to>
    <xdr:pic>
      <xdr:nvPicPr>
        <xdr:cNvPr id="2" name="Picture 1"/>
        <xdr:cNvPicPr/>
      </xdr:nvPicPr>
      <xdr:blipFill>
        <a:blip r:embed="rId1" cstate="print"/>
        <a:stretch>
          <a:fillRect/>
        </a:stretch>
      </xdr:blipFill>
      <xdr:spPr>
        <a:xfrm>
          <a:off x="6832600" y="171450"/>
          <a:ext cx="509905" cy="508635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10</xdr:col>
      <xdr:colOff>104775</xdr:colOff>
      <xdr:row>0</xdr:row>
      <xdr:rowOff>161925</xdr:rowOff>
    </xdr:from>
    <xdr:to>
      <xdr:col>10</xdr:col>
      <xdr:colOff>614763</xdr:colOff>
      <xdr:row>3</xdr:row>
      <xdr:rowOff>180975</xdr:rowOff>
    </xdr:to>
    <xdr:pic>
      <xdr:nvPicPr>
        <xdr:cNvPr id="2" name="Picture 1"/>
        <xdr:cNvPicPr/>
      </xdr:nvPicPr>
      <xdr:blipFill>
        <a:blip r:embed="rId1" cstate="print"/>
        <a:stretch>
          <a:fillRect/>
        </a:stretch>
      </xdr:blipFill>
      <xdr:spPr>
        <a:xfrm>
          <a:off x="6727825" y="161925"/>
          <a:ext cx="509905" cy="508635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10</xdr:col>
      <xdr:colOff>285750</xdr:colOff>
      <xdr:row>0</xdr:row>
      <xdr:rowOff>142875</xdr:rowOff>
    </xdr:from>
    <xdr:to>
      <xdr:col>10</xdr:col>
      <xdr:colOff>795738</xdr:colOff>
      <xdr:row>3</xdr:row>
      <xdr:rowOff>161925</xdr:rowOff>
    </xdr:to>
    <xdr:pic>
      <xdr:nvPicPr>
        <xdr:cNvPr id="2" name="Picture 1"/>
        <xdr:cNvPicPr/>
      </xdr:nvPicPr>
      <xdr:blipFill>
        <a:blip r:embed="rId1" cstate="print"/>
        <a:stretch>
          <a:fillRect/>
        </a:stretch>
      </xdr:blipFill>
      <xdr:spPr>
        <a:xfrm>
          <a:off x="6908800" y="142875"/>
          <a:ext cx="509905" cy="508635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10</xdr:col>
      <xdr:colOff>152400</xdr:colOff>
      <xdr:row>1</xdr:row>
      <xdr:rowOff>19050</xdr:rowOff>
    </xdr:from>
    <xdr:to>
      <xdr:col>10</xdr:col>
      <xdr:colOff>662388</xdr:colOff>
      <xdr:row>4</xdr:row>
      <xdr:rowOff>16510</xdr:rowOff>
    </xdr:to>
    <xdr:pic>
      <xdr:nvPicPr>
        <xdr:cNvPr id="2" name="Picture 1"/>
        <xdr:cNvPicPr/>
      </xdr:nvPicPr>
      <xdr:blipFill>
        <a:blip r:embed="rId1" cstate="print"/>
        <a:stretch>
          <a:fillRect/>
        </a:stretch>
      </xdr:blipFill>
      <xdr:spPr>
        <a:xfrm>
          <a:off x="6775450" y="190500"/>
          <a:ext cx="509905" cy="508635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10</xdr:col>
      <xdr:colOff>219075</xdr:colOff>
      <xdr:row>0</xdr:row>
      <xdr:rowOff>114300</xdr:rowOff>
    </xdr:from>
    <xdr:to>
      <xdr:col>10</xdr:col>
      <xdr:colOff>729063</xdr:colOff>
      <xdr:row>3</xdr:row>
      <xdr:rowOff>133350</xdr:rowOff>
    </xdr:to>
    <xdr:pic>
      <xdr:nvPicPr>
        <xdr:cNvPr id="2" name="Picture 1"/>
        <xdr:cNvPicPr/>
      </xdr:nvPicPr>
      <xdr:blipFill>
        <a:blip r:embed="rId1" cstate="print"/>
        <a:stretch>
          <a:fillRect/>
        </a:stretch>
      </xdr:blipFill>
      <xdr:spPr>
        <a:xfrm>
          <a:off x="6842125" y="114300"/>
          <a:ext cx="509905" cy="508635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10</xdr:col>
      <xdr:colOff>304800</xdr:colOff>
      <xdr:row>0</xdr:row>
      <xdr:rowOff>142875</xdr:rowOff>
    </xdr:from>
    <xdr:to>
      <xdr:col>10</xdr:col>
      <xdr:colOff>814788</xdr:colOff>
      <xdr:row>3</xdr:row>
      <xdr:rowOff>161925</xdr:rowOff>
    </xdr:to>
    <xdr:pic>
      <xdr:nvPicPr>
        <xdr:cNvPr id="2" name="Picture 1"/>
        <xdr:cNvPicPr/>
      </xdr:nvPicPr>
      <xdr:blipFill>
        <a:blip r:embed="rId1" cstate="print"/>
        <a:stretch>
          <a:fillRect/>
        </a:stretch>
      </xdr:blipFill>
      <xdr:spPr>
        <a:xfrm>
          <a:off x="6927850" y="142875"/>
          <a:ext cx="509905" cy="508635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10</xdr:col>
      <xdr:colOff>257175</xdr:colOff>
      <xdr:row>0</xdr:row>
      <xdr:rowOff>152400</xdr:rowOff>
    </xdr:from>
    <xdr:to>
      <xdr:col>10</xdr:col>
      <xdr:colOff>767163</xdr:colOff>
      <xdr:row>3</xdr:row>
      <xdr:rowOff>171450</xdr:rowOff>
    </xdr:to>
    <xdr:pic>
      <xdr:nvPicPr>
        <xdr:cNvPr id="2" name="Picture 1"/>
        <xdr:cNvPicPr/>
      </xdr:nvPicPr>
      <xdr:blipFill>
        <a:blip r:embed="rId1" cstate="print"/>
        <a:stretch>
          <a:fillRect/>
        </a:stretch>
      </xdr:blipFill>
      <xdr:spPr>
        <a:xfrm>
          <a:off x="6880225" y="152400"/>
          <a:ext cx="509905" cy="508635"/>
        </a:xfrm>
        <a:prstGeom prst="rect">
          <a:avLst/>
        </a:prstGeom>
      </xdr:spPr>
    </xdr:pic>
    <xdr:clientData/>
  </xdr:twoCellAnchor>
</xdr:wsDr>
</file>

<file path=xl/drawings/drawing10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10</xdr:col>
      <xdr:colOff>276225</xdr:colOff>
      <xdr:row>0</xdr:row>
      <xdr:rowOff>95250</xdr:rowOff>
    </xdr:from>
    <xdr:to>
      <xdr:col>10</xdr:col>
      <xdr:colOff>786213</xdr:colOff>
      <xdr:row>3</xdr:row>
      <xdr:rowOff>114300</xdr:rowOff>
    </xdr:to>
    <xdr:pic>
      <xdr:nvPicPr>
        <xdr:cNvPr id="2" name="Picture 1"/>
        <xdr:cNvPicPr/>
      </xdr:nvPicPr>
      <xdr:blipFill>
        <a:blip r:embed="rId1" cstate="print"/>
        <a:stretch>
          <a:fillRect/>
        </a:stretch>
      </xdr:blipFill>
      <xdr:spPr>
        <a:xfrm>
          <a:off x="6899275" y="95250"/>
          <a:ext cx="509905" cy="50863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19"/>
  <sheetViews>
    <sheetView showGridLines="0" tabSelected="1" view="pageBreakPreview" zoomScaleNormal="100" workbookViewId="0">
      <pane ySplit="6" topLeftCell="A7" activePane="bottomLeft" state="frozen"/>
      <selection/>
      <selection pane="bottomLeft" activeCell="K20" sqref="K20"/>
    </sheetView>
  </sheetViews>
  <sheetFormatPr defaultColWidth="9" defaultRowHeight="13.5"/>
  <cols>
    <col min="1" max="2" width="0.225" customWidth="1"/>
    <col min="3" max="3" width="0.433333333333333" customWidth="1"/>
    <col min="4" max="4" width="9.28333333333333" customWidth="1"/>
    <col min="5" max="5" width="8.93333333333333" customWidth="1"/>
    <col min="6" max="6" width="14.95" customWidth="1"/>
    <col min="7" max="7" width="9.36666666666667" customWidth="1"/>
    <col min="8" max="8" width="24.8166666666667" customWidth="1"/>
    <col min="9" max="9" width="6.475" customWidth="1"/>
    <col min="10" max="10" width="12.2083333333333" customWidth="1"/>
    <col min="11" max="11" width="12.25" customWidth="1"/>
  </cols>
  <sheetData>
    <row r="1" spans="2:12">
      <c r="C1" s="1" t="s">
        <v>0</v>
      </c>
    </row>
    <row r="2" ht="23.05" customHeight="1"/>
    <row r="3" ht="2" customHeight="1"/>
    <row r="4" ht="15.2" customHeight="1" spans="2:12">
      <c r="B4" s="2" t="s">
        <v>1</v>
      </c>
    </row>
    <row r="6" ht="2.95" customHeight="1"/>
    <row r="7" ht="3.95" customHeight="1" spans="2:12">
      <c r="B7" s="4" t="s">
        <v>2</v>
      </c>
      <c r="C7" s="4" t="s">
        <v>2</v>
      </c>
      <c r="D7" s="4" t="s">
        <v>2</v>
      </c>
      <c r="E7" s="4" t="s">
        <v>2</v>
      </c>
      <c r="F7" s="4" t="s">
        <v>2</v>
      </c>
      <c r="G7" s="4" t="s">
        <v>2</v>
      </c>
      <c r="H7" s="4" t="s">
        <v>2</v>
      </c>
      <c r="I7" s="4" t="s">
        <v>2</v>
      </c>
      <c r="J7" s="4" t="s">
        <v>2</v>
      </c>
      <c r="K7" s="4" t="s">
        <v>2</v>
      </c>
    </row>
    <row r="8" ht="15" spans="2:12">
      <c r="C8" s="3" t="s">
        <v>2</v>
      </c>
      <c r="D8" s="15" t="s">
        <v>3</v>
      </c>
      <c r="E8" s="8" t="s">
        <v>2</v>
      </c>
      <c r="F8" s="8" t="s">
        <v>2</v>
      </c>
      <c r="G8" s="8" t="s">
        <v>2</v>
      </c>
      <c r="H8" s="8" t="s">
        <v>2</v>
      </c>
      <c r="I8" s="16"/>
      <c r="J8" s="17"/>
      <c r="K8" s="17"/>
    </row>
    <row r="9" spans="2:12">
      <c r="C9" s="3" t="s">
        <v>2</v>
      </c>
      <c r="D9" s="13" t="s">
        <v>4</v>
      </c>
      <c r="E9" s="13" t="s">
        <v>5</v>
      </c>
      <c r="F9" s="13" t="s">
        <v>6</v>
      </c>
      <c r="G9" s="13" t="s">
        <v>7</v>
      </c>
      <c r="H9" s="13" t="s">
        <v>8</v>
      </c>
      <c r="I9" s="13" t="s">
        <v>9</v>
      </c>
      <c r="J9" s="13" t="s">
        <v>10</v>
      </c>
      <c r="K9" s="13" t="s">
        <v>11</v>
      </c>
    </row>
    <row r="10" ht="14.25" spans="2:12">
      <c r="D10" s="7" t="s">
        <v>12</v>
      </c>
      <c r="E10" s="8" t="s">
        <v>2</v>
      </c>
      <c r="F10" s="8" t="s">
        <v>2</v>
      </c>
      <c r="G10" s="8" t="s">
        <v>2</v>
      </c>
      <c r="H10" s="8" t="s">
        <v>2</v>
      </c>
      <c r="I10" s="9">
        <v>8</v>
      </c>
      <c r="J10" s="10"/>
      <c r="K10" s="10">
        <v>485.1</v>
      </c>
    </row>
    <row r="11" spans="2:12">
      <c r="D11" s="11">
        <v>46175</v>
      </c>
      <c r="E11" s="12">
        <v>1608544</v>
      </c>
      <c r="F11" s="12" t="s">
        <v>13</v>
      </c>
      <c r="G11" s="13">
        <v>20316613</v>
      </c>
      <c r="H11" s="12" t="s">
        <v>14</v>
      </c>
      <c r="I11" s="13">
        <v>1</v>
      </c>
      <c r="J11" s="14">
        <v>69.3</v>
      </c>
      <c r="K11" s="14">
        <v>69.3</v>
      </c>
      <c r="L11">
        <f>J11/0.7</f>
        <v>99</v>
      </c>
    </row>
    <row r="12" spans="2:12">
      <c r="D12" s="11">
        <v>46175</v>
      </c>
      <c r="E12" s="12">
        <v>1608544</v>
      </c>
      <c r="F12" s="12" t="s">
        <v>13</v>
      </c>
      <c r="G12" s="13">
        <v>20316605</v>
      </c>
      <c r="H12" s="12" t="s">
        <v>15</v>
      </c>
      <c r="I12" s="13">
        <v>1</v>
      </c>
      <c r="J12" s="14">
        <v>34.65</v>
      </c>
      <c r="K12" s="14">
        <v>34.65</v>
      </c>
      <c r="L12">
        <f t="shared" ref="L12:L18" si="0">J12/0.7</f>
        <v>49.5</v>
      </c>
    </row>
    <row r="13" spans="2:12">
      <c r="D13" s="11">
        <v>46179</v>
      </c>
      <c r="E13" s="12">
        <v>1609957</v>
      </c>
      <c r="F13" s="12" t="s">
        <v>13</v>
      </c>
      <c r="G13" s="13">
        <v>20316613</v>
      </c>
      <c r="H13" s="12" t="s">
        <v>14</v>
      </c>
      <c r="I13" s="13">
        <v>1</v>
      </c>
      <c r="J13" s="14">
        <v>69.3</v>
      </c>
      <c r="K13" s="14">
        <v>69.3</v>
      </c>
      <c r="L13">
        <f t="shared" si="0"/>
        <v>99</v>
      </c>
    </row>
    <row r="14" spans="2:12">
      <c r="D14" s="11">
        <v>46184</v>
      </c>
      <c r="E14" s="12">
        <v>1611456</v>
      </c>
      <c r="F14" s="12" t="s">
        <v>13</v>
      </c>
      <c r="G14" s="13">
        <v>20316613</v>
      </c>
      <c r="H14" s="12" t="s">
        <v>14</v>
      </c>
      <c r="I14" s="13">
        <v>1</v>
      </c>
      <c r="J14" s="14">
        <v>69.3</v>
      </c>
      <c r="K14" s="14">
        <v>69.3</v>
      </c>
      <c r="L14">
        <f t="shared" si="0"/>
        <v>99</v>
      </c>
    </row>
    <row r="15" spans="2:12">
      <c r="D15" s="11">
        <v>46190</v>
      </c>
      <c r="E15" s="12">
        <v>1612774</v>
      </c>
      <c r="F15" s="12" t="s">
        <v>13</v>
      </c>
      <c r="G15" s="13">
        <v>20316613</v>
      </c>
      <c r="H15" s="12" t="s">
        <v>14</v>
      </c>
      <c r="I15" s="13">
        <v>1</v>
      </c>
      <c r="J15" s="14">
        <v>69.3</v>
      </c>
      <c r="K15" s="14">
        <v>69.3</v>
      </c>
      <c r="L15">
        <f t="shared" si="0"/>
        <v>99</v>
      </c>
    </row>
    <row r="16" spans="2:12">
      <c r="D16" s="11">
        <v>46191</v>
      </c>
      <c r="E16" s="12">
        <v>1613432</v>
      </c>
      <c r="F16" s="12" t="s">
        <v>13</v>
      </c>
      <c r="G16" s="13">
        <v>20316605</v>
      </c>
      <c r="H16" s="12" t="s">
        <v>15</v>
      </c>
      <c r="I16" s="13">
        <v>1</v>
      </c>
      <c r="J16" s="14">
        <v>34.65</v>
      </c>
      <c r="K16" s="14">
        <v>34.65</v>
      </c>
      <c r="L16">
        <f t="shared" si="0"/>
        <v>49.5</v>
      </c>
    </row>
    <row r="17" spans="4:12">
      <c r="D17" s="11">
        <v>46196</v>
      </c>
      <c r="E17" s="12">
        <v>1614450</v>
      </c>
      <c r="F17" s="12" t="s">
        <v>13</v>
      </c>
      <c r="G17" s="13">
        <v>20316613</v>
      </c>
      <c r="H17" s="12" t="s">
        <v>14</v>
      </c>
      <c r="I17" s="13">
        <v>1</v>
      </c>
      <c r="J17" s="14">
        <v>69.3</v>
      </c>
      <c r="K17" s="14">
        <v>69.3</v>
      </c>
      <c r="L17">
        <f t="shared" si="0"/>
        <v>99</v>
      </c>
    </row>
    <row r="18" spans="4:12">
      <c r="D18" s="11">
        <v>46200</v>
      </c>
      <c r="E18" s="12">
        <v>1615714</v>
      </c>
      <c r="F18" s="12" t="s">
        <v>13</v>
      </c>
      <c r="G18" s="13">
        <v>20316613</v>
      </c>
      <c r="H18" s="12" t="s">
        <v>14</v>
      </c>
      <c r="I18" s="13">
        <v>1</v>
      </c>
      <c r="J18" s="14">
        <v>69.3</v>
      </c>
      <c r="K18" s="14">
        <v>69.3</v>
      </c>
      <c r="L18">
        <f t="shared" si="0"/>
        <v>99</v>
      </c>
    </row>
    <row r="19" spans="4:12">
      <c r="K19">
        <f>K10+门诊妇科!K8+门诊肛肠科!K8+门诊计划生育!K8+门诊口腔科!K8+门诊手术室!K8+门诊外科!K8+门诊眼科!K8+'外科（住院处）'!K8+住院处手术室!K8</f>
        <v>10194.1</v>
      </c>
    </row>
  </sheetData>
  <autoFilter xmlns:etc="http://www.wps.cn/officeDocument/2017/etCustomData" ref="A9:K19" etc:filterBottomFollowUsedRange="0">
    <extLst/>
  </autoFilter>
  <mergeCells count="6">
    <mergeCell ref="D8:H8"/>
    <mergeCell ref="D10:H10"/>
    <mergeCell ref="C9:C18"/>
    <mergeCell ref="B4:H5"/>
    <mergeCell ref="A8:B18"/>
    <mergeCell ref="C1:H2"/>
  </mergeCells>
  <pageMargins left="0.25" right="0.25" top="0.75" bottom="0.75" header="0.298611111111111" footer="0.298611111111111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&amp;"-,Regular"2026年7月6日 9:51 
&amp;"-,Bold"&amp;10 黑龙江省铂康医疗灭菌有限公司 &amp;R&amp;"Droid Sans Fallback"&amp;9第&amp;P页，共&amp;N页 </oddFooter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157"/>
  <sheetViews>
    <sheetView showGridLines="0" view="pageBreakPreview" zoomScaleNormal="100" workbookViewId="0">
      <pane ySplit="6" topLeftCell="A7" activePane="bottomLeft" state="frozen"/>
      <selection/>
      <selection pane="bottomLeft" activeCell="K9" sqref="K9:K158"/>
    </sheetView>
  </sheetViews>
  <sheetFormatPr defaultColWidth="9" defaultRowHeight="13.5"/>
  <cols>
    <col min="1" max="2" width="0.225" customWidth="1"/>
    <col min="3" max="3" width="0.433333333333333" customWidth="1"/>
    <col min="4" max="4" width="9.28333333333333" customWidth="1"/>
    <col min="5" max="5" width="8.93333333333333" customWidth="1"/>
    <col min="6" max="6" width="14.95" customWidth="1"/>
    <col min="7" max="7" width="9.36666666666667" customWidth="1"/>
    <col min="8" max="8" width="24.8166666666667" customWidth="1"/>
    <col min="9" max="9" width="6.475" customWidth="1"/>
    <col min="10" max="10" width="12.2083333333333" customWidth="1"/>
    <col min="11" max="11" width="12.5" customWidth="1"/>
  </cols>
  <sheetData>
    <row r="1" spans="1:12">
      <c r="C1" s="1" t="s">
        <v>0</v>
      </c>
    </row>
    <row r="2" ht="23.05" customHeight="1"/>
    <row r="3" ht="2" customHeight="1"/>
    <row r="4" ht="15.2" customHeight="1" spans="1:12">
      <c r="B4" s="2" t="s">
        <v>1</v>
      </c>
    </row>
    <row r="6" ht="2.95" customHeight="1"/>
    <row r="7" spans="1:12">
      <c r="A7" s="3" t="s">
        <v>2</v>
      </c>
      <c r="B7" s="4" t="s">
        <v>2</v>
      </c>
      <c r="C7" s="5" t="s">
        <v>2</v>
      </c>
      <c r="D7" s="6" t="s">
        <v>4</v>
      </c>
      <c r="E7" s="6" t="s">
        <v>5</v>
      </c>
      <c r="F7" s="6" t="s">
        <v>6</v>
      </c>
      <c r="G7" s="6" t="s">
        <v>7</v>
      </c>
      <c r="H7" s="6" t="s">
        <v>8</v>
      </c>
      <c r="I7" s="6" t="s">
        <v>9</v>
      </c>
      <c r="J7" s="6" t="s">
        <v>10</v>
      </c>
      <c r="K7" s="6" t="s">
        <v>11</v>
      </c>
    </row>
    <row r="8" ht="14.25" spans="1:12">
      <c r="D8" s="7" t="s">
        <v>16</v>
      </c>
      <c r="E8" s="8" t="s">
        <v>2</v>
      </c>
      <c r="F8" s="8" t="s">
        <v>2</v>
      </c>
      <c r="G8" s="8" t="s">
        <v>2</v>
      </c>
      <c r="H8" s="8" t="s">
        <v>2</v>
      </c>
      <c r="I8" s="9">
        <v>299</v>
      </c>
      <c r="J8" s="10"/>
      <c r="K8" s="10">
        <v>3202.5</v>
      </c>
    </row>
    <row r="9" spans="1:12">
      <c r="D9" s="11">
        <v>46175</v>
      </c>
      <c r="E9" s="12">
        <v>1608545</v>
      </c>
      <c r="F9" s="12" t="s">
        <v>13</v>
      </c>
      <c r="G9" s="13">
        <v>20316494</v>
      </c>
      <c r="H9" s="12" t="s">
        <v>17</v>
      </c>
      <c r="I9" s="13">
        <v>1</v>
      </c>
      <c r="J9" s="14">
        <v>53.9</v>
      </c>
      <c r="K9" s="14">
        <v>53.9</v>
      </c>
      <c r="L9">
        <f>J9/0.7</f>
        <v>77</v>
      </c>
    </row>
    <row r="10" spans="1:12">
      <c r="D10" s="11">
        <v>46175</v>
      </c>
      <c r="E10" s="12">
        <v>1608545</v>
      </c>
      <c r="F10" s="12" t="s">
        <v>13</v>
      </c>
      <c r="G10" s="13">
        <v>20316495</v>
      </c>
      <c r="H10" s="12" t="s">
        <v>18</v>
      </c>
      <c r="I10" s="13">
        <v>2</v>
      </c>
      <c r="J10" s="14">
        <v>53.9</v>
      </c>
      <c r="K10" s="14">
        <v>107.8</v>
      </c>
      <c r="L10">
        <f t="shared" ref="L10:L41" si="0">J10/0.7</f>
        <v>77</v>
      </c>
    </row>
    <row r="11" spans="1:12">
      <c r="D11" s="11">
        <v>46175</v>
      </c>
      <c r="E11" s="12">
        <v>1608545</v>
      </c>
      <c r="F11" s="12" t="s">
        <v>13</v>
      </c>
      <c r="G11" s="13">
        <v>20351726</v>
      </c>
      <c r="H11" s="12" t="s">
        <v>19</v>
      </c>
      <c r="I11" s="13">
        <v>1</v>
      </c>
      <c r="J11" s="14">
        <v>38.5</v>
      </c>
      <c r="K11" s="14">
        <v>38.5</v>
      </c>
      <c r="L11">
        <f t="shared" si="0"/>
        <v>55</v>
      </c>
    </row>
    <row r="12" spans="1:12">
      <c r="D12" s="11">
        <v>46175</v>
      </c>
      <c r="E12" s="12">
        <v>1608585</v>
      </c>
      <c r="F12" s="12" t="s">
        <v>20</v>
      </c>
      <c r="G12" s="13">
        <v>20316820</v>
      </c>
      <c r="H12" s="12" t="s">
        <v>21</v>
      </c>
      <c r="I12" s="13">
        <v>1</v>
      </c>
      <c r="J12" s="14">
        <v>5.6</v>
      </c>
      <c r="K12" s="14">
        <v>5.6</v>
      </c>
      <c r="L12">
        <f t="shared" si="0"/>
        <v>8</v>
      </c>
    </row>
    <row r="13" spans="1:12">
      <c r="D13" s="11">
        <v>46175</v>
      </c>
      <c r="E13" s="12">
        <v>1608585</v>
      </c>
      <c r="F13" s="12" t="s">
        <v>20</v>
      </c>
      <c r="G13" s="13">
        <v>20316709</v>
      </c>
      <c r="H13" s="12" t="s">
        <v>22</v>
      </c>
      <c r="I13" s="13">
        <v>1</v>
      </c>
      <c r="J13" s="14">
        <v>5.6</v>
      </c>
      <c r="K13" s="14">
        <v>5.6</v>
      </c>
      <c r="L13">
        <f t="shared" si="0"/>
        <v>8</v>
      </c>
    </row>
    <row r="14" spans="1:12">
      <c r="D14" s="11">
        <v>46175</v>
      </c>
      <c r="E14" s="12">
        <v>1608585</v>
      </c>
      <c r="F14" s="12" t="s">
        <v>20</v>
      </c>
      <c r="G14" s="13">
        <v>20318012</v>
      </c>
      <c r="H14" s="12" t="s">
        <v>23</v>
      </c>
      <c r="I14" s="13">
        <v>1</v>
      </c>
      <c r="J14" s="14">
        <v>7.7</v>
      </c>
      <c r="K14" s="14">
        <v>7.7</v>
      </c>
      <c r="L14">
        <f t="shared" si="0"/>
        <v>11</v>
      </c>
    </row>
    <row r="15" spans="1:12">
      <c r="D15" s="11">
        <v>46175</v>
      </c>
      <c r="E15" s="12">
        <v>1608585</v>
      </c>
      <c r="F15" s="12" t="s">
        <v>20</v>
      </c>
      <c r="G15" s="13">
        <v>20318011</v>
      </c>
      <c r="H15" s="12" t="s">
        <v>24</v>
      </c>
      <c r="I15" s="13">
        <v>1</v>
      </c>
      <c r="J15" s="14">
        <v>7.7</v>
      </c>
      <c r="K15" s="14">
        <v>7.7</v>
      </c>
      <c r="L15">
        <f t="shared" si="0"/>
        <v>11</v>
      </c>
    </row>
    <row r="16" spans="1:12">
      <c r="D16" s="11">
        <v>46175</v>
      </c>
      <c r="E16" s="12">
        <v>1608585</v>
      </c>
      <c r="F16" s="12" t="s">
        <v>20</v>
      </c>
      <c r="G16" s="13">
        <v>20316520</v>
      </c>
      <c r="H16" s="12" t="s">
        <v>25</v>
      </c>
      <c r="I16" s="13">
        <v>1</v>
      </c>
      <c r="J16" s="14">
        <v>5.6</v>
      </c>
      <c r="K16" s="14">
        <v>5.6</v>
      </c>
      <c r="L16">
        <f t="shared" si="0"/>
        <v>8</v>
      </c>
    </row>
    <row r="17" spans="4:12">
      <c r="D17" s="11">
        <v>46175</v>
      </c>
      <c r="E17" s="12">
        <v>1608585</v>
      </c>
      <c r="F17" s="12" t="s">
        <v>20</v>
      </c>
      <c r="G17" s="13">
        <v>20332792</v>
      </c>
      <c r="H17" s="12" t="s">
        <v>26</v>
      </c>
      <c r="I17" s="13">
        <v>1</v>
      </c>
      <c r="J17" s="14">
        <v>5.6</v>
      </c>
      <c r="K17" s="14">
        <v>5.6</v>
      </c>
      <c r="L17">
        <f t="shared" si="0"/>
        <v>8</v>
      </c>
    </row>
    <row r="18" spans="4:12">
      <c r="D18" s="11">
        <v>46175</v>
      </c>
      <c r="E18" s="12">
        <v>1608585</v>
      </c>
      <c r="F18" s="12" t="s">
        <v>20</v>
      </c>
      <c r="G18" s="13">
        <v>20316506</v>
      </c>
      <c r="H18" s="12" t="s">
        <v>27</v>
      </c>
      <c r="I18" s="13">
        <v>1</v>
      </c>
      <c r="J18" s="14">
        <v>5.6</v>
      </c>
      <c r="K18" s="14">
        <v>5.6</v>
      </c>
      <c r="L18">
        <f t="shared" si="0"/>
        <v>8</v>
      </c>
    </row>
    <row r="19" spans="4:12">
      <c r="D19" s="11">
        <v>46175</v>
      </c>
      <c r="E19" s="12">
        <v>1608585</v>
      </c>
      <c r="F19" s="12" t="s">
        <v>20</v>
      </c>
      <c r="G19" s="13">
        <v>20316497</v>
      </c>
      <c r="H19" s="12" t="s">
        <v>28</v>
      </c>
      <c r="I19" s="13">
        <v>1</v>
      </c>
      <c r="J19" s="14">
        <v>7.7</v>
      </c>
      <c r="K19" s="14">
        <v>7.7</v>
      </c>
      <c r="L19">
        <f t="shared" si="0"/>
        <v>11</v>
      </c>
    </row>
    <row r="20" spans="4:12">
      <c r="D20" s="11">
        <v>46175</v>
      </c>
      <c r="E20" s="12">
        <v>1608585</v>
      </c>
      <c r="F20" s="12" t="s">
        <v>20</v>
      </c>
      <c r="G20" s="13">
        <v>20329902</v>
      </c>
      <c r="H20" s="12" t="s">
        <v>29</v>
      </c>
      <c r="I20" s="13">
        <v>1</v>
      </c>
      <c r="J20" s="14">
        <v>5.6</v>
      </c>
      <c r="K20" s="14">
        <v>5.6</v>
      </c>
      <c r="L20">
        <f t="shared" si="0"/>
        <v>8</v>
      </c>
    </row>
    <row r="21" spans="4:12">
      <c r="D21" s="11">
        <v>46175</v>
      </c>
      <c r="E21" s="12">
        <v>1608585</v>
      </c>
      <c r="F21" s="12" t="s">
        <v>20</v>
      </c>
      <c r="G21" s="13">
        <v>20320659</v>
      </c>
      <c r="H21" s="12" t="s">
        <v>30</v>
      </c>
      <c r="I21" s="13">
        <v>1</v>
      </c>
      <c r="J21" s="14">
        <v>5.6</v>
      </c>
      <c r="K21" s="14">
        <v>5.6</v>
      </c>
      <c r="L21">
        <f t="shared" si="0"/>
        <v>8</v>
      </c>
    </row>
    <row r="22" spans="4:12">
      <c r="D22" s="11">
        <v>46175</v>
      </c>
      <c r="E22" s="12">
        <v>1608585</v>
      </c>
      <c r="F22" s="12" t="s">
        <v>20</v>
      </c>
      <c r="G22" s="13">
        <v>20316536</v>
      </c>
      <c r="H22" s="12" t="s">
        <v>31</v>
      </c>
      <c r="I22" s="13">
        <v>6</v>
      </c>
      <c r="J22" s="14">
        <v>5.6</v>
      </c>
      <c r="K22" s="14">
        <v>33.6</v>
      </c>
      <c r="L22">
        <f t="shared" si="0"/>
        <v>8</v>
      </c>
    </row>
    <row r="23" spans="4:12">
      <c r="D23" s="11">
        <v>46177</v>
      </c>
      <c r="E23" s="12">
        <v>1609310</v>
      </c>
      <c r="F23" s="12" t="s">
        <v>13</v>
      </c>
      <c r="G23" s="13">
        <v>20316495</v>
      </c>
      <c r="H23" s="12" t="s">
        <v>18</v>
      </c>
      <c r="I23" s="13">
        <v>1</v>
      </c>
      <c r="J23" s="14">
        <v>53.9</v>
      </c>
      <c r="K23" s="14">
        <v>53.9</v>
      </c>
      <c r="L23">
        <f t="shared" si="0"/>
        <v>77</v>
      </c>
    </row>
    <row r="24" spans="4:12">
      <c r="D24" s="11">
        <v>46177</v>
      </c>
      <c r="E24" s="12">
        <v>1609310</v>
      </c>
      <c r="F24" s="12" t="s">
        <v>13</v>
      </c>
      <c r="G24" s="13">
        <v>20351726</v>
      </c>
      <c r="H24" s="12" t="s">
        <v>19</v>
      </c>
      <c r="I24" s="13">
        <v>1</v>
      </c>
      <c r="J24" s="14">
        <v>38.5</v>
      </c>
      <c r="K24" s="14">
        <v>38.5</v>
      </c>
      <c r="L24">
        <f t="shared" si="0"/>
        <v>55</v>
      </c>
    </row>
    <row r="25" spans="4:12">
      <c r="D25" s="11">
        <v>46178</v>
      </c>
      <c r="E25" s="12">
        <v>1609465</v>
      </c>
      <c r="F25" s="12" t="s">
        <v>20</v>
      </c>
      <c r="G25" s="13">
        <v>20316709</v>
      </c>
      <c r="H25" s="12" t="s">
        <v>22</v>
      </c>
      <c r="I25" s="13">
        <v>2</v>
      </c>
      <c r="J25" s="14">
        <v>5.6</v>
      </c>
      <c r="K25" s="14">
        <v>11.2</v>
      </c>
      <c r="L25">
        <f t="shared" si="0"/>
        <v>8</v>
      </c>
    </row>
    <row r="26" spans="4:12">
      <c r="D26" s="11">
        <v>46178</v>
      </c>
      <c r="E26" s="12">
        <v>1609465</v>
      </c>
      <c r="F26" s="12" t="s">
        <v>20</v>
      </c>
      <c r="G26" s="13">
        <v>20318012</v>
      </c>
      <c r="H26" s="12" t="s">
        <v>23</v>
      </c>
      <c r="I26" s="13">
        <v>2</v>
      </c>
      <c r="J26" s="14">
        <v>7.7</v>
      </c>
      <c r="K26" s="14">
        <v>15.4</v>
      </c>
      <c r="L26">
        <f t="shared" si="0"/>
        <v>11</v>
      </c>
    </row>
    <row r="27" spans="4:12">
      <c r="D27" s="11">
        <v>46178</v>
      </c>
      <c r="E27" s="12">
        <v>1609465</v>
      </c>
      <c r="F27" s="12" t="s">
        <v>20</v>
      </c>
      <c r="G27" s="13">
        <v>20318011</v>
      </c>
      <c r="H27" s="12" t="s">
        <v>24</v>
      </c>
      <c r="I27" s="13">
        <v>2</v>
      </c>
      <c r="J27" s="14">
        <v>7.7</v>
      </c>
      <c r="K27" s="14">
        <v>15.4</v>
      </c>
      <c r="L27">
        <f t="shared" si="0"/>
        <v>11</v>
      </c>
    </row>
    <row r="28" spans="4:12">
      <c r="D28" s="11">
        <v>46178</v>
      </c>
      <c r="E28" s="12">
        <v>1609465</v>
      </c>
      <c r="F28" s="12" t="s">
        <v>20</v>
      </c>
      <c r="G28" s="13">
        <v>20316520</v>
      </c>
      <c r="H28" s="12" t="s">
        <v>25</v>
      </c>
      <c r="I28" s="13">
        <v>1</v>
      </c>
      <c r="J28" s="14">
        <v>5.6</v>
      </c>
      <c r="K28" s="14">
        <v>5.6</v>
      </c>
      <c r="L28">
        <f t="shared" si="0"/>
        <v>8</v>
      </c>
    </row>
    <row r="29" spans="4:12">
      <c r="D29" s="11">
        <v>46178</v>
      </c>
      <c r="E29" s="12">
        <v>1609465</v>
      </c>
      <c r="F29" s="12" t="s">
        <v>20</v>
      </c>
      <c r="G29" s="13">
        <v>20332509</v>
      </c>
      <c r="H29" s="12" t="s">
        <v>32</v>
      </c>
      <c r="I29" s="13">
        <v>1</v>
      </c>
      <c r="J29" s="14">
        <v>5.6</v>
      </c>
      <c r="K29" s="14">
        <v>5.6</v>
      </c>
      <c r="L29">
        <f t="shared" si="0"/>
        <v>8</v>
      </c>
    </row>
    <row r="30" spans="4:12">
      <c r="D30" s="11">
        <v>46178</v>
      </c>
      <c r="E30" s="12">
        <v>1609465</v>
      </c>
      <c r="F30" s="12" t="s">
        <v>20</v>
      </c>
      <c r="G30" s="13">
        <v>20316710</v>
      </c>
      <c r="H30" s="12" t="s">
        <v>33</v>
      </c>
      <c r="I30" s="13">
        <v>1</v>
      </c>
      <c r="J30" s="14">
        <v>5.6</v>
      </c>
      <c r="K30" s="14">
        <v>5.6</v>
      </c>
      <c r="L30">
        <f t="shared" si="0"/>
        <v>8</v>
      </c>
    </row>
    <row r="31" spans="4:12">
      <c r="D31" s="11">
        <v>46178</v>
      </c>
      <c r="E31" s="12">
        <v>1609465</v>
      </c>
      <c r="F31" s="12" t="s">
        <v>20</v>
      </c>
      <c r="G31" s="13">
        <v>20329902</v>
      </c>
      <c r="H31" s="12" t="s">
        <v>29</v>
      </c>
      <c r="I31" s="13">
        <v>1</v>
      </c>
      <c r="J31" s="14">
        <v>5.6</v>
      </c>
      <c r="K31" s="14">
        <v>5.6</v>
      </c>
      <c r="L31">
        <f t="shared" si="0"/>
        <v>8</v>
      </c>
    </row>
    <row r="32" spans="4:12">
      <c r="D32" s="11">
        <v>46178</v>
      </c>
      <c r="E32" s="12">
        <v>1609465</v>
      </c>
      <c r="F32" s="12" t="s">
        <v>20</v>
      </c>
      <c r="G32" s="13">
        <v>20316500</v>
      </c>
      <c r="H32" s="12" t="s">
        <v>34</v>
      </c>
      <c r="I32" s="13">
        <v>1</v>
      </c>
      <c r="J32" s="14">
        <v>7.7</v>
      </c>
      <c r="K32" s="14">
        <v>7.7</v>
      </c>
      <c r="L32">
        <f t="shared" si="0"/>
        <v>11</v>
      </c>
    </row>
    <row r="33" spans="4:12">
      <c r="D33" s="11">
        <v>46178</v>
      </c>
      <c r="E33" s="12">
        <v>1609465</v>
      </c>
      <c r="F33" s="12" t="s">
        <v>20</v>
      </c>
      <c r="G33" s="13">
        <v>20320659</v>
      </c>
      <c r="H33" s="12" t="s">
        <v>30</v>
      </c>
      <c r="I33" s="13">
        <v>2</v>
      </c>
      <c r="J33" s="14">
        <v>5.6</v>
      </c>
      <c r="K33" s="14">
        <v>11.2</v>
      </c>
      <c r="L33">
        <f t="shared" si="0"/>
        <v>8</v>
      </c>
    </row>
    <row r="34" spans="4:12">
      <c r="D34" s="11">
        <v>46178</v>
      </c>
      <c r="E34" s="12">
        <v>1609465</v>
      </c>
      <c r="F34" s="12" t="s">
        <v>20</v>
      </c>
      <c r="G34" s="13">
        <v>20316708</v>
      </c>
      <c r="H34" s="12" t="s">
        <v>35</v>
      </c>
      <c r="I34" s="13">
        <v>1</v>
      </c>
      <c r="J34" s="14">
        <v>5.6</v>
      </c>
      <c r="K34" s="14">
        <v>5.6</v>
      </c>
      <c r="L34">
        <f t="shared" si="0"/>
        <v>8</v>
      </c>
    </row>
    <row r="35" spans="4:12">
      <c r="D35" s="11">
        <v>46178</v>
      </c>
      <c r="E35" s="12">
        <v>1609465</v>
      </c>
      <c r="F35" s="12" t="s">
        <v>20</v>
      </c>
      <c r="G35" s="13">
        <v>20316819</v>
      </c>
      <c r="H35" s="12" t="s">
        <v>36</v>
      </c>
      <c r="I35" s="13">
        <v>1</v>
      </c>
      <c r="J35" s="14">
        <v>5.6</v>
      </c>
      <c r="K35" s="14">
        <v>5.6</v>
      </c>
      <c r="L35">
        <f t="shared" si="0"/>
        <v>8</v>
      </c>
    </row>
    <row r="36" spans="4:12">
      <c r="D36" s="11">
        <v>46178</v>
      </c>
      <c r="E36" s="12">
        <v>1609465</v>
      </c>
      <c r="F36" s="12" t="s">
        <v>20</v>
      </c>
      <c r="G36" s="13">
        <v>20316536</v>
      </c>
      <c r="H36" s="12" t="s">
        <v>31</v>
      </c>
      <c r="I36" s="13">
        <v>1</v>
      </c>
      <c r="J36" s="14">
        <v>5.6</v>
      </c>
      <c r="K36" s="14">
        <v>5.6</v>
      </c>
      <c r="L36">
        <f t="shared" si="0"/>
        <v>8</v>
      </c>
    </row>
    <row r="37" spans="4:12">
      <c r="D37" s="11">
        <v>46178</v>
      </c>
      <c r="E37" s="12">
        <v>1609465</v>
      </c>
      <c r="F37" s="12" t="s">
        <v>13</v>
      </c>
      <c r="G37" s="13">
        <v>20316495</v>
      </c>
      <c r="H37" s="12" t="s">
        <v>18</v>
      </c>
      <c r="I37" s="13">
        <v>1</v>
      </c>
      <c r="J37" s="14">
        <v>53.9</v>
      </c>
      <c r="K37" s="14">
        <v>53.9</v>
      </c>
      <c r="L37">
        <f t="shared" si="0"/>
        <v>77</v>
      </c>
    </row>
    <row r="38" spans="4:12">
      <c r="D38" s="11">
        <v>46179</v>
      </c>
      <c r="E38" s="12">
        <v>1609958</v>
      </c>
      <c r="F38" s="12" t="s">
        <v>20</v>
      </c>
      <c r="G38" s="13">
        <v>20316819</v>
      </c>
      <c r="H38" s="12" t="s">
        <v>36</v>
      </c>
      <c r="I38" s="13">
        <v>1</v>
      </c>
      <c r="J38" s="14">
        <v>5.6</v>
      </c>
      <c r="K38" s="14">
        <v>5.6</v>
      </c>
      <c r="L38">
        <f t="shared" si="0"/>
        <v>8</v>
      </c>
    </row>
    <row r="39" spans="4:12">
      <c r="D39" s="11">
        <v>46179</v>
      </c>
      <c r="E39" s="12">
        <v>1609958</v>
      </c>
      <c r="F39" s="12" t="s">
        <v>13</v>
      </c>
      <c r="G39" s="13">
        <v>20316494</v>
      </c>
      <c r="H39" s="12" t="s">
        <v>17</v>
      </c>
      <c r="I39" s="13">
        <v>1</v>
      </c>
      <c r="J39" s="14">
        <v>53.9</v>
      </c>
      <c r="K39" s="14">
        <v>53.9</v>
      </c>
      <c r="L39">
        <f t="shared" si="0"/>
        <v>77</v>
      </c>
    </row>
    <row r="40" spans="4:12">
      <c r="D40" s="11">
        <v>46179</v>
      </c>
      <c r="E40" s="12">
        <v>1609958</v>
      </c>
      <c r="F40" s="12" t="s">
        <v>13</v>
      </c>
      <c r="G40" s="13">
        <v>20316495</v>
      </c>
      <c r="H40" s="12" t="s">
        <v>18</v>
      </c>
      <c r="I40" s="13">
        <v>3</v>
      </c>
      <c r="J40" s="14">
        <v>53.9</v>
      </c>
      <c r="K40" s="14">
        <v>161.7</v>
      </c>
      <c r="L40">
        <f t="shared" si="0"/>
        <v>77</v>
      </c>
    </row>
    <row r="41" spans="4:12">
      <c r="D41" s="11">
        <v>46179</v>
      </c>
      <c r="E41" s="12">
        <v>1609958</v>
      </c>
      <c r="F41" s="12" t="s">
        <v>13</v>
      </c>
      <c r="G41" s="13">
        <v>20351726</v>
      </c>
      <c r="H41" s="12" t="s">
        <v>19</v>
      </c>
      <c r="I41" s="13">
        <v>1</v>
      </c>
      <c r="J41" s="14">
        <v>38.5</v>
      </c>
      <c r="K41" s="14">
        <v>38.5</v>
      </c>
      <c r="L41">
        <f t="shared" si="0"/>
        <v>55</v>
      </c>
    </row>
    <row r="42" spans="4:12">
      <c r="D42" s="11">
        <v>46182</v>
      </c>
      <c r="E42" s="12">
        <v>1610699</v>
      </c>
      <c r="F42" s="12" t="s">
        <v>20</v>
      </c>
      <c r="G42" s="13">
        <v>20318012</v>
      </c>
      <c r="H42" s="12" t="s">
        <v>23</v>
      </c>
      <c r="I42" s="13">
        <v>5</v>
      </c>
      <c r="J42" s="14">
        <v>7.7</v>
      </c>
      <c r="K42" s="14">
        <v>38.5</v>
      </c>
      <c r="L42">
        <f t="shared" ref="L42:L73" si="1">J42/0.7</f>
        <v>11</v>
      </c>
    </row>
    <row r="43" spans="4:12">
      <c r="D43" s="11">
        <v>46182</v>
      </c>
      <c r="E43" s="12">
        <v>1610699</v>
      </c>
      <c r="F43" s="12" t="s">
        <v>20</v>
      </c>
      <c r="G43" s="13">
        <v>20318011</v>
      </c>
      <c r="H43" s="12" t="s">
        <v>24</v>
      </c>
      <c r="I43" s="13">
        <v>4</v>
      </c>
      <c r="J43" s="14">
        <v>7.7</v>
      </c>
      <c r="K43" s="14">
        <v>30.8</v>
      </c>
      <c r="L43">
        <f t="shared" si="1"/>
        <v>11</v>
      </c>
    </row>
    <row r="44" spans="4:12">
      <c r="D44" s="11">
        <v>46182</v>
      </c>
      <c r="E44" s="12">
        <v>1610699</v>
      </c>
      <c r="F44" s="12" t="s">
        <v>20</v>
      </c>
      <c r="G44" s="13">
        <v>20316520</v>
      </c>
      <c r="H44" s="12" t="s">
        <v>25</v>
      </c>
      <c r="I44" s="13">
        <v>2</v>
      </c>
      <c r="J44" s="14">
        <v>5.6</v>
      </c>
      <c r="K44" s="14">
        <v>11.2</v>
      </c>
      <c r="L44">
        <f t="shared" si="1"/>
        <v>8</v>
      </c>
    </row>
    <row r="45" spans="4:12">
      <c r="D45" s="11">
        <v>46182</v>
      </c>
      <c r="E45" s="12">
        <v>1610699</v>
      </c>
      <c r="F45" s="12" t="s">
        <v>20</v>
      </c>
      <c r="G45" s="13">
        <v>20320558</v>
      </c>
      <c r="H45" s="12" t="s">
        <v>37</v>
      </c>
      <c r="I45" s="13">
        <v>1</v>
      </c>
      <c r="J45" s="14">
        <v>5.6</v>
      </c>
      <c r="K45" s="14">
        <v>5.6</v>
      </c>
      <c r="L45">
        <f t="shared" si="1"/>
        <v>8</v>
      </c>
    </row>
    <row r="46" spans="4:12">
      <c r="D46" s="11">
        <v>46182</v>
      </c>
      <c r="E46" s="12">
        <v>1610699</v>
      </c>
      <c r="F46" s="12" t="s">
        <v>20</v>
      </c>
      <c r="G46" s="13">
        <v>20316516</v>
      </c>
      <c r="H46" s="12" t="s">
        <v>38</v>
      </c>
      <c r="I46" s="13">
        <v>1</v>
      </c>
      <c r="J46" s="14">
        <v>5.6</v>
      </c>
      <c r="K46" s="14">
        <v>5.6</v>
      </c>
      <c r="L46">
        <f t="shared" si="1"/>
        <v>8</v>
      </c>
    </row>
    <row r="47" spans="4:12">
      <c r="D47" s="11">
        <v>46182</v>
      </c>
      <c r="E47" s="12">
        <v>1610699</v>
      </c>
      <c r="F47" s="12" t="s">
        <v>20</v>
      </c>
      <c r="G47" s="13">
        <v>20329902</v>
      </c>
      <c r="H47" s="12" t="s">
        <v>29</v>
      </c>
      <c r="I47" s="13">
        <v>4</v>
      </c>
      <c r="J47" s="14">
        <v>5.6</v>
      </c>
      <c r="K47" s="14">
        <v>22.4</v>
      </c>
      <c r="L47">
        <f t="shared" si="1"/>
        <v>8</v>
      </c>
    </row>
    <row r="48" spans="4:12">
      <c r="D48" s="11">
        <v>46182</v>
      </c>
      <c r="E48" s="12">
        <v>1610699</v>
      </c>
      <c r="F48" s="12" t="s">
        <v>20</v>
      </c>
      <c r="G48" s="13">
        <v>20320659</v>
      </c>
      <c r="H48" s="12" t="s">
        <v>30</v>
      </c>
      <c r="I48" s="13">
        <v>5</v>
      </c>
      <c r="J48" s="14">
        <v>5.6</v>
      </c>
      <c r="K48" s="14">
        <v>28</v>
      </c>
      <c r="L48">
        <f t="shared" si="1"/>
        <v>8</v>
      </c>
    </row>
    <row r="49" spans="4:12">
      <c r="D49" s="11">
        <v>46182</v>
      </c>
      <c r="E49" s="12">
        <v>1610699</v>
      </c>
      <c r="F49" s="12" t="s">
        <v>20</v>
      </c>
      <c r="G49" s="13">
        <v>20316819</v>
      </c>
      <c r="H49" s="12" t="s">
        <v>36</v>
      </c>
      <c r="I49" s="13">
        <v>1</v>
      </c>
      <c r="J49" s="14">
        <v>5.6</v>
      </c>
      <c r="K49" s="14">
        <v>5.6</v>
      </c>
      <c r="L49">
        <f t="shared" si="1"/>
        <v>8</v>
      </c>
    </row>
    <row r="50" spans="4:12">
      <c r="D50" s="11">
        <v>46182</v>
      </c>
      <c r="E50" s="12">
        <v>1610699</v>
      </c>
      <c r="F50" s="12" t="s">
        <v>20</v>
      </c>
      <c r="G50" s="13">
        <v>20316536</v>
      </c>
      <c r="H50" s="12" t="s">
        <v>31</v>
      </c>
      <c r="I50" s="13">
        <v>2</v>
      </c>
      <c r="J50" s="14">
        <v>5.6</v>
      </c>
      <c r="K50" s="14">
        <v>11.2</v>
      </c>
      <c r="L50">
        <f t="shared" si="1"/>
        <v>8</v>
      </c>
    </row>
    <row r="51" spans="4:12">
      <c r="D51" s="11">
        <v>46182</v>
      </c>
      <c r="E51" s="12">
        <v>1610699</v>
      </c>
      <c r="F51" s="12" t="s">
        <v>13</v>
      </c>
      <c r="G51" s="13">
        <v>20316494</v>
      </c>
      <c r="H51" s="12" t="s">
        <v>17</v>
      </c>
      <c r="I51" s="13">
        <v>1</v>
      </c>
      <c r="J51" s="14">
        <v>53.9</v>
      </c>
      <c r="K51" s="14">
        <v>53.9</v>
      </c>
      <c r="L51">
        <f t="shared" si="1"/>
        <v>77</v>
      </c>
    </row>
    <row r="52" spans="4:12">
      <c r="D52" s="11">
        <v>46184</v>
      </c>
      <c r="E52" s="12">
        <v>1611455</v>
      </c>
      <c r="F52" s="12" t="s">
        <v>20</v>
      </c>
      <c r="G52" s="13">
        <v>20316709</v>
      </c>
      <c r="H52" s="12" t="s">
        <v>22</v>
      </c>
      <c r="I52" s="13">
        <v>1</v>
      </c>
      <c r="J52" s="14">
        <v>5.6</v>
      </c>
      <c r="K52" s="14">
        <v>5.6</v>
      </c>
      <c r="L52">
        <f t="shared" si="1"/>
        <v>8</v>
      </c>
    </row>
    <row r="53" spans="4:12">
      <c r="D53" s="11">
        <v>46184</v>
      </c>
      <c r="E53" s="12">
        <v>1611455</v>
      </c>
      <c r="F53" s="12" t="s">
        <v>20</v>
      </c>
      <c r="G53" s="13">
        <v>20318012</v>
      </c>
      <c r="H53" s="12" t="s">
        <v>23</v>
      </c>
      <c r="I53" s="13">
        <v>5</v>
      </c>
      <c r="J53" s="14">
        <v>7.7</v>
      </c>
      <c r="K53" s="14">
        <v>38.5</v>
      </c>
      <c r="L53">
        <f t="shared" si="1"/>
        <v>11</v>
      </c>
    </row>
    <row r="54" spans="4:12">
      <c r="D54" s="11">
        <v>46184</v>
      </c>
      <c r="E54" s="12">
        <v>1611455</v>
      </c>
      <c r="F54" s="12" t="s">
        <v>20</v>
      </c>
      <c r="G54" s="13">
        <v>20316532</v>
      </c>
      <c r="H54" s="12" t="s">
        <v>39</v>
      </c>
      <c r="I54" s="13">
        <v>4</v>
      </c>
      <c r="J54" s="14">
        <v>5.6</v>
      </c>
      <c r="K54" s="14">
        <v>22.4</v>
      </c>
      <c r="L54">
        <f t="shared" si="1"/>
        <v>8</v>
      </c>
    </row>
    <row r="55" spans="4:12">
      <c r="D55" s="11">
        <v>46184</v>
      </c>
      <c r="E55" s="12">
        <v>1611455</v>
      </c>
      <c r="F55" s="12" t="s">
        <v>20</v>
      </c>
      <c r="G55" s="13">
        <v>20318011</v>
      </c>
      <c r="H55" s="12" t="s">
        <v>24</v>
      </c>
      <c r="I55" s="13">
        <v>6</v>
      </c>
      <c r="J55" s="14">
        <v>7.7</v>
      </c>
      <c r="K55" s="14">
        <v>46.2</v>
      </c>
      <c r="L55">
        <f t="shared" si="1"/>
        <v>11</v>
      </c>
    </row>
    <row r="56" spans="4:12">
      <c r="D56" s="11">
        <v>46184</v>
      </c>
      <c r="E56" s="12">
        <v>1611455</v>
      </c>
      <c r="F56" s="12" t="s">
        <v>20</v>
      </c>
      <c r="G56" s="13">
        <v>20316520</v>
      </c>
      <c r="H56" s="12" t="s">
        <v>25</v>
      </c>
      <c r="I56" s="13">
        <v>2</v>
      </c>
      <c r="J56" s="14">
        <v>5.6</v>
      </c>
      <c r="K56" s="14">
        <v>11.2</v>
      </c>
      <c r="L56">
        <f t="shared" si="1"/>
        <v>8</v>
      </c>
    </row>
    <row r="57" spans="4:12">
      <c r="D57" s="11">
        <v>46184</v>
      </c>
      <c r="E57" s="12">
        <v>1611455</v>
      </c>
      <c r="F57" s="12" t="s">
        <v>20</v>
      </c>
      <c r="G57" s="13">
        <v>20320558</v>
      </c>
      <c r="H57" s="12" t="s">
        <v>37</v>
      </c>
      <c r="I57" s="13">
        <v>3</v>
      </c>
      <c r="J57" s="14">
        <v>5.6</v>
      </c>
      <c r="K57" s="14">
        <v>16.8</v>
      </c>
      <c r="L57">
        <f t="shared" si="1"/>
        <v>8</v>
      </c>
    </row>
    <row r="58" spans="4:12">
      <c r="D58" s="11">
        <v>46184</v>
      </c>
      <c r="E58" s="12">
        <v>1611455</v>
      </c>
      <c r="F58" s="12" t="s">
        <v>20</v>
      </c>
      <c r="G58" s="13">
        <v>20316710</v>
      </c>
      <c r="H58" s="12" t="s">
        <v>33</v>
      </c>
      <c r="I58" s="13">
        <v>1</v>
      </c>
      <c r="J58" s="14">
        <v>5.6</v>
      </c>
      <c r="K58" s="14">
        <v>5.6</v>
      </c>
      <c r="L58">
        <f t="shared" si="1"/>
        <v>8</v>
      </c>
    </row>
    <row r="59" spans="4:12">
      <c r="D59" s="11">
        <v>46184</v>
      </c>
      <c r="E59" s="12">
        <v>1611455</v>
      </c>
      <c r="F59" s="12" t="s">
        <v>20</v>
      </c>
      <c r="G59" s="13">
        <v>20329902</v>
      </c>
      <c r="H59" s="12" t="s">
        <v>29</v>
      </c>
      <c r="I59" s="13">
        <v>4</v>
      </c>
      <c r="J59" s="14">
        <v>5.6</v>
      </c>
      <c r="K59" s="14">
        <v>22.4</v>
      </c>
      <c r="L59">
        <f t="shared" si="1"/>
        <v>8</v>
      </c>
    </row>
    <row r="60" spans="4:12">
      <c r="D60" s="11">
        <v>46184</v>
      </c>
      <c r="E60" s="12">
        <v>1611455</v>
      </c>
      <c r="F60" s="12" t="s">
        <v>20</v>
      </c>
      <c r="G60" s="13">
        <v>20316903</v>
      </c>
      <c r="H60" s="12" t="s">
        <v>40</v>
      </c>
      <c r="I60" s="13">
        <v>1</v>
      </c>
      <c r="J60" s="14">
        <v>5.6</v>
      </c>
      <c r="K60" s="14">
        <v>5.6</v>
      </c>
      <c r="L60">
        <f t="shared" si="1"/>
        <v>8</v>
      </c>
    </row>
    <row r="61" spans="4:12">
      <c r="D61" s="11">
        <v>46184</v>
      </c>
      <c r="E61" s="12">
        <v>1611455</v>
      </c>
      <c r="F61" s="12" t="s">
        <v>20</v>
      </c>
      <c r="G61" s="13">
        <v>20320659</v>
      </c>
      <c r="H61" s="12" t="s">
        <v>30</v>
      </c>
      <c r="I61" s="13">
        <v>5</v>
      </c>
      <c r="J61" s="14">
        <v>5.6</v>
      </c>
      <c r="K61" s="14">
        <v>28</v>
      </c>
      <c r="L61">
        <f t="shared" si="1"/>
        <v>8</v>
      </c>
    </row>
    <row r="62" spans="4:12">
      <c r="D62" s="11">
        <v>46184</v>
      </c>
      <c r="E62" s="12">
        <v>1611455</v>
      </c>
      <c r="F62" s="12" t="s">
        <v>20</v>
      </c>
      <c r="G62" s="13">
        <v>20316536</v>
      </c>
      <c r="H62" s="12" t="s">
        <v>31</v>
      </c>
      <c r="I62" s="13">
        <v>2</v>
      </c>
      <c r="J62" s="14">
        <v>5.6</v>
      </c>
      <c r="K62" s="14">
        <v>11.2</v>
      </c>
      <c r="L62">
        <f t="shared" si="1"/>
        <v>8</v>
      </c>
    </row>
    <row r="63" spans="4:12">
      <c r="D63" s="11">
        <v>46184</v>
      </c>
      <c r="E63" s="12">
        <v>1611455</v>
      </c>
      <c r="F63" s="12" t="s">
        <v>13</v>
      </c>
      <c r="G63" s="13">
        <v>20316495</v>
      </c>
      <c r="H63" s="12" t="s">
        <v>18</v>
      </c>
      <c r="I63" s="13">
        <v>1</v>
      </c>
      <c r="J63" s="14">
        <v>53.9</v>
      </c>
      <c r="K63" s="14">
        <v>53.9</v>
      </c>
      <c r="L63">
        <f t="shared" si="1"/>
        <v>77</v>
      </c>
    </row>
    <row r="64" spans="4:12">
      <c r="D64" s="11">
        <v>46184</v>
      </c>
      <c r="E64" s="12">
        <v>1611455</v>
      </c>
      <c r="F64" s="12" t="s">
        <v>13</v>
      </c>
      <c r="G64" s="13">
        <v>20351726</v>
      </c>
      <c r="H64" s="12" t="s">
        <v>19</v>
      </c>
      <c r="I64" s="13">
        <v>2</v>
      </c>
      <c r="J64" s="14">
        <v>38.5</v>
      </c>
      <c r="K64" s="14">
        <v>77</v>
      </c>
      <c r="L64">
        <f t="shared" si="1"/>
        <v>55</v>
      </c>
    </row>
    <row r="65" spans="4:12">
      <c r="D65" s="11">
        <v>46186</v>
      </c>
      <c r="E65" s="12">
        <v>1612005</v>
      </c>
      <c r="F65" s="12" t="s">
        <v>20</v>
      </c>
      <c r="G65" s="13">
        <v>20318012</v>
      </c>
      <c r="H65" s="12" t="s">
        <v>23</v>
      </c>
      <c r="I65" s="13">
        <v>4</v>
      </c>
      <c r="J65" s="14">
        <v>7.7</v>
      </c>
      <c r="K65" s="14">
        <v>30.8</v>
      </c>
      <c r="L65">
        <f t="shared" si="1"/>
        <v>11</v>
      </c>
    </row>
    <row r="66" spans="4:12">
      <c r="D66" s="11">
        <v>46186</v>
      </c>
      <c r="E66" s="12">
        <v>1612005</v>
      </c>
      <c r="F66" s="12" t="s">
        <v>20</v>
      </c>
      <c r="G66" s="13">
        <v>20318011</v>
      </c>
      <c r="H66" s="12" t="s">
        <v>24</v>
      </c>
      <c r="I66" s="13">
        <v>4</v>
      </c>
      <c r="J66" s="14">
        <v>7.7</v>
      </c>
      <c r="K66" s="14">
        <v>30.8</v>
      </c>
      <c r="L66">
        <f t="shared" si="1"/>
        <v>11</v>
      </c>
    </row>
    <row r="67" spans="4:12">
      <c r="D67" s="11">
        <v>46186</v>
      </c>
      <c r="E67" s="12">
        <v>1612005</v>
      </c>
      <c r="F67" s="12" t="s">
        <v>20</v>
      </c>
      <c r="G67" s="13">
        <v>20316520</v>
      </c>
      <c r="H67" s="12" t="s">
        <v>25</v>
      </c>
      <c r="I67" s="13">
        <v>2</v>
      </c>
      <c r="J67" s="14">
        <v>5.6</v>
      </c>
      <c r="K67" s="14">
        <v>11.2</v>
      </c>
      <c r="L67">
        <f t="shared" si="1"/>
        <v>8</v>
      </c>
    </row>
    <row r="68" spans="4:12">
      <c r="D68" s="11">
        <v>46186</v>
      </c>
      <c r="E68" s="12">
        <v>1612005</v>
      </c>
      <c r="F68" s="12" t="s">
        <v>20</v>
      </c>
      <c r="G68" s="13">
        <v>20332509</v>
      </c>
      <c r="H68" s="12" t="s">
        <v>32</v>
      </c>
      <c r="I68" s="13">
        <v>2</v>
      </c>
      <c r="J68" s="14">
        <v>5.6</v>
      </c>
      <c r="K68" s="14">
        <v>11.2</v>
      </c>
      <c r="L68">
        <f t="shared" si="1"/>
        <v>8</v>
      </c>
    </row>
    <row r="69" spans="4:12">
      <c r="D69" s="11">
        <v>46186</v>
      </c>
      <c r="E69" s="12">
        <v>1612005</v>
      </c>
      <c r="F69" s="12" t="s">
        <v>20</v>
      </c>
      <c r="G69" s="13">
        <v>20320558</v>
      </c>
      <c r="H69" s="12" t="s">
        <v>37</v>
      </c>
      <c r="I69" s="13">
        <v>3</v>
      </c>
      <c r="J69" s="14">
        <v>5.6</v>
      </c>
      <c r="K69" s="14">
        <v>16.8</v>
      </c>
      <c r="L69">
        <f t="shared" si="1"/>
        <v>8</v>
      </c>
    </row>
    <row r="70" spans="4:12">
      <c r="D70" s="11">
        <v>46186</v>
      </c>
      <c r="E70" s="12">
        <v>1612005</v>
      </c>
      <c r="F70" s="12" t="s">
        <v>20</v>
      </c>
      <c r="G70" s="13">
        <v>20316516</v>
      </c>
      <c r="H70" s="12" t="s">
        <v>38</v>
      </c>
      <c r="I70" s="13">
        <v>1</v>
      </c>
      <c r="J70" s="14">
        <v>5.6</v>
      </c>
      <c r="K70" s="14">
        <v>5.6</v>
      </c>
      <c r="L70">
        <f t="shared" si="1"/>
        <v>8</v>
      </c>
    </row>
    <row r="71" spans="4:12">
      <c r="D71" s="11">
        <v>46186</v>
      </c>
      <c r="E71" s="12">
        <v>1612005</v>
      </c>
      <c r="F71" s="12" t="s">
        <v>20</v>
      </c>
      <c r="G71" s="13">
        <v>20329902</v>
      </c>
      <c r="H71" s="12" t="s">
        <v>29</v>
      </c>
      <c r="I71" s="13">
        <v>4</v>
      </c>
      <c r="J71" s="14">
        <v>5.6</v>
      </c>
      <c r="K71" s="14">
        <v>22.4</v>
      </c>
      <c r="L71">
        <f t="shared" si="1"/>
        <v>8</v>
      </c>
    </row>
    <row r="72" spans="4:12">
      <c r="D72" s="11">
        <v>46186</v>
      </c>
      <c r="E72" s="12">
        <v>1612005</v>
      </c>
      <c r="F72" s="12" t="s">
        <v>20</v>
      </c>
      <c r="G72" s="13">
        <v>20316500</v>
      </c>
      <c r="H72" s="12" t="s">
        <v>34</v>
      </c>
      <c r="I72" s="13">
        <v>1</v>
      </c>
      <c r="J72" s="14">
        <v>7.7</v>
      </c>
      <c r="K72" s="14">
        <v>7.7</v>
      </c>
      <c r="L72">
        <f t="shared" si="1"/>
        <v>11</v>
      </c>
    </row>
    <row r="73" spans="4:12">
      <c r="D73" s="11">
        <v>46186</v>
      </c>
      <c r="E73" s="12">
        <v>1612005</v>
      </c>
      <c r="F73" s="12" t="s">
        <v>20</v>
      </c>
      <c r="G73" s="13">
        <v>20320659</v>
      </c>
      <c r="H73" s="12" t="s">
        <v>30</v>
      </c>
      <c r="I73" s="13">
        <v>4</v>
      </c>
      <c r="J73" s="14">
        <v>5.6</v>
      </c>
      <c r="K73" s="14">
        <v>22.4</v>
      </c>
      <c r="L73">
        <f t="shared" si="1"/>
        <v>8</v>
      </c>
    </row>
    <row r="74" spans="4:12">
      <c r="D74" s="11">
        <v>46186</v>
      </c>
      <c r="E74" s="12">
        <v>1612005</v>
      </c>
      <c r="F74" s="12" t="s">
        <v>20</v>
      </c>
      <c r="G74" s="13">
        <v>20316536</v>
      </c>
      <c r="H74" s="12" t="s">
        <v>31</v>
      </c>
      <c r="I74" s="13">
        <v>2</v>
      </c>
      <c r="J74" s="14">
        <v>5.6</v>
      </c>
      <c r="K74" s="14">
        <v>11.2</v>
      </c>
      <c r="L74">
        <f t="shared" ref="L74:L105" si="2">J74/0.7</f>
        <v>8</v>
      </c>
    </row>
    <row r="75" spans="4:12">
      <c r="D75" s="11">
        <v>46189</v>
      </c>
      <c r="E75" s="12">
        <v>1612657</v>
      </c>
      <c r="F75" s="12" t="s">
        <v>20</v>
      </c>
      <c r="G75" s="13">
        <v>20318012</v>
      </c>
      <c r="H75" s="12" t="s">
        <v>23</v>
      </c>
      <c r="I75" s="13">
        <v>6</v>
      </c>
      <c r="J75" s="14">
        <v>7.7</v>
      </c>
      <c r="K75" s="14">
        <v>46.2</v>
      </c>
      <c r="L75">
        <f t="shared" si="2"/>
        <v>11</v>
      </c>
    </row>
    <row r="76" spans="4:12">
      <c r="D76" s="11">
        <v>46189</v>
      </c>
      <c r="E76" s="12">
        <v>1612657</v>
      </c>
      <c r="F76" s="12" t="s">
        <v>20</v>
      </c>
      <c r="G76" s="13">
        <v>20316532</v>
      </c>
      <c r="H76" s="12" t="s">
        <v>39</v>
      </c>
      <c r="I76" s="13">
        <v>1</v>
      </c>
      <c r="J76" s="14">
        <v>5.6</v>
      </c>
      <c r="K76" s="14">
        <v>5.6</v>
      </c>
      <c r="L76">
        <f t="shared" si="2"/>
        <v>8</v>
      </c>
    </row>
    <row r="77" spans="4:12">
      <c r="D77" s="11">
        <v>46189</v>
      </c>
      <c r="E77" s="12">
        <v>1612657</v>
      </c>
      <c r="F77" s="12" t="s">
        <v>20</v>
      </c>
      <c r="G77" s="13">
        <v>20318011</v>
      </c>
      <c r="H77" s="12" t="s">
        <v>24</v>
      </c>
      <c r="I77" s="13">
        <v>6</v>
      </c>
      <c r="J77" s="14">
        <v>7.7</v>
      </c>
      <c r="K77" s="14">
        <v>46.2</v>
      </c>
      <c r="L77">
        <f t="shared" si="2"/>
        <v>11</v>
      </c>
    </row>
    <row r="78" spans="4:12">
      <c r="D78" s="11">
        <v>46189</v>
      </c>
      <c r="E78" s="12">
        <v>1612657</v>
      </c>
      <c r="F78" s="12" t="s">
        <v>20</v>
      </c>
      <c r="G78" s="13">
        <v>20316520</v>
      </c>
      <c r="H78" s="12" t="s">
        <v>25</v>
      </c>
      <c r="I78" s="13">
        <v>2</v>
      </c>
      <c r="J78" s="14">
        <v>5.6</v>
      </c>
      <c r="K78" s="14">
        <v>11.2</v>
      </c>
      <c r="L78">
        <f t="shared" si="2"/>
        <v>8</v>
      </c>
    </row>
    <row r="79" spans="4:12">
      <c r="D79" s="11">
        <v>46189</v>
      </c>
      <c r="E79" s="12">
        <v>1612657</v>
      </c>
      <c r="F79" s="12" t="s">
        <v>20</v>
      </c>
      <c r="G79" s="13">
        <v>20316522</v>
      </c>
      <c r="H79" s="12" t="s">
        <v>41</v>
      </c>
      <c r="I79" s="13">
        <v>1</v>
      </c>
      <c r="J79" s="14">
        <v>5.6</v>
      </c>
      <c r="K79" s="14">
        <v>5.6</v>
      </c>
      <c r="L79">
        <f t="shared" si="2"/>
        <v>8</v>
      </c>
    </row>
    <row r="80" spans="4:12">
      <c r="D80" s="11">
        <v>46189</v>
      </c>
      <c r="E80" s="12">
        <v>1612657</v>
      </c>
      <c r="F80" s="12" t="s">
        <v>20</v>
      </c>
      <c r="G80" s="13">
        <v>20320558</v>
      </c>
      <c r="H80" s="12" t="s">
        <v>37</v>
      </c>
      <c r="I80" s="13">
        <v>5</v>
      </c>
      <c r="J80" s="14">
        <v>5.6</v>
      </c>
      <c r="K80" s="14">
        <v>28</v>
      </c>
      <c r="L80">
        <f t="shared" si="2"/>
        <v>8</v>
      </c>
    </row>
    <row r="81" spans="4:12">
      <c r="D81" s="11">
        <v>46189</v>
      </c>
      <c r="E81" s="12">
        <v>1612657</v>
      </c>
      <c r="F81" s="12" t="s">
        <v>20</v>
      </c>
      <c r="G81" s="13">
        <v>20329902</v>
      </c>
      <c r="H81" s="12" t="s">
        <v>29</v>
      </c>
      <c r="I81" s="13">
        <v>1</v>
      </c>
      <c r="J81" s="14">
        <v>5.6</v>
      </c>
      <c r="K81" s="14">
        <v>5.6</v>
      </c>
      <c r="L81">
        <f t="shared" si="2"/>
        <v>8</v>
      </c>
    </row>
    <row r="82" spans="4:12">
      <c r="D82" s="11">
        <v>46189</v>
      </c>
      <c r="E82" s="12">
        <v>1612657</v>
      </c>
      <c r="F82" s="12" t="s">
        <v>20</v>
      </c>
      <c r="G82" s="13">
        <v>20316903</v>
      </c>
      <c r="H82" s="12" t="s">
        <v>40</v>
      </c>
      <c r="I82" s="13">
        <v>1</v>
      </c>
      <c r="J82" s="14">
        <v>5.6</v>
      </c>
      <c r="K82" s="14">
        <v>5.6</v>
      </c>
      <c r="L82">
        <f t="shared" si="2"/>
        <v>8</v>
      </c>
    </row>
    <row r="83" spans="4:12">
      <c r="D83" s="11">
        <v>46189</v>
      </c>
      <c r="E83" s="12">
        <v>1612657</v>
      </c>
      <c r="F83" s="12" t="s">
        <v>20</v>
      </c>
      <c r="G83" s="13">
        <v>20320659</v>
      </c>
      <c r="H83" s="12" t="s">
        <v>30</v>
      </c>
      <c r="I83" s="13">
        <v>6</v>
      </c>
      <c r="J83" s="14">
        <v>5.6</v>
      </c>
      <c r="K83" s="14">
        <v>33.6</v>
      </c>
      <c r="L83">
        <f t="shared" si="2"/>
        <v>8</v>
      </c>
    </row>
    <row r="84" spans="4:12">
      <c r="D84" s="11">
        <v>46189</v>
      </c>
      <c r="E84" s="12">
        <v>1612657</v>
      </c>
      <c r="F84" s="12" t="s">
        <v>20</v>
      </c>
      <c r="G84" s="13">
        <v>20316536</v>
      </c>
      <c r="H84" s="12" t="s">
        <v>31</v>
      </c>
      <c r="I84" s="13">
        <v>5</v>
      </c>
      <c r="J84" s="14">
        <v>5.6</v>
      </c>
      <c r="K84" s="14">
        <v>28</v>
      </c>
      <c r="L84">
        <f t="shared" si="2"/>
        <v>8</v>
      </c>
    </row>
    <row r="85" spans="4:12">
      <c r="D85" s="11">
        <v>46189</v>
      </c>
      <c r="E85" s="12">
        <v>1612657</v>
      </c>
      <c r="F85" s="12" t="s">
        <v>13</v>
      </c>
      <c r="G85" s="13">
        <v>20316495</v>
      </c>
      <c r="H85" s="12" t="s">
        <v>18</v>
      </c>
      <c r="I85" s="13">
        <v>3</v>
      </c>
      <c r="J85" s="14">
        <v>53.9</v>
      </c>
      <c r="K85" s="14">
        <v>161.7</v>
      </c>
      <c r="L85">
        <f t="shared" si="2"/>
        <v>77</v>
      </c>
    </row>
    <row r="86" spans="4:12">
      <c r="D86" s="11">
        <v>46189</v>
      </c>
      <c r="E86" s="12">
        <v>1612657</v>
      </c>
      <c r="F86" s="12" t="s">
        <v>13</v>
      </c>
      <c r="G86" s="13">
        <v>20351726</v>
      </c>
      <c r="H86" s="12" t="s">
        <v>19</v>
      </c>
      <c r="I86" s="13">
        <v>1</v>
      </c>
      <c r="J86" s="14">
        <v>38.5</v>
      </c>
      <c r="K86" s="14">
        <v>38.5</v>
      </c>
      <c r="L86">
        <f t="shared" si="2"/>
        <v>55</v>
      </c>
    </row>
    <row r="87" spans="4:12">
      <c r="D87" s="11">
        <v>46189</v>
      </c>
      <c r="E87" s="12">
        <v>1612657</v>
      </c>
      <c r="F87" s="12" t="s">
        <v>42</v>
      </c>
      <c r="G87" s="13">
        <v>20316645</v>
      </c>
      <c r="H87" s="12" t="s">
        <v>43</v>
      </c>
      <c r="I87" s="13">
        <v>1</v>
      </c>
      <c r="J87" s="14">
        <v>15.4</v>
      </c>
      <c r="K87" s="14">
        <v>15.4</v>
      </c>
      <c r="L87">
        <f t="shared" si="2"/>
        <v>22</v>
      </c>
    </row>
    <row r="88" spans="4:12">
      <c r="D88" s="11">
        <v>46189</v>
      </c>
      <c r="E88" s="12">
        <v>1612693</v>
      </c>
      <c r="F88" s="12" t="s">
        <v>20</v>
      </c>
      <c r="G88" s="13">
        <v>20329902</v>
      </c>
      <c r="H88" s="12" t="s">
        <v>29</v>
      </c>
      <c r="I88" s="13">
        <v>5</v>
      </c>
      <c r="J88" s="14">
        <v>5.6</v>
      </c>
      <c r="K88" s="14">
        <v>28</v>
      </c>
      <c r="L88">
        <f t="shared" si="2"/>
        <v>8</v>
      </c>
    </row>
    <row r="89" spans="4:12">
      <c r="D89" s="11">
        <v>46191</v>
      </c>
      <c r="E89" s="12">
        <v>1613433</v>
      </c>
      <c r="F89" s="12" t="s">
        <v>20</v>
      </c>
      <c r="G89" s="13">
        <v>20316820</v>
      </c>
      <c r="H89" s="12" t="s">
        <v>21</v>
      </c>
      <c r="I89" s="13">
        <v>1</v>
      </c>
      <c r="J89" s="14">
        <v>5.6</v>
      </c>
      <c r="K89" s="14">
        <v>5.6</v>
      </c>
      <c r="L89">
        <f t="shared" si="2"/>
        <v>8</v>
      </c>
    </row>
    <row r="90" spans="4:12">
      <c r="D90" s="11">
        <v>46191</v>
      </c>
      <c r="E90" s="12">
        <v>1613433</v>
      </c>
      <c r="F90" s="12" t="s">
        <v>20</v>
      </c>
      <c r="G90" s="13">
        <v>20316709</v>
      </c>
      <c r="H90" s="12" t="s">
        <v>22</v>
      </c>
      <c r="I90" s="13">
        <v>1</v>
      </c>
      <c r="J90" s="14">
        <v>5.6</v>
      </c>
      <c r="K90" s="14">
        <v>5.6</v>
      </c>
      <c r="L90">
        <f t="shared" si="2"/>
        <v>8</v>
      </c>
    </row>
    <row r="91" spans="4:12">
      <c r="D91" s="11">
        <v>46191</v>
      </c>
      <c r="E91" s="12">
        <v>1613433</v>
      </c>
      <c r="F91" s="12" t="s">
        <v>20</v>
      </c>
      <c r="G91" s="13">
        <v>20318012</v>
      </c>
      <c r="H91" s="12" t="s">
        <v>23</v>
      </c>
      <c r="I91" s="13">
        <v>2</v>
      </c>
      <c r="J91" s="14">
        <v>7.7</v>
      </c>
      <c r="K91" s="14">
        <v>15.4</v>
      </c>
      <c r="L91">
        <f t="shared" si="2"/>
        <v>11</v>
      </c>
    </row>
    <row r="92" spans="4:12">
      <c r="D92" s="11">
        <v>46191</v>
      </c>
      <c r="E92" s="12">
        <v>1613433</v>
      </c>
      <c r="F92" s="12" t="s">
        <v>20</v>
      </c>
      <c r="G92" s="13">
        <v>20316532</v>
      </c>
      <c r="H92" s="12" t="s">
        <v>39</v>
      </c>
      <c r="I92" s="13">
        <v>1</v>
      </c>
      <c r="J92" s="14">
        <v>5.6</v>
      </c>
      <c r="K92" s="14">
        <v>5.6</v>
      </c>
      <c r="L92">
        <f t="shared" si="2"/>
        <v>8</v>
      </c>
    </row>
    <row r="93" spans="4:12">
      <c r="D93" s="11">
        <v>46191</v>
      </c>
      <c r="E93" s="12">
        <v>1613433</v>
      </c>
      <c r="F93" s="12" t="s">
        <v>20</v>
      </c>
      <c r="G93" s="13">
        <v>20316520</v>
      </c>
      <c r="H93" s="12" t="s">
        <v>25</v>
      </c>
      <c r="I93" s="13">
        <v>1</v>
      </c>
      <c r="J93" s="14">
        <v>5.6</v>
      </c>
      <c r="K93" s="14">
        <v>5.6</v>
      </c>
      <c r="L93">
        <f t="shared" si="2"/>
        <v>8</v>
      </c>
    </row>
    <row r="94" spans="4:12">
      <c r="D94" s="11">
        <v>46191</v>
      </c>
      <c r="E94" s="12">
        <v>1613433</v>
      </c>
      <c r="F94" s="12" t="s">
        <v>20</v>
      </c>
      <c r="G94" s="13">
        <v>20316507</v>
      </c>
      <c r="H94" s="12" t="s">
        <v>44</v>
      </c>
      <c r="I94" s="13">
        <v>1</v>
      </c>
      <c r="J94" s="14">
        <v>5.6</v>
      </c>
      <c r="K94" s="14">
        <v>5.6</v>
      </c>
      <c r="L94">
        <f t="shared" si="2"/>
        <v>8</v>
      </c>
    </row>
    <row r="95" spans="4:12">
      <c r="D95" s="11">
        <v>46191</v>
      </c>
      <c r="E95" s="12">
        <v>1613433</v>
      </c>
      <c r="F95" s="12" t="s">
        <v>20</v>
      </c>
      <c r="G95" s="13">
        <v>20316506</v>
      </c>
      <c r="H95" s="12" t="s">
        <v>27</v>
      </c>
      <c r="I95" s="13">
        <v>1</v>
      </c>
      <c r="J95" s="14">
        <v>5.6</v>
      </c>
      <c r="K95" s="14">
        <v>5.6</v>
      </c>
      <c r="L95">
        <f t="shared" si="2"/>
        <v>8</v>
      </c>
    </row>
    <row r="96" spans="4:12">
      <c r="D96" s="11">
        <v>46191</v>
      </c>
      <c r="E96" s="12">
        <v>1613433</v>
      </c>
      <c r="F96" s="12" t="s">
        <v>20</v>
      </c>
      <c r="G96" s="13">
        <v>20316500</v>
      </c>
      <c r="H96" s="12" t="s">
        <v>34</v>
      </c>
      <c r="I96" s="13">
        <v>1</v>
      </c>
      <c r="J96" s="14">
        <v>7.7</v>
      </c>
      <c r="K96" s="14">
        <v>7.7</v>
      </c>
      <c r="L96">
        <f t="shared" si="2"/>
        <v>11</v>
      </c>
    </row>
    <row r="97" spans="4:12">
      <c r="D97" s="11">
        <v>46191</v>
      </c>
      <c r="E97" s="12">
        <v>1613433</v>
      </c>
      <c r="F97" s="12" t="s">
        <v>20</v>
      </c>
      <c r="G97" s="13">
        <v>20316536</v>
      </c>
      <c r="H97" s="12" t="s">
        <v>31</v>
      </c>
      <c r="I97" s="13">
        <v>4</v>
      </c>
      <c r="J97" s="14">
        <v>5.6</v>
      </c>
      <c r="K97" s="14">
        <v>22.4</v>
      </c>
      <c r="L97">
        <f t="shared" si="2"/>
        <v>8</v>
      </c>
    </row>
    <row r="98" spans="4:12">
      <c r="D98" s="11">
        <v>46191</v>
      </c>
      <c r="E98" s="12">
        <v>1613433</v>
      </c>
      <c r="F98" s="12" t="s">
        <v>13</v>
      </c>
      <c r="G98" s="13">
        <v>20316494</v>
      </c>
      <c r="H98" s="12" t="s">
        <v>17</v>
      </c>
      <c r="I98" s="13">
        <v>1</v>
      </c>
      <c r="J98" s="14">
        <v>53.9</v>
      </c>
      <c r="K98" s="14">
        <v>53.9</v>
      </c>
      <c r="L98">
        <f t="shared" si="2"/>
        <v>77</v>
      </c>
    </row>
    <row r="99" spans="4:12">
      <c r="D99" s="11">
        <v>46191</v>
      </c>
      <c r="E99" s="12">
        <v>1613433</v>
      </c>
      <c r="F99" s="12" t="s">
        <v>13</v>
      </c>
      <c r="G99" s="13">
        <v>20316495</v>
      </c>
      <c r="H99" s="12" t="s">
        <v>18</v>
      </c>
      <c r="I99" s="13">
        <v>2</v>
      </c>
      <c r="J99" s="14">
        <v>53.9</v>
      </c>
      <c r="K99" s="14">
        <v>107.8</v>
      </c>
      <c r="L99">
        <f t="shared" si="2"/>
        <v>77</v>
      </c>
    </row>
    <row r="100" spans="4:12">
      <c r="D100" s="11">
        <v>46191</v>
      </c>
      <c r="E100" s="12">
        <v>1613433</v>
      </c>
      <c r="F100" s="12" t="s">
        <v>13</v>
      </c>
      <c r="G100" s="13">
        <v>20351726</v>
      </c>
      <c r="H100" s="12" t="s">
        <v>19</v>
      </c>
      <c r="I100" s="13">
        <v>1</v>
      </c>
      <c r="J100" s="14">
        <v>38.5</v>
      </c>
      <c r="K100" s="14">
        <v>38.5</v>
      </c>
      <c r="L100">
        <f t="shared" si="2"/>
        <v>55</v>
      </c>
    </row>
    <row r="101" spans="4:12">
      <c r="D101" s="11">
        <v>46191</v>
      </c>
      <c r="E101" s="12">
        <v>1613433</v>
      </c>
      <c r="F101" s="12" t="s">
        <v>45</v>
      </c>
      <c r="G101" s="13">
        <v>20317966</v>
      </c>
      <c r="H101" s="12" t="s">
        <v>46</v>
      </c>
      <c r="I101" s="13">
        <v>1</v>
      </c>
      <c r="J101" s="14">
        <v>2.8</v>
      </c>
      <c r="K101" s="14">
        <v>2.8</v>
      </c>
      <c r="L101">
        <f t="shared" si="2"/>
        <v>4</v>
      </c>
    </row>
    <row r="102" spans="4:12">
      <c r="D102" s="11">
        <v>46193</v>
      </c>
      <c r="E102" s="12">
        <v>1613775</v>
      </c>
      <c r="F102" s="12" t="s">
        <v>20</v>
      </c>
      <c r="G102" s="13">
        <v>20318012</v>
      </c>
      <c r="H102" s="12" t="s">
        <v>23</v>
      </c>
      <c r="I102" s="13">
        <v>3</v>
      </c>
      <c r="J102" s="14">
        <v>7.7</v>
      </c>
      <c r="K102" s="14">
        <v>23.1</v>
      </c>
      <c r="L102">
        <f t="shared" si="2"/>
        <v>11</v>
      </c>
    </row>
    <row r="103" spans="4:12">
      <c r="D103" s="11">
        <v>46193</v>
      </c>
      <c r="E103" s="12">
        <v>1613775</v>
      </c>
      <c r="F103" s="12" t="s">
        <v>20</v>
      </c>
      <c r="G103" s="13">
        <v>20318011</v>
      </c>
      <c r="H103" s="12" t="s">
        <v>24</v>
      </c>
      <c r="I103" s="13">
        <v>2</v>
      </c>
      <c r="J103" s="14">
        <v>7.7</v>
      </c>
      <c r="K103" s="14">
        <v>15.4</v>
      </c>
      <c r="L103">
        <f t="shared" si="2"/>
        <v>11</v>
      </c>
    </row>
    <row r="104" spans="4:12">
      <c r="D104" s="11">
        <v>46193</v>
      </c>
      <c r="E104" s="12">
        <v>1613775</v>
      </c>
      <c r="F104" s="12" t="s">
        <v>20</v>
      </c>
      <c r="G104" s="13">
        <v>20332509</v>
      </c>
      <c r="H104" s="12" t="s">
        <v>32</v>
      </c>
      <c r="I104" s="13">
        <v>1</v>
      </c>
      <c r="J104" s="14">
        <v>5.6</v>
      </c>
      <c r="K104" s="14">
        <v>5.6</v>
      </c>
      <c r="L104">
        <f t="shared" si="2"/>
        <v>8</v>
      </c>
    </row>
    <row r="105" spans="4:12">
      <c r="D105" s="11">
        <v>46193</v>
      </c>
      <c r="E105" s="12">
        <v>1613775</v>
      </c>
      <c r="F105" s="12" t="s">
        <v>20</v>
      </c>
      <c r="G105" s="13">
        <v>20332792</v>
      </c>
      <c r="H105" s="12" t="s">
        <v>26</v>
      </c>
      <c r="I105" s="13">
        <v>1</v>
      </c>
      <c r="J105" s="14">
        <v>5.6</v>
      </c>
      <c r="K105" s="14">
        <v>5.6</v>
      </c>
      <c r="L105">
        <f t="shared" si="2"/>
        <v>8</v>
      </c>
    </row>
    <row r="106" spans="4:12">
      <c r="D106" s="11">
        <v>46193</v>
      </c>
      <c r="E106" s="12">
        <v>1613775</v>
      </c>
      <c r="F106" s="12" t="s">
        <v>20</v>
      </c>
      <c r="G106" s="13">
        <v>20316516</v>
      </c>
      <c r="H106" s="12" t="s">
        <v>38</v>
      </c>
      <c r="I106" s="13">
        <v>1</v>
      </c>
      <c r="J106" s="14">
        <v>5.6</v>
      </c>
      <c r="K106" s="14">
        <v>5.6</v>
      </c>
      <c r="L106">
        <f t="shared" ref="L106:L137" si="3">J106/0.7</f>
        <v>8</v>
      </c>
    </row>
    <row r="107" spans="4:12">
      <c r="D107" s="11">
        <v>46193</v>
      </c>
      <c r="E107" s="12">
        <v>1613775</v>
      </c>
      <c r="F107" s="12" t="s">
        <v>20</v>
      </c>
      <c r="G107" s="13">
        <v>20316710</v>
      </c>
      <c r="H107" s="12" t="s">
        <v>33</v>
      </c>
      <c r="I107" s="13">
        <v>1</v>
      </c>
      <c r="J107" s="14">
        <v>5.6</v>
      </c>
      <c r="K107" s="14">
        <v>5.6</v>
      </c>
      <c r="L107">
        <f t="shared" si="3"/>
        <v>8</v>
      </c>
    </row>
    <row r="108" spans="4:12">
      <c r="D108" s="11">
        <v>46193</v>
      </c>
      <c r="E108" s="12">
        <v>1613775</v>
      </c>
      <c r="F108" s="12" t="s">
        <v>20</v>
      </c>
      <c r="G108" s="13">
        <v>20329902</v>
      </c>
      <c r="H108" s="12" t="s">
        <v>29</v>
      </c>
      <c r="I108" s="13">
        <v>1</v>
      </c>
      <c r="J108" s="14">
        <v>5.6</v>
      </c>
      <c r="K108" s="14">
        <v>5.6</v>
      </c>
      <c r="L108">
        <f t="shared" si="3"/>
        <v>8</v>
      </c>
    </row>
    <row r="109" spans="4:12">
      <c r="D109" s="11">
        <v>46193</v>
      </c>
      <c r="E109" s="12">
        <v>1613775</v>
      </c>
      <c r="F109" s="12" t="s">
        <v>20</v>
      </c>
      <c r="G109" s="13">
        <v>20320659</v>
      </c>
      <c r="H109" s="12" t="s">
        <v>30</v>
      </c>
      <c r="I109" s="13">
        <v>2</v>
      </c>
      <c r="J109" s="14">
        <v>5.6</v>
      </c>
      <c r="K109" s="14">
        <v>11.2</v>
      </c>
      <c r="L109">
        <f t="shared" si="3"/>
        <v>8</v>
      </c>
    </row>
    <row r="110" spans="4:12">
      <c r="D110" s="11">
        <v>46193</v>
      </c>
      <c r="E110" s="12">
        <v>1613775</v>
      </c>
      <c r="F110" s="12" t="s">
        <v>20</v>
      </c>
      <c r="G110" s="13">
        <v>20316708</v>
      </c>
      <c r="H110" s="12" t="s">
        <v>35</v>
      </c>
      <c r="I110" s="13">
        <v>1</v>
      </c>
      <c r="J110" s="14">
        <v>5.6</v>
      </c>
      <c r="K110" s="14">
        <v>5.6</v>
      </c>
      <c r="L110">
        <f t="shared" si="3"/>
        <v>8</v>
      </c>
    </row>
    <row r="111" spans="4:12">
      <c r="D111" s="11">
        <v>46193</v>
      </c>
      <c r="E111" s="12">
        <v>1613775</v>
      </c>
      <c r="F111" s="12" t="s">
        <v>20</v>
      </c>
      <c r="G111" s="13">
        <v>20316819</v>
      </c>
      <c r="H111" s="12" t="s">
        <v>36</v>
      </c>
      <c r="I111" s="13">
        <v>1</v>
      </c>
      <c r="J111" s="14">
        <v>5.6</v>
      </c>
      <c r="K111" s="14">
        <v>5.6</v>
      </c>
      <c r="L111">
        <f t="shared" si="3"/>
        <v>8</v>
      </c>
    </row>
    <row r="112" spans="4:12">
      <c r="D112" s="11">
        <v>46193</v>
      </c>
      <c r="E112" s="12">
        <v>1613775</v>
      </c>
      <c r="F112" s="12" t="s">
        <v>20</v>
      </c>
      <c r="G112" s="13">
        <v>20316536</v>
      </c>
      <c r="H112" s="12" t="s">
        <v>31</v>
      </c>
      <c r="I112" s="13">
        <v>3</v>
      </c>
      <c r="J112" s="14">
        <v>5.6</v>
      </c>
      <c r="K112" s="14">
        <v>16.8</v>
      </c>
      <c r="L112">
        <f t="shared" si="3"/>
        <v>8</v>
      </c>
    </row>
    <row r="113" spans="4:12">
      <c r="D113" s="11">
        <v>46196</v>
      </c>
      <c r="E113" s="12">
        <v>1614451</v>
      </c>
      <c r="F113" s="12" t="s">
        <v>20</v>
      </c>
      <c r="G113" s="13">
        <v>20316538</v>
      </c>
      <c r="H113" s="12" t="s">
        <v>47</v>
      </c>
      <c r="I113" s="13">
        <v>1</v>
      </c>
      <c r="J113" s="14">
        <v>9.1</v>
      </c>
      <c r="K113" s="14">
        <v>9.1</v>
      </c>
      <c r="L113">
        <f t="shared" si="3"/>
        <v>13</v>
      </c>
    </row>
    <row r="114" spans="4:12">
      <c r="D114" s="11">
        <v>46196</v>
      </c>
      <c r="E114" s="12">
        <v>1614451</v>
      </c>
      <c r="F114" s="12" t="s">
        <v>20</v>
      </c>
      <c r="G114" s="13">
        <v>20316709</v>
      </c>
      <c r="H114" s="12" t="s">
        <v>22</v>
      </c>
      <c r="I114" s="13">
        <v>2</v>
      </c>
      <c r="J114" s="14">
        <v>5.6</v>
      </c>
      <c r="K114" s="14">
        <v>11.2</v>
      </c>
      <c r="L114">
        <f t="shared" si="3"/>
        <v>8</v>
      </c>
    </row>
    <row r="115" spans="4:12">
      <c r="D115" s="11">
        <v>46196</v>
      </c>
      <c r="E115" s="12">
        <v>1614451</v>
      </c>
      <c r="F115" s="12" t="s">
        <v>20</v>
      </c>
      <c r="G115" s="13">
        <v>20318012</v>
      </c>
      <c r="H115" s="12" t="s">
        <v>23</v>
      </c>
      <c r="I115" s="13">
        <v>4</v>
      </c>
      <c r="J115" s="14">
        <v>7.7</v>
      </c>
      <c r="K115" s="14">
        <v>30.8</v>
      </c>
      <c r="L115">
        <f t="shared" si="3"/>
        <v>11</v>
      </c>
    </row>
    <row r="116" spans="4:12">
      <c r="D116" s="11">
        <v>46196</v>
      </c>
      <c r="E116" s="12">
        <v>1614451</v>
      </c>
      <c r="F116" s="12" t="s">
        <v>20</v>
      </c>
      <c r="G116" s="13">
        <v>20318011</v>
      </c>
      <c r="H116" s="12" t="s">
        <v>24</v>
      </c>
      <c r="I116" s="13">
        <v>2</v>
      </c>
      <c r="J116" s="14">
        <v>7.7</v>
      </c>
      <c r="K116" s="14">
        <v>15.4</v>
      </c>
      <c r="L116">
        <f t="shared" si="3"/>
        <v>11</v>
      </c>
    </row>
    <row r="117" spans="4:12">
      <c r="D117" s="11">
        <v>46196</v>
      </c>
      <c r="E117" s="12">
        <v>1614451</v>
      </c>
      <c r="F117" s="12" t="s">
        <v>20</v>
      </c>
      <c r="G117" s="13">
        <v>20316520</v>
      </c>
      <c r="H117" s="12" t="s">
        <v>25</v>
      </c>
      <c r="I117" s="13">
        <v>1</v>
      </c>
      <c r="J117" s="14">
        <v>5.6</v>
      </c>
      <c r="K117" s="14">
        <v>5.6</v>
      </c>
      <c r="L117">
        <f t="shared" si="3"/>
        <v>8</v>
      </c>
    </row>
    <row r="118" spans="4:12">
      <c r="D118" s="11">
        <v>46196</v>
      </c>
      <c r="E118" s="12">
        <v>1614451</v>
      </c>
      <c r="F118" s="12" t="s">
        <v>20</v>
      </c>
      <c r="G118" s="13">
        <v>20316522</v>
      </c>
      <c r="H118" s="12" t="s">
        <v>41</v>
      </c>
      <c r="I118" s="13">
        <v>1</v>
      </c>
      <c r="J118" s="14">
        <v>5.6</v>
      </c>
      <c r="K118" s="14">
        <v>5.6</v>
      </c>
      <c r="L118">
        <f t="shared" si="3"/>
        <v>8</v>
      </c>
    </row>
    <row r="119" spans="4:12">
      <c r="D119" s="11">
        <v>46196</v>
      </c>
      <c r="E119" s="12">
        <v>1614451</v>
      </c>
      <c r="F119" s="12" t="s">
        <v>20</v>
      </c>
      <c r="G119" s="13">
        <v>20332509</v>
      </c>
      <c r="H119" s="12" t="s">
        <v>32</v>
      </c>
      <c r="I119" s="13">
        <v>1</v>
      </c>
      <c r="J119" s="14">
        <v>5.6</v>
      </c>
      <c r="K119" s="14">
        <v>5.6</v>
      </c>
      <c r="L119">
        <f t="shared" si="3"/>
        <v>8</v>
      </c>
    </row>
    <row r="120" spans="4:12">
      <c r="D120" s="11">
        <v>46196</v>
      </c>
      <c r="E120" s="12">
        <v>1614451</v>
      </c>
      <c r="F120" s="12" t="s">
        <v>20</v>
      </c>
      <c r="G120" s="13">
        <v>20320558</v>
      </c>
      <c r="H120" s="12" t="s">
        <v>37</v>
      </c>
      <c r="I120" s="13">
        <v>2</v>
      </c>
      <c r="J120" s="14">
        <v>5.6</v>
      </c>
      <c r="K120" s="14">
        <v>11.2</v>
      </c>
      <c r="L120">
        <f t="shared" si="3"/>
        <v>8</v>
      </c>
    </row>
    <row r="121" spans="4:12">
      <c r="D121" s="11">
        <v>46196</v>
      </c>
      <c r="E121" s="12">
        <v>1614451</v>
      </c>
      <c r="F121" s="12" t="s">
        <v>20</v>
      </c>
      <c r="G121" s="13">
        <v>20316516</v>
      </c>
      <c r="H121" s="12" t="s">
        <v>38</v>
      </c>
      <c r="I121" s="13">
        <v>1</v>
      </c>
      <c r="J121" s="14">
        <v>5.6</v>
      </c>
      <c r="K121" s="14">
        <v>5.6</v>
      </c>
      <c r="L121">
        <f t="shared" si="3"/>
        <v>8</v>
      </c>
    </row>
    <row r="122" spans="4:12">
      <c r="D122" s="11">
        <v>46196</v>
      </c>
      <c r="E122" s="12">
        <v>1614451</v>
      </c>
      <c r="F122" s="12" t="s">
        <v>20</v>
      </c>
      <c r="G122" s="13">
        <v>20347321</v>
      </c>
      <c r="H122" s="12" t="s">
        <v>48</v>
      </c>
      <c r="I122" s="13">
        <v>1</v>
      </c>
      <c r="J122" s="14">
        <v>5.6</v>
      </c>
      <c r="K122" s="14">
        <v>5.6</v>
      </c>
      <c r="L122">
        <f t="shared" si="3"/>
        <v>8</v>
      </c>
    </row>
    <row r="123" spans="4:12">
      <c r="D123" s="11">
        <v>46196</v>
      </c>
      <c r="E123" s="12">
        <v>1614451</v>
      </c>
      <c r="F123" s="12" t="s">
        <v>20</v>
      </c>
      <c r="G123" s="13">
        <v>20332793</v>
      </c>
      <c r="H123" s="12" t="s">
        <v>49</v>
      </c>
      <c r="I123" s="13">
        <v>2</v>
      </c>
      <c r="J123" s="14">
        <v>5.6</v>
      </c>
      <c r="K123" s="14">
        <v>11.2</v>
      </c>
      <c r="L123">
        <f t="shared" si="3"/>
        <v>8</v>
      </c>
    </row>
    <row r="124" spans="4:12">
      <c r="D124" s="11">
        <v>46196</v>
      </c>
      <c r="E124" s="12">
        <v>1614451</v>
      </c>
      <c r="F124" s="12" t="s">
        <v>20</v>
      </c>
      <c r="G124" s="13">
        <v>20329902</v>
      </c>
      <c r="H124" s="12" t="s">
        <v>29</v>
      </c>
      <c r="I124" s="13">
        <v>3</v>
      </c>
      <c r="J124" s="14">
        <v>5.6</v>
      </c>
      <c r="K124" s="14">
        <v>16.8</v>
      </c>
      <c r="L124">
        <f t="shared" si="3"/>
        <v>8</v>
      </c>
    </row>
    <row r="125" spans="4:12">
      <c r="D125" s="11">
        <v>46196</v>
      </c>
      <c r="E125" s="12">
        <v>1614451</v>
      </c>
      <c r="F125" s="12" t="s">
        <v>20</v>
      </c>
      <c r="G125" s="13">
        <v>20316500</v>
      </c>
      <c r="H125" s="12" t="s">
        <v>34</v>
      </c>
      <c r="I125" s="13">
        <v>2</v>
      </c>
      <c r="J125" s="14">
        <v>7.7</v>
      </c>
      <c r="K125" s="14">
        <v>15.4</v>
      </c>
      <c r="L125">
        <f t="shared" si="3"/>
        <v>11</v>
      </c>
    </row>
    <row r="126" spans="4:12">
      <c r="D126" s="11">
        <v>46196</v>
      </c>
      <c r="E126" s="12">
        <v>1614451</v>
      </c>
      <c r="F126" s="12" t="s">
        <v>20</v>
      </c>
      <c r="G126" s="13">
        <v>20320659</v>
      </c>
      <c r="H126" s="12" t="s">
        <v>30</v>
      </c>
      <c r="I126" s="13">
        <v>3</v>
      </c>
      <c r="J126" s="14">
        <v>5.6</v>
      </c>
      <c r="K126" s="14">
        <v>16.8</v>
      </c>
      <c r="L126">
        <f t="shared" si="3"/>
        <v>8</v>
      </c>
    </row>
    <row r="127" spans="4:12">
      <c r="D127" s="11">
        <v>46196</v>
      </c>
      <c r="E127" s="12">
        <v>1614451</v>
      </c>
      <c r="F127" s="12" t="s">
        <v>20</v>
      </c>
      <c r="G127" s="13">
        <v>20316819</v>
      </c>
      <c r="H127" s="12" t="s">
        <v>36</v>
      </c>
      <c r="I127" s="13">
        <v>2</v>
      </c>
      <c r="J127" s="14">
        <v>5.6</v>
      </c>
      <c r="K127" s="14">
        <v>11.2</v>
      </c>
      <c r="L127">
        <f t="shared" si="3"/>
        <v>8</v>
      </c>
    </row>
    <row r="128" spans="4:12">
      <c r="D128" s="11">
        <v>46196</v>
      </c>
      <c r="E128" s="12">
        <v>1614451</v>
      </c>
      <c r="F128" s="12" t="s">
        <v>20</v>
      </c>
      <c r="G128" s="13">
        <v>20327452</v>
      </c>
      <c r="H128" s="12" t="s">
        <v>50</v>
      </c>
      <c r="I128" s="13">
        <v>1</v>
      </c>
      <c r="J128" s="14">
        <v>5.6</v>
      </c>
      <c r="K128" s="14">
        <v>5.6</v>
      </c>
      <c r="L128">
        <f t="shared" si="3"/>
        <v>8</v>
      </c>
    </row>
    <row r="129" spans="4:12">
      <c r="D129" s="11">
        <v>46196</v>
      </c>
      <c r="E129" s="12">
        <v>1614451</v>
      </c>
      <c r="F129" s="12" t="s">
        <v>20</v>
      </c>
      <c r="G129" s="13">
        <v>20316536</v>
      </c>
      <c r="H129" s="12" t="s">
        <v>31</v>
      </c>
      <c r="I129" s="13">
        <v>2</v>
      </c>
      <c r="J129" s="14">
        <v>5.6</v>
      </c>
      <c r="K129" s="14">
        <v>11.2</v>
      </c>
      <c r="L129">
        <f t="shared" si="3"/>
        <v>8</v>
      </c>
    </row>
    <row r="130" spans="4:12">
      <c r="D130" s="11">
        <v>46196</v>
      </c>
      <c r="E130" s="12">
        <v>1614451</v>
      </c>
      <c r="F130" s="12" t="s">
        <v>13</v>
      </c>
      <c r="G130" s="13">
        <v>20316495</v>
      </c>
      <c r="H130" s="12" t="s">
        <v>18</v>
      </c>
      <c r="I130" s="13">
        <v>1</v>
      </c>
      <c r="J130" s="14">
        <v>53.9</v>
      </c>
      <c r="K130" s="14">
        <v>53.9</v>
      </c>
      <c r="L130">
        <f t="shared" si="3"/>
        <v>77</v>
      </c>
    </row>
    <row r="131" spans="4:12">
      <c r="D131" s="11">
        <v>46198</v>
      </c>
      <c r="E131" s="12">
        <v>1615183</v>
      </c>
      <c r="F131" s="12" t="s">
        <v>20</v>
      </c>
      <c r="G131" s="13">
        <v>20318012</v>
      </c>
      <c r="H131" s="12" t="s">
        <v>23</v>
      </c>
      <c r="I131" s="13">
        <v>1</v>
      </c>
      <c r="J131" s="14">
        <v>7.7</v>
      </c>
      <c r="K131" s="14">
        <v>7.7</v>
      </c>
      <c r="L131">
        <f t="shared" si="3"/>
        <v>11</v>
      </c>
    </row>
    <row r="132" spans="4:12">
      <c r="D132" s="11">
        <v>46198</v>
      </c>
      <c r="E132" s="12">
        <v>1615183</v>
      </c>
      <c r="F132" s="12" t="s">
        <v>20</v>
      </c>
      <c r="G132" s="13">
        <v>20332509</v>
      </c>
      <c r="H132" s="12" t="s">
        <v>32</v>
      </c>
      <c r="I132" s="13">
        <v>1</v>
      </c>
      <c r="J132" s="14">
        <v>5.6</v>
      </c>
      <c r="K132" s="14">
        <v>5.6</v>
      </c>
      <c r="L132">
        <f t="shared" si="3"/>
        <v>8</v>
      </c>
    </row>
    <row r="133" spans="4:12">
      <c r="D133" s="11">
        <v>46198</v>
      </c>
      <c r="E133" s="12">
        <v>1615183</v>
      </c>
      <c r="F133" s="12" t="s">
        <v>20</v>
      </c>
      <c r="G133" s="13">
        <v>20329902</v>
      </c>
      <c r="H133" s="12" t="s">
        <v>29</v>
      </c>
      <c r="I133" s="13">
        <v>1</v>
      </c>
      <c r="J133" s="14">
        <v>5.6</v>
      </c>
      <c r="K133" s="14">
        <v>5.6</v>
      </c>
      <c r="L133">
        <f t="shared" si="3"/>
        <v>8</v>
      </c>
    </row>
    <row r="134" spans="4:12">
      <c r="D134" s="11">
        <v>46198</v>
      </c>
      <c r="E134" s="12">
        <v>1615183</v>
      </c>
      <c r="F134" s="12" t="s">
        <v>20</v>
      </c>
      <c r="G134" s="13">
        <v>20320659</v>
      </c>
      <c r="H134" s="12" t="s">
        <v>30</v>
      </c>
      <c r="I134" s="13">
        <v>1</v>
      </c>
      <c r="J134" s="14">
        <v>5.6</v>
      </c>
      <c r="K134" s="14">
        <v>5.6</v>
      </c>
      <c r="L134">
        <f t="shared" si="3"/>
        <v>8</v>
      </c>
    </row>
    <row r="135" spans="4:12">
      <c r="D135" s="11">
        <v>46198</v>
      </c>
      <c r="E135" s="12">
        <v>1615183</v>
      </c>
      <c r="F135" s="12" t="s">
        <v>20</v>
      </c>
      <c r="G135" s="13">
        <v>20316536</v>
      </c>
      <c r="H135" s="12" t="s">
        <v>31</v>
      </c>
      <c r="I135" s="13">
        <v>4</v>
      </c>
      <c r="J135" s="14">
        <v>5.6</v>
      </c>
      <c r="K135" s="14">
        <v>22.4</v>
      </c>
      <c r="L135">
        <f t="shared" si="3"/>
        <v>8</v>
      </c>
    </row>
    <row r="136" spans="4:12">
      <c r="D136" s="11">
        <v>46198</v>
      </c>
      <c r="E136" s="12">
        <v>1615183</v>
      </c>
      <c r="F136" s="12" t="s">
        <v>13</v>
      </c>
      <c r="G136" s="13">
        <v>20316495</v>
      </c>
      <c r="H136" s="12" t="s">
        <v>18</v>
      </c>
      <c r="I136" s="13">
        <v>1</v>
      </c>
      <c r="J136" s="14">
        <v>53.9</v>
      </c>
      <c r="K136" s="14">
        <v>53.9</v>
      </c>
      <c r="L136">
        <f t="shared" si="3"/>
        <v>77</v>
      </c>
    </row>
    <row r="137" spans="4:12">
      <c r="D137" s="11">
        <v>46198</v>
      </c>
      <c r="E137" s="12">
        <v>1615183</v>
      </c>
      <c r="F137" s="12" t="s">
        <v>13</v>
      </c>
      <c r="G137" s="13">
        <v>20351726</v>
      </c>
      <c r="H137" s="12" t="s">
        <v>19</v>
      </c>
      <c r="I137" s="13">
        <v>2</v>
      </c>
      <c r="J137" s="14">
        <v>38.5</v>
      </c>
      <c r="K137" s="14">
        <v>77</v>
      </c>
      <c r="L137">
        <f t="shared" si="3"/>
        <v>55</v>
      </c>
    </row>
    <row r="138" spans="4:12">
      <c r="D138" s="11">
        <v>46200</v>
      </c>
      <c r="E138" s="12">
        <v>1615715</v>
      </c>
      <c r="F138" s="12" t="s">
        <v>20</v>
      </c>
      <c r="G138" s="13">
        <v>20316709</v>
      </c>
      <c r="H138" s="12" t="s">
        <v>22</v>
      </c>
      <c r="I138" s="13">
        <v>1</v>
      </c>
      <c r="J138" s="14">
        <v>5.6</v>
      </c>
      <c r="K138" s="14">
        <v>5.6</v>
      </c>
      <c r="L138">
        <f t="shared" ref="L138:L156" si="4">J138/0.7</f>
        <v>8</v>
      </c>
    </row>
    <row r="139" spans="4:12">
      <c r="D139" s="11">
        <v>46200</v>
      </c>
      <c r="E139" s="12">
        <v>1615715</v>
      </c>
      <c r="F139" s="12" t="s">
        <v>20</v>
      </c>
      <c r="G139" s="13">
        <v>20318012</v>
      </c>
      <c r="H139" s="12" t="s">
        <v>23</v>
      </c>
      <c r="I139" s="13">
        <v>2</v>
      </c>
      <c r="J139" s="14">
        <v>7.7</v>
      </c>
      <c r="K139" s="14">
        <v>15.4</v>
      </c>
      <c r="L139">
        <f t="shared" si="4"/>
        <v>11</v>
      </c>
    </row>
    <row r="140" spans="4:12">
      <c r="D140" s="11">
        <v>46200</v>
      </c>
      <c r="E140" s="12">
        <v>1615715</v>
      </c>
      <c r="F140" s="12" t="s">
        <v>20</v>
      </c>
      <c r="G140" s="13">
        <v>20318011</v>
      </c>
      <c r="H140" s="12" t="s">
        <v>24</v>
      </c>
      <c r="I140" s="13">
        <v>2</v>
      </c>
      <c r="J140" s="14">
        <v>7.7</v>
      </c>
      <c r="K140" s="14">
        <v>15.4</v>
      </c>
      <c r="L140">
        <f t="shared" si="4"/>
        <v>11</v>
      </c>
    </row>
    <row r="141" spans="4:12">
      <c r="D141" s="11">
        <v>46200</v>
      </c>
      <c r="E141" s="12">
        <v>1615715</v>
      </c>
      <c r="F141" s="12" t="s">
        <v>20</v>
      </c>
      <c r="G141" s="13">
        <v>20316500</v>
      </c>
      <c r="H141" s="12" t="s">
        <v>34</v>
      </c>
      <c r="I141" s="13">
        <v>1</v>
      </c>
      <c r="J141" s="14">
        <v>7.7</v>
      </c>
      <c r="K141" s="14">
        <v>7.7</v>
      </c>
      <c r="L141">
        <f t="shared" si="4"/>
        <v>11</v>
      </c>
    </row>
    <row r="142" spans="4:12">
      <c r="D142" s="11">
        <v>46200</v>
      </c>
      <c r="E142" s="12">
        <v>1615715</v>
      </c>
      <c r="F142" s="12" t="s">
        <v>20</v>
      </c>
      <c r="G142" s="13">
        <v>20320659</v>
      </c>
      <c r="H142" s="12" t="s">
        <v>30</v>
      </c>
      <c r="I142" s="13">
        <v>1</v>
      </c>
      <c r="J142" s="14">
        <v>5.6</v>
      </c>
      <c r="K142" s="14">
        <v>5.6</v>
      </c>
      <c r="L142">
        <f t="shared" si="4"/>
        <v>8</v>
      </c>
    </row>
    <row r="143" spans="4:12">
      <c r="D143" s="11">
        <v>46200</v>
      </c>
      <c r="E143" s="12">
        <v>1615715</v>
      </c>
      <c r="F143" s="12" t="s">
        <v>20</v>
      </c>
      <c r="G143" s="13">
        <v>20316536</v>
      </c>
      <c r="H143" s="12" t="s">
        <v>31</v>
      </c>
      <c r="I143" s="13">
        <v>2</v>
      </c>
      <c r="J143" s="14">
        <v>5.6</v>
      </c>
      <c r="K143" s="14">
        <v>11.2</v>
      </c>
      <c r="L143">
        <f t="shared" si="4"/>
        <v>8</v>
      </c>
    </row>
    <row r="144" spans="4:12">
      <c r="D144" s="11">
        <v>46200</v>
      </c>
      <c r="E144" s="12">
        <v>1615715</v>
      </c>
      <c r="F144" s="12" t="s">
        <v>13</v>
      </c>
      <c r="G144" s="13">
        <v>20316495</v>
      </c>
      <c r="H144" s="12" t="s">
        <v>18</v>
      </c>
      <c r="I144" s="13">
        <v>2</v>
      </c>
      <c r="J144" s="14">
        <v>53.9</v>
      </c>
      <c r="K144" s="14">
        <v>107.8</v>
      </c>
      <c r="L144">
        <f t="shared" si="4"/>
        <v>77</v>
      </c>
    </row>
    <row r="145" spans="4:12">
      <c r="D145" s="11">
        <v>46203</v>
      </c>
      <c r="E145" s="12">
        <v>1616378</v>
      </c>
      <c r="F145" s="12" t="s">
        <v>20</v>
      </c>
      <c r="G145" s="13">
        <v>20316709</v>
      </c>
      <c r="H145" s="12" t="s">
        <v>22</v>
      </c>
      <c r="I145" s="13">
        <v>1</v>
      </c>
      <c r="J145" s="14">
        <v>5.6</v>
      </c>
      <c r="K145" s="14">
        <v>5.6</v>
      </c>
      <c r="L145">
        <f t="shared" si="4"/>
        <v>8</v>
      </c>
    </row>
    <row r="146" spans="4:12">
      <c r="D146" s="11">
        <v>46203</v>
      </c>
      <c r="E146" s="12">
        <v>1616378</v>
      </c>
      <c r="F146" s="12" t="s">
        <v>20</v>
      </c>
      <c r="G146" s="13">
        <v>20318012</v>
      </c>
      <c r="H146" s="12" t="s">
        <v>23</v>
      </c>
      <c r="I146" s="13">
        <v>5</v>
      </c>
      <c r="J146" s="14">
        <v>7.7</v>
      </c>
      <c r="K146" s="14">
        <v>38.5</v>
      </c>
      <c r="L146">
        <f t="shared" si="4"/>
        <v>11</v>
      </c>
    </row>
    <row r="147" spans="4:12">
      <c r="D147" s="11">
        <v>46203</v>
      </c>
      <c r="E147" s="12">
        <v>1616378</v>
      </c>
      <c r="F147" s="12" t="s">
        <v>20</v>
      </c>
      <c r="G147" s="13">
        <v>20318011</v>
      </c>
      <c r="H147" s="12" t="s">
        <v>24</v>
      </c>
      <c r="I147" s="13">
        <v>5</v>
      </c>
      <c r="J147" s="14">
        <v>7.7</v>
      </c>
      <c r="K147" s="14">
        <v>38.5</v>
      </c>
      <c r="L147">
        <f t="shared" si="4"/>
        <v>11</v>
      </c>
    </row>
    <row r="148" spans="4:12">
      <c r="D148" s="11">
        <v>46203</v>
      </c>
      <c r="E148" s="12">
        <v>1616378</v>
      </c>
      <c r="F148" s="12" t="s">
        <v>20</v>
      </c>
      <c r="G148" s="13">
        <v>20316522</v>
      </c>
      <c r="H148" s="12" t="s">
        <v>41</v>
      </c>
      <c r="I148" s="13">
        <v>1</v>
      </c>
      <c r="J148" s="14">
        <v>5.6</v>
      </c>
      <c r="K148" s="14">
        <v>5.6</v>
      </c>
      <c r="L148">
        <f t="shared" si="4"/>
        <v>8</v>
      </c>
    </row>
    <row r="149" spans="4:12">
      <c r="D149" s="11">
        <v>46203</v>
      </c>
      <c r="E149" s="12">
        <v>1616378</v>
      </c>
      <c r="F149" s="12" t="s">
        <v>20</v>
      </c>
      <c r="G149" s="13">
        <v>20332509</v>
      </c>
      <c r="H149" s="12" t="s">
        <v>32</v>
      </c>
      <c r="I149" s="13">
        <v>2</v>
      </c>
      <c r="J149" s="14">
        <v>5.6</v>
      </c>
      <c r="K149" s="14">
        <v>11.2</v>
      </c>
      <c r="L149">
        <f t="shared" si="4"/>
        <v>8</v>
      </c>
    </row>
    <row r="150" spans="4:12">
      <c r="D150" s="11">
        <v>46203</v>
      </c>
      <c r="E150" s="12">
        <v>1616378</v>
      </c>
      <c r="F150" s="12" t="s">
        <v>20</v>
      </c>
      <c r="G150" s="13">
        <v>20320558</v>
      </c>
      <c r="H150" s="12" t="s">
        <v>37</v>
      </c>
      <c r="I150" s="13">
        <v>2</v>
      </c>
      <c r="J150" s="14">
        <v>5.6</v>
      </c>
      <c r="K150" s="14">
        <v>11.2</v>
      </c>
      <c r="L150">
        <f t="shared" si="4"/>
        <v>8</v>
      </c>
    </row>
    <row r="151" spans="4:12">
      <c r="D151" s="11">
        <v>46203</v>
      </c>
      <c r="E151" s="12">
        <v>1616378</v>
      </c>
      <c r="F151" s="12" t="s">
        <v>20</v>
      </c>
      <c r="G151" s="13">
        <v>20316516</v>
      </c>
      <c r="H151" s="12" t="s">
        <v>38</v>
      </c>
      <c r="I151" s="13">
        <v>2</v>
      </c>
      <c r="J151" s="14">
        <v>5.6</v>
      </c>
      <c r="K151" s="14">
        <v>11.2</v>
      </c>
      <c r="L151">
        <f t="shared" si="4"/>
        <v>8</v>
      </c>
    </row>
    <row r="152" spans="4:12">
      <c r="D152" s="11">
        <v>46203</v>
      </c>
      <c r="E152" s="12">
        <v>1616378</v>
      </c>
      <c r="F152" s="12" t="s">
        <v>20</v>
      </c>
      <c r="G152" s="13">
        <v>20329902</v>
      </c>
      <c r="H152" s="12" t="s">
        <v>29</v>
      </c>
      <c r="I152" s="13">
        <v>4</v>
      </c>
      <c r="J152" s="14">
        <v>5.6</v>
      </c>
      <c r="K152" s="14">
        <v>22.4</v>
      </c>
      <c r="L152">
        <f t="shared" si="4"/>
        <v>8</v>
      </c>
    </row>
    <row r="153" spans="4:12">
      <c r="D153" s="11">
        <v>46203</v>
      </c>
      <c r="E153" s="12">
        <v>1616378</v>
      </c>
      <c r="F153" s="12" t="s">
        <v>20</v>
      </c>
      <c r="G153" s="13">
        <v>20316500</v>
      </c>
      <c r="H153" s="12" t="s">
        <v>34</v>
      </c>
      <c r="I153" s="13">
        <v>2</v>
      </c>
      <c r="J153" s="14">
        <v>7.7</v>
      </c>
      <c r="K153" s="14">
        <v>15.4</v>
      </c>
      <c r="L153">
        <f t="shared" si="4"/>
        <v>11</v>
      </c>
    </row>
    <row r="154" spans="4:12">
      <c r="D154" s="11">
        <v>46203</v>
      </c>
      <c r="E154" s="12">
        <v>1616378</v>
      </c>
      <c r="F154" s="12" t="s">
        <v>20</v>
      </c>
      <c r="G154" s="13">
        <v>20320659</v>
      </c>
      <c r="H154" s="12" t="s">
        <v>30</v>
      </c>
      <c r="I154" s="13">
        <v>5</v>
      </c>
      <c r="J154" s="14">
        <v>5.6</v>
      </c>
      <c r="K154" s="14">
        <v>28</v>
      </c>
      <c r="L154">
        <f t="shared" si="4"/>
        <v>8</v>
      </c>
    </row>
    <row r="155" spans="4:12">
      <c r="D155" s="11">
        <v>46203</v>
      </c>
      <c r="E155" s="12">
        <v>1616378</v>
      </c>
      <c r="F155" s="12" t="s">
        <v>20</v>
      </c>
      <c r="G155" s="13">
        <v>20316536</v>
      </c>
      <c r="H155" s="12" t="s">
        <v>31</v>
      </c>
      <c r="I155" s="13">
        <v>1</v>
      </c>
      <c r="J155" s="14">
        <v>5.6</v>
      </c>
      <c r="K155" s="14">
        <v>5.6</v>
      </c>
      <c r="L155">
        <f t="shared" si="4"/>
        <v>8</v>
      </c>
    </row>
    <row r="156" spans="4:12">
      <c r="D156" s="11">
        <v>46203</v>
      </c>
      <c r="E156" s="12">
        <v>1616378</v>
      </c>
      <c r="F156" s="12" t="s">
        <v>13</v>
      </c>
      <c r="G156" s="13">
        <v>20351726</v>
      </c>
      <c r="H156" s="12" t="s">
        <v>19</v>
      </c>
      <c r="I156" s="13">
        <v>1</v>
      </c>
      <c r="J156" s="14">
        <v>38.5</v>
      </c>
      <c r="K156" s="14">
        <v>38.5</v>
      </c>
      <c r="L156">
        <f t="shared" si="4"/>
        <v>55</v>
      </c>
    </row>
    <row r="157" ht="0.05" customHeight="1"/>
  </sheetData>
  <autoFilter xmlns:etc="http://www.wps.cn/officeDocument/2017/etCustomData" ref="A7:K156" etc:filterBottomFollowUsedRange="0">
    <extLst/>
  </autoFilter>
  <mergeCells count="5">
    <mergeCell ref="D8:H8"/>
    <mergeCell ref="C7:C156"/>
    <mergeCell ref="B4:H5"/>
    <mergeCell ref="A7:B156"/>
    <mergeCell ref="C1:H2"/>
  </mergeCells>
  <pageMargins left="0.25" right="0.25" top="0.75" bottom="0.75" header="0.298611111111111" footer="0.298611111111111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&amp;"-,Regular"2026年7月6日 9:51 
&amp;"-,Bold"&amp;10 黑龙江省铂康医疗灭菌有限公司 &amp;R&amp;"Droid Sans Fallback"&amp;9第&amp;P页，共&amp;N页 </oddFooter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15"/>
  <sheetViews>
    <sheetView showGridLines="0" view="pageBreakPreview" zoomScaleNormal="100" workbookViewId="0">
      <pane ySplit="6" topLeftCell="A7" activePane="bottomLeft" state="frozen"/>
      <selection/>
      <selection pane="bottomLeft" activeCell="K9" sqref="K9:K14"/>
    </sheetView>
  </sheetViews>
  <sheetFormatPr defaultColWidth="9" defaultRowHeight="13.5"/>
  <cols>
    <col min="1" max="2" width="0.225" customWidth="1"/>
    <col min="3" max="3" width="0.433333333333333" customWidth="1"/>
    <col min="4" max="4" width="9.28333333333333" customWidth="1"/>
    <col min="5" max="5" width="8.93333333333333" customWidth="1"/>
    <col min="6" max="6" width="14.95" customWidth="1"/>
    <col min="7" max="7" width="9.36666666666667" customWidth="1"/>
    <col min="8" max="8" width="24.8166666666667" customWidth="1"/>
    <col min="9" max="9" width="6.475" customWidth="1"/>
    <col min="10" max="10" width="12.2083333333333" customWidth="1"/>
    <col min="11" max="11" width="12.5" customWidth="1"/>
  </cols>
  <sheetData>
    <row r="1" spans="1:11">
      <c r="C1" s="1" t="s">
        <v>0</v>
      </c>
    </row>
    <row r="2" ht="23.05" customHeight="1"/>
    <row r="3" ht="2" customHeight="1"/>
    <row r="4" ht="15.2" customHeight="1" spans="1:11">
      <c r="B4" s="2" t="s">
        <v>1</v>
      </c>
    </row>
    <row r="6" ht="2.95" customHeight="1"/>
    <row r="7" spans="1:11">
      <c r="A7" s="3" t="s">
        <v>2</v>
      </c>
      <c r="B7" s="4" t="s">
        <v>2</v>
      </c>
      <c r="C7" s="5" t="s">
        <v>2</v>
      </c>
      <c r="D7" s="6" t="s">
        <v>4</v>
      </c>
      <c r="E7" s="6" t="s">
        <v>5</v>
      </c>
      <c r="F7" s="6" t="s">
        <v>6</v>
      </c>
      <c r="G7" s="6" t="s">
        <v>7</v>
      </c>
      <c r="H7" s="6" t="s">
        <v>8</v>
      </c>
      <c r="I7" s="6" t="s">
        <v>9</v>
      </c>
      <c r="J7" s="6" t="s">
        <v>10</v>
      </c>
      <c r="K7" s="6" t="s">
        <v>11</v>
      </c>
    </row>
    <row r="8" ht="14.25" spans="1:11">
      <c r="D8" s="7" t="s">
        <v>51</v>
      </c>
      <c r="E8" s="8" t="s">
        <v>2</v>
      </c>
      <c r="F8" s="8" t="s">
        <v>2</v>
      </c>
      <c r="G8" s="8" t="s">
        <v>2</v>
      </c>
      <c r="H8" s="8" t="s">
        <v>2</v>
      </c>
      <c r="I8" s="9">
        <v>6</v>
      </c>
      <c r="J8" s="10"/>
      <c r="K8" s="10">
        <v>231</v>
      </c>
    </row>
    <row r="9" spans="1:11">
      <c r="D9" s="11">
        <v>46175</v>
      </c>
      <c r="E9" s="12">
        <v>1608546</v>
      </c>
      <c r="F9" s="12" t="s">
        <v>13</v>
      </c>
      <c r="G9" s="13">
        <v>20316503</v>
      </c>
      <c r="H9" s="12" t="s">
        <v>52</v>
      </c>
      <c r="I9" s="13">
        <v>1</v>
      </c>
      <c r="J9" s="14">
        <v>38.5</v>
      </c>
      <c r="K9" s="14">
        <v>38.5</v>
      </c>
    </row>
    <row r="10" spans="1:11">
      <c r="D10" s="11">
        <v>46184</v>
      </c>
      <c r="E10" s="12">
        <v>1611454</v>
      </c>
      <c r="F10" s="12" t="s">
        <v>13</v>
      </c>
      <c r="G10" s="13">
        <v>20316503</v>
      </c>
      <c r="H10" s="12" t="s">
        <v>52</v>
      </c>
      <c r="I10" s="13">
        <v>1</v>
      </c>
      <c r="J10" s="14">
        <v>38.5</v>
      </c>
      <c r="K10" s="14">
        <v>38.5</v>
      </c>
    </row>
    <row r="11" spans="1:11">
      <c r="D11" s="11">
        <v>46186</v>
      </c>
      <c r="E11" s="12">
        <v>1612006</v>
      </c>
      <c r="F11" s="12" t="s">
        <v>13</v>
      </c>
      <c r="G11" s="13">
        <v>20316503</v>
      </c>
      <c r="H11" s="12" t="s">
        <v>52</v>
      </c>
      <c r="I11" s="13">
        <v>1</v>
      </c>
      <c r="J11" s="14">
        <v>38.5</v>
      </c>
      <c r="K11" s="14">
        <v>38.5</v>
      </c>
    </row>
    <row r="12" spans="1:11">
      <c r="D12" s="11">
        <v>46193</v>
      </c>
      <c r="E12" s="12">
        <v>1613776</v>
      </c>
      <c r="F12" s="12" t="s">
        <v>13</v>
      </c>
      <c r="G12" s="13">
        <v>20316503</v>
      </c>
      <c r="H12" s="12" t="s">
        <v>52</v>
      </c>
      <c r="I12" s="13">
        <v>1</v>
      </c>
      <c r="J12" s="14">
        <v>38.5</v>
      </c>
      <c r="K12" s="14">
        <v>38.5</v>
      </c>
    </row>
    <row r="13" spans="1:11">
      <c r="D13" s="11">
        <v>46196</v>
      </c>
      <c r="E13" s="12">
        <v>1614452</v>
      </c>
      <c r="F13" s="12" t="s">
        <v>13</v>
      </c>
      <c r="G13" s="13">
        <v>20316503</v>
      </c>
      <c r="H13" s="12" t="s">
        <v>52</v>
      </c>
      <c r="I13" s="13">
        <v>1</v>
      </c>
      <c r="J13" s="14">
        <v>38.5</v>
      </c>
      <c r="K13" s="14">
        <v>38.5</v>
      </c>
    </row>
    <row r="14" spans="1:11">
      <c r="D14" s="11">
        <v>46198</v>
      </c>
      <c r="E14" s="12">
        <v>1615184</v>
      </c>
      <c r="F14" s="12" t="s">
        <v>13</v>
      </c>
      <c r="G14" s="13">
        <v>20316503</v>
      </c>
      <c r="H14" s="12" t="s">
        <v>52</v>
      </c>
      <c r="I14" s="13">
        <v>1</v>
      </c>
      <c r="J14" s="14">
        <v>38.5</v>
      </c>
      <c r="K14" s="14">
        <v>38.5</v>
      </c>
    </row>
    <row r="15" ht="0.05" customHeight="1"/>
  </sheetData>
  <mergeCells count="5">
    <mergeCell ref="D8:H8"/>
    <mergeCell ref="C7:C14"/>
    <mergeCell ref="B4:H5"/>
    <mergeCell ref="A7:B14"/>
    <mergeCell ref="C1:H2"/>
  </mergeCells>
  <pageMargins left="0.25" right="0.25" top="0.75" bottom="0.75" header="0.298611111111111" footer="0.298611111111111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&amp;"-,Regular"2026年7月6日 9:51 
&amp;"-,Bold"&amp;10 黑龙江省铂康医疗灭菌有限公司 &amp;R&amp;"Droid Sans Fallback"&amp;9第&amp;P页，共&amp;N页 </oddFooter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111"/>
  <sheetViews>
    <sheetView showGridLines="0" view="pageBreakPreview" zoomScaleNormal="100" workbookViewId="0">
      <pane ySplit="6" topLeftCell="A75" activePane="bottomLeft" state="frozen"/>
      <selection/>
      <selection pane="bottomLeft" activeCell="K9" sqref="K9:K112"/>
    </sheetView>
  </sheetViews>
  <sheetFormatPr defaultColWidth="9" defaultRowHeight="13.5"/>
  <cols>
    <col min="1" max="2" width="0.225" customWidth="1"/>
    <col min="3" max="3" width="0.433333333333333" customWidth="1"/>
    <col min="4" max="4" width="9.28333333333333" customWidth="1"/>
    <col min="5" max="5" width="8.93333333333333" customWidth="1"/>
    <col min="6" max="6" width="14.95" customWidth="1"/>
    <col min="7" max="7" width="9.36666666666667" customWidth="1"/>
    <col min="8" max="8" width="24.8166666666667" customWidth="1"/>
    <col min="9" max="9" width="6.475" customWidth="1"/>
    <col min="10" max="10" width="12.2083333333333" customWidth="1"/>
    <col min="11" max="11" width="12.625" customWidth="1"/>
  </cols>
  <sheetData>
    <row r="1" spans="1:12">
      <c r="C1" s="1" t="s">
        <v>0</v>
      </c>
    </row>
    <row r="2" ht="23.05" customHeight="1"/>
    <row r="3" ht="2" customHeight="1"/>
    <row r="4" ht="15.2" customHeight="1" spans="1:12">
      <c r="B4" s="2" t="s">
        <v>1</v>
      </c>
    </row>
    <row r="6" ht="2.95" customHeight="1"/>
    <row r="7" spans="1:12">
      <c r="A7" s="3" t="s">
        <v>2</v>
      </c>
      <c r="B7" s="4" t="s">
        <v>2</v>
      </c>
      <c r="C7" s="5" t="s">
        <v>2</v>
      </c>
      <c r="D7" s="6" t="s">
        <v>4</v>
      </c>
      <c r="E7" s="6" t="s">
        <v>5</v>
      </c>
      <c r="F7" s="6" t="s">
        <v>6</v>
      </c>
      <c r="G7" s="6" t="s">
        <v>7</v>
      </c>
      <c r="H7" s="6" t="s">
        <v>8</v>
      </c>
      <c r="I7" s="6" t="s">
        <v>9</v>
      </c>
      <c r="J7" s="6" t="s">
        <v>10</v>
      </c>
      <c r="K7" s="6" t="s">
        <v>11</v>
      </c>
    </row>
    <row r="8" ht="14.25" spans="1:12">
      <c r="D8" s="7" t="s">
        <v>53</v>
      </c>
      <c r="E8" s="8" t="s">
        <v>2</v>
      </c>
      <c r="F8" s="8" t="s">
        <v>2</v>
      </c>
      <c r="G8" s="8" t="s">
        <v>2</v>
      </c>
      <c r="H8" s="8" t="s">
        <v>2</v>
      </c>
      <c r="I8" s="9">
        <v>161</v>
      </c>
      <c r="J8" s="10"/>
      <c r="K8" s="10">
        <v>1241.8</v>
      </c>
    </row>
    <row r="9" spans="1:12">
      <c r="D9" s="11">
        <v>46175</v>
      </c>
      <c r="E9" s="12">
        <v>1608547</v>
      </c>
      <c r="F9" s="12" t="s">
        <v>20</v>
      </c>
      <c r="G9" s="13">
        <v>20316540</v>
      </c>
      <c r="H9" s="12" t="s">
        <v>54</v>
      </c>
      <c r="I9" s="13">
        <v>1</v>
      </c>
      <c r="J9" s="14">
        <v>5.6</v>
      </c>
      <c r="K9" s="14">
        <v>5.6</v>
      </c>
      <c r="L9">
        <f>J9/0.7</f>
        <v>8</v>
      </c>
    </row>
    <row r="10" spans="1:12">
      <c r="D10" s="11">
        <v>46175</v>
      </c>
      <c r="E10" s="12">
        <v>1608547</v>
      </c>
      <c r="F10" s="12" t="s">
        <v>20</v>
      </c>
      <c r="G10" s="13">
        <v>20316545</v>
      </c>
      <c r="H10" s="12" t="s">
        <v>55</v>
      </c>
      <c r="I10" s="13">
        <v>1</v>
      </c>
      <c r="J10" s="14">
        <v>5.6</v>
      </c>
      <c r="K10" s="14">
        <v>5.6</v>
      </c>
      <c r="L10">
        <f t="shared" ref="L10:L41" si="0">J10/0.7</f>
        <v>8</v>
      </c>
    </row>
    <row r="11" spans="1:12">
      <c r="D11" s="11">
        <v>46175</v>
      </c>
      <c r="E11" s="12">
        <v>1608547</v>
      </c>
      <c r="F11" s="12" t="s">
        <v>20</v>
      </c>
      <c r="G11" s="13">
        <v>20316709</v>
      </c>
      <c r="H11" s="12" t="s">
        <v>22</v>
      </c>
      <c r="I11" s="13">
        <v>1</v>
      </c>
      <c r="J11" s="14">
        <v>5.6</v>
      </c>
      <c r="K11" s="14">
        <v>5.6</v>
      </c>
      <c r="L11">
        <f t="shared" si="0"/>
        <v>8</v>
      </c>
    </row>
    <row r="12" spans="1:12">
      <c r="D12" s="11">
        <v>46175</v>
      </c>
      <c r="E12" s="12">
        <v>1608547</v>
      </c>
      <c r="F12" s="12" t="s">
        <v>20</v>
      </c>
      <c r="G12" s="13">
        <v>20318012</v>
      </c>
      <c r="H12" s="12" t="s">
        <v>23</v>
      </c>
      <c r="I12" s="13">
        <v>2</v>
      </c>
      <c r="J12" s="14">
        <v>7.7</v>
      </c>
      <c r="K12" s="14">
        <v>15.4</v>
      </c>
      <c r="L12">
        <f t="shared" si="0"/>
        <v>11</v>
      </c>
    </row>
    <row r="13" spans="1:12">
      <c r="D13" s="11">
        <v>46175</v>
      </c>
      <c r="E13" s="12">
        <v>1608547</v>
      </c>
      <c r="F13" s="12" t="s">
        <v>20</v>
      </c>
      <c r="G13" s="13">
        <v>20318011</v>
      </c>
      <c r="H13" s="12" t="s">
        <v>24</v>
      </c>
      <c r="I13" s="13">
        <v>2</v>
      </c>
      <c r="J13" s="14">
        <v>7.7</v>
      </c>
      <c r="K13" s="14">
        <v>15.4</v>
      </c>
      <c r="L13">
        <f t="shared" si="0"/>
        <v>11</v>
      </c>
    </row>
    <row r="14" spans="1:12">
      <c r="D14" s="11">
        <v>46175</v>
      </c>
      <c r="E14" s="12">
        <v>1608547</v>
      </c>
      <c r="F14" s="12" t="s">
        <v>20</v>
      </c>
      <c r="G14" s="13">
        <v>20332509</v>
      </c>
      <c r="H14" s="12" t="s">
        <v>32</v>
      </c>
      <c r="I14" s="13">
        <v>1</v>
      </c>
      <c r="J14" s="14">
        <v>5.6</v>
      </c>
      <c r="K14" s="14">
        <v>5.6</v>
      </c>
      <c r="L14">
        <f t="shared" si="0"/>
        <v>8</v>
      </c>
    </row>
    <row r="15" spans="1:12">
      <c r="D15" s="11">
        <v>46175</v>
      </c>
      <c r="E15" s="12">
        <v>1608547</v>
      </c>
      <c r="F15" s="12" t="s">
        <v>20</v>
      </c>
      <c r="G15" s="13">
        <v>20320558</v>
      </c>
      <c r="H15" s="12" t="s">
        <v>37</v>
      </c>
      <c r="I15" s="13">
        <v>1</v>
      </c>
      <c r="J15" s="14">
        <v>5.6</v>
      </c>
      <c r="K15" s="14">
        <v>5.6</v>
      </c>
      <c r="L15">
        <f t="shared" si="0"/>
        <v>8</v>
      </c>
    </row>
    <row r="16" spans="1:12">
      <c r="D16" s="11">
        <v>46175</v>
      </c>
      <c r="E16" s="12">
        <v>1608547</v>
      </c>
      <c r="F16" s="12" t="s">
        <v>20</v>
      </c>
      <c r="G16" s="13">
        <v>20329902</v>
      </c>
      <c r="H16" s="12" t="s">
        <v>29</v>
      </c>
      <c r="I16" s="13">
        <v>1</v>
      </c>
      <c r="J16" s="14">
        <v>5.6</v>
      </c>
      <c r="K16" s="14">
        <v>5.6</v>
      </c>
      <c r="L16">
        <f t="shared" si="0"/>
        <v>8</v>
      </c>
    </row>
    <row r="17" spans="4:12">
      <c r="D17" s="11">
        <v>46175</v>
      </c>
      <c r="E17" s="12">
        <v>1608547</v>
      </c>
      <c r="F17" s="12" t="s">
        <v>20</v>
      </c>
      <c r="G17" s="13">
        <v>20320659</v>
      </c>
      <c r="H17" s="12" t="s">
        <v>30</v>
      </c>
      <c r="I17" s="13">
        <v>2</v>
      </c>
      <c r="J17" s="14">
        <v>5.6</v>
      </c>
      <c r="K17" s="14">
        <v>11.2</v>
      </c>
      <c r="L17">
        <f t="shared" si="0"/>
        <v>8</v>
      </c>
    </row>
    <row r="18" spans="4:12">
      <c r="D18" s="11">
        <v>46175</v>
      </c>
      <c r="E18" s="12">
        <v>1608547</v>
      </c>
      <c r="F18" s="12" t="s">
        <v>20</v>
      </c>
      <c r="G18" s="13">
        <v>20316536</v>
      </c>
      <c r="H18" s="12" t="s">
        <v>31</v>
      </c>
      <c r="I18" s="13">
        <v>6</v>
      </c>
      <c r="J18" s="14">
        <v>5.6</v>
      </c>
      <c r="K18" s="14">
        <v>33.6</v>
      </c>
      <c r="L18">
        <f t="shared" si="0"/>
        <v>8</v>
      </c>
    </row>
    <row r="19" spans="4:12">
      <c r="D19" s="11">
        <v>46177</v>
      </c>
      <c r="E19" s="12">
        <v>1609311</v>
      </c>
      <c r="F19" s="12" t="s">
        <v>20</v>
      </c>
      <c r="G19" s="13">
        <v>20318012</v>
      </c>
      <c r="H19" s="12" t="s">
        <v>23</v>
      </c>
      <c r="I19" s="13">
        <v>1</v>
      </c>
      <c r="J19" s="14">
        <v>7.7</v>
      </c>
      <c r="K19" s="14">
        <v>7.7</v>
      </c>
      <c r="L19">
        <f t="shared" si="0"/>
        <v>11</v>
      </c>
    </row>
    <row r="20" spans="4:12">
      <c r="D20" s="11">
        <v>46177</v>
      </c>
      <c r="E20" s="12">
        <v>1609311</v>
      </c>
      <c r="F20" s="12" t="s">
        <v>20</v>
      </c>
      <c r="G20" s="13">
        <v>20318011</v>
      </c>
      <c r="H20" s="12" t="s">
        <v>24</v>
      </c>
      <c r="I20" s="13">
        <v>1</v>
      </c>
      <c r="J20" s="14">
        <v>7.7</v>
      </c>
      <c r="K20" s="14">
        <v>7.7</v>
      </c>
      <c r="L20">
        <f t="shared" si="0"/>
        <v>11</v>
      </c>
    </row>
    <row r="21" spans="4:12">
      <c r="D21" s="11">
        <v>46177</v>
      </c>
      <c r="E21" s="12">
        <v>1609311</v>
      </c>
      <c r="F21" s="12" t="s">
        <v>20</v>
      </c>
      <c r="G21" s="13">
        <v>20316497</v>
      </c>
      <c r="H21" s="12" t="s">
        <v>28</v>
      </c>
      <c r="I21" s="13">
        <v>1</v>
      </c>
      <c r="J21" s="14">
        <v>7.7</v>
      </c>
      <c r="K21" s="14">
        <v>7.7</v>
      </c>
      <c r="L21">
        <f t="shared" si="0"/>
        <v>11</v>
      </c>
    </row>
    <row r="22" spans="4:12">
      <c r="D22" s="11">
        <v>46177</v>
      </c>
      <c r="E22" s="12">
        <v>1609311</v>
      </c>
      <c r="F22" s="12" t="s">
        <v>20</v>
      </c>
      <c r="G22" s="13">
        <v>20320659</v>
      </c>
      <c r="H22" s="12" t="s">
        <v>30</v>
      </c>
      <c r="I22" s="13">
        <v>1</v>
      </c>
      <c r="J22" s="14">
        <v>5.6</v>
      </c>
      <c r="K22" s="14">
        <v>5.6</v>
      </c>
      <c r="L22">
        <f t="shared" si="0"/>
        <v>8</v>
      </c>
    </row>
    <row r="23" spans="4:12">
      <c r="D23" s="11">
        <v>46177</v>
      </c>
      <c r="E23" s="12">
        <v>1609311</v>
      </c>
      <c r="F23" s="12" t="s">
        <v>20</v>
      </c>
      <c r="G23" s="13">
        <v>20316819</v>
      </c>
      <c r="H23" s="12" t="s">
        <v>36</v>
      </c>
      <c r="I23" s="13">
        <v>1</v>
      </c>
      <c r="J23" s="14">
        <v>5.6</v>
      </c>
      <c r="K23" s="14">
        <v>5.6</v>
      </c>
      <c r="L23">
        <f t="shared" si="0"/>
        <v>8</v>
      </c>
    </row>
    <row r="24" spans="4:12">
      <c r="D24" s="11">
        <v>46177</v>
      </c>
      <c r="E24" s="12">
        <v>1609311</v>
      </c>
      <c r="F24" s="12" t="s">
        <v>20</v>
      </c>
      <c r="G24" s="13">
        <v>20327452</v>
      </c>
      <c r="H24" s="12" t="s">
        <v>50</v>
      </c>
      <c r="I24" s="13">
        <v>1</v>
      </c>
      <c r="J24" s="14">
        <v>5.6</v>
      </c>
      <c r="K24" s="14">
        <v>5.6</v>
      </c>
      <c r="L24">
        <f t="shared" si="0"/>
        <v>8</v>
      </c>
    </row>
    <row r="25" spans="4:12">
      <c r="D25" s="11">
        <v>46177</v>
      </c>
      <c r="E25" s="12">
        <v>1609311</v>
      </c>
      <c r="F25" s="12" t="s">
        <v>20</v>
      </c>
      <c r="G25" s="13">
        <v>20316536</v>
      </c>
      <c r="H25" s="12" t="s">
        <v>31</v>
      </c>
      <c r="I25" s="13">
        <v>1</v>
      </c>
      <c r="J25" s="14">
        <v>5.6</v>
      </c>
      <c r="K25" s="14">
        <v>5.6</v>
      </c>
      <c r="L25">
        <f t="shared" si="0"/>
        <v>8</v>
      </c>
    </row>
    <row r="26" spans="4:12">
      <c r="D26" s="11">
        <v>46179</v>
      </c>
      <c r="E26" s="12">
        <v>1609959</v>
      </c>
      <c r="F26" s="12" t="s">
        <v>20</v>
      </c>
      <c r="G26" s="13">
        <v>20316540</v>
      </c>
      <c r="H26" s="12" t="s">
        <v>54</v>
      </c>
      <c r="I26" s="13">
        <v>1</v>
      </c>
      <c r="J26" s="14">
        <v>5.6</v>
      </c>
      <c r="K26" s="14">
        <v>5.6</v>
      </c>
      <c r="L26">
        <f t="shared" si="0"/>
        <v>8</v>
      </c>
    </row>
    <row r="27" spans="4:12">
      <c r="D27" s="11">
        <v>46179</v>
      </c>
      <c r="E27" s="12">
        <v>1609959</v>
      </c>
      <c r="F27" s="12" t="s">
        <v>20</v>
      </c>
      <c r="G27" s="13">
        <v>20316545</v>
      </c>
      <c r="H27" s="12" t="s">
        <v>55</v>
      </c>
      <c r="I27" s="13">
        <v>2</v>
      </c>
      <c r="J27" s="14">
        <v>5.6</v>
      </c>
      <c r="K27" s="14">
        <v>11.2</v>
      </c>
      <c r="L27">
        <f t="shared" si="0"/>
        <v>8</v>
      </c>
    </row>
    <row r="28" spans="4:12">
      <c r="D28" s="11">
        <v>46179</v>
      </c>
      <c r="E28" s="12">
        <v>1609959</v>
      </c>
      <c r="F28" s="12" t="s">
        <v>20</v>
      </c>
      <c r="G28" s="13">
        <v>20316532</v>
      </c>
      <c r="H28" s="12" t="s">
        <v>39</v>
      </c>
      <c r="I28" s="13">
        <v>1</v>
      </c>
      <c r="J28" s="14">
        <v>5.6</v>
      </c>
      <c r="K28" s="14">
        <v>5.6</v>
      </c>
      <c r="L28">
        <f t="shared" si="0"/>
        <v>8</v>
      </c>
    </row>
    <row r="29" spans="4:12">
      <c r="D29" s="11">
        <v>46179</v>
      </c>
      <c r="E29" s="12">
        <v>1609959</v>
      </c>
      <c r="F29" s="12" t="s">
        <v>20</v>
      </c>
      <c r="G29" s="13">
        <v>20316536</v>
      </c>
      <c r="H29" s="12" t="s">
        <v>31</v>
      </c>
      <c r="I29" s="13">
        <v>6</v>
      </c>
      <c r="J29" s="14">
        <v>5.6</v>
      </c>
      <c r="K29" s="14">
        <v>33.6</v>
      </c>
      <c r="L29">
        <f t="shared" si="0"/>
        <v>8</v>
      </c>
    </row>
    <row r="30" spans="4:12">
      <c r="D30" s="11">
        <v>46182</v>
      </c>
      <c r="E30" s="12">
        <v>1610700</v>
      </c>
      <c r="F30" s="12" t="s">
        <v>20</v>
      </c>
      <c r="G30" s="13">
        <v>20318012</v>
      </c>
      <c r="H30" s="12" t="s">
        <v>23</v>
      </c>
      <c r="I30" s="13">
        <v>1</v>
      </c>
      <c r="J30" s="14">
        <v>7.7</v>
      </c>
      <c r="K30" s="14">
        <v>7.7</v>
      </c>
      <c r="L30">
        <f t="shared" si="0"/>
        <v>11</v>
      </c>
    </row>
    <row r="31" spans="4:12">
      <c r="D31" s="11">
        <v>46182</v>
      </c>
      <c r="E31" s="12">
        <v>1610700</v>
      </c>
      <c r="F31" s="12" t="s">
        <v>20</v>
      </c>
      <c r="G31" s="13">
        <v>20318011</v>
      </c>
      <c r="H31" s="12" t="s">
        <v>24</v>
      </c>
      <c r="I31" s="13">
        <v>1</v>
      </c>
      <c r="J31" s="14">
        <v>7.7</v>
      </c>
      <c r="K31" s="14">
        <v>7.7</v>
      </c>
      <c r="L31">
        <f t="shared" si="0"/>
        <v>11</v>
      </c>
    </row>
    <row r="32" spans="4:12">
      <c r="D32" s="11">
        <v>46182</v>
      </c>
      <c r="E32" s="12">
        <v>1610700</v>
      </c>
      <c r="F32" s="12" t="s">
        <v>20</v>
      </c>
      <c r="G32" s="13">
        <v>20332509</v>
      </c>
      <c r="H32" s="12" t="s">
        <v>32</v>
      </c>
      <c r="I32" s="13">
        <v>1</v>
      </c>
      <c r="J32" s="14">
        <v>5.6</v>
      </c>
      <c r="K32" s="14">
        <v>5.6</v>
      </c>
      <c r="L32">
        <f t="shared" si="0"/>
        <v>8</v>
      </c>
    </row>
    <row r="33" spans="4:12">
      <c r="D33" s="11">
        <v>46182</v>
      </c>
      <c r="E33" s="12">
        <v>1610700</v>
      </c>
      <c r="F33" s="12" t="s">
        <v>20</v>
      </c>
      <c r="G33" s="13">
        <v>20332792</v>
      </c>
      <c r="H33" s="12" t="s">
        <v>26</v>
      </c>
      <c r="I33" s="13">
        <v>1</v>
      </c>
      <c r="J33" s="14">
        <v>5.6</v>
      </c>
      <c r="K33" s="14">
        <v>5.6</v>
      </c>
      <c r="L33">
        <f t="shared" si="0"/>
        <v>8</v>
      </c>
    </row>
    <row r="34" spans="4:12">
      <c r="D34" s="11">
        <v>46182</v>
      </c>
      <c r="E34" s="12">
        <v>1610700</v>
      </c>
      <c r="F34" s="12" t="s">
        <v>20</v>
      </c>
      <c r="G34" s="13">
        <v>20320659</v>
      </c>
      <c r="H34" s="12" t="s">
        <v>30</v>
      </c>
      <c r="I34" s="13">
        <v>1</v>
      </c>
      <c r="J34" s="14">
        <v>5.6</v>
      </c>
      <c r="K34" s="14">
        <v>5.6</v>
      </c>
      <c r="L34">
        <f t="shared" si="0"/>
        <v>8</v>
      </c>
    </row>
    <row r="35" spans="4:12">
      <c r="D35" s="11">
        <v>46182</v>
      </c>
      <c r="E35" s="12">
        <v>1610700</v>
      </c>
      <c r="F35" s="12" t="s">
        <v>20</v>
      </c>
      <c r="G35" s="13">
        <v>20316819</v>
      </c>
      <c r="H35" s="12" t="s">
        <v>36</v>
      </c>
      <c r="I35" s="13">
        <v>1</v>
      </c>
      <c r="J35" s="14">
        <v>5.6</v>
      </c>
      <c r="K35" s="14">
        <v>5.6</v>
      </c>
      <c r="L35">
        <f t="shared" si="0"/>
        <v>8</v>
      </c>
    </row>
    <row r="36" spans="4:12">
      <c r="D36" s="11">
        <v>46182</v>
      </c>
      <c r="E36" s="12">
        <v>1610700</v>
      </c>
      <c r="F36" s="12" t="s">
        <v>20</v>
      </c>
      <c r="G36" s="13">
        <v>20316536</v>
      </c>
      <c r="H36" s="12" t="s">
        <v>31</v>
      </c>
      <c r="I36" s="13">
        <v>2</v>
      </c>
      <c r="J36" s="14">
        <v>5.6</v>
      </c>
      <c r="K36" s="14">
        <v>11.2</v>
      </c>
      <c r="L36">
        <f t="shared" si="0"/>
        <v>8</v>
      </c>
    </row>
    <row r="37" spans="4:12">
      <c r="D37" s="11">
        <v>46184</v>
      </c>
      <c r="E37" s="12">
        <v>1611453</v>
      </c>
      <c r="F37" s="12" t="s">
        <v>20</v>
      </c>
      <c r="G37" s="13">
        <v>20316820</v>
      </c>
      <c r="H37" s="12" t="s">
        <v>21</v>
      </c>
      <c r="I37" s="13">
        <v>1</v>
      </c>
      <c r="J37" s="14">
        <v>5.6</v>
      </c>
      <c r="K37" s="14">
        <v>5.6</v>
      </c>
      <c r="L37">
        <f t="shared" si="0"/>
        <v>8</v>
      </c>
    </row>
    <row r="38" spans="4:12">
      <c r="D38" s="11">
        <v>46184</v>
      </c>
      <c r="E38" s="12">
        <v>1611453</v>
      </c>
      <c r="F38" s="12" t="s">
        <v>20</v>
      </c>
      <c r="G38" s="13">
        <v>20318012</v>
      </c>
      <c r="H38" s="12" t="s">
        <v>23</v>
      </c>
      <c r="I38" s="13">
        <v>6</v>
      </c>
      <c r="J38" s="14">
        <v>7.7</v>
      </c>
      <c r="K38" s="14">
        <v>46.2</v>
      </c>
      <c r="L38">
        <f t="shared" si="0"/>
        <v>11</v>
      </c>
    </row>
    <row r="39" spans="4:12">
      <c r="D39" s="11">
        <v>46184</v>
      </c>
      <c r="E39" s="12">
        <v>1611453</v>
      </c>
      <c r="F39" s="12" t="s">
        <v>20</v>
      </c>
      <c r="G39" s="13">
        <v>20318011</v>
      </c>
      <c r="H39" s="12" t="s">
        <v>24</v>
      </c>
      <c r="I39" s="13">
        <v>2</v>
      </c>
      <c r="J39" s="14">
        <v>7.7</v>
      </c>
      <c r="K39" s="14">
        <v>15.4</v>
      </c>
      <c r="L39">
        <f t="shared" si="0"/>
        <v>11</v>
      </c>
    </row>
    <row r="40" spans="4:12">
      <c r="D40" s="11">
        <v>46184</v>
      </c>
      <c r="E40" s="12">
        <v>1611453</v>
      </c>
      <c r="F40" s="12" t="s">
        <v>20</v>
      </c>
      <c r="G40" s="13">
        <v>20332509</v>
      </c>
      <c r="H40" s="12" t="s">
        <v>32</v>
      </c>
      <c r="I40" s="13">
        <v>1</v>
      </c>
      <c r="J40" s="14">
        <v>5.6</v>
      </c>
      <c r="K40" s="14">
        <v>5.6</v>
      </c>
      <c r="L40">
        <f t="shared" si="0"/>
        <v>8</v>
      </c>
    </row>
    <row r="41" spans="4:12">
      <c r="D41" s="11">
        <v>46184</v>
      </c>
      <c r="E41" s="12">
        <v>1611453</v>
      </c>
      <c r="F41" s="12" t="s">
        <v>20</v>
      </c>
      <c r="G41" s="13">
        <v>20320558</v>
      </c>
      <c r="H41" s="12" t="s">
        <v>37</v>
      </c>
      <c r="I41" s="13">
        <v>2</v>
      </c>
      <c r="J41" s="14">
        <v>5.6</v>
      </c>
      <c r="K41" s="14">
        <v>11.2</v>
      </c>
      <c r="L41">
        <f t="shared" si="0"/>
        <v>8</v>
      </c>
    </row>
    <row r="42" spans="4:12">
      <c r="D42" s="11">
        <v>46184</v>
      </c>
      <c r="E42" s="12">
        <v>1611453</v>
      </c>
      <c r="F42" s="12" t="s">
        <v>20</v>
      </c>
      <c r="G42" s="13">
        <v>20332793</v>
      </c>
      <c r="H42" s="12" t="s">
        <v>49</v>
      </c>
      <c r="I42" s="13">
        <v>1</v>
      </c>
      <c r="J42" s="14">
        <v>5.6</v>
      </c>
      <c r="K42" s="14">
        <v>5.6</v>
      </c>
      <c r="L42">
        <f t="shared" ref="L42:L73" si="1">J42/0.7</f>
        <v>8</v>
      </c>
    </row>
    <row r="43" spans="4:12">
      <c r="D43" s="11">
        <v>46184</v>
      </c>
      <c r="E43" s="12">
        <v>1611453</v>
      </c>
      <c r="F43" s="12" t="s">
        <v>20</v>
      </c>
      <c r="G43" s="13">
        <v>20316506</v>
      </c>
      <c r="H43" s="12" t="s">
        <v>27</v>
      </c>
      <c r="I43" s="13">
        <v>1</v>
      </c>
      <c r="J43" s="14">
        <v>5.6</v>
      </c>
      <c r="K43" s="14">
        <v>5.6</v>
      </c>
      <c r="L43">
        <f t="shared" si="1"/>
        <v>8</v>
      </c>
    </row>
    <row r="44" spans="4:12">
      <c r="D44" s="11">
        <v>46184</v>
      </c>
      <c r="E44" s="12">
        <v>1611453</v>
      </c>
      <c r="F44" s="12" t="s">
        <v>20</v>
      </c>
      <c r="G44" s="13">
        <v>20316497</v>
      </c>
      <c r="H44" s="12" t="s">
        <v>28</v>
      </c>
      <c r="I44" s="13">
        <v>1</v>
      </c>
      <c r="J44" s="14">
        <v>7.7</v>
      </c>
      <c r="K44" s="14">
        <v>7.7</v>
      </c>
      <c r="L44">
        <f t="shared" si="1"/>
        <v>11</v>
      </c>
    </row>
    <row r="45" spans="4:12">
      <c r="D45" s="11">
        <v>46184</v>
      </c>
      <c r="E45" s="12">
        <v>1611453</v>
      </c>
      <c r="F45" s="12" t="s">
        <v>20</v>
      </c>
      <c r="G45" s="13">
        <v>20329902</v>
      </c>
      <c r="H45" s="12" t="s">
        <v>29</v>
      </c>
      <c r="I45" s="13">
        <v>2</v>
      </c>
      <c r="J45" s="14">
        <v>5.6</v>
      </c>
      <c r="K45" s="14">
        <v>11.2</v>
      </c>
      <c r="L45">
        <f t="shared" si="1"/>
        <v>8</v>
      </c>
    </row>
    <row r="46" spans="4:12">
      <c r="D46" s="11">
        <v>46184</v>
      </c>
      <c r="E46" s="12">
        <v>1611453</v>
      </c>
      <c r="F46" s="12" t="s">
        <v>20</v>
      </c>
      <c r="G46" s="13">
        <v>20316500</v>
      </c>
      <c r="H46" s="12" t="s">
        <v>34</v>
      </c>
      <c r="I46" s="13">
        <v>1</v>
      </c>
      <c r="J46" s="14">
        <v>7.7</v>
      </c>
      <c r="K46" s="14">
        <v>7.7</v>
      </c>
      <c r="L46">
        <f t="shared" si="1"/>
        <v>11</v>
      </c>
    </row>
    <row r="47" spans="4:12">
      <c r="D47" s="11">
        <v>46184</v>
      </c>
      <c r="E47" s="12">
        <v>1611453</v>
      </c>
      <c r="F47" s="12" t="s">
        <v>20</v>
      </c>
      <c r="G47" s="13">
        <v>20320659</v>
      </c>
      <c r="H47" s="12" t="s">
        <v>30</v>
      </c>
      <c r="I47" s="13">
        <v>6</v>
      </c>
      <c r="J47" s="14">
        <v>5.6</v>
      </c>
      <c r="K47" s="14">
        <v>33.6</v>
      </c>
      <c r="L47">
        <f t="shared" si="1"/>
        <v>8</v>
      </c>
    </row>
    <row r="48" spans="4:12">
      <c r="D48" s="11">
        <v>46184</v>
      </c>
      <c r="E48" s="12">
        <v>1611453</v>
      </c>
      <c r="F48" s="12" t="s">
        <v>20</v>
      </c>
      <c r="G48" s="13">
        <v>20316708</v>
      </c>
      <c r="H48" s="12" t="s">
        <v>35</v>
      </c>
      <c r="I48" s="13">
        <v>1</v>
      </c>
      <c r="J48" s="14">
        <v>5.6</v>
      </c>
      <c r="K48" s="14">
        <v>5.6</v>
      </c>
      <c r="L48">
        <f t="shared" si="1"/>
        <v>8</v>
      </c>
    </row>
    <row r="49" spans="4:12">
      <c r="D49" s="11">
        <v>46184</v>
      </c>
      <c r="E49" s="12">
        <v>1611453</v>
      </c>
      <c r="F49" s="12" t="s">
        <v>20</v>
      </c>
      <c r="G49" s="13">
        <v>20327452</v>
      </c>
      <c r="H49" s="12" t="s">
        <v>50</v>
      </c>
      <c r="I49" s="13">
        <v>1</v>
      </c>
      <c r="J49" s="14">
        <v>5.6</v>
      </c>
      <c r="K49" s="14">
        <v>5.6</v>
      </c>
      <c r="L49">
        <f t="shared" si="1"/>
        <v>8</v>
      </c>
    </row>
    <row r="50" spans="4:12">
      <c r="D50" s="11">
        <v>46184</v>
      </c>
      <c r="E50" s="12">
        <v>1611453</v>
      </c>
      <c r="F50" s="12" t="s">
        <v>20</v>
      </c>
      <c r="G50" s="13">
        <v>20316536</v>
      </c>
      <c r="H50" s="12" t="s">
        <v>31</v>
      </c>
      <c r="I50" s="13">
        <v>3</v>
      </c>
      <c r="J50" s="14">
        <v>5.6</v>
      </c>
      <c r="K50" s="14">
        <v>16.8</v>
      </c>
      <c r="L50">
        <f t="shared" si="1"/>
        <v>8</v>
      </c>
    </row>
    <row r="51" spans="4:12">
      <c r="D51" s="11">
        <v>46186</v>
      </c>
      <c r="E51" s="12">
        <v>1612007</v>
      </c>
      <c r="F51" s="12" t="s">
        <v>20</v>
      </c>
      <c r="G51" s="13">
        <v>20318012</v>
      </c>
      <c r="H51" s="12" t="s">
        <v>23</v>
      </c>
      <c r="I51" s="13">
        <v>1</v>
      </c>
      <c r="J51" s="14">
        <v>7.7</v>
      </c>
      <c r="K51" s="14">
        <v>7.7</v>
      </c>
      <c r="L51">
        <f t="shared" si="1"/>
        <v>11</v>
      </c>
    </row>
    <row r="52" spans="4:12">
      <c r="D52" s="11">
        <v>46186</v>
      </c>
      <c r="E52" s="12">
        <v>1612007</v>
      </c>
      <c r="F52" s="12" t="s">
        <v>20</v>
      </c>
      <c r="G52" s="13">
        <v>20316532</v>
      </c>
      <c r="H52" s="12" t="s">
        <v>39</v>
      </c>
      <c r="I52" s="13">
        <v>1</v>
      </c>
      <c r="J52" s="14">
        <v>5.6</v>
      </c>
      <c r="K52" s="14">
        <v>5.6</v>
      </c>
      <c r="L52">
        <f t="shared" si="1"/>
        <v>8</v>
      </c>
    </row>
    <row r="53" spans="4:12">
      <c r="D53" s="11">
        <v>46186</v>
      </c>
      <c r="E53" s="12">
        <v>1612007</v>
      </c>
      <c r="F53" s="12" t="s">
        <v>20</v>
      </c>
      <c r="G53" s="13">
        <v>20318011</v>
      </c>
      <c r="H53" s="12" t="s">
        <v>24</v>
      </c>
      <c r="I53" s="13">
        <v>1</v>
      </c>
      <c r="J53" s="14">
        <v>7.7</v>
      </c>
      <c r="K53" s="14">
        <v>7.7</v>
      </c>
      <c r="L53">
        <f t="shared" si="1"/>
        <v>11</v>
      </c>
    </row>
    <row r="54" spans="4:12">
      <c r="D54" s="11">
        <v>46186</v>
      </c>
      <c r="E54" s="12">
        <v>1612007</v>
      </c>
      <c r="F54" s="12" t="s">
        <v>20</v>
      </c>
      <c r="G54" s="13">
        <v>20332509</v>
      </c>
      <c r="H54" s="12" t="s">
        <v>32</v>
      </c>
      <c r="I54" s="13">
        <v>1</v>
      </c>
      <c r="J54" s="14">
        <v>5.6</v>
      </c>
      <c r="K54" s="14">
        <v>5.6</v>
      </c>
      <c r="L54">
        <f t="shared" si="1"/>
        <v>8</v>
      </c>
    </row>
    <row r="55" spans="4:12">
      <c r="D55" s="11">
        <v>46186</v>
      </c>
      <c r="E55" s="12">
        <v>1612007</v>
      </c>
      <c r="F55" s="12" t="s">
        <v>20</v>
      </c>
      <c r="G55" s="13">
        <v>20347321</v>
      </c>
      <c r="H55" s="12" t="s">
        <v>48</v>
      </c>
      <c r="I55" s="13">
        <v>1</v>
      </c>
      <c r="J55" s="14">
        <v>5.6</v>
      </c>
      <c r="K55" s="14">
        <v>5.6</v>
      </c>
      <c r="L55">
        <f t="shared" si="1"/>
        <v>8</v>
      </c>
    </row>
    <row r="56" spans="4:12">
      <c r="D56" s="11">
        <v>46186</v>
      </c>
      <c r="E56" s="12">
        <v>1612007</v>
      </c>
      <c r="F56" s="12" t="s">
        <v>20</v>
      </c>
      <c r="G56" s="13">
        <v>20332793</v>
      </c>
      <c r="H56" s="12" t="s">
        <v>49</v>
      </c>
      <c r="I56" s="13">
        <v>1</v>
      </c>
      <c r="J56" s="14">
        <v>5.6</v>
      </c>
      <c r="K56" s="14">
        <v>5.6</v>
      </c>
      <c r="L56">
        <f t="shared" si="1"/>
        <v>8</v>
      </c>
    </row>
    <row r="57" spans="4:12">
      <c r="D57" s="11">
        <v>46186</v>
      </c>
      <c r="E57" s="12">
        <v>1612007</v>
      </c>
      <c r="F57" s="12" t="s">
        <v>20</v>
      </c>
      <c r="G57" s="13">
        <v>20320659</v>
      </c>
      <c r="H57" s="12" t="s">
        <v>30</v>
      </c>
      <c r="I57" s="13">
        <v>1</v>
      </c>
      <c r="J57" s="14">
        <v>5.6</v>
      </c>
      <c r="K57" s="14">
        <v>5.6</v>
      </c>
      <c r="L57">
        <f t="shared" si="1"/>
        <v>8</v>
      </c>
    </row>
    <row r="58" spans="4:12">
      <c r="D58" s="11">
        <v>46186</v>
      </c>
      <c r="E58" s="12">
        <v>1612007</v>
      </c>
      <c r="F58" s="12" t="s">
        <v>20</v>
      </c>
      <c r="G58" s="13">
        <v>20327452</v>
      </c>
      <c r="H58" s="12" t="s">
        <v>50</v>
      </c>
      <c r="I58" s="13">
        <v>1</v>
      </c>
      <c r="J58" s="14">
        <v>5.6</v>
      </c>
      <c r="K58" s="14">
        <v>5.6</v>
      </c>
      <c r="L58">
        <f t="shared" si="1"/>
        <v>8</v>
      </c>
    </row>
    <row r="59" spans="4:12">
      <c r="D59" s="11">
        <v>46186</v>
      </c>
      <c r="E59" s="12">
        <v>1612007</v>
      </c>
      <c r="F59" s="12" t="s">
        <v>20</v>
      </c>
      <c r="G59" s="13">
        <v>20316536</v>
      </c>
      <c r="H59" s="12" t="s">
        <v>31</v>
      </c>
      <c r="I59" s="13">
        <v>1</v>
      </c>
      <c r="J59" s="14">
        <v>5.6</v>
      </c>
      <c r="K59" s="14">
        <v>5.6</v>
      </c>
      <c r="L59">
        <f t="shared" si="1"/>
        <v>8</v>
      </c>
    </row>
    <row r="60" spans="4:12">
      <c r="D60" s="11">
        <v>46189</v>
      </c>
      <c r="E60" s="12">
        <v>1612658</v>
      </c>
      <c r="F60" s="12" t="s">
        <v>20</v>
      </c>
      <c r="G60" s="13">
        <v>20316709</v>
      </c>
      <c r="H60" s="12" t="s">
        <v>22</v>
      </c>
      <c r="I60" s="13">
        <v>2</v>
      </c>
      <c r="J60" s="14">
        <v>5.6</v>
      </c>
      <c r="K60" s="14">
        <v>11.2</v>
      </c>
      <c r="L60">
        <f t="shared" si="1"/>
        <v>8</v>
      </c>
    </row>
    <row r="61" spans="4:12">
      <c r="D61" s="11">
        <v>46189</v>
      </c>
      <c r="E61" s="12">
        <v>1612658</v>
      </c>
      <c r="F61" s="12" t="s">
        <v>20</v>
      </c>
      <c r="G61" s="13">
        <v>20318012</v>
      </c>
      <c r="H61" s="12" t="s">
        <v>23</v>
      </c>
      <c r="I61" s="13">
        <v>5</v>
      </c>
      <c r="J61" s="14">
        <v>7.7</v>
      </c>
      <c r="K61" s="14">
        <v>38.5</v>
      </c>
      <c r="L61">
        <f t="shared" si="1"/>
        <v>11</v>
      </c>
    </row>
    <row r="62" spans="4:12">
      <c r="D62" s="11">
        <v>46189</v>
      </c>
      <c r="E62" s="12">
        <v>1612658</v>
      </c>
      <c r="F62" s="12" t="s">
        <v>20</v>
      </c>
      <c r="G62" s="13">
        <v>20318011</v>
      </c>
      <c r="H62" s="12" t="s">
        <v>24</v>
      </c>
      <c r="I62" s="13">
        <v>4</v>
      </c>
      <c r="J62" s="14">
        <v>7.7</v>
      </c>
      <c r="K62" s="14">
        <v>30.8</v>
      </c>
      <c r="L62">
        <f t="shared" si="1"/>
        <v>11</v>
      </c>
    </row>
    <row r="63" spans="4:12">
      <c r="D63" s="11">
        <v>46189</v>
      </c>
      <c r="E63" s="12">
        <v>1612658</v>
      </c>
      <c r="F63" s="12" t="s">
        <v>20</v>
      </c>
      <c r="G63" s="13">
        <v>20316522</v>
      </c>
      <c r="H63" s="12" t="s">
        <v>41</v>
      </c>
      <c r="I63" s="13">
        <v>1</v>
      </c>
      <c r="J63" s="14">
        <v>5.6</v>
      </c>
      <c r="K63" s="14">
        <v>5.6</v>
      </c>
      <c r="L63">
        <f t="shared" si="1"/>
        <v>8</v>
      </c>
    </row>
    <row r="64" spans="4:12">
      <c r="D64" s="11">
        <v>46189</v>
      </c>
      <c r="E64" s="12">
        <v>1612658</v>
      </c>
      <c r="F64" s="12" t="s">
        <v>20</v>
      </c>
      <c r="G64" s="13">
        <v>20320558</v>
      </c>
      <c r="H64" s="12" t="s">
        <v>37</v>
      </c>
      <c r="I64" s="13">
        <v>1</v>
      </c>
      <c r="J64" s="14">
        <v>5.6</v>
      </c>
      <c r="K64" s="14">
        <v>5.6</v>
      </c>
      <c r="L64">
        <f t="shared" si="1"/>
        <v>8</v>
      </c>
    </row>
    <row r="65" spans="4:12">
      <c r="D65" s="11">
        <v>46189</v>
      </c>
      <c r="E65" s="12">
        <v>1612658</v>
      </c>
      <c r="F65" s="12" t="s">
        <v>20</v>
      </c>
      <c r="G65" s="13">
        <v>20316516</v>
      </c>
      <c r="H65" s="12" t="s">
        <v>38</v>
      </c>
      <c r="I65" s="13">
        <v>1</v>
      </c>
      <c r="J65" s="14">
        <v>5.6</v>
      </c>
      <c r="K65" s="14">
        <v>5.6</v>
      </c>
      <c r="L65">
        <f t="shared" si="1"/>
        <v>8</v>
      </c>
    </row>
    <row r="66" spans="4:12">
      <c r="D66" s="11">
        <v>46189</v>
      </c>
      <c r="E66" s="12">
        <v>1612658</v>
      </c>
      <c r="F66" s="12" t="s">
        <v>20</v>
      </c>
      <c r="G66" s="13">
        <v>20329902</v>
      </c>
      <c r="H66" s="12" t="s">
        <v>29</v>
      </c>
      <c r="I66" s="13">
        <v>4</v>
      </c>
      <c r="J66" s="14">
        <v>5.6</v>
      </c>
      <c r="K66" s="14">
        <v>22.4</v>
      </c>
      <c r="L66">
        <f t="shared" si="1"/>
        <v>8</v>
      </c>
    </row>
    <row r="67" spans="4:12">
      <c r="D67" s="11">
        <v>46189</v>
      </c>
      <c r="E67" s="12">
        <v>1612658</v>
      </c>
      <c r="F67" s="12" t="s">
        <v>20</v>
      </c>
      <c r="G67" s="13">
        <v>20320659</v>
      </c>
      <c r="H67" s="12" t="s">
        <v>30</v>
      </c>
      <c r="I67" s="13">
        <v>5</v>
      </c>
      <c r="J67" s="14">
        <v>5.6</v>
      </c>
      <c r="K67" s="14">
        <v>28</v>
      </c>
      <c r="L67">
        <f t="shared" si="1"/>
        <v>8</v>
      </c>
    </row>
    <row r="68" spans="4:12">
      <c r="D68" s="11">
        <v>46189</v>
      </c>
      <c r="E68" s="12">
        <v>1612658</v>
      </c>
      <c r="F68" s="12" t="s">
        <v>20</v>
      </c>
      <c r="G68" s="13">
        <v>20316708</v>
      </c>
      <c r="H68" s="12" t="s">
        <v>35</v>
      </c>
      <c r="I68" s="13">
        <v>1</v>
      </c>
      <c r="J68" s="14">
        <v>5.6</v>
      </c>
      <c r="K68" s="14">
        <v>5.6</v>
      </c>
      <c r="L68">
        <f t="shared" si="1"/>
        <v>8</v>
      </c>
    </row>
    <row r="69" spans="4:12">
      <c r="D69" s="11">
        <v>46189</v>
      </c>
      <c r="E69" s="12">
        <v>1612658</v>
      </c>
      <c r="F69" s="12" t="s">
        <v>20</v>
      </c>
      <c r="G69" s="13">
        <v>20316819</v>
      </c>
      <c r="H69" s="12" t="s">
        <v>36</v>
      </c>
      <c r="I69" s="13">
        <v>1</v>
      </c>
      <c r="J69" s="14">
        <v>5.6</v>
      </c>
      <c r="K69" s="14">
        <v>5.6</v>
      </c>
      <c r="L69">
        <f t="shared" si="1"/>
        <v>8</v>
      </c>
    </row>
    <row r="70" spans="4:12">
      <c r="D70" s="11">
        <v>46189</v>
      </c>
      <c r="E70" s="12">
        <v>1612658</v>
      </c>
      <c r="F70" s="12" t="s">
        <v>20</v>
      </c>
      <c r="G70" s="13">
        <v>20316536</v>
      </c>
      <c r="H70" s="12" t="s">
        <v>31</v>
      </c>
      <c r="I70" s="13">
        <v>1</v>
      </c>
      <c r="J70" s="14">
        <v>5.6</v>
      </c>
      <c r="K70" s="14">
        <v>5.6</v>
      </c>
      <c r="L70">
        <f t="shared" si="1"/>
        <v>8</v>
      </c>
    </row>
    <row r="71" spans="4:12">
      <c r="D71" s="11">
        <v>46191</v>
      </c>
      <c r="E71" s="12">
        <v>1613435</v>
      </c>
      <c r="F71" s="12" t="s">
        <v>13</v>
      </c>
      <c r="G71" s="13">
        <v>20316517</v>
      </c>
      <c r="H71" s="12" t="s">
        <v>17</v>
      </c>
      <c r="I71" s="13">
        <v>2</v>
      </c>
      <c r="J71" s="14">
        <v>42.35</v>
      </c>
      <c r="K71" s="14">
        <v>84.7</v>
      </c>
      <c r="L71">
        <f t="shared" si="1"/>
        <v>60.5</v>
      </c>
    </row>
    <row r="72" spans="4:12">
      <c r="D72" s="11">
        <v>46193</v>
      </c>
      <c r="E72" s="12">
        <v>1613777</v>
      </c>
      <c r="F72" s="12" t="s">
        <v>20</v>
      </c>
      <c r="G72" s="13">
        <v>20318012</v>
      </c>
      <c r="H72" s="12" t="s">
        <v>23</v>
      </c>
      <c r="I72" s="13">
        <v>1</v>
      </c>
      <c r="J72" s="14">
        <v>7.7</v>
      </c>
      <c r="K72" s="14">
        <v>7.7</v>
      </c>
      <c r="L72">
        <f t="shared" si="1"/>
        <v>11</v>
      </c>
    </row>
    <row r="73" spans="4:12">
      <c r="D73" s="11">
        <v>46193</v>
      </c>
      <c r="E73" s="12">
        <v>1613777</v>
      </c>
      <c r="F73" s="12" t="s">
        <v>20</v>
      </c>
      <c r="G73" s="13">
        <v>20316522</v>
      </c>
      <c r="H73" s="12" t="s">
        <v>41</v>
      </c>
      <c r="I73" s="13">
        <v>1</v>
      </c>
      <c r="J73" s="14">
        <v>5.6</v>
      </c>
      <c r="K73" s="14">
        <v>5.6</v>
      </c>
      <c r="L73">
        <f t="shared" si="1"/>
        <v>8</v>
      </c>
    </row>
    <row r="74" spans="4:12">
      <c r="D74" s="11">
        <v>46193</v>
      </c>
      <c r="E74" s="12">
        <v>1613777</v>
      </c>
      <c r="F74" s="12" t="s">
        <v>20</v>
      </c>
      <c r="G74" s="13">
        <v>20329902</v>
      </c>
      <c r="H74" s="12" t="s">
        <v>29</v>
      </c>
      <c r="I74" s="13">
        <v>1</v>
      </c>
      <c r="J74" s="14">
        <v>5.6</v>
      </c>
      <c r="K74" s="14">
        <v>5.6</v>
      </c>
      <c r="L74">
        <f t="shared" ref="L74:L111" si="2">J74/0.7</f>
        <v>8</v>
      </c>
    </row>
    <row r="75" spans="4:12">
      <c r="D75" s="11">
        <v>46193</v>
      </c>
      <c r="E75" s="12">
        <v>1613777</v>
      </c>
      <c r="F75" s="12" t="s">
        <v>20</v>
      </c>
      <c r="G75" s="13">
        <v>20316500</v>
      </c>
      <c r="H75" s="12" t="s">
        <v>34</v>
      </c>
      <c r="I75" s="13">
        <v>1</v>
      </c>
      <c r="J75" s="14">
        <v>7.7</v>
      </c>
      <c r="K75" s="14">
        <v>7.7</v>
      </c>
      <c r="L75">
        <f t="shared" si="2"/>
        <v>11</v>
      </c>
    </row>
    <row r="76" spans="4:12">
      <c r="D76" s="11">
        <v>46193</v>
      </c>
      <c r="E76" s="12">
        <v>1613777</v>
      </c>
      <c r="F76" s="12" t="s">
        <v>20</v>
      </c>
      <c r="G76" s="13">
        <v>20320659</v>
      </c>
      <c r="H76" s="12" t="s">
        <v>30</v>
      </c>
      <c r="I76" s="13">
        <v>1</v>
      </c>
      <c r="J76" s="14">
        <v>5.6</v>
      </c>
      <c r="K76" s="14">
        <v>5.6</v>
      </c>
      <c r="L76">
        <f t="shared" si="2"/>
        <v>8</v>
      </c>
    </row>
    <row r="77" spans="4:12">
      <c r="D77" s="11">
        <v>46193</v>
      </c>
      <c r="E77" s="12">
        <v>1613777</v>
      </c>
      <c r="F77" s="12" t="s">
        <v>20</v>
      </c>
      <c r="G77" s="13">
        <v>20316819</v>
      </c>
      <c r="H77" s="12" t="s">
        <v>36</v>
      </c>
      <c r="I77" s="13">
        <v>1</v>
      </c>
      <c r="J77" s="14">
        <v>5.6</v>
      </c>
      <c r="K77" s="14">
        <v>5.6</v>
      </c>
      <c r="L77">
        <f t="shared" si="2"/>
        <v>8</v>
      </c>
    </row>
    <row r="78" spans="4:12">
      <c r="D78" s="11">
        <v>46193</v>
      </c>
      <c r="E78" s="12">
        <v>1613777</v>
      </c>
      <c r="F78" s="12" t="s">
        <v>13</v>
      </c>
      <c r="G78" s="13">
        <v>20316517</v>
      </c>
      <c r="H78" s="12" t="s">
        <v>17</v>
      </c>
      <c r="I78" s="13">
        <v>2</v>
      </c>
      <c r="J78" s="14">
        <v>42.35</v>
      </c>
      <c r="K78" s="14">
        <v>84.7</v>
      </c>
      <c r="L78">
        <f t="shared" si="2"/>
        <v>60.5</v>
      </c>
    </row>
    <row r="79" spans="4:12">
      <c r="D79" s="11">
        <v>46193</v>
      </c>
      <c r="E79" s="12">
        <v>1613777</v>
      </c>
      <c r="F79" s="12" t="s">
        <v>13</v>
      </c>
      <c r="G79" s="13">
        <v>20316511</v>
      </c>
      <c r="H79" s="12" t="s">
        <v>18</v>
      </c>
      <c r="I79" s="13">
        <v>1</v>
      </c>
      <c r="J79" s="14">
        <v>65.45</v>
      </c>
      <c r="K79" s="14">
        <v>65.45</v>
      </c>
      <c r="L79">
        <f t="shared" si="2"/>
        <v>93.5</v>
      </c>
    </row>
    <row r="80" spans="4:12">
      <c r="D80" s="11">
        <v>46196</v>
      </c>
      <c r="E80" s="12">
        <v>1614453</v>
      </c>
      <c r="F80" s="12" t="s">
        <v>20</v>
      </c>
      <c r="G80" s="13">
        <v>20318012</v>
      </c>
      <c r="H80" s="12" t="s">
        <v>23</v>
      </c>
      <c r="I80" s="13">
        <v>2</v>
      </c>
      <c r="J80" s="14">
        <v>7.7</v>
      </c>
      <c r="K80" s="14">
        <v>15.4</v>
      </c>
      <c r="L80">
        <f t="shared" si="2"/>
        <v>11</v>
      </c>
    </row>
    <row r="81" spans="4:12">
      <c r="D81" s="11">
        <v>46196</v>
      </c>
      <c r="E81" s="12">
        <v>1614453</v>
      </c>
      <c r="F81" s="12" t="s">
        <v>20</v>
      </c>
      <c r="G81" s="13">
        <v>20318011</v>
      </c>
      <c r="H81" s="12" t="s">
        <v>24</v>
      </c>
      <c r="I81" s="13">
        <v>1</v>
      </c>
      <c r="J81" s="14">
        <v>7.7</v>
      </c>
      <c r="K81" s="14">
        <v>7.7</v>
      </c>
      <c r="L81">
        <f t="shared" si="2"/>
        <v>11</v>
      </c>
    </row>
    <row r="82" spans="4:12">
      <c r="D82" s="11">
        <v>46196</v>
      </c>
      <c r="E82" s="12">
        <v>1614453</v>
      </c>
      <c r="F82" s="12" t="s">
        <v>20</v>
      </c>
      <c r="G82" s="13">
        <v>20332509</v>
      </c>
      <c r="H82" s="12" t="s">
        <v>32</v>
      </c>
      <c r="I82" s="13">
        <v>1</v>
      </c>
      <c r="J82" s="14">
        <v>5.6</v>
      </c>
      <c r="K82" s="14">
        <v>5.6</v>
      </c>
      <c r="L82">
        <f t="shared" si="2"/>
        <v>8</v>
      </c>
    </row>
    <row r="83" spans="4:12">
      <c r="D83" s="11">
        <v>46196</v>
      </c>
      <c r="E83" s="12">
        <v>1614453</v>
      </c>
      <c r="F83" s="12" t="s">
        <v>20</v>
      </c>
      <c r="G83" s="13">
        <v>20320558</v>
      </c>
      <c r="H83" s="12" t="s">
        <v>37</v>
      </c>
      <c r="I83" s="13">
        <v>2</v>
      </c>
      <c r="J83" s="14">
        <v>5.6</v>
      </c>
      <c r="K83" s="14">
        <v>11.2</v>
      </c>
      <c r="L83">
        <f t="shared" si="2"/>
        <v>8</v>
      </c>
    </row>
    <row r="84" spans="4:12">
      <c r="D84" s="11">
        <v>46196</v>
      </c>
      <c r="E84" s="12">
        <v>1614453</v>
      </c>
      <c r="F84" s="12" t="s">
        <v>20</v>
      </c>
      <c r="G84" s="13">
        <v>20332792</v>
      </c>
      <c r="H84" s="12" t="s">
        <v>26</v>
      </c>
      <c r="I84" s="13">
        <v>1</v>
      </c>
      <c r="J84" s="14">
        <v>5.6</v>
      </c>
      <c r="K84" s="14">
        <v>5.6</v>
      </c>
      <c r="L84">
        <f t="shared" si="2"/>
        <v>8</v>
      </c>
    </row>
    <row r="85" spans="4:12">
      <c r="D85" s="11">
        <v>46196</v>
      </c>
      <c r="E85" s="12">
        <v>1614453</v>
      </c>
      <c r="F85" s="12" t="s">
        <v>20</v>
      </c>
      <c r="G85" s="13">
        <v>20316516</v>
      </c>
      <c r="H85" s="12" t="s">
        <v>38</v>
      </c>
      <c r="I85" s="13">
        <v>1</v>
      </c>
      <c r="J85" s="14">
        <v>5.6</v>
      </c>
      <c r="K85" s="14">
        <v>5.6</v>
      </c>
      <c r="L85">
        <f t="shared" si="2"/>
        <v>8</v>
      </c>
    </row>
    <row r="86" spans="4:12">
      <c r="D86" s="11">
        <v>46196</v>
      </c>
      <c r="E86" s="12">
        <v>1614453</v>
      </c>
      <c r="F86" s="12" t="s">
        <v>20</v>
      </c>
      <c r="G86" s="13">
        <v>20347321</v>
      </c>
      <c r="H86" s="12" t="s">
        <v>48</v>
      </c>
      <c r="I86" s="13">
        <v>1</v>
      </c>
      <c r="J86" s="14">
        <v>5.6</v>
      </c>
      <c r="K86" s="14">
        <v>5.6</v>
      </c>
      <c r="L86">
        <f t="shared" si="2"/>
        <v>8</v>
      </c>
    </row>
    <row r="87" spans="4:12">
      <c r="D87" s="11">
        <v>46196</v>
      </c>
      <c r="E87" s="12">
        <v>1614453</v>
      </c>
      <c r="F87" s="12" t="s">
        <v>20</v>
      </c>
      <c r="G87" s="13">
        <v>20332793</v>
      </c>
      <c r="H87" s="12" t="s">
        <v>49</v>
      </c>
      <c r="I87" s="13">
        <v>1</v>
      </c>
      <c r="J87" s="14">
        <v>5.6</v>
      </c>
      <c r="K87" s="14">
        <v>5.6</v>
      </c>
      <c r="L87">
        <f t="shared" si="2"/>
        <v>8</v>
      </c>
    </row>
    <row r="88" spans="4:12">
      <c r="D88" s="11">
        <v>46196</v>
      </c>
      <c r="E88" s="12">
        <v>1614453</v>
      </c>
      <c r="F88" s="12" t="s">
        <v>20</v>
      </c>
      <c r="G88" s="13">
        <v>20329902</v>
      </c>
      <c r="H88" s="12" t="s">
        <v>29</v>
      </c>
      <c r="I88" s="13">
        <v>1</v>
      </c>
      <c r="J88" s="14">
        <v>5.6</v>
      </c>
      <c r="K88" s="14">
        <v>5.6</v>
      </c>
      <c r="L88">
        <f t="shared" si="2"/>
        <v>8</v>
      </c>
    </row>
    <row r="89" spans="4:12">
      <c r="D89" s="11">
        <v>46196</v>
      </c>
      <c r="E89" s="12">
        <v>1614453</v>
      </c>
      <c r="F89" s="12" t="s">
        <v>20</v>
      </c>
      <c r="G89" s="13">
        <v>20316500</v>
      </c>
      <c r="H89" s="12" t="s">
        <v>34</v>
      </c>
      <c r="I89" s="13">
        <v>1</v>
      </c>
      <c r="J89" s="14">
        <v>7.7</v>
      </c>
      <c r="K89" s="14">
        <v>7.7</v>
      </c>
      <c r="L89">
        <f t="shared" si="2"/>
        <v>11</v>
      </c>
    </row>
    <row r="90" spans="4:12">
      <c r="D90" s="11">
        <v>46196</v>
      </c>
      <c r="E90" s="12">
        <v>1614453</v>
      </c>
      <c r="F90" s="12" t="s">
        <v>20</v>
      </c>
      <c r="G90" s="13">
        <v>20320659</v>
      </c>
      <c r="H90" s="12" t="s">
        <v>30</v>
      </c>
      <c r="I90" s="13">
        <v>2</v>
      </c>
      <c r="J90" s="14">
        <v>5.6</v>
      </c>
      <c r="K90" s="14">
        <v>11.2</v>
      </c>
      <c r="L90">
        <f t="shared" si="2"/>
        <v>8</v>
      </c>
    </row>
    <row r="91" spans="4:12">
      <c r="D91" s="11">
        <v>46196</v>
      </c>
      <c r="E91" s="12">
        <v>1614453</v>
      </c>
      <c r="F91" s="12" t="s">
        <v>20</v>
      </c>
      <c r="G91" s="13">
        <v>20316819</v>
      </c>
      <c r="H91" s="12" t="s">
        <v>36</v>
      </c>
      <c r="I91" s="13">
        <v>1</v>
      </c>
      <c r="J91" s="14">
        <v>5.6</v>
      </c>
      <c r="K91" s="14">
        <v>5.6</v>
      </c>
      <c r="L91">
        <f t="shared" si="2"/>
        <v>8</v>
      </c>
    </row>
    <row r="92" spans="4:12">
      <c r="D92" s="11">
        <v>46196</v>
      </c>
      <c r="E92" s="12">
        <v>1614453</v>
      </c>
      <c r="F92" s="12" t="s">
        <v>20</v>
      </c>
      <c r="G92" s="13">
        <v>20327452</v>
      </c>
      <c r="H92" s="12" t="s">
        <v>50</v>
      </c>
      <c r="I92" s="13">
        <v>1</v>
      </c>
      <c r="J92" s="14">
        <v>5.6</v>
      </c>
      <c r="K92" s="14">
        <v>5.6</v>
      </c>
      <c r="L92">
        <f t="shared" si="2"/>
        <v>8</v>
      </c>
    </row>
    <row r="93" spans="4:12">
      <c r="D93" s="11">
        <v>46196</v>
      </c>
      <c r="E93" s="12">
        <v>1614453</v>
      </c>
      <c r="F93" s="12" t="s">
        <v>13</v>
      </c>
      <c r="G93" s="13">
        <v>20316517</v>
      </c>
      <c r="H93" s="12" t="s">
        <v>17</v>
      </c>
      <c r="I93" s="13">
        <v>1</v>
      </c>
      <c r="J93" s="14">
        <v>42.35</v>
      </c>
      <c r="K93" s="14">
        <v>42.35</v>
      </c>
      <c r="L93">
        <f t="shared" si="2"/>
        <v>60.5</v>
      </c>
    </row>
    <row r="94" spans="4:12">
      <c r="D94" s="11">
        <v>46198</v>
      </c>
      <c r="E94" s="12">
        <v>1615185</v>
      </c>
      <c r="F94" s="12" t="s">
        <v>20</v>
      </c>
      <c r="G94" s="13">
        <v>20318012</v>
      </c>
      <c r="H94" s="12" t="s">
        <v>23</v>
      </c>
      <c r="I94" s="13">
        <v>2</v>
      </c>
      <c r="J94" s="14">
        <v>7.7</v>
      </c>
      <c r="K94" s="14">
        <v>15.4</v>
      </c>
      <c r="L94">
        <f t="shared" si="2"/>
        <v>11</v>
      </c>
    </row>
    <row r="95" spans="4:12">
      <c r="D95" s="11">
        <v>46198</v>
      </c>
      <c r="E95" s="12">
        <v>1615185</v>
      </c>
      <c r="F95" s="12" t="s">
        <v>20</v>
      </c>
      <c r="G95" s="13">
        <v>20318011</v>
      </c>
      <c r="H95" s="12" t="s">
        <v>24</v>
      </c>
      <c r="I95" s="13">
        <v>1</v>
      </c>
      <c r="J95" s="14">
        <v>7.7</v>
      </c>
      <c r="K95" s="14">
        <v>7.7</v>
      </c>
      <c r="L95">
        <f t="shared" si="2"/>
        <v>11</v>
      </c>
    </row>
    <row r="96" spans="4:12">
      <c r="D96" s="11">
        <v>46198</v>
      </c>
      <c r="E96" s="12">
        <v>1615185</v>
      </c>
      <c r="F96" s="12" t="s">
        <v>20</v>
      </c>
      <c r="G96" s="13">
        <v>20320558</v>
      </c>
      <c r="H96" s="12" t="s">
        <v>37</v>
      </c>
      <c r="I96" s="13">
        <v>1</v>
      </c>
      <c r="J96" s="14">
        <v>5.6</v>
      </c>
      <c r="K96" s="14">
        <v>5.6</v>
      </c>
      <c r="L96">
        <f t="shared" si="2"/>
        <v>8</v>
      </c>
    </row>
    <row r="97" spans="4:12">
      <c r="D97" s="11">
        <v>46198</v>
      </c>
      <c r="E97" s="12">
        <v>1615185</v>
      </c>
      <c r="F97" s="12" t="s">
        <v>20</v>
      </c>
      <c r="G97" s="13">
        <v>20316516</v>
      </c>
      <c r="H97" s="12" t="s">
        <v>38</v>
      </c>
      <c r="I97" s="13">
        <v>1</v>
      </c>
      <c r="J97" s="14">
        <v>5.6</v>
      </c>
      <c r="K97" s="14">
        <v>5.6</v>
      </c>
      <c r="L97">
        <f t="shared" si="2"/>
        <v>8</v>
      </c>
    </row>
    <row r="98" spans="4:12">
      <c r="D98" s="11">
        <v>46198</v>
      </c>
      <c r="E98" s="12">
        <v>1615185</v>
      </c>
      <c r="F98" s="12" t="s">
        <v>20</v>
      </c>
      <c r="G98" s="13">
        <v>20329902</v>
      </c>
      <c r="H98" s="12" t="s">
        <v>29</v>
      </c>
      <c r="I98" s="13">
        <v>1</v>
      </c>
      <c r="J98" s="14">
        <v>5.6</v>
      </c>
      <c r="K98" s="14">
        <v>5.6</v>
      </c>
      <c r="L98">
        <f t="shared" si="2"/>
        <v>8</v>
      </c>
    </row>
    <row r="99" spans="4:12">
      <c r="D99" s="11">
        <v>46198</v>
      </c>
      <c r="E99" s="12">
        <v>1615185</v>
      </c>
      <c r="F99" s="12" t="s">
        <v>20</v>
      </c>
      <c r="G99" s="13">
        <v>20316500</v>
      </c>
      <c r="H99" s="12" t="s">
        <v>34</v>
      </c>
      <c r="I99" s="13">
        <v>1</v>
      </c>
      <c r="J99" s="14">
        <v>7.7</v>
      </c>
      <c r="K99" s="14">
        <v>7.7</v>
      </c>
      <c r="L99">
        <f t="shared" si="2"/>
        <v>11</v>
      </c>
    </row>
    <row r="100" spans="4:12">
      <c r="D100" s="11">
        <v>46198</v>
      </c>
      <c r="E100" s="12">
        <v>1615185</v>
      </c>
      <c r="F100" s="12" t="s">
        <v>20</v>
      </c>
      <c r="G100" s="13">
        <v>20320659</v>
      </c>
      <c r="H100" s="12" t="s">
        <v>30</v>
      </c>
      <c r="I100" s="13">
        <v>1</v>
      </c>
      <c r="J100" s="14">
        <v>5.6</v>
      </c>
      <c r="K100" s="14">
        <v>5.6</v>
      </c>
      <c r="L100">
        <f t="shared" si="2"/>
        <v>8</v>
      </c>
    </row>
    <row r="101" spans="4:12">
      <c r="D101" s="11">
        <v>46198</v>
      </c>
      <c r="E101" s="12">
        <v>1615185</v>
      </c>
      <c r="F101" s="12" t="s">
        <v>20</v>
      </c>
      <c r="G101" s="13">
        <v>20316536</v>
      </c>
      <c r="H101" s="12" t="s">
        <v>31</v>
      </c>
      <c r="I101" s="13">
        <v>1</v>
      </c>
      <c r="J101" s="14">
        <v>5.6</v>
      </c>
      <c r="K101" s="14">
        <v>5.6</v>
      </c>
      <c r="L101">
        <f t="shared" si="2"/>
        <v>8</v>
      </c>
    </row>
    <row r="102" spans="4:12">
      <c r="D102" s="11">
        <v>46200</v>
      </c>
      <c r="E102" s="12">
        <v>1615716</v>
      </c>
      <c r="F102" s="12" t="s">
        <v>20</v>
      </c>
      <c r="G102" s="13">
        <v>20318012</v>
      </c>
      <c r="H102" s="12" t="s">
        <v>23</v>
      </c>
      <c r="I102" s="13">
        <v>3</v>
      </c>
      <c r="J102" s="14">
        <v>7.7</v>
      </c>
      <c r="K102" s="14">
        <v>23.1</v>
      </c>
      <c r="L102">
        <f t="shared" si="2"/>
        <v>11</v>
      </c>
    </row>
    <row r="103" spans="4:12">
      <c r="D103" s="11">
        <v>46200</v>
      </c>
      <c r="E103" s="12">
        <v>1615716</v>
      </c>
      <c r="F103" s="12" t="s">
        <v>20</v>
      </c>
      <c r="G103" s="13">
        <v>20332509</v>
      </c>
      <c r="H103" s="12" t="s">
        <v>32</v>
      </c>
      <c r="I103" s="13">
        <v>2</v>
      </c>
      <c r="J103" s="14">
        <v>5.6</v>
      </c>
      <c r="K103" s="14">
        <v>11.2</v>
      </c>
      <c r="L103">
        <f t="shared" si="2"/>
        <v>8</v>
      </c>
    </row>
    <row r="104" spans="4:12">
      <c r="D104" s="11">
        <v>46200</v>
      </c>
      <c r="E104" s="12">
        <v>1615716</v>
      </c>
      <c r="F104" s="12" t="s">
        <v>20</v>
      </c>
      <c r="G104" s="13">
        <v>20320558</v>
      </c>
      <c r="H104" s="12" t="s">
        <v>37</v>
      </c>
      <c r="I104" s="13">
        <v>1</v>
      </c>
      <c r="J104" s="14">
        <v>5.6</v>
      </c>
      <c r="K104" s="14">
        <v>5.6</v>
      </c>
      <c r="L104">
        <f t="shared" si="2"/>
        <v>8</v>
      </c>
    </row>
    <row r="105" spans="4:12">
      <c r="D105" s="11">
        <v>46200</v>
      </c>
      <c r="E105" s="12">
        <v>1615716</v>
      </c>
      <c r="F105" s="12" t="s">
        <v>20</v>
      </c>
      <c r="G105" s="13">
        <v>20329902</v>
      </c>
      <c r="H105" s="12" t="s">
        <v>29</v>
      </c>
      <c r="I105" s="13">
        <v>3</v>
      </c>
      <c r="J105" s="14">
        <v>5.6</v>
      </c>
      <c r="K105" s="14">
        <v>16.8</v>
      </c>
      <c r="L105">
        <f t="shared" si="2"/>
        <v>8</v>
      </c>
    </row>
    <row r="106" spans="4:12">
      <c r="D106" s="11">
        <v>46200</v>
      </c>
      <c r="E106" s="12">
        <v>1615716</v>
      </c>
      <c r="F106" s="12" t="s">
        <v>20</v>
      </c>
      <c r="G106" s="13">
        <v>20316500</v>
      </c>
      <c r="H106" s="12" t="s">
        <v>34</v>
      </c>
      <c r="I106" s="13">
        <v>1</v>
      </c>
      <c r="J106" s="14">
        <v>7.7</v>
      </c>
      <c r="K106" s="14">
        <v>7.7</v>
      </c>
      <c r="L106">
        <f t="shared" si="2"/>
        <v>11</v>
      </c>
    </row>
    <row r="107" spans="4:12">
      <c r="D107" s="11">
        <v>46200</v>
      </c>
      <c r="E107" s="12">
        <v>1615716</v>
      </c>
      <c r="F107" s="12" t="s">
        <v>20</v>
      </c>
      <c r="G107" s="13">
        <v>20320659</v>
      </c>
      <c r="H107" s="12" t="s">
        <v>30</v>
      </c>
      <c r="I107" s="13">
        <v>3</v>
      </c>
      <c r="J107" s="14">
        <v>5.6</v>
      </c>
      <c r="K107" s="14">
        <v>16.8</v>
      </c>
      <c r="L107">
        <f t="shared" si="2"/>
        <v>8</v>
      </c>
    </row>
    <row r="108" spans="4:12">
      <c r="D108" s="11">
        <v>46203</v>
      </c>
      <c r="E108" s="12">
        <v>1616379</v>
      </c>
      <c r="F108" s="12" t="s">
        <v>20</v>
      </c>
      <c r="G108" s="13">
        <v>20318012</v>
      </c>
      <c r="H108" s="12" t="s">
        <v>23</v>
      </c>
      <c r="I108" s="13">
        <v>1</v>
      </c>
      <c r="J108" s="14">
        <v>7.7</v>
      </c>
      <c r="K108" s="14">
        <v>7.7</v>
      </c>
      <c r="L108">
        <f t="shared" si="2"/>
        <v>11</v>
      </c>
    </row>
    <row r="109" spans="4:12">
      <c r="D109" s="11">
        <v>46203</v>
      </c>
      <c r="E109" s="12">
        <v>1616379</v>
      </c>
      <c r="F109" s="12" t="s">
        <v>20</v>
      </c>
      <c r="G109" s="13">
        <v>20320558</v>
      </c>
      <c r="H109" s="12" t="s">
        <v>37</v>
      </c>
      <c r="I109" s="13">
        <v>1</v>
      </c>
      <c r="J109" s="14">
        <v>5.6</v>
      </c>
      <c r="K109" s="14">
        <v>5.6</v>
      </c>
      <c r="L109">
        <f t="shared" si="2"/>
        <v>8</v>
      </c>
    </row>
    <row r="110" spans="4:12">
      <c r="D110" s="11">
        <v>46203</v>
      </c>
      <c r="E110" s="12">
        <v>1616379</v>
      </c>
      <c r="F110" s="12" t="s">
        <v>20</v>
      </c>
      <c r="G110" s="13">
        <v>20316500</v>
      </c>
      <c r="H110" s="12" t="s">
        <v>34</v>
      </c>
      <c r="I110" s="13">
        <v>1</v>
      </c>
      <c r="J110" s="14">
        <v>7.7</v>
      </c>
      <c r="K110" s="14">
        <v>7.7</v>
      </c>
      <c r="L110">
        <f t="shared" si="2"/>
        <v>11</v>
      </c>
    </row>
    <row r="111" spans="4:12">
      <c r="D111" s="11">
        <v>46203</v>
      </c>
      <c r="E111" s="12">
        <v>1616379</v>
      </c>
      <c r="F111" s="12" t="s">
        <v>20</v>
      </c>
      <c r="G111" s="13">
        <v>20320659</v>
      </c>
      <c r="H111" s="12" t="s">
        <v>30</v>
      </c>
      <c r="I111" s="13">
        <v>1</v>
      </c>
      <c r="J111" s="14">
        <v>5.6</v>
      </c>
      <c r="K111" s="14">
        <v>5.6</v>
      </c>
      <c r="L111">
        <f t="shared" si="2"/>
        <v>8</v>
      </c>
    </row>
  </sheetData>
  <autoFilter xmlns:etc="http://www.wps.cn/officeDocument/2017/etCustomData" ref="A7:K111" etc:filterBottomFollowUsedRange="0">
    <extLst/>
  </autoFilter>
  <mergeCells count="5">
    <mergeCell ref="D8:H8"/>
    <mergeCell ref="C7:C111"/>
    <mergeCell ref="B4:H5"/>
    <mergeCell ref="A7:B111"/>
    <mergeCell ref="C1:H2"/>
  </mergeCells>
  <pageMargins left="0.25" right="0.25" top="0.75" bottom="0.75" header="0.298611111111111" footer="0.298611111111111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&amp;"-,Regular"2026年7月6日 9:51 
&amp;"-,Bold"&amp;10 黑龙江省铂康医疗灭菌有限公司 &amp;R&amp;"Droid Sans Fallback"&amp;9第&amp;P页，共&amp;N页 </oddFooter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30"/>
  <sheetViews>
    <sheetView showGridLines="0" view="pageBreakPreview" zoomScaleNormal="100" workbookViewId="0">
      <pane ySplit="6" topLeftCell="A7" activePane="bottomLeft" state="frozen"/>
      <selection/>
      <selection pane="bottomLeft" activeCell="K9" sqref="K9:K31"/>
    </sheetView>
  </sheetViews>
  <sheetFormatPr defaultColWidth="9" defaultRowHeight="13.5"/>
  <cols>
    <col min="1" max="2" width="0.225" customWidth="1"/>
    <col min="3" max="3" width="0.433333333333333" customWidth="1"/>
    <col min="4" max="4" width="9.28333333333333" customWidth="1"/>
    <col min="5" max="5" width="8.93333333333333" customWidth="1"/>
    <col min="6" max="6" width="14.95" customWidth="1"/>
    <col min="7" max="7" width="9.36666666666667" customWidth="1"/>
    <col min="8" max="8" width="24.8166666666667" customWidth="1"/>
    <col min="9" max="9" width="6.475" customWidth="1"/>
    <col min="10" max="10" width="12.2083333333333" customWidth="1"/>
    <col min="11" max="11" width="12.125" customWidth="1"/>
  </cols>
  <sheetData>
    <row r="1" spans="1:11">
      <c r="C1" s="1" t="s">
        <v>0</v>
      </c>
    </row>
    <row r="2" ht="23.05" customHeight="1"/>
    <row r="3" ht="2" customHeight="1"/>
    <row r="4" ht="15.2" customHeight="1" spans="1:11">
      <c r="B4" s="2" t="s">
        <v>1</v>
      </c>
    </row>
    <row r="6" ht="2.95" customHeight="1"/>
    <row r="7" spans="1:11">
      <c r="A7" s="3" t="s">
        <v>2</v>
      </c>
      <c r="B7" s="4" t="s">
        <v>2</v>
      </c>
      <c r="C7" s="5" t="s">
        <v>2</v>
      </c>
      <c r="D7" s="6" t="s">
        <v>4</v>
      </c>
      <c r="E7" s="6" t="s">
        <v>5</v>
      </c>
      <c r="F7" s="6" t="s">
        <v>6</v>
      </c>
      <c r="G7" s="6" t="s">
        <v>7</v>
      </c>
      <c r="H7" s="6" t="s">
        <v>8</v>
      </c>
      <c r="I7" s="6" t="s">
        <v>9</v>
      </c>
      <c r="J7" s="6" t="s">
        <v>10</v>
      </c>
      <c r="K7" s="6" t="s">
        <v>11</v>
      </c>
    </row>
    <row r="8" ht="14.25" spans="1:11">
      <c r="D8" s="7" t="s">
        <v>56</v>
      </c>
      <c r="E8" s="8" t="s">
        <v>2</v>
      </c>
      <c r="F8" s="8" t="s">
        <v>2</v>
      </c>
      <c r="G8" s="8" t="s">
        <v>2</v>
      </c>
      <c r="H8" s="8" t="s">
        <v>2</v>
      </c>
      <c r="I8" s="9">
        <v>51</v>
      </c>
      <c r="J8" s="10"/>
      <c r="K8" s="10">
        <v>285.6</v>
      </c>
    </row>
    <row r="9" spans="1:11">
      <c r="D9" s="11">
        <v>46175</v>
      </c>
      <c r="E9" s="12">
        <v>1608548</v>
      </c>
      <c r="F9" s="12" t="s">
        <v>20</v>
      </c>
      <c r="G9" s="13">
        <v>20316528</v>
      </c>
      <c r="H9" s="12" t="s">
        <v>57</v>
      </c>
      <c r="I9" s="13">
        <v>4</v>
      </c>
      <c r="J9" s="14">
        <v>5.6</v>
      </c>
      <c r="K9" s="14">
        <v>22.4</v>
      </c>
    </row>
    <row r="10" spans="1:11">
      <c r="D10" s="11">
        <v>46179</v>
      </c>
      <c r="E10" s="12">
        <v>1609960</v>
      </c>
      <c r="F10" s="12" t="s">
        <v>20</v>
      </c>
      <c r="G10" s="13">
        <v>20316528</v>
      </c>
      <c r="H10" s="12" t="s">
        <v>57</v>
      </c>
      <c r="I10" s="13">
        <v>2</v>
      </c>
      <c r="J10" s="14">
        <v>5.6</v>
      </c>
      <c r="K10" s="14">
        <v>11.2</v>
      </c>
    </row>
    <row r="11" spans="1:11">
      <c r="D11" s="11">
        <v>46179</v>
      </c>
      <c r="E11" s="12">
        <v>1609960</v>
      </c>
      <c r="F11" s="12" t="s">
        <v>20</v>
      </c>
      <c r="G11" s="13">
        <v>20316526</v>
      </c>
      <c r="H11" s="12" t="s">
        <v>58</v>
      </c>
      <c r="I11" s="13">
        <v>3</v>
      </c>
      <c r="J11" s="14">
        <v>5.6</v>
      </c>
      <c r="K11" s="14">
        <v>16.8</v>
      </c>
    </row>
    <row r="12" spans="1:11">
      <c r="D12" s="11">
        <v>46179</v>
      </c>
      <c r="E12" s="12">
        <v>1609960</v>
      </c>
      <c r="F12" s="12" t="s">
        <v>20</v>
      </c>
      <c r="G12" s="13">
        <v>20316598</v>
      </c>
      <c r="H12" s="12" t="s">
        <v>59</v>
      </c>
      <c r="I12" s="13">
        <v>1</v>
      </c>
      <c r="J12" s="14">
        <v>5.6</v>
      </c>
      <c r="K12" s="14">
        <v>5.6</v>
      </c>
    </row>
    <row r="13" spans="1:11">
      <c r="D13" s="11">
        <v>46182</v>
      </c>
      <c r="E13" s="12">
        <v>1610701</v>
      </c>
      <c r="F13" s="12" t="s">
        <v>20</v>
      </c>
      <c r="G13" s="13">
        <v>20316528</v>
      </c>
      <c r="H13" s="12" t="s">
        <v>57</v>
      </c>
      <c r="I13" s="13">
        <v>4</v>
      </c>
      <c r="J13" s="14">
        <v>5.6</v>
      </c>
      <c r="K13" s="14">
        <v>22.4</v>
      </c>
    </row>
    <row r="14" spans="1:11">
      <c r="D14" s="11">
        <v>46182</v>
      </c>
      <c r="E14" s="12">
        <v>1610701</v>
      </c>
      <c r="F14" s="12" t="s">
        <v>20</v>
      </c>
      <c r="G14" s="13">
        <v>20316526</v>
      </c>
      <c r="H14" s="12" t="s">
        <v>58</v>
      </c>
      <c r="I14" s="13">
        <v>2</v>
      </c>
      <c r="J14" s="14">
        <v>5.6</v>
      </c>
      <c r="K14" s="14">
        <v>11.2</v>
      </c>
    </row>
    <row r="15" spans="1:11">
      <c r="D15" s="11">
        <v>46186</v>
      </c>
      <c r="E15" s="12">
        <v>1612008</v>
      </c>
      <c r="F15" s="12" t="s">
        <v>20</v>
      </c>
      <c r="G15" s="13">
        <v>20316528</v>
      </c>
      <c r="H15" s="12" t="s">
        <v>57</v>
      </c>
      <c r="I15" s="13">
        <v>2</v>
      </c>
      <c r="J15" s="14">
        <v>5.6</v>
      </c>
      <c r="K15" s="14">
        <v>11.2</v>
      </c>
    </row>
    <row r="16" spans="1:11">
      <c r="D16" s="11">
        <v>46186</v>
      </c>
      <c r="E16" s="12">
        <v>1612008</v>
      </c>
      <c r="F16" s="12" t="s">
        <v>20</v>
      </c>
      <c r="G16" s="13">
        <v>20316526</v>
      </c>
      <c r="H16" s="12" t="s">
        <v>58</v>
      </c>
      <c r="I16" s="13">
        <v>3</v>
      </c>
      <c r="J16" s="14">
        <v>5.6</v>
      </c>
      <c r="K16" s="14">
        <v>16.8</v>
      </c>
    </row>
    <row r="17" spans="4:11">
      <c r="D17" s="11">
        <v>46189</v>
      </c>
      <c r="E17" s="12">
        <v>1612659</v>
      </c>
      <c r="F17" s="12" t="s">
        <v>20</v>
      </c>
      <c r="G17" s="13">
        <v>20316528</v>
      </c>
      <c r="H17" s="12" t="s">
        <v>57</v>
      </c>
      <c r="I17" s="13">
        <v>2</v>
      </c>
      <c r="J17" s="14">
        <v>5.6</v>
      </c>
      <c r="K17" s="14">
        <v>11.2</v>
      </c>
    </row>
    <row r="18" spans="4:11">
      <c r="D18" s="11">
        <v>46189</v>
      </c>
      <c r="E18" s="12">
        <v>1612659</v>
      </c>
      <c r="F18" s="12" t="s">
        <v>20</v>
      </c>
      <c r="G18" s="13">
        <v>20316526</v>
      </c>
      <c r="H18" s="12" t="s">
        <v>58</v>
      </c>
      <c r="I18" s="13">
        <v>1</v>
      </c>
      <c r="J18" s="14">
        <v>5.6</v>
      </c>
      <c r="K18" s="14">
        <v>5.6</v>
      </c>
    </row>
    <row r="19" spans="4:11">
      <c r="D19" s="11">
        <v>46189</v>
      </c>
      <c r="E19" s="12">
        <v>1612659</v>
      </c>
      <c r="F19" s="12" t="s">
        <v>20</v>
      </c>
      <c r="G19" s="13">
        <v>20316598</v>
      </c>
      <c r="H19" s="12" t="s">
        <v>59</v>
      </c>
      <c r="I19" s="13">
        <v>4</v>
      </c>
      <c r="J19" s="14">
        <v>5.6</v>
      </c>
      <c r="K19" s="14">
        <v>22.4</v>
      </c>
    </row>
    <row r="20" spans="4:11">
      <c r="D20" s="11">
        <v>46196</v>
      </c>
      <c r="E20" s="12">
        <v>1614454</v>
      </c>
      <c r="F20" s="12" t="s">
        <v>20</v>
      </c>
      <c r="G20" s="13">
        <v>20316528</v>
      </c>
      <c r="H20" s="12" t="s">
        <v>57</v>
      </c>
      <c r="I20" s="13">
        <v>6</v>
      </c>
      <c r="J20" s="14">
        <v>5.6</v>
      </c>
      <c r="K20" s="14">
        <v>33.6</v>
      </c>
    </row>
    <row r="21" spans="4:11">
      <c r="D21" s="11">
        <v>46196</v>
      </c>
      <c r="E21" s="12">
        <v>1614454</v>
      </c>
      <c r="F21" s="12" t="s">
        <v>20</v>
      </c>
      <c r="G21" s="13">
        <v>20316526</v>
      </c>
      <c r="H21" s="12" t="s">
        <v>58</v>
      </c>
      <c r="I21" s="13">
        <v>4</v>
      </c>
      <c r="J21" s="14">
        <v>5.6</v>
      </c>
      <c r="K21" s="14">
        <v>22.4</v>
      </c>
    </row>
    <row r="22" spans="4:11">
      <c r="D22" s="11">
        <v>46196</v>
      </c>
      <c r="E22" s="12">
        <v>1614454</v>
      </c>
      <c r="F22" s="12" t="s">
        <v>20</v>
      </c>
      <c r="G22" s="13">
        <v>20318311</v>
      </c>
      <c r="H22" s="12" t="s">
        <v>60</v>
      </c>
      <c r="I22" s="13">
        <v>1</v>
      </c>
      <c r="J22" s="14">
        <v>5.6</v>
      </c>
      <c r="K22" s="14">
        <v>5.6</v>
      </c>
    </row>
    <row r="23" spans="4:11">
      <c r="D23" s="11">
        <v>46196</v>
      </c>
      <c r="E23" s="12">
        <v>1614454</v>
      </c>
      <c r="F23" s="12" t="s">
        <v>20</v>
      </c>
      <c r="G23" s="13">
        <v>20394652</v>
      </c>
      <c r="H23" s="12" t="s">
        <v>61</v>
      </c>
      <c r="I23" s="13">
        <v>1</v>
      </c>
      <c r="J23" s="14">
        <v>5.6</v>
      </c>
      <c r="K23" s="14">
        <v>5.6</v>
      </c>
    </row>
    <row r="24" spans="4:11">
      <c r="D24" s="11">
        <v>46196</v>
      </c>
      <c r="E24" s="12">
        <v>1614454</v>
      </c>
      <c r="F24" s="12" t="s">
        <v>20</v>
      </c>
      <c r="G24" s="13">
        <v>20394915</v>
      </c>
      <c r="H24" s="12" t="s">
        <v>62</v>
      </c>
      <c r="I24" s="13">
        <v>1</v>
      </c>
      <c r="J24" s="14">
        <v>5.6</v>
      </c>
      <c r="K24" s="14">
        <v>5.6</v>
      </c>
    </row>
    <row r="25" spans="4:11">
      <c r="D25" s="11">
        <v>46196</v>
      </c>
      <c r="E25" s="12">
        <v>1614454</v>
      </c>
      <c r="F25" s="12" t="s">
        <v>20</v>
      </c>
      <c r="G25" s="13">
        <v>20316524</v>
      </c>
      <c r="H25" s="12" t="s">
        <v>63</v>
      </c>
      <c r="I25" s="13">
        <v>3</v>
      </c>
      <c r="J25" s="14">
        <v>5.6</v>
      </c>
      <c r="K25" s="14">
        <v>16.8</v>
      </c>
    </row>
    <row r="26" spans="4:11">
      <c r="D26" s="11">
        <v>46198</v>
      </c>
      <c r="E26" s="12">
        <v>1615186</v>
      </c>
      <c r="F26" s="12" t="s">
        <v>20</v>
      </c>
      <c r="G26" s="13">
        <v>20316528</v>
      </c>
      <c r="H26" s="12" t="s">
        <v>57</v>
      </c>
      <c r="I26" s="13">
        <v>1</v>
      </c>
      <c r="J26" s="14">
        <v>5.6</v>
      </c>
      <c r="K26" s="14">
        <v>5.6</v>
      </c>
    </row>
    <row r="27" spans="4:11">
      <c r="D27" s="11">
        <v>46198</v>
      </c>
      <c r="E27" s="12">
        <v>1615186</v>
      </c>
      <c r="F27" s="12" t="s">
        <v>20</v>
      </c>
      <c r="G27" s="13">
        <v>20316526</v>
      </c>
      <c r="H27" s="12" t="s">
        <v>58</v>
      </c>
      <c r="I27" s="13">
        <v>2</v>
      </c>
      <c r="J27" s="14">
        <v>5.6</v>
      </c>
      <c r="K27" s="14">
        <v>11.2</v>
      </c>
    </row>
    <row r="28" spans="4:11">
      <c r="D28" s="11">
        <v>46198</v>
      </c>
      <c r="E28" s="12">
        <v>1615186</v>
      </c>
      <c r="F28" s="12" t="s">
        <v>20</v>
      </c>
      <c r="G28" s="13">
        <v>20316535</v>
      </c>
      <c r="H28" s="12" t="s">
        <v>64</v>
      </c>
      <c r="I28" s="13">
        <v>1</v>
      </c>
      <c r="J28" s="14">
        <v>5.6</v>
      </c>
      <c r="K28" s="14">
        <v>5.6</v>
      </c>
    </row>
    <row r="29" spans="4:11">
      <c r="D29" s="11">
        <v>46200</v>
      </c>
      <c r="E29" s="12">
        <v>1615717</v>
      </c>
      <c r="F29" s="12" t="s">
        <v>20</v>
      </c>
      <c r="G29" s="13">
        <v>20316528</v>
      </c>
      <c r="H29" s="12" t="s">
        <v>57</v>
      </c>
      <c r="I29" s="13">
        <v>3</v>
      </c>
      <c r="J29" s="14">
        <v>5.6</v>
      </c>
      <c r="K29" s="14">
        <v>16.8</v>
      </c>
    </row>
    <row r="30" ht="0.05" customHeight="1"/>
  </sheetData>
  <mergeCells count="5">
    <mergeCell ref="D8:H8"/>
    <mergeCell ref="C7:C29"/>
    <mergeCell ref="B4:H5"/>
    <mergeCell ref="A7:B29"/>
    <mergeCell ref="C1:H2"/>
  </mergeCells>
  <pageMargins left="0.25" right="0.25" top="0.75" bottom="0.75" header="0.298611111111111" footer="0.298611111111111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&amp;"-,Regular"2026年7月6日 9:51 
&amp;"-,Bold"&amp;10 黑龙江省铂康医疗灭菌有限公司 &amp;R&amp;"Droid Sans Fallback"&amp;9第&amp;P页，共&amp;N页 </oddFooter>
  </headerFooter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34"/>
  <sheetViews>
    <sheetView showGridLines="0" view="pageBreakPreview" zoomScaleNormal="100" workbookViewId="0">
      <pane ySplit="6" topLeftCell="A7" activePane="bottomLeft" state="frozen"/>
      <selection/>
      <selection pane="bottomLeft" activeCell="K9" sqref="K9:K36"/>
    </sheetView>
  </sheetViews>
  <sheetFormatPr defaultColWidth="9" defaultRowHeight="13.5"/>
  <cols>
    <col min="1" max="2" width="0.225" customWidth="1"/>
    <col min="3" max="3" width="0.433333333333333" customWidth="1"/>
    <col min="4" max="4" width="9.28333333333333" customWidth="1"/>
    <col min="5" max="5" width="8.93333333333333" customWidth="1"/>
    <col min="6" max="6" width="14.95" customWidth="1"/>
    <col min="7" max="7" width="9.36666666666667" customWidth="1"/>
    <col min="8" max="8" width="24.8166666666667" customWidth="1"/>
    <col min="9" max="9" width="6.475" customWidth="1"/>
    <col min="10" max="10" width="12.2083333333333" customWidth="1"/>
    <col min="11" max="11" width="12.25" customWidth="1"/>
  </cols>
  <sheetData>
    <row r="1" spans="1:12">
      <c r="C1" s="1" t="s">
        <v>0</v>
      </c>
    </row>
    <row r="2" ht="23.05" customHeight="1"/>
    <row r="3" ht="2" customHeight="1"/>
    <row r="4" ht="15.2" customHeight="1" spans="1:12">
      <c r="B4" s="2" t="s">
        <v>1</v>
      </c>
    </row>
    <row r="6" ht="2.95" customHeight="1"/>
    <row r="7" spans="1:12">
      <c r="A7" s="3" t="s">
        <v>2</v>
      </c>
      <c r="B7" s="4" t="s">
        <v>2</v>
      </c>
      <c r="C7" s="5" t="s">
        <v>2</v>
      </c>
      <c r="D7" s="6" t="s">
        <v>4</v>
      </c>
      <c r="E7" s="6" t="s">
        <v>5</v>
      </c>
      <c r="F7" s="6" t="s">
        <v>6</v>
      </c>
      <c r="G7" s="6" t="s">
        <v>7</v>
      </c>
      <c r="H7" s="6" t="s">
        <v>8</v>
      </c>
      <c r="I7" s="6" t="s">
        <v>9</v>
      </c>
      <c r="J7" s="6" t="s">
        <v>10</v>
      </c>
      <c r="K7" s="6" t="s">
        <v>11</v>
      </c>
    </row>
    <row r="8" ht="14.25" spans="1:12">
      <c r="D8" s="7" t="s">
        <v>65</v>
      </c>
      <c r="E8" s="8" t="s">
        <v>2</v>
      </c>
      <c r="F8" s="8" t="s">
        <v>2</v>
      </c>
      <c r="G8" s="8" t="s">
        <v>2</v>
      </c>
      <c r="H8" s="8" t="s">
        <v>2</v>
      </c>
      <c r="I8" s="9">
        <v>30</v>
      </c>
      <c r="J8" s="10"/>
      <c r="K8" s="10">
        <v>1685.95</v>
      </c>
    </row>
    <row r="9" spans="1:12">
      <c r="D9" s="11">
        <v>46175</v>
      </c>
      <c r="E9" s="12">
        <v>1608549</v>
      </c>
      <c r="F9" s="12" t="s">
        <v>66</v>
      </c>
      <c r="G9" s="13">
        <v>20316496</v>
      </c>
      <c r="H9" s="12" t="s">
        <v>66</v>
      </c>
      <c r="I9" s="13">
        <v>1</v>
      </c>
      <c r="J9" s="14">
        <v>177.1</v>
      </c>
      <c r="K9" s="14">
        <v>177.1</v>
      </c>
      <c r="L9">
        <f>J9/0.7</f>
        <v>253</v>
      </c>
    </row>
    <row r="10" spans="1:12">
      <c r="D10" s="11">
        <v>46175</v>
      </c>
      <c r="E10" s="12">
        <v>1608549</v>
      </c>
      <c r="F10" s="12" t="s">
        <v>20</v>
      </c>
      <c r="G10" s="13">
        <v>20316509</v>
      </c>
      <c r="H10" s="12" t="s">
        <v>67</v>
      </c>
      <c r="I10" s="13">
        <v>1</v>
      </c>
      <c r="J10" s="14">
        <v>5.6</v>
      </c>
      <c r="K10" s="14">
        <v>5.6</v>
      </c>
      <c r="L10">
        <f t="shared" ref="L10:L34" si="0">J10/0.7</f>
        <v>8</v>
      </c>
    </row>
    <row r="11" spans="1:12">
      <c r="D11" s="11">
        <v>46175</v>
      </c>
      <c r="E11" s="12">
        <v>1608549</v>
      </c>
      <c r="F11" s="12" t="s">
        <v>13</v>
      </c>
      <c r="G11" s="13">
        <v>20316504</v>
      </c>
      <c r="H11" s="12" t="s">
        <v>68</v>
      </c>
      <c r="I11" s="13">
        <v>1</v>
      </c>
      <c r="J11" s="14">
        <v>100.1</v>
      </c>
      <c r="K11" s="14">
        <v>100.1</v>
      </c>
      <c r="L11">
        <f t="shared" si="0"/>
        <v>143</v>
      </c>
    </row>
    <row r="12" spans="1:12">
      <c r="D12" s="11">
        <v>46175</v>
      </c>
      <c r="E12" s="12">
        <v>1608549</v>
      </c>
      <c r="F12" s="12" t="s">
        <v>42</v>
      </c>
      <c r="G12" s="13">
        <v>20316627</v>
      </c>
      <c r="H12" s="12" t="s">
        <v>69</v>
      </c>
      <c r="I12" s="13">
        <v>1</v>
      </c>
      <c r="J12" s="14">
        <v>11.55</v>
      </c>
      <c r="K12" s="14">
        <v>11.55</v>
      </c>
      <c r="L12">
        <f t="shared" si="0"/>
        <v>16.5</v>
      </c>
    </row>
    <row r="13" spans="1:12">
      <c r="D13" s="11">
        <v>46175</v>
      </c>
      <c r="E13" s="12">
        <v>1608549</v>
      </c>
      <c r="F13" s="12" t="s">
        <v>42</v>
      </c>
      <c r="G13" s="13">
        <v>20316798</v>
      </c>
      <c r="H13" s="12" t="s">
        <v>70</v>
      </c>
      <c r="I13" s="13">
        <v>1</v>
      </c>
      <c r="J13" s="14">
        <v>15.4</v>
      </c>
      <c r="K13" s="14">
        <v>15.4</v>
      </c>
      <c r="L13">
        <f t="shared" si="0"/>
        <v>22</v>
      </c>
    </row>
    <row r="14" spans="1:12">
      <c r="D14" s="11">
        <v>46182</v>
      </c>
      <c r="E14" s="12">
        <v>1610657</v>
      </c>
      <c r="F14" s="12" t="s">
        <v>66</v>
      </c>
      <c r="G14" s="13">
        <v>20316496</v>
      </c>
      <c r="H14" s="12" t="s">
        <v>66</v>
      </c>
      <c r="I14" s="13">
        <v>2</v>
      </c>
      <c r="J14" s="14">
        <v>177.1</v>
      </c>
      <c r="K14" s="14">
        <v>354.2</v>
      </c>
      <c r="L14">
        <f t="shared" si="0"/>
        <v>253</v>
      </c>
    </row>
    <row r="15" spans="1:12">
      <c r="D15" s="11">
        <v>46182</v>
      </c>
      <c r="E15" s="12">
        <v>1610657</v>
      </c>
      <c r="F15" s="12" t="s">
        <v>20</v>
      </c>
      <c r="G15" s="13">
        <v>20316515</v>
      </c>
      <c r="H15" s="12" t="s">
        <v>71</v>
      </c>
      <c r="I15" s="13">
        <v>1</v>
      </c>
      <c r="J15" s="14">
        <v>7.7</v>
      </c>
      <c r="K15" s="14">
        <v>7.7</v>
      </c>
      <c r="L15">
        <f t="shared" si="0"/>
        <v>11</v>
      </c>
    </row>
    <row r="16" spans="1:12">
      <c r="D16" s="11">
        <v>46182</v>
      </c>
      <c r="E16" s="12">
        <v>1610657</v>
      </c>
      <c r="F16" s="12" t="s">
        <v>42</v>
      </c>
      <c r="G16" s="13">
        <v>20316627</v>
      </c>
      <c r="H16" s="12" t="s">
        <v>69</v>
      </c>
      <c r="I16" s="13">
        <v>1</v>
      </c>
      <c r="J16" s="14">
        <v>11.55</v>
      </c>
      <c r="K16" s="14">
        <v>11.55</v>
      </c>
      <c r="L16">
        <f t="shared" si="0"/>
        <v>16.5</v>
      </c>
    </row>
    <row r="17" spans="4:12">
      <c r="D17" s="11">
        <v>46182</v>
      </c>
      <c r="E17" s="12">
        <v>1610657</v>
      </c>
      <c r="F17" s="12" t="s">
        <v>42</v>
      </c>
      <c r="G17" s="13">
        <v>20400030</v>
      </c>
      <c r="H17" s="12" t="s">
        <v>72</v>
      </c>
      <c r="I17" s="13">
        <v>1</v>
      </c>
      <c r="J17" s="14">
        <v>11.55</v>
      </c>
      <c r="K17" s="14">
        <v>11.55</v>
      </c>
      <c r="L17">
        <f t="shared" si="0"/>
        <v>16.5</v>
      </c>
    </row>
    <row r="18" spans="4:12">
      <c r="D18" s="11">
        <v>46182</v>
      </c>
      <c r="E18" s="12">
        <v>1610657</v>
      </c>
      <c r="F18" s="12" t="s">
        <v>42</v>
      </c>
      <c r="G18" s="13">
        <v>20316798</v>
      </c>
      <c r="H18" s="12" t="s">
        <v>70</v>
      </c>
      <c r="I18" s="13">
        <v>2</v>
      </c>
      <c r="J18" s="14">
        <v>15.4</v>
      </c>
      <c r="K18" s="14">
        <v>30.8</v>
      </c>
      <c r="L18">
        <f t="shared" si="0"/>
        <v>22</v>
      </c>
    </row>
    <row r="19" spans="4:12">
      <c r="D19" s="11">
        <v>46184</v>
      </c>
      <c r="E19" s="12">
        <v>1611457</v>
      </c>
      <c r="F19" s="12" t="s">
        <v>66</v>
      </c>
      <c r="G19" s="13">
        <v>20316496</v>
      </c>
      <c r="H19" s="12" t="s">
        <v>66</v>
      </c>
      <c r="I19" s="13">
        <v>1</v>
      </c>
      <c r="J19" s="14">
        <v>177.1</v>
      </c>
      <c r="K19" s="14">
        <v>177.1</v>
      </c>
      <c r="L19">
        <f t="shared" si="0"/>
        <v>253</v>
      </c>
    </row>
    <row r="20" spans="4:12">
      <c r="D20" s="11">
        <v>46184</v>
      </c>
      <c r="E20" s="12">
        <v>1611457</v>
      </c>
      <c r="F20" s="12" t="s">
        <v>42</v>
      </c>
      <c r="G20" s="13">
        <v>20316627</v>
      </c>
      <c r="H20" s="12" t="s">
        <v>69</v>
      </c>
      <c r="I20" s="13">
        <v>1</v>
      </c>
      <c r="J20" s="14">
        <v>11.55</v>
      </c>
      <c r="K20" s="14">
        <v>11.55</v>
      </c>
      <c r="L20">
        <f t="shared" si="0"/>
        <v>16.5</v>
      </c>
    </row>
    <row r="21" spans="4:12">
      <c r="D21" s="11">
        <v>46184</v>
      </c>
      <c r="E21" s="12">
        <v>1611457</v>
      </c>
      <c r="F21" s="12" t="s">
        <v>42</v>
      </c>
      <c r="G21" s="13">
        <v>20316798</v>
      </c>
      <c r="H21" s="12" t="s">
        <v>70</v>
      </c>
      <c r="I21" s="13">
        <v>1</v>
      </c>
      <c r="J21" s="14">
        <v>15.4</v>
      </c>
      <c r="K21" s="14">
        <v>15.4</v>
      </c>
      <c r="L21">
        <f t="shared" si="0"/>
        <v>22</v>
      </c>
    </row>
    <row r="22" spans="4:12">
      <c r="D22" s="11">
        <v>46186</v>
      </c>
      <c r="E22" s="12">
        <v>1612009</v>
      </c>
      <c r="F22" s="12" t="s">
        <v>66</v>
      </c>
      <c r="G22" s="13">
        <v>20316496</v>
      </c>
      <c r="H22" s="12" t="s">
        <v>66</v>
      </c>
      <c r="I22" s="13">
        <v>1</v>
      </c>
      <c r="J22" s="14">
        <v>177.1</v>
      </c>
      <c r="K22" s="14">
        <v>177.1</v>
      </c>
      <c r="L22">
        <f t="shared" si="0"/>
        <v>253</v>
      </c>
    </row>
    <row r="23" spans="4:12">
      <c r="D23" s="11">
        <v>46186</v>
      </c>
      <c r="E23" s="12">
        <v>1612009</v>
      </c>
      <c r="F23" s="12" t="s">
        <v>42</v>
      </c>
      <c r="G23" s="13">
        <v>20316627</v>
      </c>
      <c r="H23" s="12" t="s">
        <v>69</v>
      </c>
      <c r="I23" s="13">
        <v>1</v>
      </c>
      <c r="J23" s="14">
        <v>11.55</v>
      </c>
      <c r="K23" s="14">
        <v>11.55</v>
      </c>
      <c r="L23">
        <f t="shared" si="0"/>
        <v>16.5</v>
      </c>
    </row>
    <row r="24" spans="4:12">
      <c r="D24" s="11">
        <v>46186</v>
      </c>
      <c r="E24" s="12">
        <v>1612009</v>
      </c>
      <c r="F24" s="12" t="s">
        <v>42</v>
      </c>
      <c r="G24" s="13">
        <v>20316798</v>
      </c>
      <c r="H24" s="12" t="s">
        <v>70</v>
      </c>
      <c r="I24" s="13">
        <v>1</v>
      </c>
      <c r="J24" s="14">
        <v>15.4</v>
      </c>
      <c r="K24" s="14">
        <v>15.4</v>
      </c>
      <c r="L24">
        <f t="shared" si="0"/>
        <v>22</v>
      </c>
    </row>
    <row r="25" spans="4:12">
      <c r="D25" s="11">
        <v>46189</v>
      </c>
      <c r="E25" s="12">
        <v>1612660</v>
      </c>
      <c r="F25" s="12" t="s">
        <v>66</v>
      </c>
      <c r="G25" s="13">
        <v>20316496</v>
      </c>
      <c r="H25" s="12" t="s">
        <v>66</v>
      </c>
      <c r="I25" s="13">
        <v>2</v>
      </c>
      <c r="J25" s="14">
        <v>177.1</v>
      </c>
      <c r="K25" s="14">
        <v>354.2</v>
      </c>
      <c r="L25">
        <f t="shared" si="0"/>
        <v>253</v>
      </c>
    </row>
    <row r="26" spans="4:12">
      <c r="D26" s="11">
        <v>46189</v>
      </c>
      <c r="E26" s="12">
        <v>1612660</v>
      </c>
      <c r="F26" s="12" t="s">
        <v>20</v>
      </c>
      <c r="G26" s="13">
        <v>20316630</v>
      </c>
      <c r="H26" s="12" t="s">
        <v>73</v>
      </c>
      <c r="I26" s="13">
        <v>1</v>
      </c>
      <c r="J26" s="14">
        <v>11.55</v>
      </c>
      <c r="K26" s="14">
        <v>11.55</v>
      </c>
      <c r="L26">
        <f t="shared" si="0"/>
        <v>16.5</v>
      </c>
    </row>
    <row r="27" spans="4:12">
      <c r="D27" s="11">
        <v>46189</v>
      </c>
      <c r="E27" s="12">
        <v>1612660</v>
      </c>
      <c r="F27" s="12" t="s">
        <v>20</v>
      </c>
      <c r="G27" s="13">
        <v>20316515</v>
      </c>
      <c r="H27" s="12" t="s">
        <v>71</v>
      </c>
      <c r="I27" s="13">
        <v>1</v>
      </c>
      <c r="J27" s="14">
        <v>7.7</v>
      </c>
      <c r="K27" s="14">
        <v>7.7</v>
      </c>
      <c r="L27">
        <f t="shared" si="0"/>
        <v>11</v>
      </c>
    </row>
    <row r="28" spans="4:12">
      <c r="D28" s="11">
        <v>46189</v>
      </c>
      <c r="E28" s="12">
        <v>1612660</v>
      </c>
      <c r="F28" s="12" t="s">
        <v>20</v>
      </c>
      <c r="G28" s="13">
        <v>20316508</v>
      </c>
      <c r="H28" s="12" t="s">
        <v>74</v>
      </c>
      <c r="I28" s="13">
        <v>1</v>
      </c>
      <c r="J28" s="14">
        <v>5.6</v>
      </c>
      <c r="K28" s="14">
        <v>5.6</v>
      </c>
      <c r="L28">
        <f t="shared" si="0"/>
        <v>8</v>
      </c>
    </row>
    <row r="29" spans="4:12">
      <c r="D29" s="11">
        <v>46189</v>
      </c>
      <c r="E29" s="12">
        <v>1612660</v>
      </c>
      <c r="F29" s="12" t="s">
        <v>42</v>
      </c>
      <c r="G29" s="13">
        <v>20316627</v>
      </c>
      <c r="H29" s="12" t="s">
        <v>69</v>
      </c>
      <c r="I29" s="13">
        <v>2</v>
      </c>
      <c r="J29" s="14">
        <v>11.55</v>
      </c>
      <c r="K29" s="14">
        <v>23.1</v>
      </c>
      <c r="L29">
        <f t="shared" si="0"/>
        <v>16.5</v>
      </c>
    </row>
    <row r="30" spans="4:12">
      <c r="D30" s="11">
        <v>46189</v>
      </c>
      <c r="E30" s="12">
        <v>1612660</v>
      </c>
      <c r="F30" s="12" t="s">
        <v>42</v>
      </c>
      <c r="G30" s="13">
        <v>20316906</v>
      </c>
      <c r="H30" s="12" t="s">
        <v>75</v>
      </c>
      <c r="I30" s="13">
        <v>1</v>
      </c>
      <c r="J30" s="14">
        <v>11.55</v>
      </c>
      <c r="K30" s="14">
        <v>11.55</v>
      </c>
      <c r="L30">
        <f t="shared" si="0"/>
        <v>16.5</v>
      </c>
    </row>
    <row r="31" spans="4:12">
      <c r="D31" s="11">
        <v>46189</v>
      </c>
      <c r="E31" s="12">
        <v>1612660</v>
      </c>
      <c r="F31" s="12" t="s">
        <v>42</v>
      </c>
      <c r="G31" s="13">
        <v>20316798</v>
      </c>
      <c r="H31" s="12" t="s">
        <v>70</v>
      </c>
      <c r="I31" s="13">
        <v>1</v>
      </c>
      <c r="J31" s="14">
        <v>15.4</v>
      </c>
      <c r="K31" s="14">
        <v>15.4</v>
      </c>
      <c r="L31">
        <f t="shared" si="0"/>
        <v>22</v>
      </c>
    </row>
    <row r="32" spans="4:12">
      <c r="D32" s="11">
        <v>46198</v>
      </c>
      <c r="E32" s="12">
        <v>1615187</v>
      </c>
      <c r="F32" s="12" t="s">
        <v>13</v>
      </c>
      <c r="G32" s="13">
        <v>20316504</v>
      </c>
      <c r="H32" s="12" t="s">
        <v>68</v>
      </c>
      <c r="I32" s="13">
        <v>1</v>
      </c>
      <c r="J32" s="14">
        <v>100.1</v>
      </c>
      <c r="K32" s="14">
        <v>100.1</v>
      </c>
      <c r="L32">
        <f t="shared" si="0"/>
        <v>143</v>
      </c>
    </row>
    <row r="33" spans="4:12">
      <c r="D33" s="11">
        <v>46198</v>
      </c>
      <c r="E33" s="12">
        <v>1615187</v>
      </c>
      <c r="F33" s="12" t="s">
        <v>42</v>
      </c>
      <c r="G33" s="13">
        <v>20316627</v>
      </c>
      <c r="H33" s="12" t="s">
        <v>69</v>
      </c>
      <c r="I33" s="13">
        <v>1</v>
      </c>
      <c r="J33" s="14">
        <v>11.55</v>
      </c>
      <c r="K33" s="14">
        <v>11.55</v>
      </c>
      <c r="L33">
        <f t="shared" si="0"/>
        <v>16.5</v>
      </c>
    </row>
    <row r="34" spans="4:12">
      <c r="D34" s="11">
        <v>46198</v>
      </c>
      <c r="E34" s="12">
        <v>1615187</v>
      </c>
      <c r="F34" s="12" t="s">
        <v>42</v>
      </c>
      <c r="G34" s="13">
        <v>20316906</v>
      </c>
      <c r="H34" s="12" t="s">
        <v>75</v>
      </c>
      <c r="I34" s="13">
        <v>1</v>
      </c>
      <c r="J34" s="14">
        <v>11.55</v>
      </c>
      <c r="K34" s="14">
        <v>11.55</v>
      </c>
      <c r="L34">
        <f t="shared" si="0"/>
        <v>16.5</v>
      </c>
    </row>
  </sheetData>
  <autoFilter xmlns:etc="http://www.wps.cn/officeDocument/2017/etCustomData" ref="A7:K34" etc:filterBottomFollowUsedRange="0">
    <extLst/>
  </autoFilter>
  <mergeCells count="5">
    <mergeCell ref="D8:H8"/>
    <mergeCell ref="C7:C34"/>
    <mergeCell ref="B4:H5"/>
    <mergeCell ref="A7:B34"/>
    <mergeCell ref="C1:H2"/>
  </mergeCells>
  <pageMargins left="0.25" right="0.25" top="0.75" bottom="0.75" header="0.298611111111111" footer="0.298611111111111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&amp;"-,Regular"2026年7月6日 9:51 
&amp;"-,Bold"&amp;10 黑龙江省铂康医疗灭菌有限公司 &amp;R&amp;"Droid Sans Fallback"&amp;9第&amp;P页，共&amp;N页 </oddFooter>
  </headerFooter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34"/>
  <sheetViews>
    <sheetView showGridLines="0" view="pageBreakPreview" zoomScaleNormal="100" workbookViewId="0">
      <pane ySplit="6" topLeftCell="A7" activePane="bottomLeft" state="frozen"/>
      <selection/>
      <selection pane="bottomLeft" activeCell="K9" sqref="K9:K34"/>
    </sheetView>
  </sheetViews>
  <sheetFormatPr defaultColWidth="9" defaultRowHeight="13.5"/>
  <cols>
    <col min="1" max="2" width="0.225" customWidth="1"/>
    <col min="3" max="3" width="0.433333333333333" customWidth="1"/>
    <col min="4" max="4" width="9.28333333333333" customWidth="1"/>
    <col min="5" max="5" width="8.93333333333333" customWidth="1"/>
    <col min="6" max="6" width="14.95" customWidth="1"/>
    <col min="7" max="7" width="9.36666666666667" customWidth="1"/>
    <col min="8" max="8" width="24.8166666666667" customWidth="1"/>
    <col min="9" max="9" width="6.475" customWidth="1"/>
    <col min="10" max="10" width="12.2083333333333" customWidth="1"/>
    <col min="11" max="11" width="12.375" customWidth="1"/>
  </cols>
  <sheetData>
    <row r="1" spans="1:12">
      <c r="C1" s="1" t="s">
        <v>0</v>
      </c>
    </row>
    <row r="2" ht="23.05" customHeight="1"/>
    <row r="3" ht="2" customHeight="1"/>
    <row r="4" ht="15.2" customHeight="1" spans="1:12">
      <c r="B4" s="2" t="s">
        <v>1</v>
      </c>
    </row>
    <row r="6" ht="2.95" customHeight="1"/>
    <row r="7" spans="1:12">
      <c r="A7" s="3" t="s">
        <v>2</v>
      </c>
      <c r="B7" s="4" t="s">
        <v>2</v>
      </c>
      <c r="C7" s="5" t="s">
        <v>2</v>
      </c>
      <c r="D7" s="6" t="s">
        <v>4</v>
      </c>
      <c r="E7" s="6" t="s">
        <v>5</v>
      </c>
      <c r="F7" s="6" t="s">
        <v>6</v>
      </c>
      <c r="G7" s="6" t="s">
        <v>7</v>
      </c>
      <c r="H7" s="6" t="s">
        <v>8</v>
      </c>
      <c r="I7" s="6" t="s">
        <v>9</v>
      </c>
      <c r="J7" s="6" t="s">
        <v>10</v>
      </c>
      <c r="K7" s="6" t="s">
        <v>11</v>
      </c>
    </row>
    <row r="8" ht="14.25" spans="1:12">
      <c r="D8" s="7" t="s">
        <v>76</v>
      </c>
      <c r="E8" s="8" t="s">
        <v>2</v>
      </c>
      <c r="F8" s="8" t="s">
        <v>2</v>
      </c>
      <c r="G8" s="8" t="s">
        <v>2</v>
      </c>
      <c r="H8" s="8" t="s">
        <v>2</v>
      </c>
      <c r="I8" s="9">
        <v>47</v>
      </c>
      <c r="J8" s="10"/>
      <c r="K8" s="10">
        <v>924</v>
      </c>
    </row>
    <row r="9" spans="1:12">
      <c r="D9" s="11">
        <v>46175</v>
      </c>
      <c r="E9" s="12">
        <v>1608550</v>
      </c>
      <c r="F9" s="12" t="s">
        <v>20</v>
      </c>
      <c r="G9" s="13">
        <v>20318015</v>
      </c>
      <c r="H9" s="12" t="s">
        <v>77</v>
      </c>
      <c r="I9" s="13">
        <v>1</v>
      </c>
      <c r="J9" s="14">
        <v>11.55</v>
      </c>
      <c r="K9" s="14">
        <v>11.55</v>
      </c>
      <c r="L9">
        <f>J9/0.7</f>
        <v>16.5</v>
      </c>
    </row>
    <row r="10" spans="1:12">
      <c r="D10" s="11">
        <v>46175</v>
      </c>
      <c r="E10" s="12">
        <v>1608550</v>
      </c>
      <c r="F10" s="12" t="s">
        <v>13</v>
      </c>
      <c r="G10" s="13">
        <v>20316560</v>
      </c>
      <c r="H10" s="12" t="s">
        <v>78</v>
      </c>
      <c r="I10" s="13">
        <v>3</v>
      </c>
      <c r="J10" s="14">
        <v>23.1</v>
      </c>
      <c r="K10" s="14">
        <v>69.3</v>
      </c>
      <c r="L10">
        <f t="shared" ref="L10:L34" si="0">J10/0.7</f>
        <v>33</v>
      </c>
    </row>
    <row r="11" spans="1:12">
      <c r="D11" s="11">
        <v>46177</v>
      </c>
      <c r="E11" s="12">
        <v>1609312</v>
      </c>
      <c r="F11" s="12" t="s">
        <v>20</v>
      </c>
      <c r="G11" s="13">
        <v>20318015</v>
      </c>
      <c r="H11" s="12" t="s">
        <v>77</v>
      </c>
      <c r="I11" s="13">
        <v>1</v>
      </c>
      <c r="J11" s="14">
        <v>11.55</v>
      </c>
      <c r="K11" s="14">
        <v>11.55</v>
      </c>
      <c r="L11">
        <f t="shared" si="0"/>
        <v>16.5</v>
      </c>
    </row>
    <row r="12" spans="1:12">
      <c r="D12" s="11">
        <v>46177</v>
      </c>
      <c r="E12" s="12">
        <v>1609312</v>
      </c>
      <c r="F12" s="12" t="s">
        <v>13</v>
      </c>
      <c r="G12" s="13">
        <v>20316560</v>
      </c>
      <c r="H12" s="12" t="s">
        <v>78</v>
      </c>
      <c r="I12" s="13">
        <v>2</v>
      </c>
      <c r="J12" s="14">
        <v>23.1</v>
      </c>
      <c r="K12" s="14">
        <v>46.2</v>
      </c>
      <c r="L12">
        <f t="shared" si="0"/>
        <v>33</v>
      </c>
    </row>
    <row r="13" spans="1:12">
      <c r="D13" s="11">
        <v>46179</v>
      </c>
      <c r="E13" s="12">
        <v>1609961</v>
      </c>
      <c r="F13" s="12" t="s">
        <v>13</v>
      </c>
      <c r="G13" s="13">
        <v>20316560</v>
      </c>
      <c r="H13" s="12" t="s">
        <v>78</v>
      </c>
      <c r="I13" s="13">
        <v>2</v>
      </c>
      <c r="J13" s="14">
        <v>23.1</v>
      </c>
      <c r="K13" s="14">
        <v>46.2</v>
      </c>
      <c r="L13">
        <f t="shared" si="0"/>
        <v>33</v>
      </c>
    </row>
    <row r="14" spans="1:12">
      <c r="D14" s="11">
        <v>46179</v>
      </c>
      <c r="E14" s="12">
        <v>1609961</v>
      </c>
      <c r="F14" s="12" t="s">
        <v>42</v>
      </c>
      <c r="G14" s="13">
        <v>20316562</v>
      </c>
      <c r="H14" s="12" t="s">
        <v>79</v>
      </c>
      <c r="I14" s="13">
        <v>1</v>
      </c>
      <c r="J14" s="14">
        <v>11.55</v>
      </c>
      <c r="K14" s="14">
        <v>11.55</v>
      </c>
      <c r="L14">
        <f t="shared" si="0"/>
        <v>16.5</v>
      </c>
    </row>
    <row r="15" spans="1:12">
      <c r="D15" s="11">
        <v>46182</v>
      </c>
      <c r="E15" s="12">
        <v>1610702</v>
      </c>
      <c r="F15" s="12" t="s">
        <v>20</v>
      </c>
      <c r="G15" s="13">
        <v>20318015</v>
      </c>
      <c r="H15" s="12" t="s">
        <v>77</v>
      </c>
      <c r="I15" s="13">
        <v>1</v>
      </c>
      <c r="J15" s="14">
        <v>11.55</v>
      </c>
      <c r="K15" s="14">
        <v>11.55</v>
      </c>
      <c r="L15">
        <f t="shared" si="0"/>
        <v>16.5</v>
      </c>
    </row>
    <row r="16" spans="1:12">
      <c r="D16" s="11">
        <v>46182</v>
      </c>
      <c r="E16" s="12">
        <v>1610702</v>
      </c>
      <c r="F16" s="12" t="s">
        <v>13</v>
      </c>
      <c r="G16" s="13">
        <v>20316560</v>
      </c>
      <c r="H16" s="12" t="s">
        <v>78</v>
      </c>
      <c r="I16" s="13">
        <v>5</v>
      </c>
      <c r="J16" s="14">
        <v>23.1</v>
      </c>
      <c r="K16" s="14">
        <v>115.5</v>
      </c>
      <c r="L16">
        <f t="shared" si="0"/>
        <v>33</v>
      </c>
    </row>
    <row r="17" spans="4:12">
      <c r="D17" s="11">
        <v>46184</v>
      </c>
      <c r="E17" s="12">
        <v>1611452</v>
      </c>
      <c r="F17" s="12" t="s">
        <v>20</v>
      </c>
      <c r="G17" s="13">
        <v>20318015</v>
      </c>
      <c r="H17" s="12" t="s">
        <v>77</v>
      </c>
      <c r="I17" s="13">
        <v>1</v>
      </c>
      <c r="J17" s="14">
        <v>11.55</v>
      </c>
      <c r="K17" s="14">
        <v>11.55</v>
      </c>
      <c r="L17">
        <f t="shared" si="0"/>
        <v>16.5</v>
      </c>
    </row>
    <row r="18" spans="4:12">
      <c r="D18" s="11">
        <v>46184</v>
      </c>
      <c r="E18" s="12">
        <v>1611452</v>
      </c>
      <c r="F18" s="12" t="s">
        <v>13</v>
      </c>
      <c r="G18" s="13">
        <v>20316560</v>
      </c>
      <c r="H18" s="12" t="s">
        <v>78</v>
      </c>
      <c r="I18" s="13">
        <v>3</v>
      </c>
      <c r="J18" s="14">
        <v>23.1</v>
      </c>
      <c r="K18" s="14">
        <v>69.3</v>
      </c>
      <c r="L18">
        <f t="shared" si="0"/>
        <v>33</v>
      </c>
    </row>
    <row r="19" spans="4:12">
      <c r="D19" s="11">
        <v>46186</v>
      </c>
      <c r="E19" s="12">
        <v>1612010</v>
      </c>
      <c r="F19" s="12" t="s">
        <v>20</v>
      </c>
      <c r="G19" s="13">
        <v>20318015</v>
      </c>
      <c r="H19" s="12" t="s">
        <v>77</v>
      </c>
      <c r="I19" s="13">
        <v>1</v>
      </c>
      <c r="J19" s="14">
        <v>11.55</v>
      </c>
      <c r="K19" s="14">
        <v>11.55</v>
      </c>
      <c r="L19">
        <f t="shared" si="0"/>
        <v>16.5</v>
      </c>
    </row>
    <row r="20" spans="4:12">
      <c r="D20" s="11">
        <v>46186</v>
      </c>
      <c r="E20" s="12">
        <v>1612010</v>
      </c>
      <c r="F20" s="12" t="s">
        <v>13</v>
      </c>
      <c r="G20" s="13">
        <v>20316560</v>
      </c>
      <c r="H20" s="12" t="s">
        <v>78</v>
      </c>
      <c r="I20" s="13">
        <v>1</v>
      </c>
      <c r="J20" s="14">
        <v>23.1</v>
      </c>
      <c r="K20" s="14">
        <v>23.1</v>
      </c>
      <c r="L20">
        <f t="shared" si="0"/>
        <v>33</v>
      </c>
    </row>
    <row r="21" spans="4:12">
      <c r="D21" s="11">
        <v>46189</v>
      </c>
      <c r="E21" s="12">
        <v>1612661</v>
      </c>
      <c r="F21" s="12" t="s">
        <v>13</v>
      </c>
      <c r="G21" s="13">
        <v>20316560</v>
      </c>
      <c r="H21" s="12" t="s">
        <v>78</v>
      </c>
      <c r="I21" s="13">
        <v>3</v>
      </c>
      <c r="J21" s="14">
        <v>23.1</v>
      </c>
      <c r="K21" s="14">
        <v>69.3</v>
      </c>
      <c r="L21">
        <f t="shared" si="0"/>
        <v>33</v>
      </c>
    </row>
    <row r="22" spans="4:12">
      <c r="D22" s="11">
        <v>46189</v>
      </c>
      <c r="E22" s="12">
        <v>1612661</v>
      </c>
      <c r="F22" s="12" t="s">
        <v>42</v>
      </c>
      <c r="G22" s="13">
        <v>20316562</v>
      </c>
      <c r="H22" s="12" t="s">
        <v>79</v>
      </c>
      <c r="I22" s="13">
        <v>1</v>
      </c>
      <c r="J22" s="14">
        <v>11.55</v>
      </c>
      <c r="K22" s="14">
        <v>11.55</v>
      </c>
      <c r="L22">
        <f t="shared" si="0"/>
        <v>16.5</v>
      </c>
    </row>
    <row r="23" spans="4:12">
      <c r="D23" s="11">
        <v>46191</v>
      </c>
      <c r="E23" s="12">
        <v>1613434</v>
      </c>
      <c r="F23" s="12" t="s">
        <v>20</v>
      </c>
      <c r="G23" s="13">
        <v>20318015</v>
      </c>
      <c r="H23" s="12" t="s">
        <v>77</v>
      </c>
      <c r="I23" s="13">
        <v>1</v>
      </c>
      <c r="J23" s="14">
        <v>11.55</v>
      </c>
      <c r="K23" s="14">
        <v>11.55</v>
      </c>
      <c r="L23">
        <f t="shared" si="0"/>
        <v>16.5</v>
      </c>
    </row>
    <row r="24" spans="4:12">
      <c r="D24" s="11">
        <v>46191</v>
      </c>
      <c r="E24" s="12">
        <v>1613434</v>
      </c>
      <c r="F24" s="12" t="s">
        <v>13</v>
      </c>
      <c r="G24" s="13">
        <v>20316560</v>
      </c>
      <c r="H24" s="12" t="s">
        <v>78</v>
      </c>
      <c r="I24" s="13">
        <v>3</v>
      </c>
      <c r="J24" s="14">
        <v>23.1</v>
      </c>
      <c r="K24" s="14">
        <v>69.3</v>
      </c>
      <c r="L24">
        <f t="shared" si="0"/>
        <v>33</v>
      </c>
    </row>
    <row r="25" spans="4:12">
      <c r="D25" s="11">
        <v>46193</v>
      </c>
      <c r="E25" s="12">
        <v>1613778</v>
      </c>
      <c r="F25" s="12" t="s">
        <v>20</v>
      </c>
      <c r="G25" s="13">
        <v>20318015</v>
      </c>
      <c r="H25" s="12" t="s">
        <v>77</v>
      </c>
      <c r="I25" s="13">
        <v>1</v>
      </c>
      <c r="J25" s="14">
        <v>11.55</v>
      </c>
      <c r="K25" s="14">
        <v>11.55</v>
      </c>
      <c r="L25">
        <f t="shared" si="0"/>
        <v>16.5</v>
      </c>
    </row>
    <row r="26" spans="4:12">
      <c r="D26" s="11">
        <v>46193</v>
      </c>
      <c r="E26" s="12">
        <v>1613778</v>
      </c>
      <c r="F26" s="12" t="s">
        <v>13</v>
      </c>
      <c r="G26" s="13">
        <v>20316560</v>
      </c>
      <c r="H26" s="12" t="s">
        <v>78</v>
      </c>
      <c r="I26" s="13">
        <v>2</v>
      </c>
      <c r="J26" s="14">
        <v>23.1</v>
      </c>
      <c r="K26" s="14">
        <v>46.2</v>
      </c>
      <c r="L26">
        <f t="shared" si="0"/>
        <v>33</v>
      </c>
    </row>
    <row r="27" spans="4:12">
      <c r="D27" s="11">
        <v>46196</v>
      </c>
      <c r="E27" s="12">
        <v>1614455</v>
      </c>
      <c r="F27" s="12" t="s">
        <v>20</v>
      </c>
      <c r="G27" s="13">
        <v>20318015</v>
      </c>
      <c r="H27" s="12" t="s">
        <v>77</v>
      </c>
      <c r="I27" s="13">
        <v>1</v>
      </c>
      <c r="J27" s="14">
        <v>11.55</v>
      </c>
      <c r="K27" s="14">
        <v>11.55</v>
      </c>
      <c r="L27">
        <f t="shared" si="0"/>
        <v>16.5</v>
      </c>
    </row>
    <row r="28" spans="4:12">
      <c r="D28" s="11">
        <v>46196</v>
      </c>
      <c r="E28" s="12">
        <v>1614455</v>
      </c>
      <c r="F28" s="12" t="s">
        <v>13</v>
      </c>
      <c r="G28" s="13">
        <v>20316560</v>
      </c>
      <c r="H28" s="12" t="s">
        <v>78</v>
      </c>
      <c r="I28" s="13">
        <v>2</v>
      </c>
      <c r="J28" s="14">
        <v>23.1</v>
      </c>
      <c r="K28" s="14">
        <v>46.2</v>
      </c>
      <c r="L28">
        <f t="shared" si="0"/>
        <v>33</v>
      </c>
    </row>
    <row r="29" spans="4:12">
      <c r="D29" s="11">
        <v>46198</v>
      </c>
      <c r="E29" s="12">
        <v>1615188</v>
      </c>
      <c r="F29" s="12" t="s">
        <v>20</v>
      </c>
      <c r="G29" s="13">
        <v>20318015</v>
      </c>
      <c r="H29" s="12" t="s">
        <v>77</v>
      </c>
      <c r="I29" s="13">
        <v>1</v>
      </c>
      <c r="J29" s="14">
        <v>11.55</v>
      </c>
      <c r="K29" s="14">
        <v>11.55</v>
      </c>
      <c r="L29">
        <f t="shared" si="0"/>
        <v>16.5</v>
      </c>
    </row>
    <row r="30" spans="4:12">
      <c r="D30" s="11">
        <v>46198</v>
      </c>
      <c r="E30" s="12">
        <v>1615188</v>
      </c>
      <c r="F30" s="12" t="s">
        <v>13</v>
      </c>
      <c r="G30" s="13">
        <v>20316560</v>
      </c>
      <c r="H30" s="12" t="s">
        <v>78</v>
      </c>
      <c r="I30" s="13">
        <v>2</v>
      </c>
      <c r="J30" s="14">
        <v>23.1</v>
      </c>
      <c r="K30" s="14">
        <v>46.2</v>
      </c>
      <c r="L30">
        <f t="shared" si="0"/>
        <v>33</v>
      </c>
    </row>
    <row r="31" spans="4:12">
      <c r="D31" s="11">
        <v>46200</v>
      </c>
      <c r="E31" s="12">
        <v>1615718</v>
      </c>
      <c r="F31" s="12" t="s">
        <v>13</v>
      </c>
      <c r="G31" s="13">
        <v>20316560</v>
      </c>
      <c r="H31" s="12" t="s">
        <v>78</v>
      </c>
      <c r="I31" s="13">
        <v>2</v>
      </c>
      <c r="J31" s="14">
        <v>23.1</v>
      </c>
      <c r="K31" s="14">
        <v>46.2</v>
      </c>
      <c r="L31">
        <f t="shared" si="0"/>
        <v>33</v>
      </c>
    </row>
    <row r="32" spans="4:12">
      <c r="D32" s="11">
        <v>46200</v>
      </c>
      <c r="E32" s="12">
        <v>1615718</v>
      </c>
      <c r="F32" s="12" t="s">
        <v>42</v>
      </c>
      <c r="G32" s="13">
        <v>20316562</v>
      </c>
      <c r="H32" s="12" t="s">
        <v>79</v>
      </c>
      <c r="I32" s="13">
        <v>1</v>
      </c>
      <c r="J32" s="14">
        <v>11.55</v>
      </c>
      <c r="K32" s="14">
        <v>11.55</v>
      </c>
      <c r="L32">
        <f t="shared" si="0"/>
        <v>16.5</v>
      </c>
    </row>
    <row r="33" spans="4:12">
      <c r="D33" s="11">
        <v>46203</v>
      </c>
      <c r="E33" s="12">
        <v>1616380</v>
      </c>
      <c r="F33" s="12" t="s">
        <v>20</v>
      </c>
      <c r="G33" s="13">
        <v>20318015</v>
      </c>
      <c r="H33" s="12" t="s">
        <v>77</v>
      </c>
      <c r="I33" s="13">
        <v>2</v>
      </c>
      <c r="J33" s="14">
        <v>11.55</v>
      </c>
      <c r="K33" s="14">
        <v>23.1</v>
      </c>
      <c r="L33">
        <f t="shared" si="0"/>
        <v>16.5</v>
      </c>
    </row>
    <row r="34" spans="4:12">
      <c r="D34" s="11">
        <v>46203</v>
      </c>
      <c r="E34" s="12">
        <v>1616380</v>
      </c>
      <c r="F34" s="12" t="s">
        <v>13</v>
      </c>
      <c r="G34" s="13">
        <v>20316560</v>
      </c>
      <c r="H34" s="12" t="s">
        <v>78</v>
      </c>
      <c r="I34" s="13">
        <v>3</v>
      </c>
      <c r="J34" s="14">
        <v>23.1</v>
      </c>
      <c r="K34" s="14">
        <v>69.3</v>
      </c>
      <c r="L34">
        <f t="shared" si="0"/>
        <v>33</v>
      </c>
    </row>
  </sheetData>
  <autoFilter xmlns:etc="http://www.wps.cn/officeDocument/2017/etCustomData" ref="A7:K34" etc:filterBottomFollowUsedRange="0">
    <extLst/>
  </autoFilter>
  <mergeCells count="5">
    <mergeCell ref="D8:H8"/>
    <mergeCell ref="C7:C34"/>
    <mergeCell ref="B4:H5"/>
    <mergeCell ref="A7:B34"/>
    <mergeCell ref="C1:H2"/>
  </mergeCells>
  <pageMargins left="0.25" right="0.25" top="0.75" bottom="0.75" header="0.298611111111111" footer="0.298611111111111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&amp;"-,Regular"2026年7月6日 9:51 
&amp;"-,Bold"&amp;10 黑龙江省铂康医疗灭菌有限公司 &amp;R&amp;"Droid Sans Fallback"&amp;9第&amp;P页，共&amp;N页 </oddFooter>
  </headerFooter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39"/>
  <sheetViews>
    <sheetView showGridLines="0" view="pageBreakPreview" zoomScaleNormal="100" workbookViewId="0">
      <pane ySplit="6" topLeftCell="A7" activePane="bottomLeft" state="frozen"/>
      <selection/>
      <selection pane="bottomLeft" activeCell="K9" sqref="K9:K41"/>
    </sheetView>
  </sheetViews>
  <sheetFormatPr defaultColWidth="9" defaultRowHeight="13.5"/>
  <cols>
    <col min="1" max="2" width="0.225" customWidth="1"/>
    <col min="3" max="3" width="0.433333333333333" customWidth="1"/>
    <col min="4" max="4" width="9.28333333333333" customWidth="1"/>
    <col min="5" max="5" width="8.93333333333333" customWidth="1"/>
    <col min="6" max="6" width="14.95" customWidth="1"/>
    <col min="7" max="7" width="9.36666666666667" customWidth="1"/>
    <col min="8" max="8" width="24.8166666666667" customWidth="1"/>
    <col min="9" max="9" width="6.475" customWidth="1"/>
    <col min="10" max="10" width="12.2083333333333" customWidth="1"/>
    <col min="11" max="11" width="12.25" customWidth="1"/>
  </cols>
  <sheetData>
    <row r="1" spans="1:12">
      <c r="C1" s="1" t="s">
        <v>0</v>
      </c>
    </row>
    <row r="2" ht="23.05" customHeight="1"/>
    <row r="3" ht="2" customHeight="1"/>
    <row r="4" ht="15.2" customHeight="1" spans="1:12">
      <c r="B4" s="2" t="s">
        <v>1</v>
      </c>
    </row>
    <row r="6" ht="2.95" customHeight="1"/>
    <row r="7" spans="1:12">
      <c r="A7" s="3" t="s">
        <v>2</v>
      </c>
      <c r="B7" s="4" t="s">
        <v>2</v>
      </c>
      <c r="C7" s="5" t="s">
        <v>2</v>
      </c>
      <c r="D7" s="6" t="s">
        <v>4</v>
      </c>
      <c r="E7" s="6" t="s">
        <v>5</v>
      </c>
      <c r="F7" s="6" t="s">
        <v>6</v>
      </c>
      <c r="G7" s="6" t="s">
        <v>7</v>
      </c>
      <c r="H7" s="6" t="s">
        <v>8</v>
      </c>
      <c r="I7" s="6" t="s">
        <v>9</v>
      </c>
      <c r="J7" s="6" t="s">
        <v>10</v>
      </c>
      <c r="K7" s="6" t="s">
        <v>11</v>
      </c>
    </row>
    <row r="8" ht="14.25" spans="1:12">
      <c r="D8" s="7" t="s">
        <v>80</v>
      </c>
      <c r="E8" s="8" t="s">
        <v>2</v>
      </c>
      <c r="F8" s="8" t="s">
        <v>2</v>
      </c>
      <c r="G8" s="8" t="s">
        <v>2</v>
      </c>
      <c r="H8" s="8" t="s">
        <v>2</v>
      </c>
      <c r="I8" s="9">
        <v>54</v>
      </c>
      <c r="J8" s="10"/>
      <c r="K8" s="10">
        <v>332.15</v>
      </c>
    </row>
    <row r="9" spans="1:12">
      <c r="D9" s="11">
        <v>46175</v>
      </c>
      <c r="E9" s="12">
        <v>1608551</v>
      </c>
      <c r="F9" s="12" t="s">
        <v>13</v>
      </c>
      <c r="G9" s="13">
        <v>20316548</v>
      </c>
      <c r="H9" s="12" t="s">
        <v>81</v>
      </c>
      <c r="I9" s="13">
        <v>2</v>
      </c>
      <c r="J9" s="14">
        <v>23.1</v>
      </c>
      <c r="K9" s="14">
        <v>46.2</v>
      </c>
      <c r="L9">
        <f>J9/0.7</f>
        <v>33</v>
      </c>
    </row>
    <row r="10" spans="1:12">
      <c r="D10" s="11">
        <v>46175</v>
      </c>
      <c r="E10" s="12">
        <v>1608551</v>
      </c>
      <c r="F10" s="12" t="s">
        <v>45</v>
      </c>
      <c r="G10" s="13">
        <v>20317963</v>
      </c>
      <c r="H10" s="12" t="s">
        <v>82</v>
      </c>
      <c r="I10" s="13">
        <v>2</v>
      </c>
      <c r="J10" s="14">
        <v>2.8</v>
      </c>
      <c r="K10" s="14">
        <v>5.6</v>
      </c>
      <c r="L10">
        <f t="shared" ref="L10:L39" si="0">J10/0.7</f>
        <v>4</v>
      </c>
    </row>
    <row r="11" spans="1:12">
      <c r="D11" s="11">
        <v>46175</v>
      </c>
      <c r="E11" s="12">
        <v>1608551</v>
      </c>
      <c r="F11" s="12" t="s">
        <v>45</v>
      </c>
      <c r="G11" s="13">
        <v>20316711</v>
      </c>
      <c r="H11" s="12" t="s">
        <v>83</v>
      </c>
      <c r="I11" s="13">
        <v>2</v>
      </c>
      <c r="J11" s="14">
        <v>1.75</v>
      </c>
      <c r="K11" s="14">
        <v>3.5</v>
      </c>
      <c r="L11">
        <f t="shared" si="0"/>
        <v>2.5</v>
      </c>
    </row>
    <row r="12" spans="1:12">
      <c r="D12" s="11">
        <v>46175</v>
      </c>
      <c r="E12" s="12">
        <v>1608551</v>
      </c>
      <c r="F12" s="12" t="s">
        <v>45</v>
      </c>
      <c r="G12" s="13">
        <v>20379232</v>
      </c>
      <c r="H12" s="12" t="s">
        <v>84</v>
      </c>
      <c r="I12" s="13">
        <v>2</v>
      </c>
      <c r="J12" s="14">
        <v>1.75</v>
      </c>
      <c r="K12" s="14">
        <v>3.5</v>
      </c>
      <c r="L12">
        <f t="shared" si="0"/>
        <v>2.5</v>
      </c>
    </row>
    <row r="13" spans="1:12">
      <c r="D13" s="11">
        <v>46179</v>
      </c>
      <c r="E13" s="12">
        <v>1609962</v>
      </c>
      <c r="F13" s="12" t="s">
        <v>20</v>
      </c>
      <c r="G13" s="13">
        <v>20322119</v>
      </c>
      <c r="H13" s="12" t="s">
        <v>85</v>
      </c>
      <c r="I13" s="13">
        <v>1</v>
      </c>
      <c r="J13" s="14">
        <v>11.55</v>
      </c>
      <c r="K13" s="14">
        <v>11.55</v>
      </c>
      <c r="L13">
        <f t="shared" si="0"/>
        <v>16.5</v>
      </c>
    </row>
    <row r="14" spans="1:12">
      <c r="D14" s="11">
        <v>46179</v>
      </c>
      <c r="E14" s="12">
        <v>1609962</v>
      </c>
      <c r="F14" s="12" t="s">
        <v>20</v>
      </c>
      <c r="G14" s="13">
        <v>20355071</v>
      </c>
      <c r="H14" s="12" t="s">
        <v>86</v>
      </c>
      <c r="I14" s="13">
        <v>1</v>
      </c>
      <c r="J14" s="14">
        <v>5.6</v>
      </c>
      <c r="K14" s="14">
        <v>5.6</v>
      </c>
      <c r="L14">
        <f t="shared" si="0"/>
        <v>8</v>
      </c>
    </row>
    <row r="15" spans="1:12">
      <c r="D15" s="11">
        <v>46179</v>
      </c>
      <c r="E15" s="12">
        <v>1609962</v>
      </c>
      <c r="F15" s="12" t="s">
        <v>20</v>
      </c>
      <c r="G15" s="13">
        <v>20355075</v>
      </c>
      <c r="H15" s="12" t="s">
        <v>87</v>
      </c>
      <c r="I15" s="13">
        <v>1</v>
      </c>
      <c r="J15" s="14">
        <v>5.6</v>
      </c>
      <c r="K15" s="14">
        <v>5.6</v>
      </c>
      <c r="L15">
        <f t="shared" si="0"/>
        <v>8</v>
      </c>
    </row>
    <row r="16" spans="1:12">
      <c r="D16" s="11">
        <v>46179</v>
      </c>
      <c r="E16" s="12">
        <v>1609962</v>
      </c>
      <c r="F16" s="12" t="s">
        <v>45</v>
      </c>
      <c r="G16" s="13">
        <v>20316711</v>
      </c>
      <c r="H16" s="12" t="s">
        <v>83</v>
      </c>
      <c r="I16" s="13">
        <v>5</v>
      </c>
      <c r="J16" s="14">
        <v>1.75</v>
      </c>
      <c r="K16" s="14">
        <v>8.75</v>
      </c>
      <c r="L16">
        <f t="shared" si="0"/>
        <v>2.5</v>
      </c>
    </row>
    <row r="17" spans="4:12">
      <c r="D17" s="11">
        <v>46179</v>
      </c>
      <c r="E17" s="12">
        <v>1609962</v>
      </c>
      <c r="F17" s="12" t="s">
        <v>45</v>
      </c>
      <c r="G17" s="13">
        <v>20379232</v>
      </c>
      <c r="H17" s="12" t="s">
        <v>84</v>
      </c>
      <c r="I17" s="13">
        <v>5</v>
      </c>
      <c r="J17" s="14">
        <v>1.75</v>
      </c>
      <c r="K17" s="14">
        <v>8.75</v>
      </c>
      <c r="L17">
        <f t="shared" si="0"/>
        <v>2.5</v>
      </c>
    </row>
    <row r="18" spans="4:12">
      <c r="D18" s="11">
        <v>46186</v>
      </c>
      <c r="E18" s="12">
        <v>1612011</v>
      </c>
      <c r="F18" s="12" t="s">
        <v>20</v>
      </c>
      <c r="G18" s="13">
        <v>20322119</v>
      </c>
      <c r="H18" s="12" t="s">
        <v>85</v>
      </c>
      <c r="I18" s="13">
        <v>1</v>
      </c>
      <c r="J18" s="14">
        <v>11.55</v>
      </c>
      <c r="K18" s="14">
        <v>11.55</v>
      </c>
      <c r="L18">
        <f t="shared" si="0"/>
        <v>16.5</v>
      </c>
    </row>
    <row r="19" spans="4:12">
      <c r="D19" s="11">
        <v>46186</v>
      </c>
      <c r="E19" s="12">
        <v>1612011</v>
      </c>
      <c r="F19" s="12" t="s">
        <v>13</v>
      </c>
      <c r="G19" s="13">
        <v>20316548</v>
      </c>
      <c r="H19" s="12" t="s">
        <v>81</v>
      </c>
      <c r="I19" s="13">
        <v>1</v>
      </c>
      <c r="J19" s="14">
        <v>23.1</v>
      </c>
      <c r="K19" s="14">
        <v>23.1</v>
      </c>
      <c r="L19">
        <f t="shared" si="0"/>
        <v>33</v>
      </c>
    </row>
    <row r="20" spans="4:12">
      <c r="D20" s="11">
        <v>46186</v>
      </c>
      <c r="E20" s="12">
        <v>1612011</v>
      </c>
      <c r="F20" s="12" t="s">
        <v>45</v>
      </c>
      <c r="G20" s="13">
        <v>20317963</v>
      </c>
      <c r="H20" s="12" t="s">
        <v>82</v>
      </c>
      <c r="I20" s="13">
        <v>1</v>
      </c>
      <c r="J20" s="14">
        <v>2.8</v>
      </c>
      <c r="K20" s="14">
        <v>2.8</v>
      </c>
      <c r="L20">
        <f t="shared" si="0"/>
        <v>4</v>
      </c>
    </row>
    <row r="21" spans="4:12">
      <c r="D21" s="11">
        <v>46186</v>
      </c>
      <c r="E21" s="12">
        <v>1612011</v>
      </c>
      <c r="F21" s="12" t="s">
        <v>45</v>
      </c>
      <c r="G21" s="13">
        <v>20316711</v>
      </c>
      <c r="H21" s="12" t="s">
        <v>83</v>
      </c>
      <c r="I21" s="13">
        <v>5</v>
      </c>
      <c r="J21" s="14">
        <v>1.75</v>
      </c>
      <c r="K21" s="14">
        <v>8.75</v>
      </c>
      <c r="L21">
        <f t="shared" si="0"/>
        <v>2.5</v>
      </c>
    </row>
    <row r="22" spans="4:12">
      <c r="D22" s="11">
        <v>46186</v>
      </c>
      <c r="E22" s="12">
        <v>1612011</v>
      </c>
      <c r="F22" s="12" t="s">
        <v>45</v>
      </c>
      <c r="G22" s="13">
        <v>20379232</v>
      </c>
      <c r="H22" s="12" t="s">
        <v>84</v>
      </c>
      <c r="I22" s="13">
        <v>1</v>
      </c>
      <c r="J22" s="14">
        <v>1.75</v>
      </c>
      <c r="K22" s="14">
        <v>1.75</v>
      </c>
      <c r="L22">
        <f t="shared" si="0"/>
        <v>2.5</v>
      </c>
    </row>
    <row r="23" spans="4:12">
      <c r="D23" s="11">
        <v>46189</v>
      </c>
      <c r="E23" s="12">
        <v>1612662</v>
      </c>
      <c r="F23" s="12" t="s">
        <v>13</v>
      </c>
      <c r="G23" s="13">
        <v>20316548</v>
      </c>
      <c r="H23" s="12" t="s">
        <v>81</v>
      </c>
      <c r="I23" s="13">
        <v>1</v>
      </c>
      <c r="J23" s="14">
        <v>23.1</v>
      </c>
      <c r="K23" s="14">
        <v>23.1</v>
      </c>
      <c r="L23">
        <f t="shared" si="0"/>
        <v>33</v>
      </c>
    </row>
    <row r="24" spans="4:12">
      <c r="D24" s="11">
        <v>46189</v>
      </c>
      <c r="E24" s="12">
        <v>1612662</v>
      </c>
      <c r="F24" s="12" t="s">
        <v>45</v>
      </c>
      <c r="G24" s="13">
        <v>20317963</v>
      </c>
      <c r="H24" s="12" t="s">
        <v>82</v>
      </c>
      <c r="I24" s="13">
        <v>1</v>
      </c>
      <c r="J24" s="14">
        <v>2.8</v>
      </c>
      <c r="K24" s="14">
        <v>2.8</v>
      </c>
      <c r="L24">
        <f t="shared" si="0"/>
        <v>4</v>
      </c>
    </row>
    <row r="25" spans="4:12">
      <c r="D25" s="11">
        <v>46189</v>
      </c>
      <c r="E25" s="12">
        <v>1612662</v>
      </c>
      <c r="F25" s="12" t="s">
        <v>45</v>
      </c>
      <c r="G25" s="13">
        <v>20316711</v>
      </c>
      <c r="H25" s="12" t="s">
        <v>83</v>
      </c>
      <c r="I25" s="13">
        <v>1</v>
      </c>
      <c r="J25" s="14">
        <v>1.75</v>
      </c>
      <c r="K25" s="14">
        <v>1.75</v>
      </c>
      <c r="L25">
        <f t="shared" si="0"/>
        <v>2.5</v>
      </c>
    </row>
    <row r="26" spans="4:12">
      <c r="D26" s="11">
        <v>46189</v>
      </c>
      <c r="E26" s="12">
        <v>1612662</v>
      </c>
      <c r="F26" s="12" t="s">
        <v>45</v>
      </c>
      <c r="G26" s="13">
        <v>20379232</v>
      </c>
      <c r="H26" s="12" t="s">
        <v>84</v>
      </c>
      <c r="I26" s="13">
        <v>1</v>
      </c>
      <c r="J26" s="14">
        <v>1.75</v>
      </c>
      <c r="K26" s="14">
        <v>1.75</v>
      </c>
      <c r="L26">
        <f t="shared" si="0"/>
        <v>2.5</v>
      </c>
    </row>
    <row r="27" spans="4:12">
      <c r="D27" s="11">
        <v>46191</v>
      </c>
      <c r="E27" s="12">
        <v>1613436</v>
      </c>
      <c r="F27" s="12" t="s">
        <v>20</v>
      </c>
      <c r="G27" s="13">
        <v>20322119</v>
      </c>
      <c r="H27" s="12" t="s">
        <v>85</v>
      </c>
      <c r="I27" s="13">
        <v>1</v>
      </c>
      <c r="J27" s="14">
        <v>11.55</v>
      </c>
      <c r="K27" s="14">
        <v>11.55</v>
      </c>
      <c r="L27">
        <f t="shared" si="0"/>
        <v>16.5</v>
      </c>
    </row>
    <row r="28" spans="4:12">
      <c r="D28" s="11">
        <v>46191</v>
      </c>
      <c r="E28" s="12">
        <v>1613436</v>
      </c>
      <c r="F28" s="12" t="s">
        <v>13</v>
      </c>
      <c r="G28" s="13">
        <v>20316548</v>
      </c>
      <c r="H28" s="12" t="s">
        <v>81</v>
      </c>
      <c r="I28" s="13">
        <v>2</v>
      </c>
      <c r="J28" s="14">
        <v>23.1</v>
      </c>
      <c r="K28" s="14">
        <v>46.2</v>
      </c>
      <c r="L28">
        <f t="shared" si="0"/>
        <v>33</v>
      </c>
    </row>
    <row r="29" spans="4:12">
      <c r="D29" s="11">
        <v>46191</v>
      </c>
      <c r="E29" s="12">
        <v>1613436</v>
      </c>
      <c r="F29" s="12" t="s">
        <v>45</v>
      </c>
      <c r="G29" s="13">
        <v>20317963</v>
      </c>
      <c r="H29" s="12" t="s">
        <v>82</v>
      </c>
      <c r="I29" s="13">
        <v>1</v>
      </c>
      <c r="J29" s="14">
        <v>2.8</v>
      </c>
      <c r="K29" s="14">
        <v>2.8</v>
      </c>
      <c r="L29">
        <f t="shared" si="0"/>
        <v>4</v>
      </c>
    </row>
    <row r="30" spans="4:12">
      <c r="D30" s="11">
        <v>46191</v>
      </c>
      <c r="E30" s="12">
        <v>1613436</v>
      </c>
      <c r="F30" s="12" t="s">
        <v>45</v>
      </c>
      <c r="G30" s="13">
        <v>20316711</v>
      </c>
      <c r="H30" s="12" t="s">
        <v>83</v>
      </c>
      <c r="I30" s="13">
        <v>2</v>
      </c>
      <c r="J30" s="14">
        <v>1.75</v>
      </c>
      <c r="K30" s="14">
        <v>3.5</v>
      </c>
      <c r="L30">
        <f t="shared" si="0"/>
        <v>2.5</v>
      </c>
    </row>
    <row r="31" spans="4:12">
      <c r="D31" s="11">
        <v>46191</v>
      </c>
      <c r="E31" s="12">
        <v>1613436</v>
      </c>
      <c r="F31" s="12" t="s">
        <v>45</v>
      </c>
      <c r="G31" s="13">
        <v>20379232</v>
      </c>
      <c r="H31" s="12" t="s">
        <v>84</v>
      </c>
      <c r="I31" s="13">
        <v>2</v>
      </c>
      <c r="J31" s="14">
        <v>1.75</v>
      </c>
      <c r="K31" s="14">
        <v>3.5</v>
      </c>
      <c r="L31">
        <f t="shared" si="0"/>
        <v>2.5</v>
      </c>
    </row>
    <row r="32" spans="4:12">
      <c r="D32" s="11">
        <v>46196</v>
      </c>
      <c r="E32" s="12">
        <v>1614456</v>
      </c>
      <c r="F32" s="12" t="s">
        <v>13</v>
      </c>
      <c r="G32" s="13">
        <v>20316548</v>
      </c>
      <c r="H32" s="12" t="s">
        <v>81</v>
      </c>
      <c r="I32" s="13">
        <v>1</v>
      </c>
      <c r="J32" s="14">
        <v>23.1</v>
      </c>
      <c r="K32" s="14">
        <v>23.1</v>
      </c>
      <c r="L32">
        <f t="shared" si="0"/>
        <v>33</v>
      </c>
    </row>
    <row r="33" spans="4:12">
      <c r="D33" s="11">
        <v>46196</v>
      </c>
      <c r="E33" s="12">
        <v>1614456</v>
      </c>
      <c r="F33" s="12" t="s">
        <v>45</v>
      </c>
      <c r="G33" s="13">
        <v>20317963</v>
      </c>
      <c r="H33" s="12" t="s">
        <v>82</v>
      </c>
      <c r="I33" s="13">
        <v>1</v>
      </c>
      <c r="J33" s="14">
        <v>2.8</v>
      </c>
      <c r="K33" s="14">
        <v>2.8</v>
      </c>
      <c r="L33">
        <f t="shared" si="0"/>
        <v>4</v>
      </c>
    </row>
    <row r="34" spans="4:12">
      <c r="D34" s="11">
        <v>46196</v>
      </c>
      <c r="E34" s="12">
        <v>1614456</v>
      </c>
      <c r="F34" s="12" t="s">
        <v>45</v>
      </c>
      <c r="G34" s="13">
        <v>20316711</v>
      </c>
      <c r="H34" s="12" t="s">
        <v>83</v>
      </c>
      <c r="I34" s="13">
        <v>1</v>
      </c>
      <c r="J34" s="14">
        <v>1.75</v>
      </c>
      <c r="K34" s="14">
        <v>1.75</v>
      </c>
      <c r="L34">
        <f t="shared" si="0"/>
        <v>2.5</v>
      </c>
    </row>
    <row r="35" spans="4:12">
      <c r="D35" s="11">
        <v>46196</v>
      </c>
      <c r="E35" s="12">
        <v>1614456</v>
      </c>
      <c r="F35" s="12" t="s">
        <v>45</v>
      </c>
      <c r="G35" s="13">
        <v>20379232</v>
      </c>
      <c r="H35" s="12" t="s">
        <v>84</v>
      </c>
      <c r="I35" s="13">
        <v>1</v>
      </c>
      <c r="J35" s="14">
        <v>1.75</v>
      </c>
      <c r="K35" s="14">
        <v>1.75</v>
      </c>
      <c r="L35">
        <f t="shared" si="0"/>
        <v>2.5</v>
      </c>
    </row>
    <row r="36" spans="4:12">
      <c r="D36" s="11">
        <v>46198</v>
      </c>
      <c r="E36" s="12">
        <v>1615189</v>
      </c>
      <c r="F36" s="12" t="s">
        <v>13</v>
      </c>
      <c r="G36" s="13">
        <v>20316548</v>
      </c>
      <c r="H36" s="12" t="s">
        <v>81</v>
      </c>
      <c r="I36" s="13">
        <v>2</v>
      </c>
      <c r="J36" s="14">
        <v>23.1</v>
      </c>
      <c r="K36" s="14">
        <v>46.2</v>
      </c>
      <c r="L36">
        <f t="shared" si="0"/>
        <v>33</v>
      </c>
    </row>
    <row r="37" spans="4:12">
      <c r="D37" s="11">
        <v>46198</v>
      </c>
      <c r="E37" s="12">
        <v>1615189</v>
      </c>
      <c r="F37" s="12" t="s">
        <v>45</v>
      </c>
      <c r="G37" s="13">
        <v>20317963</v>
      </c>
      <c r="H37" s="12" t="s">
        <v>82</v>
      </c>
      <c r="I37" s="13">
        <v>2</v>
      </c>
      <c r="J37" s="14">
        <v>2.8</v>
      </c>
      <c r="K37" s="14">
        <v>5.6</v>
      </c>
      <c r="L37">
        <f t="shared" si="0"/>
        <v>4</v>
      </c>
    </row>
    <row r="38" spans="4:12">
      <c r="D38" s="11">
        <v>46198</v>
      </c>
      <c r="E38" s="12">
        <v>1615189</v>
      </c>
      <c r="F38" s="12" t="s">
        <v>45</v>
      </c>
      <c r="G38" s="13">
        <v>20316711</v>
      </c>
      <c r="H38" s="12" t="s">
        <v>83</v>
      </c>
      <c r="I38" s="13">
        <v>2</v>
      </c>
      <c r="J38" s="14">
        <v>1.75</v>
      </c>
      <c r="K38" s="14">
        <v>3.5</v>
      </c>
      <c r="L38">
        <f t="shared" si="0"/>
        <v>2.5</v>
      </c>
    </row>
    <row r="39" spans="4:12">
      <c r="D39" s="11">
        <v>46198</v>
      </c>
      <c r="E39" s="12">
        <v>1615189</v>
      </c>
      <c r="F39" s="12" t="s">
        <v>45</v>
      </c>
      <c r="G39" s="13">
        <v>20379232</v>
      </c>
      <c r="H39" s="12" t="s">
        <v>84</v>
      </c>
      <c r="I39" s="13">
        <v>2</v>
      </c>
      <c r="J39" s="14">
        <v>1.75</v>
      </c>
      <c r="K39" s="14">
        <v>3.5</v>
      </c>
      <c r="L39">
        <f t="shared" si="0"/>
        <v>2.5</v>
      </c>
    </row>
  </sheetData>
  <autoFilter xmlns:etc="http://www.wps.cn/officeDocument/2017/etCustomData" ref="A7:K39" etc:filterBottomFollowUsedRange="0">
    <extLst/>
  </autoFilter>
  <mergeCells count="5">
    <mergeCell ref="D8:H8"/>
    <mergeCell ref="C7:C39"/>
    <mergeCell ref="B4:H5"/>
    <mergeCell ref="A7:B39"/>
    <mergeCell ref="C1:H2"/>
  </mergeCells>
  <pageMargins left="0.25" right="0.25" top="0.75" bottom="0.75" header="0.298611111111111" footer="0.298611111111111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&amp;"-,Regular"2026年7月6日 9:51 
&amp;"-,Bold"&amp;10 黑龙江省铂康医疗灭菌有限公司 &amp;R&amp;"Droid Sans Fallback"&amp;9第&amp;P页，共&amp;N页 </oddFooter>
  </headerFooter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31"/>
  <sheetViews>
    <sheetView showGridLines="0" view="pageBreakPreview" zoomScaleNormal="100" workbookViewId="0">
      <pane ySplit="6" topLeftCell="A7" activePane="bottomLeft" state="frozen"/>
      <selection/>
      <selection pane="bottomLeft" activeCell="K9" sqref="K9:K32"/>
    </sheetView>
  </sheetViews>
  <sheetFormatPr defaultColWidth="9" defaultRowHeight="13.5"/>
  <cols>
    <col min="1" max="2" width="0.225" customWidth="1"/>
    <col min="3" max="3" width="0.433333333333333" customWidth="1"/>
    <col min="4" max="4" width="9.28333333333333" customWidth="1"/>
    <col min="5" max="5" width="8.93333333333333" customWidth="1"/>
    <col min="6" max="6" width="14.95" customWidth="1"/>
    <col min="7" max="7" width="9.36666666666667" customWidth="1"/>
    <col min="8" max="8" width="24.8166666666667" customWidth="1"/>
    <col min="9" max="9" width="6.475" customWidth="1"/>
    <col min="10" max="10" width="12.2083333333333" customWidth="1"/>
    <col min="11" max="11" width="12" customWidth="1"/>
  </cols>
  <sheetData>
    <row r="1" spans="1:12">
      <c r="C1" s="1" t="s">
        <v>0</v>
      </c>
    </row>
    <row r="2" ht="23.05" customHeight="1"/>
    <row r="3" ht="2" customHeight="1"/>
    <row r="4" ht="15.2" customHeight="1" spans="1:12">
      <c r="B4" s="2" t="s">
        <v>1</v>
      </c>
    </row>
    <row r="6" ht="2.95" customHeight="1"/>
    <row r="7" spans="1:12">
      <c r="A7" s="3" t="s">
        <v>2</v>
      </c>
      <c r="B7" s="4" t="s">
        <v>2</v>
      </c>
      <c r="C7" s="5" t="s">
        <v>2</v>
      </c>
      <c r="D7" s="6" t="s">
        <v>4</v>
      </c>
      <c r="E7" s="6" t="s">
        <v>5</v>
      </c>
      <c r="F7" s="6" t="s">
        <v>6</v>
      </c>
      <c r="G7" s="6" t="s">
        <v>7</v>
      </c>
      <c r="H7" s="6" t="s">
        <v>8</v>
      </c>
      <c r="I7" s="6" t="s">
        <v>9</v>
      </c>
      <c r="J7" s="6" t="s">
        <v>10</v>
      </c>
      <c r="K7" s="6" t="s">
        <v>11</v>
      </c>
    </row>
    <row r="8" ht="14.25" spans="1:12">
      <c r="D8" s="7" t="s">
        <v>88</v>
      </c>
      <c r="E8" s="8" t="s">
        <v>2</v>
      </c>
      <c r="F8" s="8" t="s">
        <v>2</v>
      </c>
      <c r="G8" s="8" t="s">
        <v>2</v>
      </c>
      <c r="H8" s="8" t="s">
        <v>2</v>
      </c>
      <c r="I8" s="9">
        <v>51</v>
      </c>
      <c r="J8" s="10"/>
      <c r="K8" s="10">
        <v>916.3</v>
      </c>
    </row>
    <row r="9" spans="1:12">
      <c r="D9" s="11">
        <v>46175</v>
      </c>
      <c r="E9" s="12">
        <v>1608552</v>
      </c>
      <c r="F9" s="12" t="s">
        <v>13</v>
      </c>
      <c r="G9" s="13">
        <v>20316568</v>
      </c>
      <c r="H9" s="12" t="s">
        <v>52</v>
      </c>
      <c r="I9" s="13">
        <v>3</v>
      </c>
      <c r="J9" s="14">
        <v>26.95</v>
      </c>
      <c r="K9" s="14">
        <v>80.85</v>
      </c>
      <c r="L9">
        <f>J9/0.7</f>
        <v>38.5</v>
      </c>
    </row>
    <row r="10" spans="1:12">
      <c r="D10" s="11">
        <v>46175</v>
      </c>
      <c r="E10" s="12">
        <v>1608552</v>
      </c>
      <c r="F10" s="12" t="s">
        <v>42</v>
      </c>
      <c r="G10" s="13">
        <v>20316766</v>
      </c>
      <c r="H10" s="12" t="s">
        <v>89</v>
      </c>
      <c r="I10" s="13">
        <v>1</v>
      </c>
      <c r="J10" s="14">
        <v>15.4</v>
      </c>
      <c r="K10" s="14">
        <v>15.4</v>
      </c>
      <c r="L10">
        <f t="shared" ref="L10:L31" si="0">J10/0.7</f>
        <v>22</v>
      </c>
    </row>
    <row r="11" spans="1:12">
      <c r="D11" s="11">
        <v>46175</v>
      </c>
      <c r="E11" s="12">
        <v>1608586</v>
      </c>
      <c r="F11" s="12" t="s">
        <v>20</v>
      </c>
      <c r="G11" s="13">
        <v>20316907</v>
      </c>
      <c r="H11" s="12" t="s">
        <v>90</v>
      </c>
      <c r="I11" s="13">
        <v>4</v>
      </c>
      <c r="J11" s="14">
        <v>9.1</v>
      </c>
      <c r="K11" s="14">
        <v>36.4</v>
      </c>
      <c r="L11">
        <f t="shared" si="0"/>
        <v>13</v>
      </c>
    </row>
    <row r="12" spans="1:12">
      <c r="D12" s="11">
        <v>46179</v>
      </c>
      <c r="E12" s="12">
        <v>1609963</v>
      </c>
      <c r="F12" s="12" t="s">
        <v>13</v>
      </c>
      <c r="G12" s="13">
        <v>20316568</v>
      </c>
      <c r="H12" s="12" t="s">
        <v>52</v>
      </c>
      <c r="I12" s="13">
        <v>1</v>
      </c>
      <c r="J12" s="14">
        <v>26.95</v>
      </c>
      <c r="K12" s="14">
        <v>26.95</v>
      </c>
      <c r="L12">
        <f t="shared" si="0"/>
        <v>38.5</v>
      </c>
    </row>
    <row r="13" spans="1:12">
      <c r="D13" s="11">
        <v>46182</v>
      </c>
      <c r="E13" s="12">
        <v>1610703</v>
      </c>
      <c r="F13" s="12" t="s">
        <v>20</v>
      </c>
      <c r="G13" s="13">
        <v>20316907</v>
      </c>
      <c r="H13" s="12" t="s">
        <v>90</v>
      </c>
      <c r="I13" s="13">
        <v>4</v>
      </c>
      <c r="J13" s="14">
        <v>9.1</v>
      </c>
      <c r="K13" s="14">
        <v>36.4</v>
      </c>
      <c r="L13">
        <f t="shared" si="0"/>
        <v>13</v>
      </c>
    </row>
    <row r="14" spans="1:12">
      <c r="D14" s="11">
        <v>46182</v>
      </c>
      <c r="E14" s="12">
        <v>1610703</v>
      </c>
      <c r="F14" s="12" t="s">
        <v>13</v>
      </c>
      <c r="G14" s="13">
        <v>20316568</v>
      </c>
      <c r="H14" s="12" t="s">
        <v>52</v>
      </c>
      <c r="I14" s="13">
        <v>3</v>
      </c>
      <c r="J14" s="14">
        <v>26.95</v>
      </c>
      <c r="K14" s="14">
        <v>80.85</v>
      </c>
      <c r="L14">
        <f t="shared" si="0"/>
        <v>38.5</v>
      </c>
    </row>
    <row r="15" spans="1:12">
      <c r="D15" s="11">
        <v>46182</v>
      </c>
      <c r="E15" s="12">
        <v>1610703</v>
      </c>
      <c r="F15" s="12" t="s">
        <v>42</v>
      </c>
      <c r="G15" s="13">
        <v>20316766</v>
      </c>
      <c r="H15" s="12" t="s">
        <v>89</v>
      </c>
      <c r="I15" s="13">
        <v>1</v>
      </c>
      <c r="J15" s="14">
        <v>15.4</v>
      </c>
      <c r="K15" s="14">
        <v>15.4</v>
      </c>
      <c r="L15">
        <f t="shared" si="0"/>
        <v>22</v>
      </c>
    </row>
    <row r="16" spans="1:12">
      <c r="D16" s="11">
        <v>46184</v>
      </c>
      <c r="E16" s="12">
        <v>1611451</v>
      </c>
      <c r="F16" s="12" t="s">
        <v>13</v>
      </c>
      <c r="G16" s="13">
        <v>20316568</v>
      </c>
      <c r="H16" s="12" t="s">
        <v>52</v>
      </c>
      <c r="I16" s="13">
        <v>2</v>
      </c>
      <c r="J16" s="14">
        <v>26.95</v>
      </c>
      <c r="K16" s="14">
        <v>53.9</v>
      </c>
      <c r="L16">
        <f t="shared" si="0"/>
        <v>38.5</v>
      </c>
    </row>
    <row r="17" spans="4:12">
      <c r="D17" s="11">
        <v>46184</v>
      </c>
      <c r="E17" s="12">
        <v>1611451</v>
      </c>
      <c r="F17" s="12" t="s">
        <v>45</v>
      </c>
      <c r="G17" s="13">
        <v>20316600</v>
      </c>
      <c r="H17" s="12" t="s">
        <v>91</v>
      </c>
      <c r="I17" s="13">
        <v>1</v>
      </c>
      <c r="J17" s="14">
        <v>2.8</v>
      </c>
      <c r="K17" s="14">
        <v>2.8</v>
      </c>
      <c r="L17">
        <f t="shared" si="0"/>
        <v>4</v>
      </c>
    </row>
    <row r="18" spans="4:12">
      <c r="D18" s="11">
        <v>46186</v>
      </c>
      <c r="E18" s="12">
        <v>1612012</v>
      </c>
      <c r="F18" s="12" t="s">
        <v>13</v>
      </c>
      <c r="G18" s="13">
        <v>20316568</v>
      </c>
      <c r="H18" s="12" t="s">
        <v>52</v>
      </c>
      <c r="I18" s="13">
        <v>2</v>
      </c>
      <c r="J18" s="14">
        <v>26.95</v>
      </c>
      <c r="K18" s="14">
        <v>53.9</v>
      </c>
      <c r="L18">
        <f t="shared" si="0"/>
        <v>38.5</v>
      </c>
    </row>
    <row r="19" spans="4:12">
      <c r="D19" s="11">
        <v>46189</v>
      </c>
      <c r="E19" s="12">
        <v>1612663</v>
      </c>
      <c r="F19" s="12" t="s">
        <v>20</v>
      </c>
      <c r="G19" s="13">
        <v>20316907</v>
      </c>
      <c r="H19" s="12" t="s">
        <v>90</v>
      </c>
      <c r="I19" s="13">
        <v>4</v>
      </c>
      <c r="J19" s="14">
        <v>9.1</v>
      </c>
      <c r="K19" s="14">
        <v>36.4</v>
      </c>
      <c r="L19">
        <f t="shared" si="0"/>
        <v>13</v>
      </c>
    </row>
    <row r="20" spans="4:12">
      <c r="D20" s="11">
        <v>46189</v>
      </c>
      <c r="E20" s="12">
        <v>1612663</v>
      </c>
      <c r="F20" s="12" t="s">
        <v>42</v>
      </c>
      <c r="G20" s="13">
        <v>20316766</v>
      </c>
      <c r="H20" s="12" t="s">
        <v>89</v>
      </c>
      <c r="I20" s="13">
        <v>1</v>
      </c>
      <c r="J20" s="14">
        <v>15.4</v>
      </c>
      <c r="K20" s="14">
        <v>15.4</v>
      </c>
      <c r="L20">
        <f t="shared" si="0"/>
        <v>22</v>
      </c>
    </row>
    <row r="21" spans="4:12">
      <c r="D21" s="11">
        <v>46191</v>
      </c>
      <c r="E21" s="12">
        <v>1613437</v>
      </c>
      <c r="F21" s="12" t="s">
        <v>13</v>
      </c>
      <c r="G21" s="13">
        <v>20316568</v>
      </c>
      <c r="H21" s="12" t="s">
        <v>52</v>
      </c>
      <c r="I21" s="13">
        <v>4</v>
      </c>
      <c r="J21" s="14">
        <v>26.95</v>
      </c>
      <c r="K21" s="14">
        <v>107.8</v>
      </c>
      <c r="L21">
        <f t="shared" si="0"/>
        <v>38.5</v>
      </c>
    </row>
    <row r="22" spans="4:12">
      <c r="D22" s="11">
        <v>46193</v>
      </c>
      <c r="E22" s="12">
        <v>1613779</v>
      </c>
      <c r="F22" s="12" t="s">
        <v>13</v>
      </c>
      <c r="G22" s="13">
        <v>20316568</v>
      </c>
      <c r="H22" s="12" t="s">
        <v>52</v>
      </c>
      <c r="I22" s="13">
        <v>1</v>
      </c>
      <c r="J22" s="14">
        <v>26.95</v>
      </c>
      <c r="K22" s="14">
        <v>26.95</v>
      </c>
      <c r="L22">
        <f t="shared" si="0"/>
        <v>38.5</v>
      </c>
    </row>
    <row r="23" spans="4:12">
      <c r="D23" s="11">
        <v>46196</v>
      </c>
      <c r="E23" s="12">
        <v>1614457</v>
      </c>
      <c r="F23" s="12" t="s">
        <v>20</v>
      </c>
      <c r="G23" s="13">
        <v>20316907</v>
      </c>
      <c r="H23" s="12" t="s">
        <v>90</v>
      </c>
      <c r="I23" s="13">
        <v>4</v>
      </c>
      <c r="J23" s="14">
        <v>9.1</v>
      </c>
      <c r="K23" s="14">
        <v>36.4</v>
      </c>
      <c r="L23">
        <f t="shared" si="0"/>
        <v>13</v>
      </c>
    </row>
    <row r="24" spans="4:12">
      <c r="D24" s="11">
        <v>46196</v>
      </c>
      <c r="E24" s="12">
        <v>1614457</v>
      </c>
      <c r="F24" s="12" t="s">
        <v>13</v>
      </c>
      <c r="G24" s="13">
        <v>20316568</v>
      </c>
      <c r="H24" s="12" t="s">
        <v>52</v>
      </c>
      <c r="I24" s="13">
        <v>3</v>
      </c>
      <c r="J24" s="14">
        <v>26.95</v>
      </c>
      <c r="K24" s="14">
        <v>80.85</v>
      </c>
      <c r="L24">
        <f t="shared" si="0"/>
        <v>38.5</v>
      </c>
    </row>
    <row r="25" spans="4:12">
      <c r="D25" s="11">
        <v>46196</v>
      </c>
      <c r="E25" s="12">
        <v>1614457</v>
      </c>
      <c r="F25" s="12" t="s">
        <v>42</v>
      </c>
      <c r="G25" s="13">
        <v>20370247</v>
      </c>
      <c r="H25" s="12" t="s">
        <v>92</v>
      </c>
      <c r="I25" s="13">
        <v>1</v>
      </c>
      <c r="J25" s="14">
        <v>15.4</v>
      </c>
      <c r="K25" s="14">
        <v>15.4</v>
      </c>
      <c r="L25">
        <f t="shared" si="0"/>
        <v>22</v>
      </c>
    </row>
    <row r="26" spans="4:12">
      <c r="D26" s="11">
        <v>46198</v>
      </c>
      <c r="E26" s="12">
        <v>1615190</v>
      </c>
      <c r="F26" s="12" t="s">
        <v>13</v>
      </c>
      <c r="G26" s="13">
        <v>20316568</v>
      </c>
      <c r="H26" s="12" t="s">
        <v>52</v>
      </c>
      <c r="I26" s="13">
        <v>2</v>
      </c>
      <c r="J26" s="14">
        <v>26.95</v>
      </c>
      <c r="K26" s="14">
        <v>53.9</v>
      </c>
      <c r="L26">
        <f t="shared" si="0"/>
        <v>38.5</v>
      </c>
    </row>
    <row r="27" spans="4:12">
      <c r="D27" s="11">
        <v>46200</v>
      </c>
      <c r="E27" s="12">
        <v>1615719</v>
      </c>
      <c r="F27" s="12" t="s">
        <v>13</v>
      </c>
      <c r="G27" s="13">
        <v>20316568</v>
      </c>
      <c r="H27" s="12" t="s">
        <v>52</v>
      </c>
      <c r="I27" s="13">
        <v>1</v>
      </c>
      <c r="J27" s="14">
        <v>26.95</v>
      </c>
      <c r="K27" s="14">
        <v>26.95</v>
      </c>
      <c r="L27">
        <f t="shared" si="0"/>
        <v>38.5</v>
      </c>
    </row>
    <row r="28" spans="4:12">
      <c r="D28" s="11">
        <v>46200</v>
      </c>
      <c r="E28" s="12">
        <v>1615719</v>
      </c>
      <c r="F28" s="12" t="s">
        <v>42</v>
      </c>
      <c r="G28" s="13">
        <v>20316766</v>
      </c>
      <c r="H28" s="12" t="s">
        <v>89</v>
      </c>
      <c r="I28" s="13">
        <v>1</v>
      </c>
      <c r="J28" s="14">
        <v>15.4</v>
      </c>
      <c r="K28" s="14">
        <v>15.4</v>
      </c>
      <c r="L28">
        <f t="shared" si="0"/>
        <v>22</v>
      </c>
    </row>
    <row r="29" spans="4:12">
      <c r="D29" s="11">
        <v>46203</v>
      </c>
      <c r="E29" s="12">
        <v>1616381</v>
      </c>
      <c r="F29" s="12" t="s">
        <v>20</v>
      </c>
      <c r="G29" s="13">
        <v>20316907</v>
      </c>
      <c r="H29" s="12" t="s">
        <v>90</v>
      </c>
      <c r="I29" s="13">
        <v>4</v>
      </c>
      <c r="J29" s="14">
        <v>9.1</v>
      </c>
      <c r="K29" s="14">
        <v>36.4</v>
      </c>
      <c r="L29">
        <f t="shared" si="0"/>
        <v>13</v>
      </c>
    </row>
    <row r="30" spans="4:12">
      <c r="D30" s="11">
        <v>46203</v>
      </c>
      <c r="E30" s="12">
        <v>1616381</v>
      </c>
      <c r="F30" s="12" t="s">
        <v>20</v>
      </c>
      <c r="G30" s="13">
        <v>20318043</v>
      </c>
      <c r="H30" s="12" t="s">
        <v>93</v>
      </c>
      <c r="I30" s="13">
        <v>1</v>
      </c>
      <c r="J30" s="14">
        <v>7.7</v>
      </c>
      <c r="K30" s="14">
        <v>7.7</v>
      </c>
      <c r="L30">
        <f t="shared" si="0"/>
        <v>11</v>
      </c>
    </row>
    <row r="31" spans="4:12">
      <c r="D31" s="11">
        <v>46203</v>
      </c>
      <c r="E31" s="12">
        <v>1616381</v>
      </c>
      <c r="F31" s="12" t="s">
        <v>13</v>
      </c>
      <c r="G31" s="13">
        <v>20316568</v>
      </c>
      <c r="H31" s="12" t="s">
        <v>52</v>
      </c>
      <c r="I31" s="13">
        <v>2</v>
      </c>
      <c r="J31" s="14">
        <v>26.95</v>
      </c>
      <c r="K31" s="14">
        <v>53.9</v>
      </c>
      <c r="L31">
        <f t="shared" si="0"/>
        <v>38.5</v>
      </c>
    </row>
  </sheetData>
  <autoFilter xmlns:etc="http://www.wps.cn/officeDocument/2017/etCustomData" ref="A7:K31" etc:filterBottomFollowUsedRange="0">
    <extLst/>
  </autoFilter>
  <mergeCells count="5">
    <mergeCell ref="D8:H8"/>
    <mergeCell ref="C7:C31"/>
    <mergeCell ref="B4:H5"/>
    <mergeCell ref="A7:B31"/>
    <mergeCell ref="C1:H2"/>
  </mergeCells>
  <pageMargins left="0.25" right="0.25" top="0.75" bottom="0.75" header="0.298611111111111" footer="0.298611111111111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&amp;"-,Regular"2026年7月6日 9:51 
&amp;"-,Bold"&amp;10 黑龙江省铂康医疗灭菌有限公司 &amp;R&amp;"Droid Sans Fallback"&amp;9第&amp;P页，共&amp;N页 </oddFooter>
  </headerFooter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39"/>
  <sheetViews>
    <sheetView showGridLines="0" view="pageBreakPreview" zoomScaleNormal="100" workbookViewId="0">
      <pane ySplit="6" topLeftCell="A7" activePane="bottomLeft" state="frozen"/>
      <selection/>
      <selection pane="bottomLeft" activeCell="K9" sqref="K9:K40"/>
    </sheetView>
  </sheetViews>
  <sheetFormatPr defaultColWidth="9" defaultRowHeight="13.5"/>
  <cols>
    <col min="1" max="2" width="0.225" customWidth="1"/>
    <col min="3" max="3" width="0.433333333333333" customWidth="1"/>
    <col min="4" max="4" width="9.28333333333333" customWidth="1"/>
    <col min="5" max="5" width="8.93333333333333" customWidth="1"/>
    <col min="6" max="6" width="14.95" customWidth="1"/>
    <col min="7" max="7" width="9.36666666666667" customWidth="1"/>
    <col min="8" max="8" width="24.8166666666667" customWidth="1"/>
    <col min="9" max="9" width="6.475" customWidth="1"/>
    <col min="10" max="10" width="12.2083333333333" customWidth="1"/>
    <col min="11" max="11" width="12.25" customWidth="1"/>
  </cols>
  <sheetData>
    <row r="1" spans="1:12">
      <c r="C1" s="1" t="s">
        <v>0</v>
      </c>
    </row>
    <row r="2" ht="23.05" customHeight="1"/>
    <row r="3" ht="2" customHeight="1"/>
    <row r="4" ht="15.2" customHeight="1" spans="1:12">
      <c r="B4" s="2" t="s">
        <v>1</v>
      </c>
    </row>
    <row r="6" ht="2.95" customHeight="1"/>
    <row r="7" spans="1:12">
      <c r="A7" s="3" t="s">
        <v>2</v>
      </c>
      <c r="B7" s="4" t="s">
        <v>2</v>
      </c>
      <c r="C7" s="5" t="s">
        <v>2</v>
      </c>
      <c r="D7" s="6" t="s">
        <v>4</v>
      </c>
      <c r="E7" s="6" t="s">
        <v>5</v>
      </c>
      <c r="F7" s="6" t="s">
        <v>6</v>
      </c>
      <c r="G7" s="6" t="s">
        <v>7</v>
      </c>
      <c r="H7" s="6" t="s">
        <v>8</v>
      </c>
      <c r="I7" s="6" t="s">
        <v>9</v>
      </c>
      <c r="J7" s="6" t="s">
        <v>10</v>
      </c>
      <c r="K7" s="6" t="s">
        <v>11</v>
      </c>
    </row>
    <row r="8" ht="14.25" spans="1:12">
      <c r="D8" s="7" t="s">
        <v>94</v>
      </c>
      <c r="E8" s="8" t="s">
        <v>2</v>
      </c>
      <c r="F8" s="8" t="s">
        <v>2</v>
      </c>
      <c r="G8" s="8" t="s">
        <v>2</v>
      </c>
      <c r="H8" s="8" t="s">
        <v>2</v>
      </c>
      <c r="I8" s="9">
        <v>44</v>
      </c>
      <c r="J8" s="10"/>
      <c r="K8" s="10">
        <v>889.7</v>
      </c>
    </row>
    <row r="9" spans="1:12">
      <c r="D9" s="11">
        <v>46191</v>
      </c>
      <c r="E9" s="12">
        <v>1613438</v>
      </c>
      <c r="F9" s="12" t="s">
        <v>66</v>
      </c>
      <c r="G9" s="13">
        <v>20316621</v>
      </c>
      <c r="H9" s="12" t="s">
        <v>95</v>
      </c>
      <c r="I9" s="13">
        <v>1</v>
      </c>
      <c r="J9" s="14">
        <v>80.85</v>
      </c>
      <c r="K9" s="14">
        <v>80.85</v>
      </c>
      <c r="L9">
        <f>J9/0.7</f>
        <v>115.5</v>
      </c>
    </row>
    <row r="10" spans="1:12">
      <c r="D10" s="11">
        <v>46191</v>
      </c>
      <c r="E10" s="12">
        <v>1613438</v>
      </c>
      <c r="F10" s="12" t="s">
        <v>20</v>
      </c>
      <c r="G10" s="13">
        <v>20316625</v>
      </c>
      <c r="H10" s="12" t="s">
        <v>96</v>
      </c>
      <c r="I10" s="13">
        <v>1</v>
      </c>
      <c r="J10" s="14">
        <v>11.55</v>
      </c>
      <c r="K10" s="14">
        <v>11.55</v>
      </c>
      <c r="L10">
        <f t="shared" ref="L10:L39" si="0">J10/0.7</f>
        <v>16.5</v>
      </c>
    </row>
    <row r="11" spans="1:12">
      <c r="D11" s="11">
        <v>46191</v>
      </c>
      <c r="E11" s="12">
        <v>1613438</v>
      </c>
      <c r="F11" s="12" t="s">
        <v>20</v>
      </c>
      <c r="G11" s="13">
        <v>20318278</v>
      </c>
      <c r="H11" s="12" t="s">
        <v>97</v>
      </c>
      <c r="I11" s="13">
        <v>1</v>
      </c>
      <c r="J11" s="14">
        <v>11.55</v>
      </c>
      <c r="K11" s="14">
        <v>11.55</v>
      </c>
      <c r="L11">
        <f t="shared" si="0"/>
        <v>16.5</v>
      </c>
    </row>
    <row r="12" spans="1:12">
      <c r="D12" s="11">
        <v>46191</v>
      </c>
      <c r="E12" s="12">
        <v>1613438</v>
      </c>
      <c r="F12" s="12" t="s">
        <v>42</v>
      </c>
      <c r="G12" s="13">
        <v>20316627</v>
      </c>
      <c r="H12" s="12" t="s">
        <v>69</v>
      </c>
      <c r="I12" s="13">
        <v>1</v>
      </c>
      <c r="J12" s="14">
        <v>11.55</v>
      </c>
      <c r="K12" s="14">
        <v>11.55</v>
      </c>
      <c r="L12">
        <f t="shared" si="0"/>
        <v>16.5</v>
      </c>
    </row>
    <row r="13" spans="1:12">
      <c r="D13" s="11">
        <v>46191</v>
      </c>
      <c r="E13" s="12">
        <v>1613438</v>
      </c>
      <c r="F13" s="12" t="s">
        <v>42</v>
      </c>
      <c r="G13" s="13">
        <v>20316633</v>
      </c>
      <c r="H13" s="12" t="s">
        <v>98</v>
      </c>
      <c r="I13" s="13">
        <v>1</v>
      </c>
      <c r="J13" s="14">
        <v>11.55</v>
      </c>
      <c r="K13" s="14">
        <v>11.55</v>
      </c>
      <c r="L13">
        <f t="shared" si="0"/>
        <v>16.5</v>
      </c>
    </row>
    <row r="14" spans="1:12">
      <c r="D14" s="11">
        <v>46191</v>
      </c>
      <c r="E14" s="12">
        <v>1613438</v>
      </c>
      <c r="F14" s="12" t="s">
        <v>42</v>
      </c>
      <c r="G14" s="13">
        <v>20316622</v>
      </c>
      <c r="H14" s="12" t="s">
        <v>99</v>
      </c>
      <c r="I14" s="13">
        <v>1</v>
      </c>
      <c r="J14" s="14">
        <v>11.55</v>
      </c>
      <c r="K14" s="14">
        <v>11.55</v>
      </c>
      <c r="L14">
        <f t="shared" si="0"/>
        <v>16.5</v>
      </c>
    </row>
    <row r="15" spans="1:12">
      <c r="D15" s="11">
        <v>46191</v>
      </c>
      <c r="E15" s="12">
        <v>1613438</v>
      </c>
      <c r="F15" s="12" t="s">
        <v>42</v>
      </c>
      <c r="G15" s="13">
        <v>20320870</v>
      </c>
      <c r="H15" s="12" t="s">
        <v>100</v>
      </c>
      <c r="I15" s="13">
        <v>1</v>
      </c>
      <c r="J15" s="14">
        <v>23.1</v>
      </c>
      <c r="K15" s="14">
        <v>23.1</v>
      </c>
      <c r="L15">
        <f t="shared" si="0"/>
        <v>33</v>
      </c>
    </row>
    <row r="16" spans="1:12">
      <c r="D16" s="11">
        <v>46191</v>
      </c>
      <c r="E16" s="12">
        <v>1613438</v>
      </c>
      <c r="F16" s="12" t="s">
        <v>42</v>
      </c>
      <c r="G16" s="13">
        <v>20316626</v>
      </c>
      <c r="H16" s="12" t="s">
        <v>101</v>
      </c>
      <c r="I16" s="13">
        <v>2</v>
      </c>
      <c r="J16" s="14">
        <v>11.55</v>
      </c>
      <c r="K16" s="14">
        <v>23.1</v>
      </c>
      <c r="L16">
        <f t="shared" si="0"/>
        <v>16.5</v>
      </c>
    </row>
    <row r="17" spans="4:12">
      <c r="D17" s="11">
        <v>46191</v>
      </c>
      <c r="E17" s="12">
        <v>1613438</v>
      </c>
      <c r="F17" s="12" t="s">
        <v>45</v>
      </c>
      <c r="G17" s="13">
        <v>20316563</v>
      </c>
      <c r="H17" s="12" t="s">
        <v>102</v>
      </c>
      <c r="I17" s="13">
        <v>1</v>
      </c>
      <c r="J17" s="14">
        <v>1.75</v>
      </c>
      <c r="K17" s="14">
        <v>1.75</v>
      </c>
      <c r="L17">
        <f t="shared" si="0"/>
        <v>2.5</v>
      </c>
    </row>
    <row r="18" spans="4:12">
      <c r="D18" s="11">
        <v>46191</v>
      </c>
      <c r="E18" s="12">
        <v>1613438</v>
      </c>
      <c r="F18" s="12" t="s">
        <v>45</v>
      </c>
      <c r="G18" s="13">
        <v>20336801</v>
      </c>
      <c r="H18" s="12" t="s">
        <v>103</v>
      </c>
      <c r="I18" s="13">
        <v>5</v>
      </c>
      <c r="J18" s="14">
        <v>1.75</v>
      </c>
      <c r="K18" s="14">
        <v>8.75</v>
      </c>
      <c r="L18">
        <f t="shared" si="0"/>
        <v>2.5</v>
      </c>
    </row>
    <row r="19" spans="4:12">
      <c r="D19" s="11">
        <v>46191</v>
      </c>
      <c r="E19" s="12">
        <v>1613438</v>
      </c>
      <c r="F19" s="12" t="s">
        <v>45</v>
      </c>
      <c r="G19" s="13">
        <v>20316712</v>
      </c>
      <c r="H19" s="12" t="s">
        <v>104</v>
      </c>
      <c r="I19" s="13">
        <v>1</v>
      </c>
      <c r="J19" s="14">
        <v>1.75</v>
      </c>
      <c r="K19" s="14">
        <v>1.75</v>
      </c>
      <c r="L19">
        <f t="shared" si="0"/>
        <v>2.5</v>
      </c>
    </row>
    <row r="20" spans="4:12">
      <c r="D20" s="11">
        <v>46192</v>
      </c>
      <c r="E20" s="12">
        <v>1613612</v>
      </c>
      <c r="F20" s="12" t="s">
        <v>105</v>
      </c>
      <c r="G20" s="13">
        <v>20316714</v>
      </c>
      <c r="H20" s="12" t="s">
        <v>106</v>
      </c>
      <c r="I20" s="13">
        <v>1</v>
      </c>
      <c r="J20" s="14">
        <v>24.5</v>
      </c>
      <c r="K20" s="14">
        <v>24.5</v>
      </c>
      <c r="L20">
        <f t="shared" si="0"/>
        <v>35</v>
      </c>
    </row>
    <row r="21" spans="4:12">
      <c r="D21" s="11">
        <v>46198</v>
      </c>
      <c r="E21" s="12">
        <v>1615191</v>
      </c>
      <c r="F21" s="12" t="s">
        <v>66</v>
      </c>
      <c r="G21" s="13">
        <v>20316621</v>
      </c>
      <c r="H21" s="12" t="s">
        <v>95</v>
      </c>
      <c r="I21" s="13">
        <v>1</v>
      </c>
      <c r="J21" s="14">
        <v>80.85</v>
      </c>
      <c r="K21" s="14">
        <v>80.85</v>
      </c>
      <c r="L21">
        <f t="shared" si="0"/>
        <v>115.5</v>
      </c>
    </row>
    <row r="22" spans="4:12">
      <c r="D22" s="11">
        <v>46198</v>
      </c>
      <c r="E22" s="12">
        <v>1615191</v>
      </c>
      <c r="F22" s="12" t="s">
        <v>66</v>
      </c>
      <c r="G22" s="13">
        <v>20316624</v>
      </c>
      <c r="H22" s="12" t="s">
        <v>107</v>
      </c>
      <c r="I22" s="13">
        <v>1</v>
      </c>
      <c r="J22" s="14">
        <v>80.85</v>
      </c>
      <c r="K22" s="14">
        <v>80.85</v>
      </c>
      <c r="L22">
        <f t="shared" si="0"/>
        <v>115.5</v>
      </c>
    </row>
    <row r="23" spans="4:12">
      <c r="D23" s="11">
        <v>46198</v>
      </c>
      <c r="E23" s="12">
        <v>1615191</v>
      </c>
      <c r="F23" s="12" t="s">
        <v>20</v>
      </c>
      <c r="G23" s="13">
        <v>20317957</v>
      </c>
      <c r="H23" s="12" t="s">
        <v>108</v>
      </c>
      <c r="I23" s="13">
        <v>1</v>
      </c>
      <c r="J23" s="14">
        <v>5.6</v>
      </c>
      <c r="K23" s="14">
        <v>5.6</v>
      </c>
      <c r="L23">
        <f t="shared" si="0"/>
        <v>8</v>
      </c>
    </row>
    <row r="24" spans="4:12">
      <c r="D24" s="11">
        <v>46198</v>
      </c>
      <c r="E24" s="12">
        <v>1615191</v>
      </c>
      <c r="F24" s="12" t="s">
        <v>20</v>
      </c>
      <c r="G24" s="13">
        <v>20316625</v>
      </c>
      <c r="H24" s="12" t="s">
        <v>96</v>
      </c>
      <c r="I24" s="13">
        <v>2</v>
      </c>
      <c r="J24" s="14">
        <v>11.55</v>
      </c>
      <c r="K24" s="14">
        <v>23.1</v>
      </c>
      <c r="L24">
        <f t="shared" si="0"/>
        <v>16.5</v>
      </c>
    </row>
    <row r="25" spans="4:12">
      <c r="D25" s="11">
        <v>46198</v>
      </c>
      <c r="E25" s="12">
        <v>1615191</v>
      </c>
      <c r="F25" s="12" t="s">
        <v>42</v>
      </c>
      <c r="G25" s="13">
        <v>20316701</v>
      </c>
      <c r="H25" s="12" t="s">
        <v>109</v>
      </c>
      <c r="I25" s="13">
        <v>1</v>
      </c>
      <c r="J25" s="14">
        <v>11.55</v>
      </c>
      <c r="K25" s="14">
        <v>11.55</v>
      </c>
      <c r="L25">
        <f t="shared" si="0"/>
        <v>16.5</v>
      </c>
    </row>
    <row r="26" spans="4:12">
      <c r="D26" s="11">
        <v>46198</v>
      </c>
      <c r="E26" s="12">
        <v>1615191</v>
      </c>
      <c r="F26" s="12" t="s">
        <v>42</v>
      </c>
      <c r="G26" s="13">
        <v>20316627</v>
      </c>
      <c r="H26" s="12" t="s">
        <v>69</v>
      </c>
      <c r="I26" s="13">
        <v>2</v>
      </c>
      <c r="J26" s="14">
        <v>11.55</v>
      </c>
      <c r="K26" s="14">
        <v>23.1</v>
      </c>
      <c r="L26">
        <f t="shared" si="0"/>
        <v>16.5</v>
      </c>
    </row>
    <row r="27" spans="4:12">
      <c r="D27" s="11">
        <v>46198</v>
      </c>
      <c r="E27" s="12">
        <v>1615191</v>
      </c>
      <c r="F27" s="12" t="s">
        <v>42</v>
      </c>
      <c r="G27" s="13">
        <v>20316622</v>
      </c>
      <c r="H27" s="12" t="s">
        <v>99</v>
      </c>
      <c r="I27" s="13">
        <v>1</v>
      </c>
      <c r="J27" s="14">
        <v>11.55</v>
      </c>
      <c r="K27" s="14">
        <v>11.55</v>
      </c>
      <c r="L27">
        <f t="shared" si="0"/>
        <v>16.5</v>
      </c>
    </row>
    <row r="28" spans="4:12">
      <c r="D28" s="11">
        <v>46198</v>
      </c>
      <c r="E28" s="12">
        <v>1615191</v>
      </c>
      <c r="F28" s="12" t="s">
        <v>45</v>
      </c>
      <c r="G28" s="13">
        <v>20316563</v>
      </c>
      <c r="H28" s="12" t="s">
        <v>102</v>
      </c>
      <c r="I28" s="13">
        <v>2</v>
      </c>
      <c r="J28" s="14">
        <v>1.75</v>
      </c>
      <c r="K28" s="14">
        <v>3.5</v>
      </c>
      <c r="L28">
        <f t="shared" si="0"/>
        <v>2.5</v>
      </c>
    </row>
    <row r="29" spans="4:12">
      <c r="D29" s="11">
        <v>46198</v>
      </c>
      <c r="E29" s="12">
        <v>1615239</v>
      </c>
      <c r="F29" s="12" t="s">
        <v>105</v>
      </c>
      <c r="G29" s="13">
        <v>20318570</v>
      </c>
      <c r="H29" s="12" t="s">
        <v>110</v>
      </c>
      <c r="I29" s="13">
        <v>1</v>
      </c>
      <c r="J29" s="14">
        <v>24.5</v>
      </c>
      <c r="K29" s="14">
        <v>24.5</v>
      </c>
      <c r="L29">
        <f t="shared" si="0"/>
        <v>35</v>
      </c>
    </row>
    <row r="30" spans="4:12">
      <c r="D30" s="11">
        <v>46198</v>
      </c>
      <c r="E30" s="12">
        <v>1615239</v>
      </c>
      <c r="F30" s="12" t="s">
        <v>105</v>
      </c>
      <c r="G30" s="13">
        <v>20316714</v>
      </c>
      <c r="H30" s="12" t="s">
        <v>106</v>
      </c>
      <c r="I30" s="13">
        <v>2</v>
      </c>
      <c r="J30" s="14">
        <v>24.5</v>
      </c>
      <c r="K30" s="14">
        <v>49</v>
      </c>
      <c r="L30">
        <f t="shared" si="0"/>
        <v>35</v>
      </c>
    </row>
    <row r="31" spans="4:12">
      <c r="D31" s="11">
        <v>46200</v>
      </c>
      <c r="E31" s="12">
        <v>1615720</v>
      </c>
      <c r="F31" s="12" t="s">
        <v>66</v>
      </c>
      <c r="G31" s="13">
        <v>20316621</v>
      </c>
      <c r="H31" s="12" t="s">
        <v>95</v>
      </c>
      <c r="I31" s="13">
        <v>1</v>
      </c>
      <c r="J31" s="14">
        <v>80.85</v>
      </c>
      <c r="K31" s="14">
        <v>80.85</v>
      </c>
      <c r="L31">
        <f t="shared" si="0"/>
        <v>115.5</v>
      </c>
    </row>
    <row r="32" spans="4:12">
      <c r="D32" s="11">
        <v>46200</v>
      </c>
      <c r="E32" s="12">
        <v>1615720</v>
      </c>
      <c r="F32" s="12" t="s">
        <v>20</v>
      </c>
      <c r="G32" s="13">
        <v>20316625</v>
      </c>
      <c r="H32" s="12" t="s">
        <v>96</v>
      </c>
      <c r="I32" s="13">
        <v>1</v>
      </c>
      <c r="J32" s="14">
        <v>11.55</v>
      </c>
      <c r="K32" s="14">
        <v>11.55</v>
      </c>
      <c r="L32">
        <f t="shared" si="0"/>
        <v>16.5</v>
      </c>
    </row>
    <row r="33" spans="4:12">
      <c r="D33" s="11">
        <v>46200</v>
      </c>
      <c r="E33" s="12">
        <v>1615720</v>
      </c>
      <c r="F33" s="12" t="s">
        <v>42</v>
      </c>
      <c r="G33" s="13">
        <v>20316627</v>
      </c>
      <c r="H33" s="12" t="s">
        <v>69</v>
      </c>
      <c r="I33" s="13">
        <v>1</v>
      </c>
      <c r="J33" s="14">
        <v>11.55</v>
      </c>
      <c r="K33" s="14">
        <v>11.55</v>
      </c>
      <c r="L33">
        <f t="shared" si="0"/>
        <v>16.5</v>
      </c>
    </row>
    <row r="34" spans="4:12">
      <c r="D34" s="11">
        <v>46200</v>
      </c>
      <c r="E34" s="12">
        <v>1615720</v>
      </c>
      <c r="F34" s="12" t="s">
        <v>42</v>
      </c>
      <c r="G34" s="13">
        <v>20316622</v>
      </c>
      <c r="H34" s="12" t="s">
        <v>99</v>
      </c>
      <c r="I34" s="13">
        <v>1</v>
      </c>
      <c r="J34" s="14">
        <v>11.55</v>
      </c>
      <c r="K34" s="14">
        <v>11.55</v>
      </c>
      <c r="L34">
        <f t="shared" si="0"/>
        <v>16.5</v>
      </c>
    </row>
    <row r="35" spans="4:12">
      <c r="D35" s="11">
        <v>46200</v>
      </c>
      <c r="E35" s="12">
        <v>1615720</v>
      </c>
      <c r="F35" s="12" t="s">
        <v>45</v>
      </c>
      <c r="G35" s="13">
        <v>20316563</v>
      </c>
      <c r="H35" s="12" t="s">
        <v>102</v>
      </c>
      <c r="I35" s="13">
        <v>1</v>
      </c>
      <c r="J35" s="14">
        <v>1.75</v>
      </c>
      <c r="K35" s="14">
        <v>1.75</v>
      </c>
      <c r="L35">
        <f t="shared" si="0"/>
        <v>2.5</v>
      </c>
    </row>
    <row r="36" spans="4:12">
      <c r="D36" s="11">
        <v>46203</v>
      </c>
      <c r="E36" s="12">
        <v>1616382</v>
      </c>
      <c r="F36" s="12" t="s">
        <v>66</v>
      </c>
      <c r="G36" s="13">
        <v>20316621</v>
      </c>
      <c r="H36" s="12" t="s">
        <v>95</v>
      </c>
      <c r="I36" s="13">
        <v>2</v>
      </c>
      <c r="J36" s="14">
        <v>80.85</v>
      </c>
      <c r="K36" s="14">
        <v>161.7</v>
      </c>
      <c r="L36">
        <f t="shared" si="0"/>
        <v>115.5</v>
      </c>
    </row>
    <row r="37" spans="4:12">
      <c r="D37" s="11">
        <v>46203</v>
      </c>
      <c r="E37" s="12">
        <v>1616382</v>
      </c>
      <c r="F37" s="12" t="s">
        <v>105</v>
      </c>
      <c r="G37" s="13">
        <v>20316714</v>
      </c>
      <c r="H37" s="12" t="s">
        <v>106</v>
      </c>
      <c r="I37" s="13">
        <v>2</v>
      </c>
      <c r="J37" s="14">
        <v>24.5</v>
      </c>
      <c r="K37" s="14">
        <v>49</v>
      </c>
      <c r="L37">
        <f t="shared" si="0"/>
        <v>35</v>
      </c>
    </row>
    <row r="38" spans="4:12">
      <c r="D38" s="11">
        <v>46203</v>
      </c>
      <c r="E38" s="12">
        <v>1616382</v>
      </c>
      <c r="F38" s="12" t="s">
        <v>42</v>
      </c>
      <c r="G38" s="13">
        <v>20316627</v>
      </c>
      <c r="H38" s="12" t="s">
        <v>69</v>
      </c>
      <c r="I38" s="13">
        <v>2</v>
      </c>
      <c r="J38" s="14">
        <v>11.55</v>
      </c>
      <c r="K38" s="14">
        <v>23.1</v>
      </c>
      <c r="L38">
        <f t="shared" si="0"/>
        <v>16.5</v>
      </c>
    </row>
    <row r="39" spans="4:12">
      <c r="D39" s="11">
        <v>46203</v>
      </c>
      <c r="E39" s="12">
        <v>1616382</v>
      </c>
      <c r="F39" s="12" t="s">
        <v>45</v>
      </c>
      <c r="G39" s="13">
        <v>20316563</v>
      </c>
      <c r="H39" s="12" t="s">
        <v>102</v>
      </c>
      <c r="I39" s="13">
        <v>2</v>
      </c>
      <c r="J39" s="14">
        <v>1.75</v>
      </c>
      <c r="K39" s="14">
        <v>3.5</v>
      </c>
      <c r="L39">
        <f t="shared" si="0"/>
        <v>2.5</v>
      </c>
    </row>
  </sheetData>
  <autoFilter xmlns:etc="http://www.wps.cn/officeDocument/2017/etCustomData" ref="A7:K39" etc:filterBottomFollowUsedRange="0">
    <extLst/>
  </autoFilter>
  <mergeCells count="5">
    <mergeCell ref="D8:H8"/>
    <mergeCell ref="C7:C39"/>
    <mergeCell ref="B4:H5"/>
    <mergeCell ref="A7:B39"/>
    <mergeCell ref="C1:H2"/>
  </mergeCells>
  <pageMargins left="0.25" right="0.25" top="0.75" bottom="0.75" header="0.298611111111111" footer="0.298611111111111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&amp;"-,Regular"2026年7月6日 9:51 
&amp;"-,Bold"&amp;10 黑龙江省铂康医疗灭菌有限公司 &amp;R&amp;"Droid Sans Fallback"&amp;9第&amp;P页，共&amp;N页 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10</vt:i4>
      </vt:variant>
    </vt:vector>
  </HeadingPairs>
  <TitlesOfParts>
    <vt:vector size="10" baseType="lpstr">
      <vt:lpstr>门诊耳鼻喉</vt:lpstr>
      <vt:lpstr>门诊妇科</vt:lpstr>
      <vt:lpstr>门诊肛肠科</vt:lpstr>
      <vt:lpstr>门诊计划生育</vt:lpstr>
      <vt:lpstr>门诊口腔科</vt:lpstr>
      <vt:lpstr>门诊手术室</vt:lpstr>
      <vt:lpstr>门诊外科</vt:lpstr>
      <vt:lpstr>门诊眼科</vt:lpstr>
      <vt:lpstr>外科（住院处）</vt:lpstr>
      <vt:lpstr>住院处手术室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街道无人</cp:lastModifiedBy>
  <dcterms:created xsi:type="dcterms:W3CDTF">2026-07-06T01:51:00Z</dcterms:created>
  <dcterms:modified xsi:type="dcterms:W3CDTF">2026-07-08T01:03:06Z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0E173621AFA44F6AA768E0E2E61347A1_13</vt:lpwstr>
  </property>
  <property fmtid="{D5CDD505-2E9C-101B-9397-08002B2CF9AE}" pid="3" name="KSOProductBuildVer">
    <vt:lpwstr>2052-12.1.0.26895</vt:lpwstr>
  </property>
  <property fmtid="{D5CDD505-2E9C-101B-9397-08002B2CF9AE}" pid="4" name="CalculationRule">
    <vt:i4>0</vt:i4>
  </property>
  <property fmtid="{D5CDD505-2E9C-101B-9397-08002B2CF9AE}" pid="5" name="KSOReadingLayout">
    <vt:bool>true</vt:bool>
  </property>
</Properties>
</file>