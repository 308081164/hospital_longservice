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奥兰医院" sheetId="1" r:id="rId1"/>
  </sheets>
  <externalReferences>
    <externalReference r:id="rId2"/>
  </externalReference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<sst xmlns="http://schemas.openxmlformats.org/spreadsheetml/2006/main" count="44" uniqueCount="17">
  <si>
    <t/>
  </si>
  <si>
    <r>
      <rPr>
        <b/>
        <sz val="14"/>
        <color rgb="FF000000"/>
        <rFont val="宋体"/>
        <charset val="134"/>
      </rPr>
      <t>哈尔滨奥兰医院有限公司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</si>
  <si>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哈尔滨奥兰医院有限公司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</si>
  <si>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</si>
  <si>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</si>
  <si>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</si>
  <si>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</si>
  <si>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</si>
  <si>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</si>
  <si>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</si>
  <si>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</si>
  <si>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外来器械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</si>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</sst>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885;&#20848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门诊处置室"/>
      <sheetName val="手术室"/>
      <sheetName val="外一科"/>
      <sheetName val="外来"/>
    </sheetNames>
    <sheetDataSet>
      <sheetData sheetId="0">
        <row r="10">
          <cell r="K10">
            <v>988</v>
          </cell>
        </row>
      </sheetData>
      <sheetData sheetId="1">
        <row r="8">
          <cell r="K8">
            <v>388</v>
          </cell>
        </row>
      </sheetData>
      <sheetData sheetId="2">
        <row r="8">
          <cell r="K8">
            <v>47704.5</v>
          </cell>
        </row>
      </sheetData>
      <sheetData sheetId="3">
        <row r="8">
          <cell r="K8">
            <v>542</v>
          </cell>
        </row>
      </sheetData>
      <sheetData sheetId="4">
        <row r="10">
          <cell r="L10">
            <v>11921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D17" sqref="D17:I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[1]妇科门诊!$K$10+[1]门诊处置室!$K$8+[1]手术室!$K$8+[1]外一科!$K$8</f>
        <v>49622.5</v>
      </c>
      <c r="G12" s="7" t="s">
        <v>0</v>
      </c>
      <c r="H12" s="6"/>
      <c r="I12" s="7"/>
    </row>
    <row r="13" ht="30" customHeight="1" spans="3:9">
      <c r="D13" s="6" t="s">
        <v>10</v>
      </c>
      <c r="E13" s="9" t="s">
        <v>11</v>
      </c>
      <c r="F13" s="8">
        <f>[1]外来!$L$10</f>
        <v>11921</v>
      </c>
      <c r="G13" s="7" t="s">
        <v>0</v>
      </c>
      <c r="H13" s="6"/>
      <c r="I13" s="7"/>
    </row>
    <row r="14" ht="30" customHeight="1" spans="3:9">
      <c r="D14" s="6" t="s">
        <v>12</v>
      </c>
      <c r="E14" s="7" t="s">
        <v>0</v>
      </c>
      <c r="F14" s="8">
        <f>F12+F13</f>
        <v>61543.5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13</v>
      </c>
      <c r="E15" s="7" t="s">
        <v>0</v>
      </c>
      <c r="F15" s="10">
        <f>F14</f>
        <v>61543.5</v>
      </c>
      <c r="G15" s="11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14</v>
      </c>
    </row>
    <row r="18" ht="18.75" spans="4:8">
      <c r="D18" s="12" t="s">
        <v>0</v>
      </c>
      <c r="E18" s="12" t="s">
        <v>0</v>
      </c>
      <c r="F18" s="13" t="s">
        <v>15</v>
      </c>
      <c r="H18" s="12" t="s">
        <v>0</v>
      </c>
    </row>
    <row r="19" ht="36" customHeight="1" spans="4:8">
      <c r="D19" s="14" t="s">
        <v>16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2026-06-10T05:49:48Z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6073C67E46F44873A6D0DF97602856C7_13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