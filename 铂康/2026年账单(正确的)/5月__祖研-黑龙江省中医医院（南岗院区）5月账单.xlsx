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tabRatio="863"/>
  </bookViews>
  <sheets>
    <sheet name="汇总" sheetId="13" r:id="rId1"/>
    <sheet name="风湿二科" sheetId="1" r:id="rId2"/>
    <sheet name="妇科" sheetId="2" r:id="rId3"/>
    <sheet name="骨三内四科" sheetId="3" r:id="rId4"/>
    <sheet name="美容科" sheetId="4" r:id="rId5"/>
    <sheet name="肾五科" sheetId="5" r:id="rId6"/>
    <sheet name="手术室" sheetId="6" r:id="rId7"/>
    <sheet name="透析科" sheetId="7" r:id="rId8"/>
    <sheet name="外二肛肠二科" sheetId="8" r:id="rId9"/>
    <sheet name="外二科" sheetId="9" r:id="rId10"/>
    <sheet name="心三科" sheetId="10" r:id="rId11"/>
    <sheet name="针三科" sheetId="11" r:id="rId12"/>
    <sheet name="针四科" sheetId="12" r:id="rId13"/>
  </sheets>
  <definedNames>
    <definedName name="_xlnm._FilterDatabase" localSheetId="4" hidden="1">美容科!$A$7:$K$40</definedName>
    <definedName name="_xlnm._FilterDatabase" localSheetId="6" hidden="1">手术室!$A$7:$K$52</definedName>
    <definedName name="_xlnm.Print_Titles" localSheetId="1">风湿二科!$1:$6</definedName>
    <definedName name="_xlnm.Print_Titles" localSheetId="2">妇科!$1:$6</definedName>
    <definedName name="_xlnm.Print_Titles" localSheetId="3">骨三内四科!$1:$6</definedName>
    <definedName name="_xlnm.Print_Titles" localSheetId="4">美容科!$1:$6</definedName>
    <definedName name="_xlnm.Print_Titles" localSheetId="5">肾五科!$1:$6</definedName>
    <definedName name="_xlnm.Print_Titles" localSheetId="6">手术室!$1:$6</definedName>
    <definedName name="_xlnm.Print_Titles" localSheetId="7">透析科!$1:$6</definedName>
    <definedName name="_xlnm.Print_Titles" localSheetId="8">外二肛肠二科!$1:$6</definedName>
    <definedName name="_xlnm.Print_Titles" localSheetId="9">外二科!$1:$6</definedName>
    <definedName name="_xlnm.Print_Titles" localSheetId="10">心三科!$1:$6</definedName>
    <definedName name="_xlnm.Print_Titles" localSheetId="11">针三科!$1:$6</definedName>
    <definedName name="_xlnm.Print_Titles" localSheetId="12">针四科!$1:$6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<sst xmlns="http://schemas.openxmlformats.org/spreadsheetml/2006/main" count="481" uniqueCount="89">
  <si>
    <r>
      <rPr>
        <b/>
        <sz val="14"/>
        <color rgb="FF000000"/>
        <rFont val="宋体"/>
        <charset val="134"/>
      </rPr>
      <t>祖研-黑龙江省中医医院（南岗院区）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2026年5月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</si>
  <si>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</si>
  <si>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</si>
  <si>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风湿二科</t>
  </si>
  <si>
    <t>妇科</t>
  </si>
  <si>
    <t>供应室</t>
  </si>
  <si>
    <t>骨三内四科</t>
  </si>
  <si>
    <t>美容科</t>
  </si>
  <si>
    <t>肾五科</t>
  </si>
  <si>
    <t>手术室</t>
  </si>
  <si>
    <t>透析科</t>
  </si>
  <si>
    <t>外二/肛肠二科</t>
  </si>
  <si>
    <t>外二科</t>
  </si>
  <si>
    <t>心三科</t>
  </si>
  <si>
    <t>针三科</t>
  </si>
  <si>
    <t>针四科</t>
  </si>
  <si>
    <t>物流费</t>
  </si>
  <si>
    <t>合计</t>
  </si>
  <si>
    <t/>
  </si>
  <si>
    <t>制表人：　　　　　　　　　核算人：　　　　　　　　甲方核算人：</t>
  </si>
  <si>
    <t>黑龙江省铂康医疗灭菌有限公司
2026年5月31日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</si>
  <si>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</si>
  <si>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</si>
  <si>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黑龙江省中医医院（南岗院区）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</si>
  <si>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</si>
  <si>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</si>
  <si>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</si>
  <si>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</si>
  <si>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</si>
  <si>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</si>
  <si>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</si>
  <si>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</si>
  <si>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</si>
  <si>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开口器1舌钳子1压舌板1/Z1526</t>
  </si>
  <si>
    <t>额外包(无纺布)</t>
  </si>
  <si>
    <t>镊子-10件/W6050</t>
  </si>
  <si>
    <t>剪刀-1/Z1026</t>
  </si>
  <si>
    <t>窥器-1/Z1526</t>
  </si>
  <si>
    <t>吸头-1（7号）/z7534</t>
  </si>
  <si>
    <t>异物钳-1/Z1535</t>
  </si>
  <si>
    <t>器械包(ZSD)</t>
  </si>
  <si>
    <t>刮宫包</t>
  </si>
  <si>
    <t>棉球缸1镊子缸2/W6050</t>
  </si>
  <si>
    <t>活检钳-1/Z1535</t>
  </si>
  <si>
    <t>止血钳-1/z1029</t>
  </si>
  <si>
    <t>镊子-20件/W6050</t>
  </si>
  <si>
    <t>开口器自背包-3件/z1526</t>
  </si>
  <si>
    <t>排针20/Z1026</t>
  </si>
  <si>
    <t>排针9件/Z1026</t>
  </si>
  <si>
    <t>器械包-5件（筐1）/w9050</t>
  </si>
  <si>
    <t>排针-11/Z7526</t>
  </si>
  <si>
    <t>器械包-12（筐1）件/w9050</t>
  </si>
  <si>
    <t>器械包-15（筐1）件/w9050</t>
  </si>
  <si>
    <t>排针-15/Z1026</t>
  </si>
  <si>
    <t>排针-19/Z1026</t>
  </si>
  <si>
    <t>器械包-7件（筐1）/w9050</t>
  </si>
  <si>
    <t>器械包-11（筐1）件/w9050</t>
  </si>
  <si>
    <t>器械包-6件（筐1）/w9050</t>
  </si>
  <si>
    <t>排针-6/Z7526</t>
  </si>
  <si>
    <t>器械包-22（筐1）件/w9050</t>
  </si>
  <si>
    <t>器械包-2件（筐1）/w9050</t>
  </si>
  <si>
    <t>排针-10/Z7526</t>
  </si>
  <si>
    <t>排针-23/Z1026</t>
  </si>
  <si>
    <t>器械包-18件（筐1）件/w9050</t>
  </si>
  <si>
    <t>棉球缸-1/z2530</t>
  </si>
  <si>
    <t>镊子缸-2/W6050</t>
  </si>
  <si>
    <t>器械包</t>
  </si>
  <si>
    <t>门诊大包</t>
  </si>
  <si>
    <t>换药碗-1/Z2530</t>
  </si>
  <si>
    <t>弯盘-1/Z2032</t>
  </si>
  <si>
    <t>持物钳罐-2件/W6050</t>
  </si>
  <si>
    <t>钩包</t>
  </si>
  <si>
    <t>门诊小包</t>
  </si>
  <si>
    <t>透析器械包</t>
  </si>
  <si>
    <t>腹透包</t>
  </si>
  <si>
    <t>S拉钩-1（布）/w7050</t>
  </si>
  <si>
    <t>敷料包(纸塑袋)</t>
  </si>
  <si>
    <t>大纱布/Z3032</t>
  </si>
  <si>
    <t>小纱球/Z1526</t>
  </si>
  <si>
    <t>盆-1/W9050</t>
  </si>
  <si>
    <t>肛肠包</t>
  </si>
  <si>
    <t>瘘刀包-3件/z1026</t>
  </si>
  <si>
    <t>直角钳-2/z1530</t>
  </si>
  <si>
    <t>开口器-1/Z1026</t>
  </si>
  <si>
    <t>压舌板-1/Z7526</t>
  </si>
  <si>
    <t>缝合包-5件/W6050</t>
  </si>
  <si>
    <t>镊子-41件/w6050</t>
  </si>
  <si>
    <t>小缝合包</t>
  </si>
  <si>
    <t>松筋针-1/Z1035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</si>
</sst>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7" fillId="0" borderId="0" xfId="49" applyNumberFormat="1" applyFont="1" applyFill="1" applyBorder="1" applyAlignment="1">
      <alignment horizontal="center" vertical="center" wrapText="1" readingOrder="1"/>
    </xf>
    <xf numFmtId="0" fontId="8" fillId="0" borderId="5" xfId="49" applyNumberFormat="1" applyFont="1" applyFill="1" applyBorder="1" applyAlignment="1">
      <alignment horizontal="center" vertical="center" wrapText="1" readingOrder="1"/>
    </xf>
    <xf numFmtId="0" fontId="9" fillId="0" borderId="5" xfId="49" applyNumberFormat="1" applyFont="1" applyFill="1" applyBorder="1" applyAlignment="1">
      <alignment horizontal="center" vertical="center" wrapText="1" readingOrder="1"/>
    </xf>
    <xf numFmtId="176" fontId="9" fillId="0" borderId="5" xfId="49" applyNumberFormat="1" applyFont="1" applyFill="1" applyBorder="1" applyAlignment="1">
      <alignment horizontal="center" vertical="center" wrapText="1" readingOrder="1"/>
    </xf>
    <xf numFmtId="178" fontId="9" fillId="0" borderId="5" xfId="49" applyNumberFormat="1" applyFont="1" applyFill="1" applyBorder="1" applyAlignment="1">
      <alignment horizontal="center" vertical="center" wrapText="1" readingOrder="1"/>
    </xf>
    <xf numFmtId="178" fontId="0" fillId="0" borderId="6" xfId="49" applyNumberFormat="1" applyFont="1" applyFill="1" applyBorder="1" applyAlignment="1">
      <alignment vertical="top" wrapText="1"/>
    </xf>
    <xf numFmtId="0" fontId="10" fillId="0" borderId="0" xfId="49" applyNumberFormat="1" applyFont="1" applyFill="1" applyBorder="1" applyAlignment="1">
      <alignment horizontal="left" vertical="top" wrapText="1" readingOrder="1"/>
    </xf>
    <xf numFmtId="0" fontId="10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66675</xdr:rowOff>
    </xdr:from>
    <xdr:to>
      <xdr:col>10</xdr:col>
      <xdr:colOff>748113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1</xdr:row>
      <xdr:rowOff>66675</xdr:rowOff>
    </xdr:from>
    <xdr:to>
      <xdr:col>10</xdr:col>
      <xdr:colOff>681438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28575</xdr:rowOff>
    </xdr:from>
    <xdr:to>
      <xdr:col>10</xdr:col>
      <xdr:colOff>757638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114300</xdr:rowOff>
    </xdr:from>
    <xdr:to>
      <xdr:col>10</xdr:col>
      <xdr:colOff>719538</xdr:colOff>
      <xdr:row>4</xdr:row>
      <xdr:rowOff>111760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2857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0</xdr:row>
      <xdr:rowOff>142875</xdr:rowOff>
    </xdr:from>
    <xdr:to>
      <xdr:col>10</xdr:col>
      <xdr:colOff>681438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152400</xdr:rowOff>
    </xdr:from>
    <xdr:to>
      <xdr:col>10</xdr:col>
      <xdr:colOff>795738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161925</xdr:rowOff>
    </xdr:from>
    <xdr:to>
      <xdr:col>10</xdr:col>
      <xdr:colOff>748113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0</xdr:row>
      <xdr:rowOff>142875</xdr:rowOff>
    </xdr:from>
    <xdr:to>
      <xdr:col>10</xdr:col>
      <xdr:colOff>671913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9525</xdr:rowOff>
    </xdr:from>
    <xdr:to>
      <xdr:col>10</xdr:col>
      <xdr:colOff>700488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1</xdr:row>
      <xdr:rowOff>47625</xdr:rowOff>
    </xdr:from>
    <xdr:to>
      <xdr:col>10</xdr:col>
      <xdr:colOff>824313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0</xdr:rowOff>
    </xdr:from>
    <xdr:to>
      <xdr:col>10</xdr:col>
      <xdr:colOff>767163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47625</xdr:rowOff>
    </xdr:from>
    <xdr:to>
      <xdr:col>10</xdr:col>
      <xdr:colOff>757638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8"/>
  <sheetViews>
    <sheetView tabSelected="1" view="pageBreakPreview" zoomScaleNormal="100" workbookViewId="0">
      <selection activeCell="E16" sqref="E16"/>
    </sheetView>
  </sheetViews>
  <sheetFormatPr defaultColWidth="9" defaultRowHeight="13.5" outlineLevelCol="4"/>
  <cols>
    <col min="1" max="1" width="1.69166666666667" style="18" customWidth="1"/>
    <col min="2" max="2" width="30.1916666666667" style="18" customWidth="1"/>
    <col min="3" max="3" width="12.8333333333333" style="18" customWidth="1"/>
    <col min="4" max="4" width="29.6" style="18" customWidth="1"/>
    <col min="5" max="5" width="12.5416666666667" style="18" customWidth="1"/>
    <col min="6" max="6" width="2" style="18" customWidth="1"/>
    <col min="7" max="16384" width="9" style="18"/>
  </cols>
  <sheetData>
    <row r="1" s="18" customFormat="1" ht="14.95" customHeight="1"/>
    <row r="2" s="18" customFormat="1" ht="25.5" customHeight="1" spans="2:5">
      <c r="B2" s="19" t="s">
        <v>0</v>
      </c>
    </row>
    <row r="3" s="18" customFormat="1" ht="30" customHeight="1" spans="2:5">
      <c r="B3" s="20" t="s">
        <v>1</v>
      </c>
      <c r="C3" s="20" t="s">
        <v>2</v>
      </c>
      <c r="D3" s="20" t="s">
        <v>1</v>
      </c>
      <c r="E3" s="20" t="s">
        <v>2</v>
      </c>
    </row>
    <row r="4" s="18" customFormat="1" ht="30" customHeight="1" spans="2:5">
      <c r="B4" s="21" t="s">
        <v>3</v>
      </c>
      <c r="C4" s="22">
        <f>风湿二科!K10</f>
        <v>16.5</v>
      </c>
      <c r="D4" s="21" t="s">
        <v>4</v>
      </c>
      <c r="E4" s="22">
        <f>妇科!K8</f>
        <v>1676</v>
      </c>
    </row>
    <row r="5" s="18" customFormat="1" ht="30" customHeight="1" spans="2:5">
      <c r="B5" s="21" t="s">
        <v>5</v>
      </c>
      <c r="C5" s="22">
        <v>0</v>
      </c>
      <c r="D5" s="21" t="s">
        <v>6</v>
      </c>
      <c r="E5" s="22">
        <f>骨三内四科!K8</f>
        <v>16.5</v>
      </c>
    </row>
    <row r="6" s="18" customFormat="1" ht="30" customHeight="1" spans="2:5">
      <c r="B6" s="21" t="s">
        <v>7</v>
      </c>
      <c r="C6" s="22">
        <f>美容科!K8</f>
        <v>1267.5</v>
      </c>
      <c r="D6" s="21" t="s">
        <v>8</v>
      </c>
      <c r="E6" s="22">
        <f>肾五科!K8</f>
        <v>32.5</v>
      </c>
    </row>
    <row r="7" s="18" customFormat="1" ht="30" customHeight="1" spans="2:5">
      <c r="B7" s="21" t="s">
        <v>9</v>
      </c>
      <c r="C7" s="22">
        <f>手术室!K8</f>
        <v>3731</v>
      </c>
      <c r="D7" s="21" t="s">
        <v>10</v>
      </c>
      <c r="E7" s="22">
        <f>透析科!K8</f>
        <v>71</v>
      </c>
    </row>
    <row r="8" s="18" customFormat="1" ht="30" customHeight="1" spans="2:5">
      <c r="B8" s="21" t="s">
        <v>11</v>
      </c>
      <c r="C8" s="22">
        <f>外二肛肠二科!K8</f>
        <v>225.5</v>
      </c>
      <c r="D8" s="21" t="s">
        <v>12</v>
      </c>
      <c r="E8" s="22">
        <f>外二科!K8</f>
        <v>55</v>
      </c>
    </row>
    <row r="9" s="18" customFormat="1" ht="30" customHeight="1" spans="2:5">
      <c r="B9" s="21" t="s">
        <v>13</v>
      </c>
      <c r="C9" s="22">
        <f>心三科!K8</f>
        <v>16.5</v>
      </c>
      <c r="D9" s="21" t="s">
        <v>14</v>
      </c>
      <c r="E9" s="22">
        <f>针三科!K8</f>
        <v>64.5</v>
      </c>
    </row>
    <row r="10" s="18" customFormat="1" ht="30" customHeight="1" spans="2:5">
      <c r="B10" s="21" t="s">
        <v>15</v>
      </c>
      <c r="C10" s="22">
        <f>针四科!K8</f>
        <v>16.5</v>
      </c>
      <c r="D10" s="21" t="s">
        <v>16</v>
      </c>
      <c r="E10" s="21">
        <f>11*50</f>
        <v>550</v>
      </c>
    </row>
    <row r="11" s="18" customFormat="1" ht="30" customHeight="1" spans="2:5">
      <c r="B11" s="20" t="s">
        <v>17</v>
      </c>
      <c r="C11" s="22">
        <f>C4+E4+C5+E5+C6+E6+C7+E7+C8+E8+C9+E9+C10+E10</f>
        <v>7739</v>
      </c>
      <c r="D11" s="23">
        <f>C11</f>
        <v>7739</v>
      </c>
      <c r="E11" s="24" t="s">
        <v>18</v>
      </c>
    </row>
    <row r="12" s="18" customFormat="1" ht="30" customHeight="1" spans="2:5">
      <c r="B12" s="25" t="s">
        <v>18</v>
      </c>
      <c r="C12" s="25" t="s">
        <v>18</v>
      </c>
      <c r="D12" s="25" t="s">
        <v>18</v>
      </c>
      <c r="E12" s="25" t="s">
        <v>18</v>
      </c>
    </row>
    <row r="13" s="18" customFormat="1" ht="30" customHeight="1" spans="2:5">
      <c r="B13" s="25" t="s">
        <v>19</v>
      </c>
    </row>
    <row r="14" s="18" customFormat="1" ht="30" customHeight="1" spans="2:5">
      <c r="B14" s="26" t="s">
        <v>20</v>
      </c>
    </row>
    <row r="15" s="18" customFormat="1" ht="30" customHeight="1"/>
    <row r="16" ht="30" customHeight="1"/>
    <row r="17" ht="30" customHeight="1"/>
    <row r="18" ht="30" customHeight="1"/>
  </sheetData>
  <mergeCells count="4">
    <mergeCell ref="B2:E2"/>
    <mergeCell ref="D11:E11"/>
    <mergeCell ref="B13:E13"/>
    <mergeCell ref="B14:E14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2">
      <c r="C1" s="1" t="s">
        <v>21</v>
      </c>
    </row>
    <row r="2" ht="23.05" customHeight="1"/>
    <row r="3" ht="2" customHeight="1"/>
    <row r="4" ht="15.2" customHeight="1" spans="2:12">
      <c r="B4" s="2" t="s">
        <v>22</v>
      </c>
    </row>
    <row r="6" ht="2.95" customHeight="1"/>
    <row r="7" ht="3.95" customHeight="1" spans="2:12">
      <c r="B7" s="4" t="s">
        <v>18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</row>
    <row r="8" ht="15" spans="2:12">
      <c r="C8" s="3" t="s">
        <v>18</v>
      </c>
      <c r="D8" s="15" t="s">
        <v>23</v>
      </c>
      <c r="E8" s="8" t="s">
        <v>18</v>
      </c>
      <c r="F8" s="8" t="s">
        <v>18</v>
      </c>
      <c r="G8" s="8" t="s">
        <v>18</v>
      </c>
      <c r="H8" s="8" t="s">
        <v>18</v>
      </c>
      <c r="I8" s="16"/>
      <c r="J8" s="17"/>
      <c r="K8" s="17"/>
    </row>
    <row r="9" spans="2:12">
      <c r="C9" s="3" t="s">
        <v>18</v>
      </c>
      <c r="D9" s="13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3" t="s">
        <v>30</v>
      </c>
      <c r="K9" s="13" t="s">
        <v>31</v>
      </c>
    </row>
    <row r="10" ht="14.25" spans="2:12">
      <c r="D10" s="7" t="s">
        <v>3</v>
      </c>
      <c r="E10" s="8" t="s">
        <v>18</v>
      </c>
      <c r="F10" s="8" t="s">
        <v>18</v>
      </c>
      <c r="G10" s="8" t="s">
        <v>18</v>
      </c>
      <c r="H10" s="8" t="s">
        <v>18</v>
      </c>
      <c r="I10" s="9">
        <v>1</v>
      </c>
      <c r="J10" s="10"/>
      <c r="K10" s="10">
        <v>16.5</v>
      </c>
      <c r="L10">
        <f>K10++妇科!K8+骨三内四科!K8+美容科!K8+肾五科!K8+手术室!K8+透析科!K8+外二肛肠二科!K8+外二科!K8+心三科!K8+针三科!K8+针四科!K8</f>
        <v>7189</v>
      </c>
    </row>
    <row r="11" spans="2:12">
      <c r="D11" s="11">
        <v>46151</v>
      </c>
      <c r="E11" s="12">
        <v>1601479</v>
      </c>
      <c r="F11" s="12" t="s">
        <v>32</v>
      </c>
      <c r="G11" s="13">
        <v>20422208</v>
      </c>
      <c r="H11" s="12" t="s">
        <v>33</v>
      </c>
      <c r="I11" s="13">
        <v>1</v>
      </c>
      <c r="J11" s="14">
        <v>16.5</v>
      </c>
      <c r="K11" s="14">
        <v>16.5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31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4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39</v>
      </c>
      <c r="J8" s="10"/>
      <c r="K8" s="10">
        <v>1676</v>
      </c>
    </row>
    <row r="9" spans="1:11">
      <c r="D9" s="11">
        <v>46148</v>
      </c>
      <c r="E9" s="12">
        <v>1600604</v>
      </c>
      <c r="F9" s="12" t="s">
        <v>34</v>
      </c>
      <c r="G9" s="13">
        <v>20410092</v>
      </c>
      <c r="H9" s="12" t="s">
        <v>35</v>
      </c>
      <c r="I9" s="13">
        <v>3</v>
      </c>
      <c r="J9" s="14">
        <v>55</v>
      </c>
      <c r="K9" s="14">
        <v>165</v>
      </c>
    </row>
    <row r="10" spans="1:11">
      <c r="D10" s="11">
        <v>46151</v>
      </c>
      <c r="E10" s="12">
        <v>1601480</v>
      </c>
      <c r="F10" s="12" t="s">
        <v>32</v>
      </c>
      <c r="G10" s="13">
        <v>20420152</v>
      </c>
      <c r="H10" s="12" t="s">
        <v>36</v>
      </c>
      <c r="I10" s="13">
        <v>1</v>
      </c>
      <c r="J10" s="14">
        <v>8</v>
      </c>
      <c r="K10" s="14">
        <v>8</v>
      </c>
    </row>
    <row r="11" spans="1:11">
      <c r="D11" s="11">
        <v>46151</v>
      </c>
      <c r="E11" s="12">
        <v>1601480</v>
      </c>
      <c r="F11" s="12" t="s">
        <v>32</v>
      </c>
      <c r="G11" s="13">
        <v>20424610</v>
      </c>
      <c r="H11" s="12" t="s">
        <v>37</v>
      </c>
      <c r="I11" s="13">
        <v>1</v>
      </c>
      <c r="J11" s="14">
        <v>11</v>
      </c>
      <c r="K11" s="14">
        <v>11</v>
      </c>
    </row>
    <row r="12" spans="1:11">
      <c r="D12" s="11">
        <v>46151</v>
      </c>
      <c r="E12" s="12">
        <v>1601480</v>
      </c>
      <c r="F12" s="12" t="s">
        <v>32</v>
      </c>
      <c r="G12" s="13">
        <v>20424608</v>
      </c>
      <c r="H12" s="12" t="s">
        <v>38</v>
      </c>
      <c r="I12" s="13">
        <v>3</v>
      </c>
      <c r="J12" s="14">
        <v>8</v>
      </c>
      <c r="K12" s="14">
        <v>24</v>
      </c>
    </row>
    <row r="13" spans="1:11">
      <c r="D13" s="11">
        <v>46151</v>
      </c>
      <c r="E13" s="12">
        <v>1601480</v>
      </c>
      <c r="F13" s="12" t="s">
        <v>32</v>
      </c>
      <c r="G13" s="13">
        <v>20424609</v>
      </c>
      <c r="H13" s="12" t="s">
        <v>39</v>
      </c>
      <c r="I13" s="13">
        <v>1</v>
      </c>
      <c r="J13" s="14">
        <v>11</v>
      </c>
      <c r="K13" s="14">
        <v>11</v>
      </c>
    </row>
    <row r="14" spans="1:11">
      <c r="D14" s="11">
        <v>46151</v>
      </c>
      <c r="E14" s="12">
        <v>1601480</v>
      </c>
      <c r="F14" s="12" t="s">
        <v>40</v>
      </c>
      <c r="G14" s="13">
        <v>20409894</v>
      </c>
      <c r="H14" s="12" t="s">
        <v>41</v>
      </c>
      <c r="I14" s="13">
        <v>1</v>
      </c>
      <c r="J14" s="14">
        <v>110</v>
      </c>
      <c r="K14" s="14">
        <v>110</v>
      </c>
    </row>
    <row r="15" spans="1:11">
      <c r="D15" s="11">
        <v>46151</v>
      </c>
      <c r="E15" s="12">
        <v>1601480</v>
      </c>
      <c r="F15" s="12" t="s">
        <v>34</v>
      </c>
      <c r="G15" s="13">
        <v>20410092</v>
      </c>
      <c r="H15" s="12" t="s">
        <v>35</v>
      </c>
      <c r="I15" s="13">
        <v>2</v>
      </c>
      <c r="J15" s="14">
        <v>55</v>
      </c>
      <c r="K15" s="14">
        <v>110</v>
      </c>
    </row>
    <row r="16" spans="1:11">
      <c r="D16" s="11">
        <v>46153</v>
      </c>
      <c r="E16" s="12">
        <v>1602153</v>
      </c>
      <c r="F16" s="12" t="s">
        <v>34</v>
      </c>
      <c r="G16" s="13">
        <v>20419780</v>
      </c>
      <c r="H16" s="12" t="s">
        <v>42</v>
      </c>
      <c r="I16" s="13">
        <v>1</v>
      </c>
      <c r="J16" s="14">
        <v>16.5</v>
      </c>
      <c r="K16" s="14">
        <v>16.5</v>
      </c>
    </row>
    <row r="17" spans="4:11">
      <c r="D17" s="11">
        <v>46153</v>
      </c>
      <c r="E17" s="12">
        <v>1602153</v>
      </c>
      <c r="F17" s="12" t="s">
        <v>34</v>
      </c>
      <c r="G17" s="13">
        <v>20410092</v>
      </c>
      <c r="H17" s="12" t="s">
        <v>35</v>
      </c>
      <c r="I17" s="13">
        <v>2</v>
      </c>
      <c r="J17" s="14">
        <v>55</v>
      </c>
      <c r="K17" s="14">
        <v>110</v>
      </c>
    </row>
    <row r="18" spans="4:11">
      <c r="D18" s="11">
        <v>46156</v>
      </c>
      <c r="E18" s="12">
        <v>1602901</v>
      </c>
      <c r="F18" s="12" t="s">
        <v>32</v>
      </c>
      <c r="G18" s="13">
        <v>20417294</v>
      </c>
      <c r="H18" s="12" t="s">
        <v>43</v>
      </c>
      <c r="I18" s="13">
        <v>1</v>
      </c>
      <c r="J18" s="14">
        <v>11</v>
      </c>
      <c r="K18" s="14">
        <v>11</v>
      </c>
    </row>
    <row r="19" spans="4:11">
      <c r="D19" s="11">
        <v>46156</v>
      </c>
      <c r="E19" s="12">
        <v>1602901</v>
      </c>
      <c r="F19" s="12" t="s">
        <v>34</v>
      </c>
      <c r="G19" s="13">
        <v>20410092</v>
      </c>
      <c r="H19" s="12" t="s">
        <v>35</v>
      </c>
      <c r="I19" s="13">
        <v>1</v>
      </c>
      <c r="J19" s="14">
        <v>55</v>
      </c>
      <c r="K19" s="14">
        <v>55</v>
      </c>
    </row>
    <row r="20" spans="4:11">
      <c r="D20" s="11">
        <v>46158</v>
      </c>
      <c r="E20" s="12">
        <v>1603647</v>
      </c>
      <c r="F20" s="12" t="s">
        <v>34</v>
      </c>
      <c r="G20" s="13">
        <v>20410092</v>
      </c>
      <c r="H20" s="12" t="s">
        <v>35</v>
      </c>
      <c r="I20" s="13">
        <v>2</v>
      </c>
      <c r="J20" s="14">
        <v>55</v>
      </c>
      <c r="K20" s="14">
        <v>110</v>
      </c>
    </row>
    <row r="21" spans="4:11">
      <c r="D21" s="11">
        <v>46161</v>
      </c>
      <c r="E21" s="12">
        <v>1604213</v>
      </c>
      <c r="F21" s="12" t="s">
        <v>32</v>
      </c>
      <c r="G21" s="13">
        <v>20417767</v>
      </c>
      <c r="H21" s="12" t="s">
        <v>44</v>
      </c>
      <c r="I21" s="13">
        <v>1</v>
      </c>
      <c r="J21" s="14">
        <v>8</v>
      </c>
      <c r="K21" s="14">
        <v>8</v>
      </c>
    </row>
    <row r="22" spans="4:11">
      <c r="D22" s="11">
        <v>46161</v>
      </c>
      <c r="E22" s="12">
        <v>1604213</v>
      </c>
      <c r="F22" s="12" t="s">
        <v>34</v>
      </c>
      <c r="G22" s="13">
        <v>20410092</v>
      </c>
      <c r="H22" s="12" t="s">
        <v>35</v>
      </c>
      <c r="I22" s="13">
        <v>3</v>
      </c>
      <c r="J22" s="14">
        <v>55</v>
      </c>
      <c r="K22" s="14">
        <v>165</v>
      </c>
    </row>
    <row r="23" spans="4:11">
      <c r="D23" s="11">
        <v>46162</v>
      </c>
      <c r="E23" s="12">
        <v>1604961</v>
      </c>
      <c r="F23" s="12" t="s">
        <v>32</v>
      </c>
      <c r="G23" s="13">
        <v>20420152</v>
      </c>
      <c r="H23" s="12" t="s">
        <v>36</v>
      </c>
      <c r="I23" s="13">
        <v>1</v>
      </c>
      <c r="J23" s="14">
        <v>8</v>
      </c>
      <c r="K23" s="14">
        <v>8</v>
      </c>
    </row>
    <row r="24" spans="4:11">
      <c r="D24" s="11">
        <v>46162</v>
      </c>
      <c r="E24" s="12">
        <v>1604961</v>
      </c>
      <c r="F24" s="12" t="s">
        <v>34</v>
      </c>
      <c r="G24" s="13">
        <v>20410092</v>
      </c>
      <c r="H24" s="12" t="s">
        <v>35</v>
      </c>
      <c r="I24" s="13">
        <v>3</v>
      </c>
      <c r="J24" s="14">
        <v>55</v>
      </c>
      <c r="K24" s="14">
        <v>165</v>
      </c>
    </row>
    <row r="25" spans="4:11">
      <c r="D25" s="11">
        <v>46165</v>
      </c>
      <c r="E25" s="12">
        <v>1605727</v>
      </c>
      <c r="F25" s="12" t="s">
        <v>34</v>
      </c>
      <c r="G25" s="13">
        <v>20410092</v>
      </c>
      <c r="H25" s="12" t="s">
        <v>35</v>
      </c>
      <c r="I25" s="13">
        <v>2</v>
      </c>
      <c r="J25" s="14">
        <v>55</v>
      </c>
      <c r="K25" s="14">
        <v>110</v>
      </c>
    </row>
    <row r="26" spans="4:11">
      <c r="D26" s="11">
        <v>46167</v>
      </c>
      <c r="E26" s="12">
        <v>1606225</v>
      </c>
      <c r="F26" s="12" t="s">
        <v>34</v>
      </c>
      <c r="G26" s="13">
        <v>20410092</v>
      </c>
      <c r="H26" s="12" t="s">
        <v>35</v>
      </c>
      <c r="I26" s="13">
        <v>4</v>
      </c>
      <c r="J26" s="14">
        <v>55</v>
      </c>
      <c r="K26" s="14">
        <v>220</v>
      </c>
    </row>
    <row r="27" spans="4:11">
      <c r="D27" s="11">
        <v>46170</v>
      </c>
      <c r="E27" s="12">
        <v>1607003</v>
      </c>
      <c r="F27" s="12" t="s">
        <v>34</v>
      </c>
      <c r="G27" s="13">
        <v>20410092</v>
      </c>
      <c r="H27" s="12" t="s">
        <v>35</v>
      </c>
      <c r="I27" s="13">
        <v>1</v>
      </c>
      <c r="J27" s="14">
        <v>55</v>
      </c>
      <c r="K27" s="14">
        <v>55</v>
      </c>
    </row>
    <row r="28" spans="4:11">
      <c r="D28" s="11">
        <v>46172</v>
      </c>
      <c r="E28" s="12">
        <v>1607761</v>
      </c>
      <c r="F28" s="12" t="s">
        <v>32</v>
      </c>
      <c r="G28" s="13">
        <v>20417294</v>
      </c>
      <c r="H28" s="12" t="s">
        <v>43</v>
      </c>
      <c r="I28" s="13">
        <v>2</v>
      </c>
      <c r="J28" s="14">
        <v>11</v>
      </c>
      <c r="K28" s="14">
        <v>22</v>
      </c>
    </row>
    <row r="29" spans="4:11">
      <c r="D29" s="11">
        <v>46172</v>
      </c>
      <c r="E29" s="12">
        <v>1607761</v>
      </c>
      <c r="F29" s="12" t="s">
        <v>32</v>
      </c>
      <c r="G29" s="13">
        <v>20422208</v>
      </c>
      <c r="H29" s="12" t="s">
        <v>33</v>
      </c>
      <c r="I29" s="13">
        <v>1</v>
      </c>
      <c r="J29" s="14">
        <v>16.5</v>
      </c>
      <c r="K29" s="14">
        <v>16.5</v>
      </c>
    </row>
    <row r="30" spans="4:11">
      <c r="D30" s="11">
        <v>46172</v>
      </c>
      <c r="E30" s="12">
        <v>1607761</v>
      </c>
      <c r="F30" s="12" t="s">
        <v>34</v>
      </c>
      <c r="G30" s="13">
        <v>20410092</v>
      </c>
      <c r="H30" s="12" t="s">
        <v>35</v>
      </c>
      <c r="I30" s="13">
        <v>1</v>
      </c>
      <c r="J30" s="14">
        <v>55</v>
      </c>
      <c r="K30" s="14">
        <v>55</v>
      </c>
    </row>
    <row r="31" spans="4:11">
      <c r="D31" s="11">
        <v>46172</v>
      </c>
      <c r="E31" s="12">
        <v>1607761</v>
      </c>
      <c r="F31" s="12" t="s">
        <v>34</v>
      </c>
      <c r="G31" s="13">
        <v>20427693</v>
      </c>
      <c r="H31" s="12" t="s">
        <v>45</v>
      </c>
      <c r="I31" s="13">
        <v>1</v>
      </c>
      <c r="J31" s="14">
        <v>110</v>
      </c>
      <c r="K31" s="14">
        <v>110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6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</v>
      </c>
      <c r="J8" s="10"/>
      <c r="K8" s="10">
        <v>16.5</v>
      </c>
    </row>
    <row r="9" spans="1:11">
      <c r="D9" s="11">
        <v>46156</v>
      </c>
      <c r="E9" s="12">
        <v>1602902</v>
      </c>
      <c r="F9" s="12" t="s">
        <v>32</v>
      </c>
      <c r="G9" s="13">
        <v>20418804</v>
      </c>
      <c r="H9" s="12" t="s">
        <v>46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7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57</v>
      </c>
      <c r="J8" s="10"/>
      <c r="K8" s="10">
        <f>SUM(K9:K40)</f>
        <v>1267.5</v>
      </c>
    </row>
    <row r="9" spans="1:11">
      <c r="D9" s="11">
        <v>46148</v>
      </c>
      <c r="E9" s="12">
        <v>1600605</v>
      </c>
      <c r="F9" s="12" t="s">
        <v>32</v>
      </c>
      <c r="G9" s="13">
        <v>20410093</v>
      </c>
      <c r="H9" s="12" t="s">
        <v>47</v>
      </c>
      <c r="I9" s="13">
        <v>2</v>
      </c>
      <c r="J9" s="14">
        <f>5.5+5.5+2.5</f>
        <v>13.5</v>
      </c>
      <c r="K9" s="14">
        <f>J9*I9</f>
        <v>27</v>
      </c>
    </row>
    <row r="10" spans="1:11">
      <c r="D10" s="11">
        <v>46148</v>
      </c>
      <c r="E10" s="12">
        <v>1600605</v>
      </c>
      <c r="F10" s="12" t="s">
        <v>32</v>
      </c>
      <c r="G10" s="13">
        <v>20421334</v>
      </c>
      <c r="H10" s="12" t="s">
        <v>48</v>
      </c>
      <c r="I10" s="13">
        <v>1</v>
      </c>
      <c r="J10" s="14">
        <v>8</v>
      </c>
      <c r="K10" s="14">
        <f t="shared" ref="K10:K40" si="0">J10*I10</f>
        <v>8</v>
      </c>
    </row>
    <row r="11" spans="1:11">
      <c r="D11" s="11">
        <v>46148</v>
      </c>
      <c r="E11" s="12">
        <v>1600605</v>
      </c>
      <c r="F11" s="12" t="s">
        <v>34</v>
      </c>
      <c r="G11" s="13">
        <v>20424160</v>
      </c>
      <c r="H11" s="12" t="s">
        <v>49</v>
      </c>
      <c r="I11" s="13">
        <v>1</v>
      </c>
      <c r="J11" s="14">
        <v>33</v>
      </c>
      <c r="K11" s="14">
        <f t="shared" si="0"/>
        <v>33</v>
      </c>
    </row>
    <row r="12" spans="1:11">
      <c r="D12" s="11">
        <v>46151</v>
      </c>
      <c r="E12" s="12">
        <v>1601481</v>
      </c>
      <c r="F12" s="12" t="s">
        <v>32</v>
      </c>
      <c r="G12" s="13">
        <v>20424159</v>
      </c>
      <c r="H12" s="12" t="s">
        <v>50</v>
      </c>
      <c r="I12" s="13">
        <v>1</v>
      </c>
      <c r="J12" s="14">
        <f>5.5+5.5+2.5</f>
        <v>13.5</v>
      </c>
      <c r="K12" s="14">
        <f t="shared" si="0"/>
        <v>13.5</v>
      </c>
    </row>
    <row r="13" spans="1:11">
      <c r="D13" s="11">
        <v>46151</v>
      </c>
      <c r="E13" s="12">
        <v>1601481</v>
      </c>
      <c r="F13" s="12" t="s">
        <v>32</v>
      </c>
      <c r="G13" s="13">
        <v>20410093</v>
      </c>
      <c r="H13" s="12" t="s">
        <v>47</v>
      </c>
      <c r="I13" s="13">
        <v>3</v>
      </c>
      <c r="J13" s="14">
        <f>5.5+5.5+2.5</f>
        <v>13.5</v>
      </c>
      <c r="K13" s="14">
        <f t="shared" si="0"/>
        <v>40.5</v>
      </c>
    </row>
    <row r="14" spans="1:11">
      <c r="D14" s="11">
        <v>46151</v>
      </c>
      <c r="E14" s="12">
        <v>1601481</v>
      </c>
      <c r="F14" s="12" t="s">
        <v>34</v>
      </c>
      <c r="G14" s="13">
        <v>20424160</v>
      </c>
      <c r="H14" s="12" t="s">
        <v>49</v>
      </c>
      <c r="I14" s="13">
        <v>1</v>
      </c>
      <c r="J14" s="14">
        <v>33</v>
      </c>
      <c r="K14" s="14">
        <f t="shared" si="0"/>
        <v>33</v>
      </c>
    </row>
    <row r="15" spans="1:11">
      <c r="D15" s="11">
        <v>46153</v>
      </c>
      <c r="E15" s="12">
        <v>1602154</v>
      </c>
      <c r="F15" s="12" t="s">
        <v>32</v>
      </c>
      <c r="G15" s="13">
        <v>20410093</v>
      </c>
      <c r="H15" s="12" t="s">
        <v>47</v>
      </c>
      <c r="I15" s="13">
        <v>4</v>
      </c>
      <c r="J15" s="14">
        <f>5.5+5.5+2.5</f>
        <v>13.5</v>
      </c>
      <c r="K15" s="14">
        <f t="shared" si="0"/>
        <v>54</v>
      </c>
    </row>
    <row r="16" spans="1:11">
      <c r="D16" s="11">
        <v>46153</v>
      </c>
      <c r="E16" s="12">
        <v>1602154</v>
      </c>
      <c r="F16" s="12" t="s">
        <v>34</v>
      </c>
      <c r="G16" s="13">
        <v>20417764</v>
      </c>
      <c r="H16" s="12" t="s">
        <v>51</v>
      </c>
      <c r="I16" s="13">
        <v>1</v>
      </c>
      <c r="J16" s="14">
        <v>71.5</v>
      </c>
      <c r="K16" s="14">
        <f t="shared" si="0"/>
        <v>71.5</v>
      </c>
    </row>
    <row r="17" spans="4:11">
      <c r="D17" s="11">
        <v>46156</v>
      </c>
      <c r="E17" s="12">
        <v>1602903</v>
      </c>
      <c r="F17" s="12" t="s">
        <v>32</v>
      </c>
      <c r="G17" s="13">
        <v>20424159</v>
      </c>
      <c r="H17" s="12" t="s">
        <v>50</v>
      </c>
      <c r="I17" s="13">
        <v>1</v>
      </c>
      <c r="J17" s="14">
        <f>5.5+5.5+2.5</f>
        <v>13.5</v>
      </c>
      <c r="K17" s="14">
        <f t="shared" si="0"/>
        <v>13.5</v>
      </c>
    </row>
    <row r="18" spans="4:11">
      <c r="D18" s="11">
        <v>46156</v>
      </c>
      <c r="E18" s="12">
        <v>1602903</v>
      </c>
      <c r="F18" s="12" t="s">
        <v>32</v>
      </c>
      <c r="G18" s="13">
        <v>20410093</v>
      </c>
      <c r="H18" s="12" t="s">
        <v>47</v>
      </c>
      <c r="I18" s="13">
        <v>4</v>
      </c>
      <c r="J18" s="14">
        <f>5.5+5.5+2.5</f>
        <v>13.5</v>
      </c>
      <c r="K18" s="14">
        <f t="shared" si="0"/>
        <v>54</v>
      </c>
    </row>
    <row r="19" spans="4:11">
      <c r="D19" s="11">
        <v>46156</v>
      </c>
      <c r="E19" s="12">
        <v>1602903</v>
      </c>
      <c r="F19" s="12" t="s">
        <v>34</v>
      </c>
      <c r="G19" s="13">
        <v>20417764</v>
      </c>
      <c r="H19" s="12" t="s">
        <v>52</v>
      </c>
      <c r="I19" s="13">
        <v>1</v>
      </c>
      <c r="J19" s="14">
        <v>88</v>
      </c>
      <c r="K19" s="14">
        <f t="shared" si="0"/>
        <v>88</v>
      </c>
    </row>
    <row r="20" spans="4:11">
      <c r="D20" s="11">
        <v>46158</v>
      </c>
      <c r="E20" s="12">
        <v>1603648</v>
      </c>
      <c r="F20" s="12" t="s">
        <v>32</v>
      </c>
      <c r="G20" s="13">
        <v>20425826</v>
      </c>
      <c r="H20" s="12" t="s">
        <v>53</v>
      </c>
      <c r="I20" s="13">
        <v>3</v>
      </c>
      <c r="J20" s="14">
        <f>5.5+5.5+2.5</f>
        <v>13.5</v>
      </c>
      <c r="K20" s="14">
        <f t="shared" si="0"/>
        <v>40.5</v>
      </c>
    </row>
    <row r="21" spans="4:11">
      <c r="D21" s="11">
        <v>46158</v>
      </c>
      <c r="E21" s="12">
        <v>1603648</v>
      </c>
      <c r="F21" s="12" t="s">
        <v>32</v>
      </c>
      <c r="G21" s="13">
        <v>20425827</v>
      </c>
      <c r="H21" s="12" t="s">
        <v>54</v>
      </c>
      <c r="I21" s="13">
        <v>1</v>
      </c>
      <c r="J21" s="14">
        <f>5.5+5.5+2.5</f>
        <v>13.5</v>
      </c>
      <c r="K21" s="14">
        <f t="shared" si="0"/>
        <v>13.5</v>
      </c>
    </row>
    <row r="22" spans="4:11">
      <c r="D22" s="11">
        <v>46158</v>
      </c>
      <c r="E22" s="12">
        <v>1603648</v>
      </c>
      <c r="F22" s="12" t="s">
        <v>34</v>
      </c>
      <c r="G22" s="13">
        <v>20425828</v>
      </c>
      <c r="H22" s="12" t="s">
        <v>55</v>
      </c>
      <c r="I22" s="13">
        <v>1</v>
      </c>
      <c r="J22" s="14">
        <v>44</v>
      </c>
      <c r="K22" s="14">
        <f t="shared" si="0"/>
        <v>44</v>
      </c>
    </row>
    <row r="23" spans="4:11">
      <c r="D23" s="11">
        <v>46161</v>
      </c>
      <c r="E23" s="12">
        <v>1604214</v>
      </c>
      <c r="F23" s="12" t="s">
        <v>32</v>
      </c>
      <c r="G23" s="13">
        <v>20425826</v>
      </c>
      <c r="H23" s="12" t="s">
        <v>53</v>
      </c>
      <c r="I23" s="13">
        <v>2</v>
      </c>
      <c r="J23" s="14">
        <f>5.5+5.5+2.5</f>
        <v>13.5</v>
      </c>
      <c r="K23" s="14">
        <f t="shared" si="0"/>
        <v>27</v>
      </c>
    </row>
    <row r="24" spans="4:11">
      <c r="D24" s="11">
        <v>46161</v>
      </c>
      <c r="E24" s="12">
        <v>1604214</v>
      </c>
      <c r="F24" s="12" t="s">
        <v>32</v>
      </c>
      <c r="G24" s="13">
        <v>20410093</v>
      </c>
      <c r="H24" s="12" t="s">
        <v>47</v>
      </c>
      <c r="I24" s="13">
        <v>2</v>
      </c>
      <c r="J24" s="14">
        <f>5.5+5.5+2.5</f>
        <v>13.5</v>
      </c>
      <c r="K24" s="14">
        <f t="shared" si="0"/>
        <v>27</v>
      </c>
    </row>
    <row r="25" spans="4:11">
      <c r="D25" s="11">
        <v>46161</v>
      </c>
      <c r="E25" s="12">
        <v>1604214</v>
      </c>
      <c r="F25" s="12" t="s">
        <v>34</v>
      </c>
      <c r="G25" s="13">
        <v>20417764</v>
      </c>
      <c r="H25" s="12" t="s">
        <v>56</v>
      </c>
      <c r="I25" s="13">
        <v>1</v>
      </c>
      <c r="J25" s="14">
        <v>66</v>
      </c>
      <c r="K25" s="14">
        <f t="shared" si="0"/>
        <v>66</v>
      </c>
    </row>
    <row r="26" spans="4:11">
      <c r="D26" s="11">
        <v>46162</v>
      </c>
      <c r="E26" s="12">
        <v>1604962</v>
      </c>
      <c r="F26" s="12" t="s">
        <v>32</v>
      </c>
      <c r="G26" s="13">
        <v>20425827</v>
      </c>
      <c r="H26" s="12" t="s">
        <v>54</v>
      </c>
      <c r="I26" s="13">
        <v>1</v>
      </c>
      <c r="J26" s="14">
        <f>5.5+5.5+2.5</f>
        <v>13.5</v>
      </c>
      <c r="K26" s="14">
        <f t="shared" si="0"/>
        <v>13.5</v>
      </c>
    </row>
    <row r="27" spans="4:11">
      <c r="D27" s="11">
        <v>46162</v>
      </c>
      <c r="E27" s="12">
        <v>1604962</v>
      </c>
      <c r="F27" s="12" t="s">
        <v>32</v>
      </c>
      <c r="G27" s="13">
        <v>20410093</v>
      </c>
      <c r="H27" s="12" t="s">
        <v>47</v>
      </c>
      <c r="I27" s="13">
        <v>2</v>
      </c>
      <c r="J27" s="14">
        <f>5.5+5.5+2.5</f>
        <v>13.5</v>
      </c>
      <c r="K27" s="14">
        <f t="shared" si="0"/>
        <v>27</v>
      </c>
    </row>
    <row r="28" spans="4:11">
      <c r="D28" s="11">
        <v>46162</v>
      </c>
      <c r="E28" s="12">
        <v>1604962</v>
      </c>
      <c r="F28" s="12" t="s">
        <v>34</v>
      </c>
      <c r="G28" s="13">
        <v>20425828</v>
      </c>
      <c r="H28" s="12" t="s">
        <v>57</v>
      </c>
      <c r="I28" s="13">
        <v>1</v>
      </c>
      <c r="J28" s="14">
        <v>38.5</v>
      </c>
      <c r="K28" s="14">
        <f t="shared" si="0"/>
        <v>38.5</v>
      </c>
    </row>
    <row r="29" spans="4:11">
      <c r="D29" s="11">
        <v>46165</v>
      </c>
      <c r="E29" s="12">
        <v>1605728</v>
      </c>
      <c r="F29" s="12" t="s">
        <v>32</v>
      </c>
      <c r="G29" s="13">
        <v>20410093</v>
      </c>
      <c r="H29" s="12" t="s">
        <v>47</v>
      </c>
      <c r="I29" s="13">
        <v>4</v>
      </c>
      <c r="J29" s="14">
        <f>5.5+5.5+2.5</f>
        <v>13.5</v>
      </c>
      <c r="K29" s="14">
        <f t="shared" si="0"/>
        <v>54</v>
      </c>
    </row>
    <row r="30" spans="4:11">
      <c r="D30" s="11">
        <v>46165</v>
      </c>
      <c r="E30" s="12">
        <v>1605728</v>
      </c>
      <c r="F30" s="12" t="s">
        <v>32</v>
      </c>
      <c r="G30" s="13">
        <v>20422632</v>
      </c>
      <c r="H30" s="12" t="s">
        <v>58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46165</v>
      </c>
      <c r="E31" s="12">
        <v>1605728</v>
      </c>
      <c r="F31" s="12" t="s">
        <v>34</v>
      </c>
      <c r="G31" s="13">
        <v>20417764</v>
      </c>
      <c r="H31" s="12" t="s">
        <v>59</v>
      </c>
      <c r="I31" s="13">
        <v>1</v>
      </c>
      <c r="J31" s="14">
        <v>126.5</v>
      </c>
      <c r="K31" s="14">
        <f t="shared" si="0"/>
        <v>126.5</v>
      </c>
    </row>
    <row r="32" spans="4:11">
      <c r="D32" s="11">
        <v>46167</v>
      </c>
      <c r="E32" s="12">
        <v>1606226</v>
      </c>
      <c r="F32" s="12" t="s">
        <v>32</v>
      </c>
      <c r="G32" s="13">
        <v>20425827</v>
      </c>
      <c r="H32" s="12" t="s">
        <v>54</v>
      </c>
      <c r="I32" s="13">
        <v>1</v>
      </c>
      <c r="J32" s="14">
        <f>5.5+5.5+2.5</f>
        <v>13.5</v>
      </c>
      <c r="K32" s="14">
        <f t="shared" si="0"/>
        <v>13.5</v>
      </c>
    </row>
    <row r="33" spans="4:11">
      <c r="D33" s="11">
        <v>46167</v>
      </c>
      <c r="E33" s="12">
        <v>1606226</v>
      </c>
      <c r="F33" s="12" t="s">
        <v>32</v>
      </c>
      <c r="G33" s="13">
        <v>20410093</v>
      </c>
      <c r="H33" s="12" t="s">
        <v>47</v>
      </c>
      <c r="I33" s="13">
        <v>6</v>
      </c>
      <c r="J33" s="14">
        <f>5.5+5.5+2.5</f>
        <v>13.5</v>
      </c>
      <c r="K33" s="14">
        <f t="shared" si="0"/>
        <v>81</v>
      </c>
    </row>
    <row r="34" spans="4:11">
      <c r="D34" s="11">
        <v>46167</v>
      </c>
      <c r="E34" s="12">
        <v>1606226</v>
      </c>
      <c r="F34" s="12" t="s">
        <v>34</v>
      </c>
      <c r="G34" s="13">
        <v>20424160</v>
      </c>
      <c r="H34" s="12" t="s">
        <v>60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46170</v>
      </c>
      <c r="E35" s="12">
        <v>1607004</v>
      </c>
      <c r="F35" s="12" t="s">
        <v>32</v>
      </c>
      <c r="G35" s="13">
        <v>20424159</v>
      </c>
      <c r="H35" s="12" t="s">
        <v>61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46170</v>
      </c>
      <c r="E36" s="12">
        <v>1607004</v>
      </c>
      <c r="F36" s="12" t="s">
        <v>32</v>
      </c>
      <c r="G36" s="13">
        <v>20410093</v>
      </c>
      <c r="H36" s="12" t="s">
        <v>47</v>
      </c>
      <c r="I36" s="13">
        <v>3</v>
      </c>
      <c r="J36" s="14">
        <f>5.5+5.5+2.5</f>
        <v>13.5</v>
      </c>
      <c r="K36" s="14">
        <f t="shared" si="0"/>
        <v>40.5</v>
      </c>
    </row>
    <row r="37" spans="4:11">
      <c r="D37" s="11">
        <v>46170</v>
      </c>
      <c r="E37" s="12">
        <v>1607004</v>
      </c>
      <c r="F37" s="12" t="s">
        <v>34</v>
      </c>
      <c r="G37" s="13">
        <v>20425828</v>
      </c>
      <c r="H37" s="12" t="s">
        <v>57</v>
      </c>
      <c r="I37" s="13">
        <v>1</v>
      </c>
      <c r="J37" s="14">
        <v>38.5</v>
      </c>
      <c r="K37" s="14">
        <f t="shared" si="0"/>
        <v>38.5</v>
      </c>
    </row>
    <row r="38" spans="4:11">
      <c r="D38" s="11">
        <v>46172</v>
      </c>
      <c r="E38" s="12">
        <v>1607762</v>
      </c>
      <c r="F38" s="12" t="s">
        <v>32</v>
      </c>
      <c r="G38" s="13">
        <v>20410093</v>
      </c>
      <c r="H38" s="12" t="s">
        <v>47</v>
      </c>
      <c r="I38" s="13">
        <v>2</v>
      </c>
      <c r="J38" s="14">
        <f>5.5+5.5+2.5</f>
        <v>13.5</v>
      </c>
      <c r="K38" s="14">
        <f t="shared" si="0"/>
        <v>27</v>
      </c>
    </row>
    <row r="39" spans="4:11">
      <c r="D39" s="11">
        <v>46172</v>
      </c>
      <c r="E39" s="12">
        <v>1607762</v>
      </c>
      <c r="F39" s="12" t="s">
        <v>32</v>
      </c>
      <c r="G39" s="13">
        <v>20423243</v>
      </c>
      <c r="H39" s="12" t="s">
        <v>62</v>
      </c>
      <c r="I39" s="13">
        <v>1</v>
      </c>
      <c r="J39" s="14">
        <f>5.5*3</f>
        <v>16.5</v>
      </c>
      <c r="K39" s="14">
        <f t="shared" si="0"/>
        <v>16.5</v>
      </c>
    </row>
    <row r="40" spans="4:11">
      <c r="D40" s="11">
        <v>46172</v>
      </c>
      <c r="E40" s="12">
        <v>1607762</v>
      </c>
      <c r="F40" s="12" t="s">
        <v>34</v>
      </c>
      <c r="G40" s="13">
        <v>20417764</v>
      </c>
      <c r="H40" s="12" t="s">
        <v>63</v>
      </c>
      <c r="I40" s="13">
        <v>1</v>
      </c>
      <c r="J40" s="14">
        <f>19*5.5</f>
        <v>104.5</v>
      </c>
      <c r="K40" s="14">
        <f t="shared" si="0"/>
        <v>104.5</v>
      </c>
    </row>
    <row r="41" ht="0.05" customHeight="1"/>
  </sheetData>
  <autoFilter xmlns:etc="http://www.wps.cn/officeDocument/2017/etCustomData" ref="A7:K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8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2</v>
      </c>
      <c r="J8" s="10"/>
      <c r="K8" s="10">
        <v>32.5</v>
      </c>
    </row>
    <row r="9" spans="1:11">
      <c r="D9" s="11">
        <v>46162</v>
      </c>
      <c r="E9" s="12">
        <v>1604963</v>
      </c>
      <c r="F9" s="12" t="s">
        <v>34</v>
      </c>
      <c r="G9" s="13">
        <v>20409897</v>
      </c>
      <c r="H9" s="12" t="s">
        <v>64</v>
      </c>
      <c r="I9" s="13">
        <v>1</v>
      </c>
      <c r="J9" s="14">
        <v>16</v>
      </c>
      <c r="K9" s="14">
        <v>16</v>
      </c>
    </row>
    <row r="10" spans="1:11">
      <c r="D10" s="11">
        <v>46162</v>
      </c>
      <c r="E10" s="12">
        <v>1604963</v>
      </c>
      <c r="F10" s="12" t="s">
        <v>34</v>
      </c>
      <c r="G10" s="13">
        <v>20410049</v>
      </c>
      <c r="H10" s="12" t="s">
        <v>65</v>
      </c>
      <c r="I10" s="13">
        <v>1</v>
      </c>
      <c r="J10" s="14">
        <v>16.5</v>
      </c>
      <c r="K10" s="14">
        <v>16.5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9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85</v>
      </c>
      <c r="J8" s="10"/>
      <c r="K8" s="10">
        <f>SUM(K9:K52)</f>
        <v>3731</v>
      </c>
    </row>
    <row r="9" spans="1:11">
      <c r="D9" s="11">
        <v>46151</v>
      </c>
      <c r="E9" s="12">
        <v>1601482</v>
      </c>
      <c r="F9" s="12" t="s">
        <v>66</v>
      </c>
      <c r="G9" s="13">
        <v>20410120</v>
      </c>
      <c r="H9" s="12" t="s">
        <v>67</v>
      </c>
      <c r="I9" s="13">
        <v>1</v>
      </c>
      <c r="J9" s="14">
        <v>396</v>
      </c>
      <c r="K9" s="14">
        <f>J9*I9</f>
        <v>396</v>
      </c>
    </row>
    <row r="10" spans="1:11">
      <c r="D10" s="11">
        <v>46151</v>
      </c>
      <c r="E10" s="12">
        <v>1601482</v>
      </c>
      <c r="F10" s="12" t="s">
        <v>32</v>
      </c>
      <c r="G10" s="13">
        <v>20417771</v>
      </c>
      <c r="H10" s="12" t="s">
        <v>68</v>
      </c>
      <c r="I10" s="13">
        <v>1</v>
      </c>
      <c r="J10" s="14">
        <v>16</v>
      </c>
      <c r="K10" s="14">
        <f t="shared" ref="K10:K52" si="0">J10*I10</f>
        <v>16</v>
      </c>
    </row>
    <row r="11" spans="1:11">
      <c r="D11" s="11">
        <v>46151</v>
      </c>
      <c r="E11" s="12">
        <v>1601482</v>
      </c>
      <c r="F11" s="12" t="s">
        <v>32</v>
      </c>
      <c r="G11" s="13">
        <v>20417770</v>
      </c>
      <c r="H11" s="12" t="s">
        <v>69</v>
      </c>
      <c r="I11" s="13">
        <v>1</v>
      </c>
      <c r="J11" s="14">
        <v>13</v>
      </c>
      <c r="K11" s="14">
        <f t="shared" si="0"/>
        <v>13</v>
      </c>
    </row>
    <row r="12" spans="1:11">
      <c r="D12" s="11">
        <v>46151</v>
      </c>
      <c r="E12" s="12">
        <v>1601482</v>
      </c>
      <c r="F12" s="12" t="s">
        <v>34</v>
      </c>
      <c r="G12" s="13">
        <v>20410080</v>
      </c>
      <c r="H12" s="12" t="s">
        <v>70</v>
      </c>
      <c r="I12" s="13">
        <v>1</v>
      </c>
      <c r="J12" s="14">
        <v>16.5</v>
      </c>
      <c r="K12" s="14">
        <f t="shared" si="0"/>
        <v>16.5</v>
      </c>
    </row>
    <row r="13" spans="1:11">
      <c r="D13" s="11">
        <v>46156</v>
      </c>
      <c r="E13" s="12">
        <v>1602904</v>
      </c>
      <c r="F13" s="12" t="s">
        <v>66</v>
      </c>
      <c r="G13" s="13">
        <v>20410107</v>
      </c>
      <c r="H13" s="12" t="s">
        <v>71</v>
      </c>
      <c r="I13" s="13">
        <v>1</v>
      </c>
      <c r="J13" s="14">
        <v>71.5</v>
      </c>
      <c r="K13" s="14">
        <f t="shared" si="0"/>
        <v>71.5</v>
      </c>
    </row>
    <row r="14" spans="1:11">
      <c r="D14" s="11">
        <v>46156</v>
      </c>
      <c r="E14" s="12">
        <v>1602904</v>
      </c>
      <c r="F14" s="12" t="s">
        <v>66</v>
      </c>
      <c r="G14" s="13">
        <v>20410120</v>
      </c>
      <c r="H14" s="12" t="s">
        <v>67</v>
      </c>
      <c r="I14" s="13">
        <v>1</v>
      </c>
      <c r="J14" s="14">
        <v>396</v>
      </c>
      <c r="K14" s="14">
        <f t="shared" si="0"/>
        <v>396</v>
      </c>
    </row>
    <row r="15" spans="1:11">
      <c r="D15" s="11">
        <v>46156</v>
      </c>
      <c r="E15" s="12">
        <v>1602904</v>
      </c>
      <c r="F15" s="12" t="s">
        <v>32</v>
      </c>
      <c r="G15" s="13">
        <v>20417771</v>
      </c>
      <c r="H15" s="12" t="s">
        <v>68</v>
      </c>
      <c r="I15" s="13">
        <v>2</v>
      </c>
      <c r="J15" s="14">
        <v>16</v>
      </c>
      <c r="K15" s="14">
        <f t="shared" si="0"/>
        <v>32</v>
      </c>
    </row>
    <row r="16" spans="1:11">
      <c r="D16" s="11">
        <v>46156</v>
      </c>
      <c r="E16" s="12">
        <v>1602904</v>
      </c>
      <c r="F16" s="12" t="s">
        <v>32</v>
      </c>
      <c r="G16" s="13">
        <v>20417770</v>
      </c>
      <c r="H16" s="12" t="s">
        <v>69</v>
      </c>
      <c r="I16" s="13">
        <v>1</v>
      </c>
      <c r="J16" s="14">
        <v>13</v>
      </c>
      <c r="K16" s="14">
        <f t="shared" si="0"/>
        <v>13</v>
      </c>
    </row>
    <row r="17" spans="4:11">
      <c r="D17" s="11">
        <v>46156</v>
      </c>
      <c r="E17" s="12">
        <v>1602904</v>
      </c>
      <c r="F17" s="12" t="s">
        <v>34</v>
      </c>
      <c r="G17" s="13">
        <v>20410080</v>
      </c>
      <c r="H17" s="12" t="s">
        <v>70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46158</v>
      </c>
      <c r="E18" s="12">
        <v>1603649</v>
      </c>
      <c r="F18" s="12" t="s">
        <v>66</v>
      </c>
      <c r="G18" s="13">
        <v>20410117</v>
      </c>
      <c r="H18" s="12" t="s">
        <v>72</v>
      </c>
      <c r="I18" s="13">
        <v>1</v>
      </c>
      <c r="J18" s="14">
        <v>93.5</v>
      </c>
      <c r="K18" s="14">
        <f t="shared" si="0"/>
        <v>93.5</v>
      </c>
    </row>
    <row r="19" spans="4:11">
      <c r="D19" s="11">
        <v>46158</v>
      </c>
      <c r="E19" s="12">
        <v>1603649</v>
      </c>
      <c r="F19" s="12" t="s">
        <v>66</v>
      </c>
      <c r="G19" s="13">
        <v>20410111</v>
      </c>
      <c r="H19" s="12" t="s">
        <v>73</v>
      </c>
      <c r="I19" s="13">
        <v>1</v>
      </c>
      <c r="J19" s="14">
        <v>115.5</v>
      </c>
      <c r="K19" s="14">
        <f t="shared" si="0"/>
        <v>115.5</v>
      </c>
    </row>
    <row r="20" spans="4:11">
      <c r="D20" s="11">
        <v>46158</v>
      </c>
      <c r="E20" s="12">
        <v>1603649</v>
      </c>
      <c r="F20" s="12" t="s">
        <v>32</v>
      </c>
      <c r="G20" s="13">
        <v>20417771</v>
      </c>
      <c r="H20" s="12" t="s">
        <v>68</v>
      </c>
      <c r="I20" s="13">
        <v>1</v>
      </c>
      <c r="J20" s="14">
        <v>16</v>
      </c>
      <c r="K20" s="14">
        <f t="shared" si="0"/>
        <v>16</v>
      </c>
    </row>
    <row r="21" spans="4:11">
      <c r="D21" s="11">
        <v>46158</v>
      </c>
      <c r="E21" s="12">
        <v>1603649</v>
      </c>
      <c r="F21" s="12" t="s">
        <v>32</v>
      </c>
      <c r="G21" s="13">
        <v>20417770</v>
      </c>
      <c r="H21" s="12" t="s">
        <v>69</v>
      </c>
      <c r="I21" s="13">
        <v>2</v>
      </c>
      <c r="J21" s="14">
        <v>13</v>
      </c>
      <c r="K21" s="14">
        <f t="shared" si="0"/>
        <v>26</v>
      </c>
    </row>
    <row r="22" spans="4:11">
      <c r="D22" s="11">
        <v>46158</v>
      </c>
      <c r="E22" s="12">
        <v>1603649</v>
      </c>
      <c r="F22" s="12" t="s">
        <v>34</v>
      </c>
      <c r="G22" s="13">
        <v>20410080</v>
      </c>
      <c r="H22" s="12" t="s">
        <v>70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46165</v>
      </c>
      <c r="E23" s="12">
        <v>1605729</v>
      </c>
      <c r="F23" s="12" t="s">
        <v>66</v>
      </c>
      <c r="G23" s="13">
        <v>20410116</v>
      </c>
      <c r="H23" s="12" t="s">
        <v>74</v>
      </c>
      <c r="I23" s="13">
        <v>1</v>
      </c>
      <c r="J23" s="14">
        <v>220</v>
      </c>
      <c r="K23" s="14">
        <f t="shared" si="0"/>
        <v>220</v>
      </c>
    </row>
    <row r="24" spans="4:11">
      <c r="D24" s="11">
        <v>46165</v>
      </c>
      <c r="E24" s="12">
        <v>1605729</v>
      </c>
      <c r="F24" s="12" t="s">
        <v>66</v>
      </c>
      <c r="G24" s="13">
        <v>20410117</v>
      </c>
      <c r="H24" s="12" t="s">
        <v>72</v>
      </c>
      <c r="I24" s="13">
        <v>1</v>
      </c>
      <c r="J24" s="14">
        <v>93.5</v>
      </c>
      <c r="K24" s="14">
        <f t="shared" si="0"/>
        <v>93.5</v>
      </c>
    </row>
    <row r="25" spans="4:11">
      <c r="D25" s="11">
        <v>46165</v>
      </c>
      <c r="E25" s="12">
        <v>1605729</v>
      </c>
      <c r="F25" s="12" t="s">
        <v>66</v>
      </c>
      <c r="G25" s="13">
        <v>20410111</v>
      </c>
      <c r="H25" s="12" t="s">
        <v>73</v>
      </c>
      <c r="I25" s="13">
        <v>1</v>
      </c>
      <c r="J25" s="14">
        <v>115.5</v>
      </c>
      <c r="K25" s="14">
        <f t="shared" si="0"/>
        <v>115.5</v>
      </c>
    </row>
    <row r="26" spans="4:11">
      <c r="D26" s="11">
        <v>46165</v>
      </c>
      <c r="E26" s="12">
        <v>1605729</v>
      </c>
      <c r="F26" s="12" t="s">
        <v>32</v>
      </c>
      <c r="G26" s="13">
        <v>20417771</v>
      </c>
      <c r="H26" s="12" t="s">
        <v>68</v>
      </c>
      <c r="I26" s="13">
        <v>3</v>
      </c>
      <c r="J26" s="14">
        <v>16</v>
      </c>
      <c r="K26" s="14">
        <f t="shared" si="0"/>
        <v>48</v>
      </c>
    </row>
    <row r="27" spans="4:11">
      <c r="D27" s="11">
        <v>46165</v>
      </c>
      <c r="E27" s="12">
        <v>1605729</v>
      </c>
      <c r="F27" s="12" t="s">
        <v>32</v>
      </c>
      <c r="G27" s="13">
        <v>20417770</v>
      </c>
      <c r="H27" s="12" t="s">
        <v>69</v>
      </c>
      <c r="I27" s="13">
        <v>2</v>
      </c>
      <c r="J27" s="14">
        <v>13</v>
      </c>
      <c r="K27" s="14">
        <f t="shared" si="0"/>
        <v>26</v>
      </c>
    </row>
    <row r="28" spans="4:11">
      <c r="D28" s="11">
        <v>46165</v>
      </c>
      <c r="E28" s="12">
        <v>1605729</v>
      </c>
      <c r="F28" s="12" t="s">
        <v>32</v>
      </c>
      <c r="G28" s="13">
        <v>20417770</v>
      </c>
      <c r="H28" s="12" t="s">
        <v>69</v>
      </c>
      <c r="I28" s="13">
        <v>1</v>
      </c>
      <c r="J28" s="14">
        <v>13</v>
      </c>
      <c r="K28" s="14">
        <f t="shared" si="0"/>
        <v>13</v>
      </c>
    </row>
    <row r="29" spans="4:11">
      <c r="D29" s="11">
        <v>46165</v>
      </c>
      <c r="E29" s="12">
        <v>1605729</v>
      </c>
      <c r="F29" s="12" t="s">
        <v>34</v>
      </c>
      <c r="G29" s="13">
        <v>20426763</v>
      </c>
      <c r="H29" s="12" t="s">
        <v>75</v>
      </c>
      <c r="I29" s="13">
        <v>1</v>
      </c>
      <c r="J29" s="14">
        <v>16.5</v>
      </c>
      <c r="K29" s="14">
        <f t="shared" si="0"/>
        <v>16.5</v>
      </c>
    </row>
    <row r="30" spans="4:11">
      <c r="D30" s="11">
        <v>46165</v>
      </c>
      <c r="E30" s="12">
        <v>1605729</v>
      </c>
      <c r="F30" s="12" t="s">
        <v>34</v>
      </c>
      <c r="G30" s="13">
        <v>20410080</v>
      </c>
      <c r="H30" s="12" t="s">
        <v>70</v>
      </c>
      <c r="I30" s="13">
        <v>2</v>
      </c>
      <c r="J30" s="14">
        <v>16.5</v>
      </c>
      <c r="K30" s="14">
        <f t="shared" si="0"/>
        <v>33</v>
      </c>
    </row>
    <row r="31" spans="4:11">
      <c r="D31" s="11">
        <v>46165</v>
      </c>
      <c r="E31" s="12">
        <v>1605729</v>
      </c>
      <c r="F31" s="12" t="s">
        <v>76</v>
      </c>
      <c r="G31" s="13">
        <v>20418807</v>
      </c>
      <c r="H31" s="12" t="s">
        <v>77</v>
      </c>
      <c r="I31" s="13">
        <v>10</v>
      </c>
      <c r="J31" s="14">
        <v>4</v>
      </c>
      <c r="K31" s="14">
        <f t="shared" si="0"/>
        <v>40</v>
      </c>
    </row>
    <row r="32" spans="4:11">
      <c r="D32" s="11">
        <v>46165</v>
      </c>
      <c r="E32" s="12">
        <v>1605729</v>
      </c>
      <c r="F32" s="12" t="s">
        <v>76</v>
      </c>
      <c r="G32" s="13">
        <v>20418806</v>
      </c>
      <c r="H32" s="12" t="s">
        <v>78</v>
      </c>
      <c r="I32" s="13">
        <v>20</v>
      </c>
      <c r="J32" s="14">
        <v>4</v>
      </c>
      <c r="K32" s="14">
        <f t="shared" si="0"/>
        <v>80</v>
      </c>
    </row>
    <row r="33" spans="4:11">
      <c r="D33" s="11">
        <v>46167</v>
      </c>
      <c r="E33" s="12">
        <v>1606227</v>
      </c>
      <c r="F33" s="12" t="s">
        <v>66</v>
      </c>
      <c r="G33" s="13">
        <v>20410116</v>
      </c>
      <c r="H33" s="12" t="s">
        <v>74</v>
      </c>
      <c r="I33" s="13">
        <v>1</v>
      </c>
      <c r="J33" s="14">
        <v>220</v>
      </c>
      <c r="K33" s="14">
        <f t="shared" si="0"/>
        <v>220</v>
      </c>
    </row>
    <row r="34" spans="4:11">
      <c r="D34" s="11">
        <v>46167</v>
      </c>
      <c r="E34" s="12">
        <v>1606227</v>
      </c>
      <c r="F34" s="12" t="s">
        <v>66</v>
      </c>
      <c r="G34" s="13">
        <v>20410120</v>
      </c>
      <c r="H34" s="12" t="s">
        <v>67</v>
      </c>
      <c r="I34" s="13">
        <v>1</v>
      </c>
      <c r="J34" s="14">
        <v>396</v>
      </c>
      <c r="K34" s="14">
        <f t="shared" si="0"/>
        <v>396</v>
      </c>
    </row>
    <row r="35" spans="4:11">
      <c r="D35" s="11">
        <v>46167</v>
      </c>
      <c r="E35" s="12">
        <v>1606227</v>
      </c>
      <c r="F35" s="12" t="s">
        <v>32</v>
      </c>
      <c r="G35" s="13">
        <v>20417771</v>
      </c>
      <c r="H35" s="12" t="s">
        <v>68</v>
      </c>
      <c r="I35" s="13">
        <v>2</v>
      </c>
      <c r="J35" s="14">
        <v>16</v>
      </c>
      <c r="K35" s="14">
        <f t="shared" si="0"/>
        <v>32</v>
      </c>
    </row>
    <row r="36" spans="4:11">
      <c r="D36" s="11">
        <v>46167</v>
      </c>
      <c r="E36" s="12">
        <v>1606227</v>
      </c>
      <c r="F36" s="12" t="s">
        <v>32</v>
      </c>
      <c r="G36" s="13">
        <v>20417770</v>
      </c>
      <c r="H36" s="12" t="s">
        <v>69</v>
      </c>
      <c r="I36" s="13">
        <v>2</v>
      </c>
      <c r="J36" s="14">
        <v>13</v>
      </c>
      <c r="K36" s="14">
        <f t="shared" si="0"/>
        <v>26</v>
      </c>
    </row>
    <row r="37" spans="4:11">
      <c r="D37" s="11">
        <v>46167</v>
      </c>
      <c r="E37" s="12">
        <v>1606227</v>
      </c>
      <c r="F37" s="12" t="s">
        <v>34</v>
      </c>
      <c r="G37" s="13">
        <v>20410080</v>
      </c>
      <c r="H37" s="12" t="s">
        <v>70</v>
      </c>
      <c r="I37" s="13">
        <v>1</v>
      </c>
      <c r="J37" s="14">
        <v>16.5</v>
      </c>
      <c r="K37" s="14">
        <f t="shared" si="0"/>
        <v>16.5</v>
      </c>
    </row>
    <row r="38" spans="4:11">
      <c r="D38" s="11">
        <v>46167</v>
      </c>
      <c r="E38" s="12">
        <v>1606227</v>
      </c>
      <c r="F38" s="12" t="s">
        <v>34</v>
      </c>
      <c r="G38" s="13">
        <v>20422970</v>
      </c>
      <c r="H38" s="12" t="s">
        <v>79</v>
      </c>
      <c r="I38" s="13">
        <v>1</v>
      </c>
      <c r="J38" s="14">
        <v>16.5</v>
      </c>
      <c r="K38" s="14">
        <f t="shared" si="0"/>
        <v>16.5</v>
      </c>
    </row>
    <row r="39" spans="4:11">
      <c r="D39" s="11">
        <v>46170</v>
      </c>
      <c r="E39" s="12">
        <v>1607005</v>
      </c>
      <c r="F39" s="12" t="s">
        <v>66</v>
      </c>
      <c r="G39" s="13">
        <v>20410116</v>
      </c>
      <c r="H39" s="12" t="s">
        <v>74</v>
      </c>
      <c r="I39" s="13">
        <v>1</v>
      </c>
      <c r="J39" s="14">
        <v>220</v>
      </c>
      <c r="K39" s="14">
        <f t="shared" si="0"/>
        <v>220</v>
      </c>
    </row>
    <row r="40" spans="4:11">
      <c r="D40" s="11">
        <v>46170</v>
      </c>
      <c r="E40" s="12">
        <v>1607005</v>
      </c>
      <c r="F40" s="12" t="s">
        <v>66</v>
      </c>
      <c r="G40" s="13">
        <v>20410122</v>
      </c>
      <c r="H40" s="12" t="s">
        <v>80</v>
      </c>
      <c r="I40" s="13">
        <v>1</v>
      </c>
      <c r="J40" s="14">
        <v>60.5</v>
      </c>
      <c r="K40" s="14">
        <f t="shared" si="0"/>
        <v>60.5</v>
      </c>
    </row>
    <row r="41" spans="4:11">
      <c r="D41" s="11">
        <v>46170</v>
      </c>
      <c r="E41" s="12">
        <v>1607005</v>
      </c>
      <c r="F41" s="12" t="s">
        <v>66</v>
      </c>
      <c r="G41" s="13">
        <v>20410120</v>
      </c>
      <c r="H41" s="12" t="s">
        <v>67</v>
      </c>
      <c r="I41" s="13">
        <v>1</v>
      </c>
      <c r="J41" s="14">
        <v>396</v>
      </c>
      <c r="K41" s="14">
        <f t="shared" si="0"/>
        <v>396</v>
      </c>
    </row>
    <row r="42" spans="4:11">
      <c r="D42" s="11">
        <v>46170</v>
      </c>
      <c r="E42" s="12">
        <v>1607005</v>
      </c>
      <c r="F42" s="12" t="s">
        <v>32</v>
      </c>
      <c r="G42" s="13">
        <v>20417771</v>
      </c>
      <c r="H42" s="12" t="s">
        <v>68</v>
      </c>
      <c r="I42" s="13">
        <v>3</v>
      </c>
      <c r="J42" s="14">
        <v>16</v>
      </c>
      <c r="K42" s="14">
        <f t="shared" si="0"/>
        <v>48</v>
      </c>
    </row>
    <row r="43" spans="4:11">
      <c r="D43" s="11">
        <v>46170</v>
      </c>
      <c r="E43" s="12">
        <v>1607005</v>
      </c>
      <c r="F43" s="12" t="s">
        <v>32</v>
      </c>
      <c r="G43" s="13">
        <v>20410123</v>
      </c>
      <c r="H43" s="12" t="s">
        <v>81</v>
      </c>
      <c r="I43" s="13">
        <v>1</v>
      </c>
      <c r="J43" s="14">
        <v>16.5</v>
      </c>
      <c r="K43" s="14">
        <f t="shared" si="0"/>
        <v>16.5</v>
      </c>
    </row>
    <row r="44" spans="4:11">
      <c r="D44" s="11">
        <v>46170</v>
      </c>
      <c r="E44" s="12">
        <v>1607005</v>
      </c>
      <c r="F44" s="12" t="s">
        <v>32</v>
      </c>
      <c r="G44" s="13">
        <v>20417770</v>
      </c>
      <c r="H44" s="12" t="s">
        <v>69</v>
      </c>
      <c r="I44" s="13">
        <v>2</v>
      </c>
      <c r="J44" s="14">
        <v>13</v>
      </c>
      <c r="K44" s="14">
        <f t="shared" si="0"/>
        <v>26</v>
      </c>
    </row>
    <row r="45" spans="4:11">
      <c r="D45" s="11">
        <v>46170</v>
      </c>
      <c r="E45" s="12">
        <v>1607005</v>
      </c>
      <c r="F45" s="12" t="s">
        <v>32</v>
      </c>
      <c r="G45" s="13">
        <v>20419778</v>
      </c>
      <c r="H45" s="12" t="s">
        <v>82</v>
      </c>
      <c r="I45" s="13">
        <v>1</v>
      </c>
      <c r="J45" s="14">
        <v>16.5</v>
      </c>
      <c r="K45" s="14">
        <f t="shared" si="0"/>
        <v>16.5</v>
      </c>
    </row>
    <row r="46" spans="4:11">
      <c r="D46" s="11">
        <v>46170</v>
      </c>
      <c r="E46" s="12">
        <v>1607005</v>
      </c>
      <c r="F46" s="12" t="s">
        <v>34</v>
      </c>
      <c r="G46" s="13">
        <v>20410080</v>
      </c>
      <c r="H46" s="12" t="s">
        <v>70</v>
      </c>
      <c r="I46" s="13">
        <v>2</v>
      </c>
      <c r="J46" s="14">
        <v>16.5</v>
      </c>
      <c r="K46" s="14">
        <f t="shared" si="0"/>
        <v>33</v>
      </c>
    </row>
    <row r="47" spans="4:11">
      <c r="D47" s="11">
        <v>46170</v>
      </c>
      <c r="E47" s="12">
        <v>1607005</v>
      </c>
      <c r="F47" s="12" t="s">
        <v>34</v>
      </c>
      <c r="G47" s="13">
        <v>20422970</v>
      </c>
      <c r="H47" s="12" t="s">
        <v>79</v>
      </c>
      <c r="I47" s="13">
        <v>1</v>
      </c>
      <c r="J47" s="14">
        <v>16.5</v>
      </c>
      <c r="K47" s="14">
        <f t="shared" si="0"/>
        <v>16.5</v>
      </c>
    </row>
    <row r="48" spans="4:11">
      <c r="D48" s="11">
        <v>46172</v>
      </c>
      <c r="E48" s="12">
        <v>1607763</v>
      </c>
      <c r="F48" s="12" t="s">
        <v>66</v>
      </c>
      <c r="G48" s="13">
        <v>20410117</v>
      </c>
      <c r="H48" s="12" t="s">
        <v>72</v>
      </c>
      <c r="I48" s="13">
        <v>1</v>
      </c>
      <c r="J48" s="14">
        <v>93.5</v>
      </c>
      <c r="K48" s="14">
        <f t="shared" si="0"/>
        <v>93.5</v>
      </c>
    </row>
    <row r="49" spans="4:11">
      <c r="D49" s="11">
        <v>46172</v>
      </c>
      <c r="E49" s="12">
        <v>1607763</v>
      </c>
      <c r="F49" s="12" t="s">
        <v>66</v>
      </c>
      <c r="G49" s="13">
        <v>20410111</v>
      </c>
      <c r="H49" s="12" t="s">
        <v>73</v>
      </c>
      <c r="I49" s="13">
        <v>1</v>
      </c>
      <c r="J49" s="14">
        <v>115.5</v>
      </c>
      <c r="K49" s="14">
        <f t="shared" si="0"/>
        <v>115.5</v>
      </c>
    </row>
    <row r="50" spans="4:11">
      <c r="D50" s="11">
        <v>46172</v>
      </c>
      <c r="E50" s="12">
        <v>1607763</v>
      </c>
      <c r="F50" s="12" t="s">
        <v>32</v>
      </c>
      <c r="G50" s="13">
        <v>20417771</v>
      </c>
      <c r="H50" s="12" t="s">
        <v>68</v>
      </c>
      <c r="I50" s="13">
        <v>1</v>
      </c>
      <c r="J50" s="14">
        <v>16</v>
      </c>
      <c r="K50" s="14">
        <f t="shared" si="0"/>
        <v>16</v>
      </c>
    </row>
    <row r="51" spans="4:11">
      <c r="D51" s="11">
        <v>46172</v>
      </c>
      <c r="E51" s="12">
        <v>1607763</v>
      </c>
      <c r="F51" s="12" t="s">
        <v>32</v>
      </c>
      <c r="G51" s="13">
        <v>20417770</v>
      </c>
      <c r="H51" s="12" t="s">
        <v>69</v>
      </c>
      <c r="I51" s="13">
        <v>2</v>
      </c>
      <c r="J51" s="14">
        <v>13</v>
      </c>
      <c r="K51" s="14">
        <f t="shared" si="0"/>
        <v>26</v>
      </c>
    </row>
    <row r="52" spans="4:11">
      <c r="D52" s="11">
        <v>46172</v>
      </c>
      <c r="E52" s="12">
        <v>1607763</v>
      </c>
      <c r="F52" s="12" t="s">
        <v>34</v>
      </c>
      <c r="G52" s="13">
        <v>20410080</v>
      </c>
      <c r="H52" s="12" t="s">
        <v>70</v>
      </c>
      <c r="I52" s="13">
        <v>1</v>
      </c>
      <c r="J52" s="14">
        <v>16.5</v>
      </c>
      <c r="K52" s="14">
        <f t="shared" si="0"/>
        <v>16.5</v>
      </c>
    </row>
    <row r="53" ht="0.05" customHeight="1"/>
  </sheetData>
  <autoFilter xmlns:etc="http://www.wps.cn/officeDocument/2017/etCustomData" ref="A7:K52" etc:filterBottomFollowUsedRange="0">
    <extLst/>
  </autoFilter>
  <mergeCells count="5">
    <mergeCell ref="D8:H8"/>
    <mergeCell ref="C7:C52"/>
    <mergeCell ref="B4:H5"/>
    <mergeCell ref="A7:B5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10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4</v>
      </c>
      <c r="J8" s="10"/>
      <c r="K8" s="10">
        <v>71</v>
      </c>
    </row>
    <row r="9" spans="1:11">
      <c r="D9" s="11">
        <v>46167</v>
      </c>
      <c r="E9" s="12">
        <v>1606228</v>
      </c>
      <c r="F9" s="12" t="s">
        <v>32</v>
      </c>
      <c r="G9" s="13">
        <v>20427033</v>
      </c>
      <c r="H9" s="12" t="s">
        <v>83</v>
      </c>
      <c r="I9" s="13">
        <v>1</v>
      </c>
      <c r="J9" s="14">
        <v>8</v>
      </c>
      <c r="K9" s="14">
        <v>8</v>
      </c>
    </row>
    <row r="10" spans="1:11">
      <c r="D10" s="11">
        <v>46167</v>
      </c>
      <c r="E10" s="12">
        <v>1606228</v>
      </c>
      <c r="F10" s="12" t="s">
        <v>32</v>
      </c>
      <c r="G10" s="13">
        <v>20427038</v>
      </c>
      <c r="H10" s="12" t="s">
        <v>84</v>
      </c>
      <c r="I10" s="13">
        <v>1</v>
      </c>
      <c r="J10" s="14">
        <v>8</v>
      </c>
      <c r="K10" s="14">
        <v>8</v>
      </c>
    </row>
    <row r="11" spans="1:11">
      <c r="D11" s="11">
        <v>46172</v>
      </c>
      <c r="E11" s="12">
        <v>1607764</v>
      </c>
      <c r="F11" s="12" t="s">
        <v>34</v>
      </c>
      <c r="G11" s="13">
        <v>20427691</v>
      </c>
      <c r="H11" s="12" t="s">
        <v>85</v>
      </c>
      <c r="I11" s="13">
        <v>2</v>
      </c>
      <c r="J11" s="14">
        <v>27.5</v>
      </c>
      <c r="K11" s="14">
        <v>55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11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</v>
      </c>
      <c r="J8" s="10"/>
      <c r="K8" s="10">
        <v>225.5</v>
      </c>
    </row>
    <row r="9" spans="1:11">
      <c r="D9" s="11">
        <v>46153</v>
      </c>
      <c r="E9" s="12">
        <v>1602155</v>
      </c>
      <c r="F9" s="12" t="s">
        <v>34</v>
      </c>
      <c r="G9" s="13">
        <v>20417762</v>
      </c>
      <c r="H9" s="12" t="s">
        <v>86</v>
      </c>
      <c r="I9" s="13">
        <v>1</v>
      </c>
      <c r="J9" s="14">
        <v>225.5</v>
      </c>
      <c r="K9" s="14">
        <v>225.5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P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12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</v>
      </c>
      <c r="J8" s="10"/>
      <c r="K8" s="10">
        <v>55</v>
      </c>
    </row>
    <row r="9" spans="1:11">
      <c r="D9" s="11">
        <v>46148</v>
      </c>
      <c r="E9" s="12">
        <v>1600606</v>
      </c>
      <c r="F9" s="12" t="s">
        <v>40</v>
      </c>
      <c r="G9" s="13">
        <v>20409871</v>
      </c>
      <c r="H9" s="12" t="s">
        <v>87</v>
      </c>
      <c r="I9" s="13">
        <v>1</v>
      </c>
      <c r="J9" s="14">
        <v>55</v>
      </c>
      <c r="K9" s="14">
        <v>55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17" sqref="L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13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</v>
      </c>
      <c r="J8" s="10"/>
      <c r="K8" s="10">
        <v>16.5</v>
      </c>
    </row>
    <row r="9" spans="1:11">
      <c r="D9" s="11">
        <v>46172</v>
      </c>
      <c r="E9" s="12">
        <v>1607765</v>
      </c>
      <c r="F9" s="12" t="s">
        <v>32</v>
      </c>
      <c r="G9" s="13">
        <v>20422208</v>
      </c>
      <c r="H9" s="12" t="s">
        <v>33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24" sqref="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14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7</v>
      </c>
      <c r="J8" s="10"/>
      <c r="K8" s="10">
        <v>64.5</v>
      </c>
    </row>
    <row r="9" spans="1:11">
      <c r="D9" s="11">
        <v>46170</v>
      </c>
      <c r="E9" s="12">
        <v>1607006</v>
      </c>
      <c r="F9" s="12" t="s">
        <v>32</v>
      </c>
      <c r="G9" s="13">
        <v>20422208</v>
      </c>
      <c r="H9" s="12" t="s">
        <v>33</v>
      </c>
      <c r="I9" s="13">
        <v>1</v>
      </c>
      <c r="J9" s="14">
        <v>16.5</v>
      </c>
      <c r="K9" s="14">
        <v>16.5</v>
      </c>
    </row>
    <row r="10" spans="1:11">
      <c r="D10" s="11">
        <v>46170</v>
      </c>
      <c r="E10" s="12">
        <v>1607006</v>
      </c>
      <c r="F10" s="12" t="s">
        <v>32</v>
      </c>
      <c r="G10" s="13">
        <v>20427366</v>
      </c>
      <c r="H10" s="12" t="s">
        <v>88</v>
      </c>
      <c r="I10" s="13">
        <v>6</v>
      </c>
      <c r="J10" s="14">
        <v>8</v>
      </c>
      <c r="K10" s="14">
        <v>48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P15" sqref="P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15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</v>
      </c>
      <c r="J8" s="10"/>
      <c r="K8" s="10">
        <v>16.5</v>
      </c>
    </row>
    <row r="9" spans="1:11">
      <c r="D9" s="11">
        <v>46151</v>
      </c>
      <c r="E9" s="12">
        <v>1601483</v>
      </c>
      <c r="F9" s="12" t="s">
        <v>32</v>
      </c>
      <c r="G9" s="13">
        <v>20422208</v>
      </c>
      <c r="H9" s="12" t="s">
        <v>33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10:47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汇总</vt:lpstr>
      <vt:lpstr>风湿二科</vt:lpstr>
      <vt:lpstr>妇科</vt:lpstr>
      <vt:lpstr>骨三内四科</vt:lpstr>
      <vt:lpstr>美容科</vt:lpstr>
      <vt:lpstr>肾五科</vt:lpstr>
      <vt:lpstr>手术室</vt:lpstr>
      <vt:lpstr>透析科</vt:lpstr>
      <vt:lpstr>外二肛肠二科</vt:lpstr>
      <vt:lpstr>外二科</vt:lpstr>
      <vt:lpstr>心三科</vt:lpstr>
      <vt:lpstr>针三科</vt:lpstr>
      <vt:lpstr>针四科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2026-06-04T02:47:00Z</dcterms:created>
  <dcterms:modified xsi:type="dcterms:W3CDTF">2026-06-11T05:45:18Z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5F14776D7F9E43EBAEC136580E31E6B2_13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