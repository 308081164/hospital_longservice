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9435" tabRatio="929" firstSheet="18" activeTab="27"/>
  </bookViews>
  <sheets>
    <sheet name="ICU" sheetId="1" r:id="rId1"/>
    <sheet name="导管室" sheetId="2" r:id="rId2"/>
    <sheet name="耳鼻喉" sheetId="3" r:id="rId3"/>
    <sheet name="妇科病房" sheetId="4" r:id="rId4"/>
    <sheet name="妇科手术室" sheetId="5" r:id="rId5"/>
    <sheet name="骨一科" sheetId="6" r:id="rId6"/>
    <sheet name="急诊" sheetId="7" r:id="rId7"/>
    <sheet name="静配中心" sheetId="8" r:id="rId8"/>
    <sheet name="康复科" sheetId="9" r:id="rId9"/>
    <sheet name="麻醉科" sheetId="10" r:id="rId10"/>
    <sheet name="美容（手术室）" sheetId="11" r:id="rId11"/>
    <sheet name="美容科病房" sheetId="12" r:id="rId12"/>
    <sheet name="泌尿外" sheetId="13" r:id="rId13"/>
    <sheet name="泌尿外科（一病区）" sheetId="14" r:id="rId14"/>
    <sheet name="普外科" sheetId="15" r:id="rId15"/>
    <sheet name="神经外科" sheetId="16" r:id="rId16"/>
    <sheet name="手术室" sheetId="17" r:id="rId17"/>
    <sheet name="物理诊断科" sheetId="18" r:id="rId18"/>
    <sheet name="消化科" sheetId="19" r:id="rId19"/>
    <sheet name="心内二" sheetId="20" r:id="rId20"/>
    <sheet name="心内四" sheetId="21" r:id="rId21"/>
    <sheet name="眼科手术室" sheetId="22" r:id="rId22"/>
    <sheet name="影像科" sheetId="23" r:id="rId23"/>
    <sheet name="中医科" sheetId="24" r:id="rId24"/>
    <sheet name="周围血管病" sheetId="25" r:id="rId25"/>
    <sheet name="外来器械" sheetId="26" r:id="rId26"/>
    <sheet name="加急" sheetId="27" r:id="rId27"/>
    <sheet name="外来器械加急" sheetId="28" r:id="rId28"/>
    <sheet name="异常物流" sheetId="29" r:id="rId29"/>
    <sheet name="费用调整" sheetId="30" r:id="rId30"/>
  </sheets>
  <definedNames>
    <definedName name="_xlnm._FilterDatabase" localSheetId="3" hidden="1">妇科病房!$A$7:$K$126</definedName>
    <definedName name="_xlnm._FilterDatabase" localSheetId="4" hidden="1">妇科手术室!$A$7:$K$63</definedName>
    <definedName name="_xlnm._FilterDatabase" localSheetId="5" hidden="1">骨一科!$A$7:$K$50</definedName>
    <definedName name="_xlnm._FilterDatabase" localSheetId="6" hidden="1">急诊!$A$7:$K$45</definedName>
    <definedName name="_xlnm._FilterDatabase" localSheetId="10" hidden="1">'美容（手术室）'!$A$7:$K$74</definedName>
    <definedName name="_xlnm._FilterDatabase" localSheetId="11" hidden="1">美容科病房!$A$7:$K$31</definedName>
    <definedName name="_xlnm._FilterDatabase" localSheetId="13" hidden="1">'泌尿外科（一病区）'!$A$7:$K$32</definedName>
    <definedName name="_xlnm._FilterDatabase" localSheetId="15" hidden="1">神经外科!$A$7:$K$27</definedName>
    <definedName name="_xlnm._FilterDatabase" localSheetId="16" hidden="1">手术室!$A$7:$K$837</definedName>
    <definedName name="_xlnm._FilterDatabase" localSheetId="21" hidden="1">眼科手术室!$A$7:$K$25</definedName>
    <definedName name="_xlnm._FilterDatabase" localSheetId="24" hidden="1">周围血管病!$A$7:$K$36</definedName>
    <definedName name="_xlnm._FilterDatabase" localSheetId="25" hidden="1">外来器械!$A$8:$L$29</definedName>
    <definedName name="_xlnm.Print_Titles" localSheetId="0">ICU!$1:$6</definedName>
    <definedName name="_xlnm.Print_Titles" localSheetId="1">导管室!$1:$6</definedName>
    <definedName name="_xlnm.Print_Titles" localSheetId="2">耳鼻喉!$1:$6</definedName>
    <definedName name="_xlnm.Print_Titles" localSheetId="3">妇科病房!$1:$6</definedName>
    <definedName name="_xlnm.Print_Titles" localSheetId="4">妇科手术室!$1:$6</definedName>
    <definedName name="_xlnm.Print_Titles" localSheetId="5">骨一科!$1:$6</definedName>
    <definedName name="_xlnm.Print_Titles" localSheetId="6">急诊!$1:$6</definedName>
    <definedName name="_xlnm.Print_Titles" localSheetId="7">静配中心!$1:$6</definedName>
    <definedName name="_xlnm.Print_Titles" localSheetId="8">康复科!$1:$6</definedName>
    <definedName name="_xlnm.Print_Titles" localSheetId="9">麻醉科!$1:$6</definedName>
    <definedName name="_xlnm.Print_Titles" localSheetId="10">'美容（手术室）'!$1:$6</definedName>
    <definedName name="_xlnm.Print_Titles" localSheetId="11">美容科病房!$1:$6</definedName>
    <definedName name="_xlnm.Print_Titles" localSheetId="12">泌尿外!$1:$6</definedName>
    <definedName name="_xlnm.Print_Titles" localSheetId="13">'泌尿外科（一病区）'!$1:$6</definedName>
    <definedName name="_xlnm.Print_Titles" localSheetId="14">普外科!$1:$6</definedName>
    <definedName name="_xlnm.Print_Titles" localSheetId="15">神经外科!$1:$6</definedName>
    <definedName name="_xlnm.Print_Titles" localSheetId="16">手术室!$1:$6</definedName>
    <definedName name="_xlnm.Print_Titles" localSheetId="17">物理诊断科!$1:$6</definedName>
    <definedName name="_xlnm.Print_Titles" localSheetId="18">消化科!$1:$6</definedName>
    <definedName name="_xlnm.Print_Titles" localSheetId="19">心内二!$1:$6</definedName>
    <definedName name="_xlnm.Print_Titles" localSheetId="20">心内四!$1:$6</definedName>
    <definedName name="_xlnm.Print_Titles" localSheetId="21">眼科手术室!$1:$6</definedName>
    <definedName name="_xlnm.Print_Titles" localSheetId="22">影像科!$1:$6</definedName>
    <definedName name="_xlnm.Print_Titles" localSheetId="23">中医科!$1:$6</definedName>
    <definedName name="_xlnm.Print_Titles" localSheetId="24">周围血管病!$1:$6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<sst xmlns="http://schemas.openxmlformats.org/spreadsheetml/2006/main" count="3590" uniqueCount="503">
  <si>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</si>
  <si>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</si>
  <si>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</si>
  <si>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黑龙江省第二医院（松北区）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</si>
  <si>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</si>
  <si>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</si>
  <si>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</si>
  <si>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</si>
  <si>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</si>
  <si>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</si>
  <si>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</si>
  <si>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</si>
  <si>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ICU</t>
  </si>
  <si>
    <t>额外包(ETO)</t>
  </si>
  <si>
    <t>简易呼吸器一套/Z3060</t>
  </si>
  <si>
    <t>额外包(纸塑袋)</t>
  </si>
  <si>
    <t>持针器-1/Z1029</t>
  </si>
  <si>
    <t>剪刀-1/Z1026</t>
  </si>
  <si>
    <t>止血钳-1/Z1029</t>
  </si>
  <si>
    <t>导管室</t>
  </si>
  <si>
    <t>单包装包</t>
  </si>
  <si>
    <t>持物钳罐-3件/z2044</t>
  </si>
  <si>
    <t>刺探针-1/Z7520</t>
  </si>
  <si>
    <t>镊子-1/Z7526</t>
  </si>
  <si>
    <t>小拉钩-1/Z7526</t>
  </si>
  <si>
    <t>器械包(ZSD)</t>
  </si>
  <si>
    <t>起博包</t>
  </si>
  <si>
    <t>额外包(无纺布)</t>
  </si>
  <si>
    <t>碗3盘1/W6050</t>
  </si>
  <si>
    <t>耳鼻喉</t>
  </si>
  <si>
    <t>艾利斯（组织钳）-1/Z1026</t>
  </si>
  <si>
    <t>枪状镊-1//Z7530</t>
  </si>
  <si>
    <t>吸引器管-1/Z7526</t>
  </si>
  <si>
    <t>小剪刀-1/Z7526</t>
  </si>
  <si>
    <t>组件-1/Z7526</t>
  </si>
  <si>
    <t>妇科病房</t>
  </si>
  <si>
    <t>器械包</t>
  </si>
  <si>
    <t>流产包</t>
  </si>
  <si>
    <t>取环钩-1/Z7537</t>
  </si>
  <si>
    <t>取环钳-1/Z1535</t>
  </si>
  <si>
    <t>额外包(低温等离子)</t>
  </si>
  <si>
    <t>水管-1/Z3040</t>
  </si>
  <si>
    <t>单包装包(老肯低温)</t>
  </si>
  <si>
    <t>宫腔检查镜12度-3/Z2060</t>
  </si>
  <si>
    <t>换药缸-1/Z2530</t>
  </si>
  <si>
    <t>弯盘-1/Z2032</t>
  </si>
  <si>
    <t>宫腔检查镜30度-2件/Z2060</t>
  </si>
  <si>
    <t>宫腔检查镜30度-3件/Z2060</t>
  </si>
  <si>
    <t>扩棒（7-10）-7/Z1026</t>
  </si>
  <si>
    <t>扩棒-6件（4-6.5号）/Z1026</t>
  </si>
  <si>
    <t>扩棒7号-1/Z7526</t>
  </si>
  <si>
    <t>卵圆钳-1/Z1535</t>
  </si>
  <si>
    <t>敷料包(纸塑袋)</t>
  </si>
  <si>
    <t>带线棉球/z1026</t>
  </si>
  <si>
    <t>毛巾/Z2544</t>
  </si>
  <si>
    <t>棉球/Z1526</t>
  </si>
  <si>
    <t>纱布/z2032</t>
  </si>
  <si>
    <t>电刀头-1/Z7526</t>
  </si>
  <si>
    <t>妇科剪刀-1/Z1560</t>
  </si>
  <si>
    <t>阴道镜包</t>
  </si>
  <si>
    <t>病理钳-1/Z2032</t>
  </si>
  <si>
    <t>长弯钳-1/Z1535</t>
  </si>
  <si>
    <t>刮勺-1/Z7537</t>
  </si>
  <si>
    <t>止血钳（小弯）-1/Z1026</t>
  </si>
  <si>
    <t>宫颈钳-1/Z1535</t>
  </si>
  <si>
    <t>窥器-1/Z1526</t>
  </si>
  <si>
    <t>弯盘-1</t>
  </si>
  <si>
    <t>扩棒（8-10号）-5件/z1530</t>
  </si>
  <si>
    <t>扩棒3.5号-1/Z7526</t>
  </si>
  <si>
    <t>宫腔检查镜30度-2件/Z2560</t>
  </si>
  <si>
    <t>妇科手术室</t>
  </si>
  <si>
    <t>扩棒（7-9.5）-6/Z1026</t>
  </si>
  <si>
    <t>宫腔镜包</t>
  </si>
  <si>
    <t>单极配件-6件/Z2060</t>
  </si>
  <si>
    <t>电切线-1/Z3040</t>
  </si>
  <si>
    <t>电切镜-1/Z2060</t>
  </si>
  <si>
    <t>扩棒（4-10）-13件/Z1026</t>
  </si>
  <si>
    <t>电切镜配件-6/Z2045</t>
  </si>
  <si>
    <t>扩棒（7.5-10）-6/Z1026</t>
  </si>
  <si>
    <t>骨一科</t>
  </si>
  <si>
    <t>剥离质-1/Z1029</t>
  </si>
  <si>
    <t>刀柄-1/Z7526</t>
  </si>
  <si>
    <t>钩镊-1/Z7526</t>
  </si>
  <si>
    <t>平镊-1/Z7534</t>
  </si>
  <si>
    <t>蚊式-1/Z1026</t>
  </si>
  <si>
    <t>骨科-缝合包</t>
  </si>
  <si>
    <t>纱布/z1020</t>
  </si>
  <si>
    <t>蚊式直-1/Z1026</t>
  </si>
  <si>
    <t>无菌缸-1/Z2530</t>
  </si>
  <si>
    <t>巾钳子-1/Z1026</t>
  </si>
  <si>
    <t>急诊</t>
  </si>
  <si>
    <t>小外伤包</t>
  </si>
  <si>
    <t>大外伤包</t>
  </si>
  <si>
    <t>肌钩-1/Z7526</t>
  </si>
  <si>
    <t>静配中心</t>
  </si>
  <si>
    <t>毛巾/z3032</t>
  </si>
  <si>
    <t>康复科</t>
  </si>
  <si>
    <t>简易呼吸器-1件/Z3060</t>
  </si>
  <si>
    <t>麻醉科</t>
  </si>
  <si>
    <t>喉镜片-1/Z1026</t>
  </si>
  <si>
    <t>美容（手术室）</t>
  </si>
  <si>
    <t>隆胸手术器械包</t>
  </si>
  <si>
    <t>取肋器械包</t>
  </si>
  <si>
    <t>胸部手术器械包</t>
  </si>
  <si>
    <t>鼻剥离器（单头）-1/z7530</t>
  </si>
  <si>
    <t>鼻腔拉钩-1/z7530</t>
  </si>
  <si>
    <t>开睑器-1/z7520</t>
  </si>
  <si>
    <t>拉钩-1/z7530</t>
  </si>
  <si>
    <t>量尺-1/Z7526</t>
  </si>
  <si>
    <t>皮肤拉钩-1/Z7526</t>
  </si>
  <si>
    <t>吸引管堵头-2/z7520</t>
  </si>
  <si>
    <t>眼睑拉钩-1/z7530</t>
  </si>
  <si>
    <t>眼用测量规-1/Z1020</t>
  </si>
  <si>
    <t>凿子-1/Z7530</t>
  </si>
  <si>
    <t>敷料包(无纺布包)</t>
  </si>
  <si>
    <t>眼包敷料/w12050</t>
  </si>
  <si>
    <t>取皮刀-1/W6050</t>
  </si>
  <si>
    <t>创伤缝合包</t>
  </si>
  <si>
    <t>换药碗-2/Z2530</t>
  </si>
  <si>
    <t>鼻畸形矫正器械包</t>
  </si>
  <si>
    <t>剥离子-1/Z1029</t>
  </si>
  <si>
    <t>弯盘-2/Z2032</t>
  </si>
  <si>
    <t>小肌钩-2/Z1026</t>
  </si>
  <si>
    <t>持物钳罐-2/W6050</t>
  </si>
  <si>
    <t>蚊式-2/z1526</t>
  </si>
  <si>
    <t>眼袋手术器械包</t>
  </si>
  <si>
    <t>麻杯-1/Z1520</t>
  </si>
  <si>
    <t>美容科病房</t>
  </si>
  <si>
    <t>剪刀1镊子1弯盘1（换药包）/z2032</t>
  </si>
  <si>
    <t>二氧化碳手具（内）-2/双/Z1035</t>
  </si>
  <si>
    <t>环钻-1/Z7526</t>
  </si>
  <si>
    <t>小镊子-1/Z7526</t>
  </si>
  <si>
    <t>简易呼吸器-1（低温）件/Z3060</t>
  </si>
  <si>
    <t>弯盘1剪刀1钩镊1/z2032</t>
  </si>
  <si>
    <t>入珠工具-1/Z7520</t>
  </si>
  <si>
    <t>泌尿外</t>
  </si>
  <si>
    <t>精细剪（弯）-1/Z7526</t>
  </si>
  <si>
    <t>拉钩-1/Z7520</t>
  </si>
  <si>
    <t>尿道探子（2 3 4 5 6 7）-6/Z1035</t>
  </si>
  <si>
    <t>尿道探子（7.5）-1/Z7534</t>
  </si>
  <si>
    <t>整形镊（125直 有齿 ）-1/Z7526</t>
  </si>
  <si>
    <t>尿道探子8.5-1/Z7534</t>
  </si>
  <si>
    <t>尿道探子8号-1/Z7534</t>
  </si>
  <si>
    <t>泌尿外科（一病区）</t>
  </si>
  <si>
    <t>双通道操作器1/Z1545</t>
  </si>
  <si>
    <t>异物钳（低温）-1/Z2060</t>
  </si>
  <si>
    <t>F19镜鞘-2件（盒1）/Z2060</t>
  </si>
  <si>
    <t>膀胱镜12度-1/z2060</t>
  </si>
  <si>
    <t>膀胱镜0度-1/Z2060</t>
  </si>
  <si>
    <t>单通道操作器1/Z1526</t>
  </si>
  <si>
    <t>F21镜鞘-2件/Z1545</t>
  </si>
  <si>
    <t>普外科</t>
  </si>
  <si>
    <t>普外二切开包</t>
  </si>
  <si>
    <t>神经外科</t>
  </si>
  <si>
    <t>平镊小-1/Z7526</t>
  </si>
  <si>
    <t>止血钳（中弯）-1/Z1029</t>
  </si>
  <si>
    <t>组织剪-1/Z1029</t>
  </si>
  <si>
    <t>球囊-1/z3044</t>
  </si>
  <si>
    <t>气管套管-3/Z1020</t>
  </si>
  <si>
    <t>神经外-缝合包</t>
  </si>
  <si>
    <t>手术室</t>
  </si>
  <si>
    <t>动脉瘤包-6件</t>
  </si>
  <si>
    <t>开颅包（二）</t>
  </si>
  <si>
    <t>开颅包（一）</t>
  </si>
  <si>
    <t>腔包</t>
  </si>
  <si>
    <t>小腔包</t>
  </si>
  <si>
    <t>动力系统-3件（筐1）/w1205060</t>
  </si>
  <si>
    <t>扳手-1/Z1026</t>
  </si>
  <si>
    <t>成人头钉-3/双保Z7520</t>
  </si>
  <si>
    <t>垂体磨钻-1/Z1029</t>
  </si>
  <si>
    <t>动脉瘤夹17-001-35/双Z7520</t>
  </si>
  <si>
    <t>动脉瘤夹17-001-38/双Z7520</t>
  </si>
  <si>
    <t>动脉瘤夹FT176T/双Z7520</t>
  </si>
  <si>
    <t>动脉瘤夹FT7427/双Z7520</t>
  </si>
  <si>
    <t>骨膜剥离子（双头）-1/双/Z1026</t>
  </si>
  <si>
    <t>螺丝刀-1/保Z1029</t>
  </si>
  <si>
    <t>脑吸引管2.5带芯-1/保Z7526</t>
  </si>
  <si>
    <t>显微持针器-1/Z1029</t>
  </si>
  <si>
    <t>显微剪刀直-1/保Z7526</t>
  </si>
  <si>
    <t>粘膜剥离子-1/保Z7534</t>
  </si>
  <si>
    <t>直角钩-1/Z7530</t>
  </si>
  <si>
    <t>阻断夹-1/双Z7520</t>
  </si>
  <si>
    <t>钻头-1/保Z7530</t>
  </si>
  <si>
    <t>手术衣/w12050</t>
  </si>
  <si>
    <t>肛门拉钩-2/W605050</t>
  </si>
  <si>
    <t>夹子-3/W6050</t>
  </si>
  <si>
    <t>盆1碗2盘2/W9050</t>
  </si>
  <si>
    <t>单极配件-4/Z2060</t>
  </si>
  <si>
    <t>电切环-1/Z1045</t>
  </si>
  <si>
    <t>腹腔镜气腹管-1/Z3040</t>
  </si>
  <si>
    <t>剪刀-1/Z1560</t>
  </si>
  <si>
    <t>取石钳-1/Z2035</t>
  </si>
  <si>
    <t>双极镊1双极线1/Z3040</t>
  </si>
  <si>
    <t>弯钳-1/Z2060</t>
  </si>
  <si>
    <t>无损伤钳-1/Z2060</t>
  </si>
  <si>
    <t>吸引器-1/Z1560</t>
  </si>
  <si>
    <t>造瘘器-18号-4件/Z2045</t>
  </si>
  <si>
    <t>STROZ腹腔镜-1（30度）/Z2060</t>
  </si>
  <si>
    <t>奥林巴斯腹腔镜-1（30度）</t>
  </si>
  <si>
    <t>尿道探子-6/Z1035</t>
  </si>
  <si>
    <t>止血钳-2/Z1530</t>
  </si>
  <si>
    <t>输尿管镜-2件/w12050</t>
  </si>
  <si>
    <t>J-支撑喉镜包-18</t>
  </si>
  <si>
    <t>鼻手术包</t>
  </si>
  <si>
    <t>长针头-1/Z7526</t>
  </si>
  <si>
    <t>锤子-1/W6050</t>
  </si>
  <si>
    <t>郜主任支撑-3件/W7050</t>
  </si>
  <si>
    <t>胆囊抓钳-1/Z2060</t>
  </si>
  <si>
    <t>肝门阻断带红黄蓝-3/Z1026</t>
  </si>
  <si>
    <t>郜主任支撑-1件/z2060</t>
  </si>
  <si>
    <t>宫腔镜配件-1/z1530</t>
  </si>
  <si>
    <t>活检钳-1/Z1560</t>
  </si>
  <si>
    <t>阑尾钳-1/Z2060</t>
  </si>
  <si>
    <t>驱血带-1/Z2030</t>
  </si>
  <si>
    <t>取夹钳-1/Z2060</t>
  </si>
  <si>
    <t>神外镜头-1件/z2060</t>
  </si>
  <si>
    <t>施夹钳-1/Z2060</t>
  </si>
  <si>
    <t>探杆-1/Z7560</t>
  </si>
  <si>
    <t>鼻窦镜0度-1/z2045</t>
  </si>
  <si>
    <t>鼻内镜0度/z2045</t>
  </si>
  <si>
    <t>鼻内镜30度/z2045</t>
  </si>
  <si>
    <t>单包装包(EO)</t>
  </si>
  <si>
    <t>输尿管软镜-2/W1250</t>
  </si>
  <si>
    <t>4.0皮质钉5.0锁钉</t>
  </si>
  <si>
    <t>垂体包-10件</t>
  </si>
  <si>
    <t>上肢</t>
  </si>
  <si>
    <t>上肢外固定架</t>
  </si>
  <si>
    <t>胸腔镜包</t>
  </si>
  <si>
    <t>L-取瘤钳/Z2032</t>
  </si>
  <si>
    <t>钢丝导向器-1/1026</t>
  </si>
  <si>
    <t>勾刀-1/保Z7526</t>
  </si>
  <si>
    <t>刮圈-1/Z7530</t>
  </si>
  <si>
    <t>精细取瘤钳-1/Z2032</t>
  </si>
  <si>
    <t>脑吸引管-1/保Z7537</t>
  </si>
  <si>
    <t>脑压板-1/Z7534</t>
  </si>
  <si>
    <t>神经剥离子-1/Z7534</t>
  </si>
  <si>
    <t>显微剪刀弯-1 /保Z7526</t>
  </si>
  <si>
    <t>硬膜剪-1/Z1029</t>
  </si>
  <si>
    <t>骨科租赁器械包-不带植入物</t>
  </si>
  <si>
    <t>下肢外架器械-55件</t>
  </si>
  <si>
    <t>摆据-7/W7050</t>
  </si>
  <si>
    <t>鼻窦钳-1/W6050</t>
  </si>
  <si>
    <t>骨用牵开器-1/W605050</t>
  </si>
  <si>
    <t>后颅凹牵开器-1/W605050</t>
  </si>
  <si>
    <t>肋骨撑开钳-1/W6050</t>
  </si>
  <si>
    <t>神外器械-10件（盒1）/w9050</t>
  </si>
  <si>
    <t>甲状腺包</t>
  </si>
  <si>
    <t>阑尾包</t>
  </si>
  <si>
    <t>气切包</t>
  </si>
  <si>
    <t>导尿管-1/Z7530</t>
  </si>
  <si>
    <t>钢板-1/双/Z7526</t>
  </si>
  <si>
    <t>钢板-1/双Z7530</t>
  </si>
  <si>
    <t>静脉探子-1/Z7534</t>
  </si>
  <si>
    <t>阴道拉钩-1/z2032</t>
  </si>
  <si>
    <t>骨科显微器械-23件</t>
  </si>
  <si>
    <t>白求恩剪刀-1/W9050</t>
  </si>
  <si>
    <t>鼻窦咬切钳-1/W6050</t>
  </si>
  <si>
    <t>大力剪-1/拆分W9050</t>
  </si>
  <si>
    <t>复位钳-1/W605050</t>
  </si>
  <si>
    <t>开胸器-1/W6050</t>
  </si>
  <si>
    <t>取石钳-4/W6050</t>
  </si>
  <si>
    <t>胃钳-2/W6050</t>
  </si>
  <si>
    <t>植皮刀架-1/W6050</t>
  </si>
  <si>
    <t>PFNA器械-1/双Z7526</t>
  </si>
  <si>
    <t>测尺-2/Z7526</t>
  </si>
  <si>
    <t>穿刺针（带芯）-2/Z7520</t>
  </si>
  <si>
    <t>钢丝-1/Z1526</t>
  </si>
  <si>
    <t>克氏针1.5-1/Z7530</t>
  </si>
  <si>
    <t>克氏针3.0-  1件/Z7530</t>
  </si>
  <si>
    <t>拉力钉-1/（双）z7526</t>
  </si>
  <si>
    <t>脑膜镊-1/Z7526</t>
  </si>
  <si>
    <t>取瘤镊-1/保Z7530</t>
  </si>
  <si>
    <t>圈套器-1/Z7530</t>
  </si>
  <si>
    <t>髓核钳-1/双Z2032</t>
  </si>
  <si>
    <t>外架配件-1/双Z7534</t>
  </si>
  <si>
    <t>尾帽-1件/双Z7520</t>
  </si>
  <si>
    <t>吸引器-1/Z7534</t>
  </si>
  <si>
    <t>线锯-1/Z1526</t>
  </si>
  <si>
    <t>线锯导板-1/Z7537</t>
  </si>
  <si>
    <t>咬骨钳-1/双Z2032</t>
  </si>
  <si>
    <t>银夹-12/z7520</t>
  </si>
  <si>
    <t>银夹钳-2件/Z1535</t>
  </si>
  <si>
    <t>椎板咬骨钳-1/双型号向外Z2032</t>
  </si>
  <si>
    <t>单极配件-5/保Z2060</t>
  </si>
  <si>
    <t>光导纤维（带线盘）-1/Z3040</t>
  </si>
  <si>
    <t>驱血带管-1/Z2030</t>
  </si>
  <si>
    <t>针状电极-1/Z1045</t>
  </si>
  <si>
    <t>电切镜-12度/z2060</t>
  </si>
  <si>
    <t>3.6空心钉工具包</t>
  </si>
  <si>
    <t>上肢工具包-28件</t>
  </si>
  <si>
    <t>剥离子-1/Z7534</t>
  </si>
  <si>
    <t>点式复位钳-1/W605050</t>
  </si>
  <si>
    <t>骨科租赁器械包-带植入物</t>
  </si>
  <si>
    <t>上肢钉盒（三）</t>
  </si>
  <si>
    <t>骨电钻-3/W705060</t>
  </si>
  <si>
    <t>腹包</t>
  </si>
  <si>
    <t>刮匙-1/Z1035</t>
  </si>
  <si>
    <t>神经钩-1/保/Z7530</t>
  </si>
  <si>
    <t>小碗-2/Z2530</t>
  </si>
  <si>
    <t>方盘-1/W9050</t>
  </si>
  <si>
    <t>穿刺针（低温）-1/Z7526</t>
  </si>
  <si>
    <t>电凝钩，导线-2/Z2060</t>
  </si>
  <si>
    <t>双极钳 双极线-2/Z2060</t>
  </si>
  <si>
    <t>微克夹钳-1/Z2060</t>
  </si>
  <si>
    <t>植皮刀片（低温）-1/Z1026</t>
  </si>
  <si>
    <t>灯罩-1/Z3040</t>
  </si>
  <si>
    <t>艾利斯（组织钳）-2/Z1026</t>
  </si>
  <si>
    <t>开口器-1/Z1026</t>
  </si>
  <si>
    <t>X-镜头-1/双Z2545</t>
  </si>
  <si>
    <t>成像-1/Z3040</t>
  </si>
  <si>
    <t>弹道-1/Z3040</t>
  </si>
  <si>
    <t>冷光源-1/保Z3040</t>
  </si>
  <si>
    <t>肾镜-1/双Z2075</t>
  </si>
  <si>
    <t>输尿管镜钳-1/Z1560</t>
  </si>
  <si>
    <t>双极配件-5/保Z2060</t>
  </si>
  <si>
    <t>腹部包</t>
  </si>
  <si>
    <t>垂体包</t>
  </si>
  <si>
    <t>垂体包-8件</t>
  </si>
  <si>
    <t>指骨（空心钉）</t>
  </si>
  <si>
    <t>指骨(锁定钉)</t>
  </si>
  <si>
    <t>垂体（三）</t>
  </si>
  <si>
    <t>S拉钩大-2/W7050</t>
  </si>
  <si>
    <t>S拉钩小-2/W6050</t>
  </si>
  <si>
    <t>S拉钩中-2/W6050</t>
  </si>
  <si>
    <t>鞍钩-1/W6050</t>
  </si>
  <si>
    <t>导航系统-3/W905060</t>
  </si>
  <si>
    <t>光导纤维-1/Z3040</t>
  </si>
  <si>
    <t>肌钩-2/Z1026</t>
  </si>
  <si>
    <t>30°神外镜头-1件/z2045</t>
  </si>
  <si>
    <t>长颌抓钳-1/Z2060</t>
  </si>
  <si>
    <t>超声刀线（低温）-1/z3040</t>
  </si>
  <si>
    <t>持针器低温-1/Z1560</t>
  </si>
  <si>
    <t>戳卡-1套/Z1530</t>
  </si>
  <si>
    <t>电动止血带-1/Z2030</t>
  </si>
  <si>
    <t>可吸收夹钳-1/Z2035</t>
  </si>
  <si>
    <t>取钉包</t>
  </si>
  <si>
    <t>乳腺包</t>
  </si>
  <si>
    <t>骨膜剥离子（宽）-1/双/Z1026</t>
  </si>
  <si>
    <t>滑槽-1/Z1026</t>
  </si>
  <si>
    <t>蓝钳-1/Z1535</t>
  </si>
  <si>
    <t>蓝钳子（右）-1件/z2035</t>
  </si>
  <si>
    <t>蓝钳子（左）-1件/z2035</t>
  </si>
  <si>
    <t>三通-1/Z1020</t>
  </si>
  <si>
    <t>S拉钩中-1/W6050</t>
  </si>
  <si>
    <t>手刷-1/Z1026</t>
  </si>
  <si>
    <t>关节镜配件-3件/Z2035</t>
  </si>
  <si>
    <t>剖刀线-1/Z3040</t>
  </si>
  <si>
    <t>关节镜-1/z2060</t>
  </si>
  <si>
    <t>潘老师关节镜30度-4/Z2060</t>
  </si>
  <si>
    <t>颅钛网-1/双2032</t>
  </si>
  <si>
    <t>咬骨剪-1/W605050</t>
  </si>
  <si>
    <t>膀胱镜配件-3/Z1545</t>
  </si>
  <si>
    <t>膀胱镜-30度/z2060</t>
  </si>
  <si>
    <t>手科包</t>
  </si>
  <si>
    <t>咬钉剪-1/W605050</t>
  </si>
  <si>
    <t>举宫杯中-1/z1526</t>
  </si>
  <si>
    <t>碗2/z3032</t>
  </si>
  <si>
    <t>举宫器-1/Z1545</t>
  </si>
  <si>
    <t>X-冲洗球-2/Z2035</t>
  </si>
  <si>
    <t>X-双极配件-5/保Z2060</t>
  </si>
  <si>
    <t>三孔抓钳-1/Z2060</t>
  </si>
  <si>
    <t>造瘘器-22号-4/Z2045</t>
  </si>
  <si>
    <t>电切镜25度/z2060</t>
  </si>
  <si>
    <t>骨膜剥离子（窄）-1/双/Z1026</t>
  </si>
  <si>
    <t>克氏针-1/Z7530</t>
  </si>
  <si>
    <t>骨电钻-2件/W7050</t>
  </si>
  <si>
    <t>转换器-1/z1026</t>
  </si>
  <si>
    <t>导航球-6/Z7520</t>
  </si>
  <si>
    <t>点式复位钳-2/保W6050</t>
  </si>
  <si>
    <t>钻孔包</t>
  </si>
  <si>
    <t>单极线-1/Z3040</t>
  </si>
  <si>
    <t>电凝钩-1/Z7550</t>
  </si>
  <si>
    <t>膝关节镜器械</t>
  </si>
  <si>
    <t>交换棒-1件z7530</t>
  </si>
  <si>
    <t>手摇钻-5/W7050</t>
  </si>
  <si>
    <t>腹膜钳-2/Z1535</t>
  </si>
  <si>
    <t>X配件-5件/Z3040</t>
  </si>
  <si>
    <t>连接管1  冲洗球1/Z2035</t>
  </si>
  <si>
    <t>造瘘器-24号-4件/Z2045</t>
  </si>
  <si>
    <t>磨钻头-1/Z7526</t>
  </si>
  <si>
    <t>铣刀头-1/7520</t>
  </si>
  <si>
    <t>骨科显微器械-12件</t>
  </si>
  <si>
    <t>置换包</t>
  </si>
  <si>
    <t>X-电切环-1/Z1045</t>
  </si>
  <si>
    <t>光导-1成像-1/Z3040</t>
  </si>
  <si>
    <t>关节镜配件-2件/Z2035</t>
  </si>
  <si>
    <t>肩关节镜器械</t>
  </si>
  <si>
    <t>补钉-1件/双Z7520</t>
  </si>
  <si>
    <t>冲洗瓶-1/Z2535</t>
  </si>
  <si>
    <t>光纤-1（带线盘）/Z3040</t>
  </si>
  <si>
    <t>双极配件-4/Z2060</t>
  </si>
  <si>
    <t>骨折复位器械包</t>
  </si>
  <si>
    <t>颈椎包</t>
  </si>
  <si>
    <t>腰椎间盘包</t>
  </si>
  <si>
    <t>举宫杯大-1/z1526</t>
  </si>
  <si>
    <t>举宫杯小-1/z1526</t>
  </si>
  <si>
    <t>举宫器-3件/Z1545</t>
  </si>
  <si>
    <t>腹腔镜气腹针-1/Z1030</t>
  </si>
  <si>
    <t>导航系统-4件盒1/W1205060</t>
  </si>
  <si>
    <t>肠钳-1/Z2060</t>
  </si>
  <si>
    <t>直角钳（低温）-1/Z2060</t>
  </si>
  <si>
    <t>转换器（低温）-1/Z1026</t>
  </si>
  <si>
    <t>物理诊断科</t>
  </si>
  <si>
    <t>穿刺架-1/Z1029</t>
  </si>
  <si>
    <t>消化科</t>
  </si>
  <si>
    <t>心内二</t>
  </si>
  <si>
    <t>心内四</t>
  </si>
  <si>
    <t>眼科手术室</t>
  </si>
  <si>
    <t>眼科缝合包-6件/w6050</t>
  </si>
  <si>
    <t>超乳手柄（黑）-3(高温)/W6050</t>
  </si>
  <si>
    <t>助推器-2/w6050</t>
  </si>
  <si>
    <t>超乳管道（高温）/Z3040</t>
  </si>
  <si>
    <t>显微镜套（颜色一致）-10/Z2025</t>
  </si>
  <si>
    <t>白内障手术包（黑）</t>
  </si>
  <si>
    <t>白内障总盒（三）</t>
  </si>
  <si>
    <t>白内障手术包</t>
  </si>
  <si>
    <t>霰粒肿手术包</t>
  </si>
  <si>
    <t>影像科</t>
  </si>
  <si>
    <t>中医科</t>
  </si>
  <si>
    <t>镊子-1/z7534</t>
  </si>
  <si>
    <t>周围血管病</t>
  </si>
  <si>
    <t>骨刮匙（双头）-1/Z7530</t>
  </si>
  <si>
    <t>探针-1/Z7537</t>
  </si>
  <si>
    <t>蚊式1剪刀1/Z1026</t>
  </si>
  <si>
    <t>蚊式1剪刀1镊子1/Z1535</t>
  </si>
  <si>
    <t>蚊式骨刮匙-2件/Z1026</t>
  </si>
  <si>
    <t>鹰嘴钳-1/Z1026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</si>
  <si>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</si>
  <si>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</si>
  <si>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</si>
  <si>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</si>
  <si>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</si>
  <si>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合计</t>
  </si>
  <si>
    <t>黑龙江三铭医疗器械有限公司</t>
  </si>
  <si>
    <t>额外包</t>
  </si>
  <si>
    <t>镜头-5/Z2060</t>
  </si>
  <si>
    <t>组件-1/Z3040</t>
  </si>
  <si>
    <t>镜头-7/W9050</t>
  </si>
  <si>
    <t>组件-1/Z1526</t>
  </si>
  <si>
    <t>组件-3/W7050</t>
  </si>
  <si>
    <t>骨科租赁器械包</t>
  </si>
  <si>
    <t>王秀华-右肩袖损伤1/1</t>
  </si>
  <si>
    <t>孙秀艳-右肩袖损伤1/1</t>
  </si>
  <si>
    <t>李彤-右膝半月板损伤1/2</t>
  </si>
  <si>
    <t>李彤-右膝半月板损伤2/2</t>
  </si>
  <si>
    <t>组件-1/1026</t>
  </si>
  <si>
    <t>王秀娟-左膝半月板损伤1/2</t>
  </si>
  <si>
    <t>王秀娟-左膝半月板损伤2/2</t>
  </si>
  <si>
    <t>常贺齐-左膝半月板损伤1/2</t>
  </si>
  <si>
    <t>常贺齐-左膝半月板损伤2/2</t>
  </si>
  <si>
    <t>李志国-右肩袖损伤1/1</t>
  </si>
  <si>
    <t>镜头-4/Z2060</t>
  </si>
  <si>
    <t>镜头-6/W9050</t>
  </si>
  <si>
    <t>黑龙江省亮展科技有限公司</t>
  </si>
  <si>
    <t>松北省二院</t>
  </si>
  <si>
    <t>孙桂琴-尺骨鹰嘴骨折  1/2</t>
  </si>
  <si>
    <t>孙桂琴-尺骨鹰嘴骨折  2/2</t>
  </si>
  <si>
    <t>黑龙江省第二医院2026年6月1-2026年6月30日加急灭菌费总计金额4413.5元。</t>
  </si>
  <si>
    <t>黑龙江省第二医院2026年6月2日加急灭菌费307.3+307.3*30%=399.49元.</t>
  </si>
  <si>
    <t>黑龙江省第二医院2026年6月4日加急灭菌费121.1+121.1*30%=157.43元.</t>
  </si>
  <si>
    <t>黑龙江省第二医院2026年6月8日加急灭菌费529.9+529.9*30%=688.87元.</t>
  </si>
  <si>
    <t>黑龙江省第二医院2026年6月9日加急灭菌费61.6+61.6*30%=80.08元.</t>
  </si>
  <si>
    <t>黑龙江省第二医院2026年6月16日加急灭菌费514.5+514.5*30%=668.85元.</t>
  </si>
  <si>
    <t>黑龙江省第二医院2026年6月18日加急灭菌费355.6+355.6*30%=462.28元.</t>
  </si>
  <si>
    <t>电切镜配件-4/Z2045</t>
  </si>
  <si>
    <t>电切镜配件-5/Z2045</t>
  </si>
  <si>
    <t>黑龙江省第二医院2026年6月24日加急灭菌费1505+1505*30%=1956.5元.</t>
  </si>
  <si>
    <t>艾丽斯-2件/Z1526</t>
  </si>
  <si>
    <t>电动马达-3件/W6050</t>
  </si>
  <si>
    <t>电动子宫切除器配件-7件/Z2545</t>
  </si>
  <si>
    <t>子宫抓钳-1/Z2060</t>
  </si>
  <si>
    <t>潘老师关节镜30度-3/Z2060</t>
  </si>
  <si>
    <t>黑龙江省第二医院2026年6月1-2026年6月30日外来器械加急灭菌费总计金额2558.27元。</t>
  </si>
  <si>
    <t>黑龙江省第二医院2026年6月9日外来器械加急灭菌费1131.9+1131.9*30%=1471.47元.</t>
  </si>
  <si>
    <t>王志华-右肩袖损伤1/1</t>
  </si>
  <si>
    <t>荣宪伟-左肩袖损伤1/1</t>
  </si>
  <si>
    <t>文雪-右肩袖损伤1/1</t>
  </si>
  <si>
    <t>孙玉梅-右膝前交叉韧带断裂1/1</t>
  </si>
  <si>
    <t>黑龙江省第二医院2026年6月22日外来器械加急灭菌费836+836*30%=1086.8元.</t>
  </si>
  <si>
    <t>张海芹-骨性关节炎  1/7</t>
  </si>
  <si>
    <t>张海芹-骨性关节炎  2/7</t>
  </si>
  <si>
    <t>张海芹-骨性关节炎  3/7</t>
  </si>
  <si>
    <t>张海芹-骨性关节炎  4/7</t>
  </si>
  <si>
    <t>张海芹-骨性关节炎  5/7</t>
  </si>
  <si>
    <t>张海芹-骨性关节炎  6/7</t>
  </si>
  <si>
    <t>张海芹-骨性关节炎  7/7</t>
  </si>
  <si>
    <t>松北省二院2026年5月非常规时段及异常物流明细汇总</t>
  </si>
  <si>
    <t>序号</t>
  </si>
  <si>
    <t>日期</t>
  </si>
  <si>
    <t>当日次数</t>
  </si>
  <si>
    <t>物流单价（元）</t>
  </si>
  <si>
    <t>合计（元）</t>
  </si>
  <si>
    <t>备注</t>
  </si>
  <si>
    <t>黑龙江省铂康医疗灭菌有限公司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</si>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</sst>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yyyy&quot;年&quot;m&quot;月&quot;d&quot;日&quot;;@"/>
    <numFmt numFmtId="179" formatCode="[DBNum2][$RMB]General;[Red][DBNum2][$RMB]General"/>
    <numFmt numFmtId="180" formatCode="[$-10804]0.00;\(0.00\)"/>
    <numFmt numFmtId="181" formatCode="[$-10804]yyyy/m/d"/>
    <numFmt numFmtId="182" formatCode="0.00;[Red]0.00"/>
  </numFmts>
  <fonts count="4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name val="宋体"/>
      <charset val="134"/>
      <scheme val="major"/>
    </font>
    <font>
      <b/>
      <sz val="12"/>
      <name val="宋体"/>
      <charset val="134"/>
      <scheme val="minor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0"/>
      <name val="宋体"/>
      <charset val="134"/>
    </font>
    <font>
      <sz val="1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7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5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1" fillId="9" borderId="15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40" fillId="0" borderId="0"/>
  </cellStyleXfs>
  <cellXfs count="83">
    <xf numFmtId="0" fontId="0" fillId="0" borderId="0" xfId="0" applyFont="1" applyFill="1" applyBorder="1" applyAlignment="1"/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176" fontId="3" fillId="2" borderId="2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3" fillId="3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left" vertical="top" wrapText="1" readingOrder="1"/>
    </xf>
    <xf numFmtId="0" fontId="3" fillId="4" borderId="2" xfId="49" applyNumberFormat="1" applyFont="1" applyFill="1" applyBorder="1" applyAlignment="1">
      <alignment vertical="top" wrapText="1" readingOrder="1"/>
    </xf>
    <xf numFmtId="176" fontId="3" fillId="4" borderId="2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7" fontId="3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6" fontId="3" fillId="0" borderId="3" xfId="49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/>
    <xf numFmtId="14" fontId="9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179" fontId="9" fillId="0" borderId="4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31" fontId="12" fillId="0" borderId="0" xfId="0" applyNumberFormat="1" applyFont="1" applyFill="1" applyAlignment="1">
      <alignment horizontal="right" vertical="center"/>
    </xf>
    <xf numFmtId="31" fontId="12" fillId="0" borderId="0" xfId="0" applyNumberFormat="1" applyFont="1" applyFill="1" applyAlignment="1">
      <alignment horizontal="center" vertical="center"/>
    </xf>
    <xf numFmtId="0" fontId="0" fillId="0" borderId="0" xfId="49" applyFont="1" applyFill="1" applyBorder="1" applyAlignment="1"/>
    <xf numFmtId="0" fontId="13" fillId="0" borderId="0" xfId="0" applyNumberFormat="1" applyFont="1" applyFill="1" applyAlignment="1">
      <alignment horizontal="center" vertical="center" wrapText="1" readingOrder="1"/>
    </xf>
    <xf numFmtId="0" fontId="14" fillId="0" borderId="0" xfId="0" applyFont="1" applyFill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15" fillId="2" borderId="2" xfId="49" applyNumberFormat="1" applyFont="1" applyFill="1" applyBorder="1" applyAlignment="1">
      <alignment vertical="top" wrapText="1" readingOrder="1"/>
    </xf>
    <xf numFmtId="0" fontId="16" fillId="2" borderId="2" xfId="49" applyNumberFormat="1" applyFont="1" applyFill="1" applyBorder="1" applyAlignment="1">
      <alignment horizontal="center" vertical="top" wrapText="1" readingOrder="1"/>
    </xf>
    <xf numFmtId="180" fontId="16" fillId="2" borderId="2" xfId="49" applyNumberFormat="1" applyFont="1" applyFill="1" applyBorder="1" applyAlignment="1">
      <alignment vertical="top" wrapText="1" readingOrder="1"/>
    </xf>
    <xf numFmtId="181" fontId="3" fillId="0" borderId="3" xfId="49" applyNumberFormat="1" applyFont="1" applyFill="1" applyBorder="1" applyAlignment="1">
      <alignment horizontal="left" vertical="top" wrapText="1" readingOrder="1"/>
    </xf>
    <xf numFmtId="0" fontId="17" fillId="0" borderId="3" xfId="49" applyNumberFormat="1" applyFont="1" applyFill="1" applyBorder="1" applyAlignment="1">
      <alignment horizontal="center" vertical="top" wrapText="1" readingOrder="1"/>
    </xf>
    <xf numFmtId="180" fontId="17" fillId="0" borderId="3" xfId="49" applyNumberFormat="1" applyFont="1" applyFill="1" applyBorder="1" applyAlignment="1">
      <alignment vertical="top" wrapText="1" readingOrder="1"/>
    </xf>
    <xf numFmtId="181" fontId="6" fillId="0" borderId="5" xfId="49" applyNumberFormat="1" applyFont="1" applyFill="1" applyBorder="1" applyAlignment="1">
      <alignment horizontal="center" vertical="top" wrapText="1" readingOrder="1"/>
    </xf>
    <xf numFmtId="181" fontId="3" fillId="0" borderId="6" xfId="49" applyNumberFormat="1" applyFont="1" applyFill="1" applyBorder="1" applyAlignment="1">
      <alignment horizontal="center" vertical="top" wrapText="1" readingOrder="1"/>
    </xf>
    <xf numFmtId="181" fontId="3" fillId="0" borderId="7" xfId="49" applyNumberFormat="1" applyFont="1" applyFill="1" applyBorder="1" applyAlignment="1">
      <alignment horizontal="center" vertical="top" wrapText="1" readingOrder="1"/>
    </xf>
    <xf numFmtId="0" fontId="18" fillId="2" borderId="2" xfId="49" applyNumberFormat="1" applyFont="1" applyFill="1" applyBorder="1" applyAlignment="1">
      <alignment vertical="top" wrapText="1" readingOrder="1"/>
    </xf>
    <xf numFmtId="182" fontId="0" fillId="0" borderId="0" xfId="0" applyNumberFormat="1" applyFont="1" applyFill="1" applyBorder="1" applyAlignment="1"/>
    <xf numFmtId="0" fontId="13" fillId="0" borderId="0" xfId="0" applyNumberFormat="1" applyFont="1" applyFill="1" applyBorder="1" applyAlignment="1">
      <alignment horizontal="center" vertical="center" wrapText="1" readingOrder="1"/>
    </xf>
    <xf numFmtId="0" fontId="14" fillId="0" borderId="0" xfId="0" applyFont="1" applyFill="1" applyBorder="1" applyAlignment="1">
      <alignment horizontal="center" vertical="center" wrapText="1"/>
    </xf>
    <xf numFmtId="182" fontId="0" fillId="6" borderId="0" xfId="0" applyNumberFormat="1" applyFont="1" applyFill="1" applyBorder="1" applyAlignment="1"/>
    <xf numFmtId="0" fontId="3" fillId="0" borderId="4" xfId="0" applyNumberFormat="1" applyFont="1" applyFill="1" applyBorder="1" applyAlignment="1">
      <alignment horizontal="center" vertical="top" wrapText="1" readingOrder="1"/>
    </xf>
    <xf numFmtId="0" fontId="19" fillId="0" borderId="4" xfId="0" applyNumberFormat="1" applyFont="1" applyFill="1" applyBorder="1" applyAlignment="1">
      <alignment horizontal="center" vertical="top" wrapText="1" readingOrder="1"/>
    </xf>
    <xf numFmtId="181" fontId="3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vertical="top" wrapText="1" readingOrder="1"/>
    </xf>
    <xf numFmtId="0" fontId="20" fillId="0" borderId="4" xfId="0" applyNumberFormat="1" applyFont="1" applyFill="1" applyBorder="1" applyAlignment="1">
      <alignment horizontal="center" vertical="top" wrapText="1" readingOrder="1"/>
    </xf>
    <xf numFmtId="180" fontId="3" fillId="0" borderId="4" xfId="0" applyNumberFormat="1" applyFont="1" applyFill="1" applyBorder="1" applyAlignment="1">
      <alignment horizontal="center" vertical="top" wrapText="1" readingOrder="1"/>
    </xf>
    <xf numFmtId="0" fontId="0" fillId="0" borderId="8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17" fillId="3" borderId="2" xfId="49" applyNumberFormat="1" applyFont="1" applyFill="1" applyBorder="1" applyAlignment="1">
      <alignment horizontal="center" vertical="top" wrapText="1" readingOrder="1"/>
    </xf>
    <xf numFmtId="180" fontId="17" fillId="3" borderId="2" xfId="49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1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80" fontId="5" fillId="3" borderId="3" xfId="0" applyNumberFormat="1" applyFont="1" applyFill="1" applyBorder="1" applyAlignment="1">
      <alignment horizontal="center" vertical="top" wrapText="1" readingOrder="1"/>
    </xf>
    <xf numFmtId="181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80" fontId="3" fillId="0" borderId="3" xfId="0" applyNumberFormat="1" applyFont="1" applyFill="1" applyBorder="1" applyAlignment="1">
      <alignment horizontal="center" vertical="top" wrapText="1" readingOrder="1"/>
    </xf>
    <xf numFmtId="0" fontId="20" fillId="0" borderId="3" xfId="0" applyNumberFormat="1" applyFont="1" applyFill="1" applyBorder="1" applyAlignment="1">
      <alignment horizontal="center" vertical="top" wrapText="1" readingOrder="1"/>
    </xf>
    <xf numFmtId="0" fontId="18" fillId="2" borderId="3" xfId="0" applyNumberFormat="1" applyFont="1" applyFill="1" applyBorder="1" applyAlignment="1">
      <alignment vertical="top" wrapText="1" readingOrder="1"/>
    </xf>
    <xf numFmtId="0" fontId="15" fillId="2" borderId="3" xfId="0" applyNumberFormat="1" applyFont="1" applyFill="1" applyBorder="1" applyAlignment="1">
      <alignment horizontal="center" vertical="top" wrapText="1" readingOrder="1"/>
    </xf>
    <xf numFmtId="180" fontId="15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47625</xdr:rowOff>
    </xdr:from>
    <xdr:to>
      <xdr:col>10</xdr:col>
      <xdr:colOff>824313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95250</xdr:rowOff>
    </xdr:from>
    <xdr:to>
      <xdr:col>10</xdr:col>
      <xdr:colOff>757638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19050</xdr:rowOff>
    </xdr:from>
    <xdr:to>
      <xdr:col>10</xdr:col>
      <xdr:colOff>805263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0</xdr:row>
      <xdr:rowOff>104775</xdr:rowOff>
    </xdr:from>
    <xdr:to>
      <xdr:col>10</xdr:col>
      <xdr:colOff>852888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595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152400</xdr:rowOff>
    </xdr:from>
    <xdr:to>
      <xdr:col>10</xdr:col>
      <xdr:colOff>795738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38100</xdr:rowOff>
    </xdr:from>
    <xdr:to>
      <xdr:col>10</xdr:col>
      <xdr:colOff>767163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9525</xdr:rowOff>
    </xdr:from>
    <xdr:to>
      <xdr:col>10</xdr:col>
      <xdr:colOff>614763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82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142875</xdr:rowOff>
    </xdr:from>
    <xdr:to>
      <xdr:col>10</xdr:col>
      <xdr:colOff>690963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1</xdr:row>
      <xdr:rowOff>9525</xdr:rowOff>
    </xdr:from>
    <xdr:to>
      <xdr:col>10</xdr:col>
      <xdr:colOff>643338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64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161925</xdr:rowOff>
    </xdr:from>
    <xdr:to>
      <xdr:col>10</xdr:col>
      <xdr:colOff>729063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28575</xdr:rowOff>
    </xdr:from>
    <xdr:to>
      <xdr:col>10</xdr:col>
      <xdr:colOff>824313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114300</xdr:colOff>
      <xdr:row>1</xdr:row>
      <xdr:rowOff>104775</xdr:rowOff>
    </xdr:from>
    <xdr:to>
      <xdr:col>10</xdr:col>
      <xdr:colOff>624288</xdr:colOff>
      <xdr:row>4</xdr:row>
      <xdr:rowOff>102235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7845" y="27622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9525</xdr:rowOff>
    </xdr:from>
    <xdr:to>
      <xdr:col>10</xdr:col>
      <xdr:colOff>786213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133350</xdr:rowOff>
    </xdr:from>
    <xdr:to>
      <xdr:col>10</xdr:col>
      <xdr:colOff>681438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657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28575</xdr:rowOff>
    </xdr:from>
    <xdr:to>
      <xdr:col>10</xdr:col>
      <xdr:colOff>776688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28575</xdr:rowOff>
    </xdr:from>
    <xdr:to>
      <xdr:col>10</xdr:col>
      <xdr:colOff>671913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28575</xdr:rowOff>
    </xdr:from>
    <xdr:to>
      <xdr:col>10</xdr:col>
      <xdr:colOff>814788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9525</xdr:rowOff>
    </xdr:from>
    <xdr:to>
      <xdr:col>10</xdr:col>
      <xdr:colOff>719538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152400</xdr:rowOff>
    </xdr:from>
    <xdr:to>
      <xdr:col>10</xdr:col>
      <xdr:colOff>786213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57150</xdr:rowOff>
    </xdr:from>
    <xdr:to>
      <xdr:col>10</xdr:col>
      <xdr:colOff>719538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142875</xdr:rowOff>
    </xdr:from>
    <xdr:to>
      <xdr:col>10</xdr:col>
      <xdr:colOff>776688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57150</xdr:rowOff>
    </xdr:from>
    <xdr:to>
      <xdr:col>10</xdr:col>
      <xdr:colOff>767163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28575</xdr:rowOff>
    </xdr:from>
    <xdr:to>
      <xdr:col>10</xdr:col>
      <xdr:colOff>729063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19050</xdr:rowOff>
    </xdr:from>
    <xdr:to>
      <xdr:col>10</xdr:col>
      <xdr:colOff>719538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80010</xdr:colOff>
      <xdr:row>0</xdr:row>
      <xdr:rowOff>152400</xdr:rowOff>
    </xdr:from>
    <xdr:to>
      <xdr:col>11</xdr:col>
      <xdr:colOff>589998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2169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304800</xdr:colOff>
      <xdr:row>0</xdr:row>
      <xdr:rowOff>29210</xdr:rowOff>
    </xdr:from>
    <xdr:to>
      <xdr:col>9</xdr:col>
      <xdr:colOff>814788</xdr:colOff>
      <xdr:row>3</xdr:row>
      <xdr:rowOff>19685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34885" y="29210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P27" sqref="O27:P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65" t="s">
        <v>0</v>
      </c>
    </row>
    <row r="2" ht="23.05" customHeight="1"/>
    <row r="3" ht="2" customHeight="1"/>
    <row r="4" ht="15.2" customHeight="1" spans="2:11">
      <c r="B4" s="66" t="s">
        <v>1</v>
      </c>
    </row>
    <row r="6" ht="2.95" customHeight="1"/>
    <row r="7" ht="3.95" customHeight="1" spans="2:11">
      <c r="B7" s="68" t="s">
        <v>2</v>
      </c>
      <c r="C7" s="68" t="s">
        <v>2</v>
      </c>
      <c r="D7" s="68" t="s">
        <v>2</v>
      </c>
      <c r="E7" s="68" t="s">
        <v>2</v>
      </c>
      <c r="F7" s="68" t="s">
        <v>2</v>
      </c>
      <c r="G7" s="68" t="s">
        <v>2</v>
      </c>
      <c r="H7" s="68" t="s">
        <v>2</v>
      </c>
      <c r="I7" s="68" t="s">
        <v>2</v>
      </c>
      <c r="J7" s="68" t="s">
        <v>2</v>
      </c>
      <c r="K7" s="68" t="s">
        <v>2</v>
      </c>
    </row>
    <row r="8" ht="15" spans="2:11">
      <c r="C8" s="67" t="s">
        <v>2</v>
      </c>
      <c r="D8" s="80" t="s">
        <v>3</v>
      </c>
      <c r="E8" s="72" t="s">
        <v>2</v>
      </c>
      <c r="F8" s="72" t="s">
        <v>2</v>
      </c>
      <c r="G8" s="72" t="s">
        <v>2</v>
      </c>
      <c r="H8" s="72" t="s">
        <v>2</v>
      </c>
      <c r="I8" s="81"/>
      <c r="J8" s="82"/>
      <c r="K8" s="82"/>
    </row>
    <row r="9" spans="2:11">
      <c r="C9" s="67" t="s">
        <v>2</v>
      </c>
      <c r="D9" s="77" t="s">
        <v>4</v>
      </c>
      <c r="E9" s="77" t="s">
        <v>5</v>
      </c>
      <c r="F9" s="77" t="s">
        <v>6</v>
      </c>
      <c r="G9" s="77" t="s">
        <v>7</v>
      </c>
      <c r="H9" s="77" t="s">
        <v>8</v>
      </c>
      <c r="I9" s="77" t="s">
        <v>9</v>
      </c>
      <c r="J9" s="77" t="s">
        <v>10</v>
      </c>
      <c r="K9" s="77" t="s">
        <v>11</v>
      </c>
    </row>
    <row r="10" ht="14.25" spans="2:11">
      <c r="D10" s="71" t="s">
        <v>12</v>
      </c>
      <c r="E10" s="72" t="s">
        <v>2</v>
      </c>
      <c r="F10" s="72" t="s">
        <v>2</v>
      </c>
      <c r="G10" s="72" t="s">
        <v>2</v>
      </c>
      <c r="H10" s="72" t="s">
        <v>2</v>
      </c>
      <c r="I10" s="73">
        <v>5</v>
      </c>
      <c r="J10" s="74"/>
      <c r="K10" s="74">
        <v>65.8</v>
      </c>
    </row>
    <row r="11" spans="2:11">
      <c r="D11" s="75">
        <v>46185</v>
      </c>
      <c r="E11" s="76">
        <v>1611631</v>
      </c>
      <c r="F11" s="76" t="s">
        <v>13</v>
      </c>
      <c r="G11" s="77">
        <v>20405396</v>
      </c>
      <c r="H11" s="76" t="s">
        <v>14</v>
      </c>
      <c r="I11" s="77">
        <v>2</v>
      </c>
      <c r="J11" s="78">
        <v>24.5</v>
      </c>
      <c r="K11" s="78">
        <v>49</v>
      </c>
    </row>
    <row r="12" spans="2:11">
      <c r="D12" s="75">
        <v>46198</v>
      </c>
      <c r="E12" s="76">
        <v>1615197</v>
      </c>
      <c r="F12" s="76" t="s">
        <v>15</v>
      </c>
      <c r="G12" s="77">
        <v>20011204</v>
      </c>
      <c r="H12" s="76" t="s">
        <v>16</v>
      </c>
      <c r="I12" s="77">
        <v>1</v>
      </c>
      <c r="J12" s="78">
        <v>5.6</v>
      </c>
      <c r="K12" s="78">
        <v>5.6</v>
      </c>
    </row>
    <row r="13" spans="2:11">
      <c r="D13" s="75">
        <v>46198</v>
      </c>
      <c r="E13" s="76">
        <v>1615197</v>
      </c>
      <c r="F13" s="76" t="s">
        <v>15</v>
      </c>
      <c r="G13" s="77">
        <v>20008322</v>
      </c>
      <c r="H13" s="76" t="s">
        <v>17</v>
      </c>
      <c r="I13" s="77">
        <v>1</v>
      </c>
      <c r="J13" s="78">
        <v>5.6</v>
      </c>
      <c r="K13" s="78">
        <v>5.6</v>
      </c>
    </row>
    <row r="14" spans="2:11">
      <c r="D14" s="75">
        <v>46198</v>
      </c>
      <c r="E14" s="76">
        <v>1615197</v>
      </c>
      <c r="F14" s="76" t="s">
        <v>15</v>
      </c>
      <c r="G14" s="77">
        <v>20014828</v>
      </c>
      <c r="H14" s="76" t="s">
        <v>18</v>
      </c>
      <c r="I14" s="77">
        <v>1</v>
      </c>
      <c r="J14" s="78">
        <v>5.6</v>
      </c>
      <c r="K14" s="78">
        <v>5.6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O15" sqref="O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19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17</v>
      </c>
      <c r="J8" s="74"/>
      <c r="K8" s="74">
        <v>163.1</v>
      </c>
    </row>
    <row r="9" spans="1:11">
      <c r="D9" s="75">
        <v>46177</v>
      </c>
      <c r="E9" s="76">
        <v>1609349</v>
      </c>
      <c r="F9" s="76" t="s">
        <v>20</v>
      </c>
      <c r="G9" s="77">
        <v>20009141</v>
      </c>
      <c r="H9" s="76" t="s">
        <v>21</v>
      </c>
      <c r="I9" s="77">
        <v>1</v>
      </c>
      <c r="J9" s="78">
        <v>11.55</v>
      </c>
      <c r="K9" s="78">
        <v>11.55</v>
      </c>
    </row>
    <row r="10" spans="1:11">
      <c r="D10" s="75">
        <v>46177</v>
      </c>
      <c r="E10" s="76">
        <v>1609349</v>
      </c>
      <c r="F10" s="76" t="s">
        <v>15</v>
      </c>
      <c r="G10" s="77">
        <v>20312319</v>
      </c>
      <c r="H10" s="76" t="s">
        <v>22</v>
      </c>
      <c r="I10" s="77">
        <v>1</v>
      </c>
      <c r="J10" s="78">
        <v>5.6</v>
      </c>
      <c r="K10" s="78">
        <v>5.6</v>
      </c>
    </row>
    <row r="11" spans="1:11">
      <c r="D11" s="75">
        <v>46177</v>
      </c>
      <c r="E11" s="76">
        <v>1609349</v>
      </c>
      <c r="F11" s="76" t="s">
        <v>15</v>
      </c>
      <c r="G11" s="77">
        <v>20008322</v>
      </c>
      <c r="H11" s="76" t="s">
        <v>17</v>
      </c>
      <c r="I11" s="77">
        <v>3</v>
      </c>
      <c r="J11" s="78">
        <v>5.6</v>
      </c>
      <c r="K11" s="78">
        <v>16.8</v>
      </c>
    </row>
    <row r="12" spans="1:11">
      <c r="D12" s="75">
        <v>46177</v>
      </c>
      <c r="E12" s="76">
        <v>1609349</v>
      </c>
      <c r="F12" s="76" t="s">
        <v>15</v>
      </c>
      <c r="G12" s="77">
        <v>20321383</v>
      </c>
      <c r="H12" s="76" t="s">
        <v>23</v>
      </c>
      <c r="I12" s="77">
        <v>2</v>
      </c>
      <c r="J12" s="78">
        <v>5.6</v>
      </c>
      <c r="K12" s="78">
        <v>11.2</v>
      </c>
    </row>
    <row r="13" spans="1:11">
      <c r="D13" s="75">
        <v>46177</v>
      </c>
      <c r="E13" s="76">
        <v>1609349</v>
      </c>
      <c r="F13" s="76" t="s">
        <v>15</v>
      </c>
      <c r="G13" s="77">
        <v>20357510</v>
      </c>
      <c r="H13" s="76" t="s">
        <v>24</v>
      </c>
      <c r="I13" s="77">
        <v>3</v>
      </c>
      <c r="J13" s="78">
        <v>5.6</v>
      </c>
      <c r="K13" s="78">
        <v>16.8</v>
      </c>
    </row>
    <row r="14" spans="1:11">
      <c r="D14" s="75">
        <v>46177</v>
      </c>
      <c r="E14" s="76">
        <v>1609349</v>
      </c>
      <c r="F14" s="76" t="s">
        <v>15</v>
      </c>
      <c r="G14" s="77">
        <v>20014828</v>
      </c>
      <c r="H14" s="76" t="s">
        <v>18</v>
      </c>
      <c r="I14" s="77">
        <v>3</v>
      </c>
      <c r="J14" s="78">
        <v>5.6</v>
      </c>
      <c r="K14" s="78">
        <v>16.8</v>
      </c>
    </row>
    <row r="15" spans="1:11">
      <c r="D15" s="75">
        <v>46177</v>
      </c>
      <c r="E15" s="76">
        <v>1609349</v>
      </c>
      <c r="F15" s="76" t="s">
        <v>25</v>
      </c>
      <c r="G15" s="77">
        <v>20012647</v>
      </c>
      <c r="H15" s="76" t="s">
        <v>26</v>
      </c>
      <c r="I15" s="77">
        <v>1</v>
      </c>
      <c r="J15" s="78">
        <v>57.75</v>
      </c>
      <c r="K15" s="78">
        <v>57.75</v>
      </c>
    </row>
    <row r="16" spans="1:11">
      <c r="D16" s="75">
        <v>46177</v>
      </c>
      <c r="E16" s="76">
        <v>1609349</v>
      </c>
      <c r="F16" s="76" t="s">
        <v>27</v>
      </c>
      <c r="G16" s="77">
        <v>20008815</v>
      </c>
      <c r="H16" s="76" t="s">
        <v>28</v>
      </c>
      <c r="I16" s="77">
        <v>1</v>
      </c>
      <c r="J16" s="78">
        <v>15.4</v>
      </c>
      <c r="K16" s="78">
        <v>15.4</v>
      </c>
    </row>
    <row r="17" spans="4:11">
      <c r="D17" s="75">
        <v>46196</v>
      </c>
      <c r="E17" s="76">
        <v>1614395</v>
      </c>
      <c r="F17" s="76" t="s">
        <v>15</v>
      </c>
      <c r="G17" s="77">
        <v>20008322</v>
      </c>
      <c r="H17" s="76" t="s">
        <v>17</v>
      </c>
      <c r="I17" s="77">
        <v>1</v>
      </c>
      <c r="J17" s="78">
        <v>5.6</v>
      </c>
      <c r="K17" s="78">
        <v>5.6</v>
      </c>
    </row>
    <row r="18" spans="4:11">
      <c r="D18" s="75">
        <v>46196</v>
      </c>
      <c r="E18" s="76">
        <v>1614395</v>
      </c>
      <c r="F18" s="76" t="s">
        <v>15</v>
      </c>
      <c r="G18" s="77">
        <v>20014828</v>
      </c>
      <c r="H18" s="76" t="s">
        <v>18</v>
      </c>
      <c r="I18" s="77">
        <v>1</v>
      </c>
      <c r="J18" s="78">
        <v>5.6</v>
      </c>
      <c r="K18" s="78">
        <v>5.6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N20" sqref="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29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31</v>
      </c>
      <c r="J8" s="74"/>
      <c r="K8" s="74">
        <v>173.6</v>
      </c>
    </row>
    <row r="9" spans="1:11">
      <c r="D9" s="75">
        <v>46190</v>
      </c>
      <c r="E9" s="76">
        <v>1613131</v>
      </c>
      <c r="F9" s="76" t="s">
        <v>15</v>
      </c>
      <c r="G9" s="77">
        <v>20008409</v>
      </c>
      <c r="H9" s="76" t="s">
        <v>30</v>
      </c>
      <c r="I9" s="77">
        <v>3</v>
      </c>
      <c r="J9" s="78">
        <v>5.6</v>
      </c>
      <c r="K9" s="78">
        <v>16.8</v>
      </c>
    </row>
    <row r="10" spans="1:11">
      <c r="D10" s="75">
        <v>46190</v>
      </c>
      <c r="E10" s="76">
        <v>1613131</v>
      </c>
      <c r="F10" s="76" t="s">
        <v>15</v>
      </c>
      <c r="G10" s="77">
        <v>20008816</v>
      </c>
      <c r="H10" s="76" t="s">
        <v>31</v>
      </c>
      <c r="I10" s="77">
        <v>11</v>
      </c>
      <c r="J10" s="78">
        <v>5.6</v>
      </c>
      <c r="K10" s="78">
        <v>61.6</v>
      </c>
    </row>
    <row r="11" spans="1:11">
      <c r="D11" s="75">
        <v>46190</v>
      </c>
      <c r="E11" s="76">
        <v>1613131</v>
      </c>
      <c r="F11" s="76" t="s">
        <v>15</v>
      </c>
      <c r="G11" s="77">
        <v>20006523</v>
      </c>
      <c r="H11" s="76" t="s">
        <v>32</v>
      </c>
      <c r="I11" s="77">
        <v>11</v>
      </c>
      <c r="J11" s="78">
        <v>5.6</v>
      </c>
      <c r="K11" s="78">
        <v>61.6</v>
      </c>
    </row>
    <row r="12" spans="1:11">
      <c r="D12" s="75">
        <v>46190</v>
      </c>
      <c r="E12" s="76">
        <v>1613131</v>
      </c>
      <c r="F12" s="76" t="s">
        <v>15</v>
      </c>
      <c r="G12" s="77">
        <v>20006840</v>
      </c>
      <c r="H12" s="76" t="s">
        <v>33</v>
      </c>
      <c r="I12" s="77">
        <v>1</v>
      </c>
      <c r="J12" s="78">
        <v>5.6</v>
      </c>
      <c r="K12" s="78">
        <v>5.6</v>
      </c>
    </row>
    <row r="13" spans="1:11">
      <c r="D13" s="75">
        <v>46190</v>
      </c>
      <c r="E13" s="76">
        <v>1613131</v>
      </c>
      <c r="F13" s="76" t="s">
        <v>15</v>
      </c>
      <c r="G13" s="77">
        <v>20014828</v>
      </c>
      <c r="H13" s="76" t="s">
        <v>18</v>
      </c>
      <c r="I13" s="77">
        <v>4</v>
      </c>
      <c r="J13" s="78">
        <v>5.6</v>
      </c>
      <c r="K13" s="78">
        <v>22.4</v>
      </c>
    </row>
    <row r="14" spans="1:11">
      <c r="D14" s="75">
        <v>46190</v>
      </c>
      <c r="E14" s="76">
        <v>1613131</v>
      </c>
      <c r="F14" s="76" t="s">
        <v>15</v>
      </c>
      <c r="G14" s="77">
        <v>20009280</v>
      </c>
      <c r="H14" s="76" t="s">
        <v>34</v>
      </c>
      <c r="I14" s="77">
        <v>1</v>
      </c>
      <c r="J14" s="78">
        <v>5.6</v>
      </c>
      <c r="K14" s="78">
        <v>5.6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view="pageBreakPreview" zoomScaleNormal="100" workbookViewId="0">
      <pane ySplit="6" topLeftCell="A7" activePane="bottomLeft" state="frozen"/>
      <selection/>
      <selection pane="bottomLeft" activeCell="D66" sqref="$A66:$XFD7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35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f>SUM(I9:I126)</f>
        <v>210</v>
      </c>
      <c r="J8" s="74"/>
      <c r="K8" s="74">
        <f>SUM(K9:K126)</f>
        <v>5553.45</v>
      </c>
    </row>
    <row r="9" spans="1:11">
      <c r="D9" s="75">
        <v>46175</v>
      </c>
      <c r="E9" s="76">
        <v>1608331</v>
      </c>
      <c r="F9" s="76" t="s">
        <v>36</v>
      </c>
      <c r="G9" s="77">
        <v>20013604</v>
      </c>
      <c r="H9" s="76" t="s">
        <v>37</v>
      </c>
      <c r="I9" s="77">
        <v>4</v>
      </c>
      <c r="J9" s="78">
        <v>65.45</v>
      </c>
      <c r="K9" s="78">
        <f t="shared" ref="K9:K37" si="0">J9*I9</f>
        <v>261.8</v>
      </c>
    </row>
    <row r="10" spans="1:11">
      <c r="D10" s="75">
        <v>46175</v>
      </c>
      <c r="E10" s="76">
        <v>1608331</v>
      </c>
      <c r="F10" s="76" t="s">
        <v>15</v>
      </c>
      <c r="G10" s="77">
        <v>20008409</v>
      </c>
      <c r="H10" s="76" t="s">
        <v>30</v>
      </c>
      <c r="I10" s="77">
        <v>1</v>
      </c>
      <c r="J10" s="78">
        <v>5.6</v>
      </c>
      <c r="K10" s="78">
        <f t="shared" si="0"/>
        <v>5.6</v>
      </c>
    </row>
    <row r="11" spans="1:11">
      <c r="D11" s="75">
        <v>46175</v>
      </c>
      <c r="E11" s="76">
        <v>1608331</v>
      </c>
      <c r="F11" s="76" t="s">
        <v>15</v>
      </c>
      <c r="G11" s="77">
        <v>20321383</v>
      </c>
      <c r="H11" s="76" t="s">
        <v>23</v>
      </c>
      <c r="I11" s="77">
        <v>1</v>
      </c>
      <c r="J11" s="78">
        <v>5.6</v>
      </c>
      <c r="K11" s="78">
        <f t="shared" si="0"/>
        <v>5.6</v>
      </c>
    </row>
    <row r="12" spans="1:11">
      <c r="D12" s="75">
        <v>46175</v>
      </c>
      <c r="E12" s="76">
        <v>1608331</v>
      </c>
      <c r="F12" s="76" t="s">
        <v>15</v>
      </c>
      <c r="G12" s="77">
        <v>20006817</v>
      </c>
      <c r="H12" s="76" t="s">
        <v>38</v>
      </c>
      <c r="I12" s="77">
        <v>2</v>
      </c>
      <c r="J12" s="78">
        <v>5.6</v>
      </c>
      <c r="K12" s="78">
        <f t="shared" si="0"/>
        <v>11.2</v>
      </c>
    </row>
    <row r="13" spans="1:11">
      <c r="D13" s="75">
        <v>46175</v>
      </c>
      <c r="E13" s="76">
        <v>1608331</v>
      </c>
      <c r="F13" s="76" t="s">
        <v>15</v>
      </c>
      <c r="G13" s="77">
        <v>20006826</v>
      </c>
      <c r="H13" s="76" t="s">
        <v>39</v>
      </c>
      <c r="I13" s="77">
        <v>1</v>
      </c>
      <c r="J13" s="78">
        <v>7.7</v>
      </c>
      <c r="K13" s="78">
        <f t="shared" si="0"/>
        <v>7.7</v>
      </c>
    </row>
    <row r="14" spans="1:11">
      <c r="D14" s="75">
        <v>46175</v>
      </c>
      <c r="E14" s="76">
        <v>1608356</v>
      </c>
      <c r="F14" s="76" t="s">
        <v>40</v>
      </c>
      <c r="G14" s="77">
        <v>20006863</v>
      </c>
      <c r="H14" s="76" t="s">
        <v>41</v>
      </c>
      <c r="I14" s="77">
        <v>1</v>
      </c>
      <c r="J14" s="78">
        <v>24.5</v>
      </c>
      <c r="K14" s="78">
        <f t="shared" si="0"/>
        <v>24.5</v>
      </c>
    </row>
    <row r="15" spans="1:11">
      <c r="D15" s="75">
        <v>46175</v>
      </c>
      <c r="E15" s="76">
        <v>1608356</v>
      </c>
      <c r="F15" s="76" t="s">
        <v>42</v>
      </c>
      <c r="G15" s="77">
        <v>20388680</v>
      </c>
      <c r="H15" s="76" t="s">
        <v>43</v>
      </c>
      <c r="I15" s="77">
        <v>1</v>
      </c>
      <c r="J15" s="78">
        <v>46.2</v>
      </c>
      <c r="K15" s="78">
        <f t="shared" si="0"/>
        <v>46.2</v>
      </c>
    </row>
    <row r="16" spans="1:11">
      <c r="D16" s="75">
        <v>46176</v>
      </c>
      <c r="E16" s="76">
        <v>1609023</v>
      </c>
      <c r="F16" s="76" t="s">
        <v>36</v>
      </c>
      <c r="G16" s="77">
        <v>20013604</v>
      </c>
      <c r="H16" s="76" t="s">
        <v>37</v>
      </c>
      <c r="I16" s="77">
        <v>5</v>
      </c>
      <c r="J16" s="78">
        <v>65.45</v>
      </c>
      <c r="K16" s="78">
        <f t="shared" si="0"/>
        <v>327.25</v>
      </c>
    </row>
    <row r="17" spans="4:11">
      <c r="D17" s="75">
        <v>46177</v>
      </c>
      <c r="E17" s="76">
        <v>1609107</v>
      </c>
      <c r="F17" s="76" t="s">
        <v>15</v>
      </c>
      <c r="G17" s="77">
        <v>20323156</v>
      </c>
      <c r="H17" s="76" t="s">
        <v>44</v>
      </c>
      <c r="I17" s="77">
        <v>1</v>
      </c>
      <c r="J17" s="78">
        <v>11.2</v>
      </c>
      <c r="K17" s="78">
        <f t="shared" si="0"/>
        <v>11.2</v>
      </c>
    </row>
    <row r="18" spans="4:11">
      <c r="D18" s="75">
        <v>46177</v>
      </c>
      <c r="E18" s="76">
        <v>1609107</v>
      </c>
      <c r="F18" s="76" t="s">
        <v>15</v>
      </c>
      <c r="G18" s="77">
        <v>20008322</v>
      </c>
      <c r="H18" s="76" t="s">
        <v>17</v>
      </c>
      <c r="I18" s="77">
        <v>2</v>
      </c>
      <c r="J18" s="78">
        <v>5.6</v>
      </c>
      <c r="K18" s="78">
        <f t="shared" si="0"/>
        <v>11.2</v>
      </c>
    </row>
    <row r="19" spans="4:11">
      <c r="D19" s="75">
        <v>46177</v>
      </c>
      <c r="E19" s="76">
        <v>1609107</v>
      </c>
      <c r="F19" s="76" t="s">
        <v>15</v>
      </c>
      <c r="G19" s="77">
        <v>20321383</v>
      </c>
      <c r="H19" s="76" t="s">
        <v>23</v>
      </c>
      <c r="I19" s="77">
        <v>1</v>
      </c>
      <c r="J19" s="78">
        <v>5.6</v>
      </c>
      <c r="K19" s="78">
        <f t="shared" si="0"/>
        <v>5.6</v>
      </c>
    </row>
    <row r="20" spans="4:11">
      <c r="D20" s="75">
        <v>46177</v>
      </c>
      <c r="E20" s="76">
        <v>1609107</v>
      </c>
      <c r="F20" s="76" t="s">
        <v>15</v>
      </c>
      <c r="G20" s="77">
        <v>20009761</v>
      </c>
      <c r="H20" s="76" t="s">
        <v>45</v>
      </c>
      <c r="I20" s="77">
        <v>1</v>
      </c>
      <c r="J20" s="78">
        <v>9.1</v>
      </c>
      <c r="K20" s="78">
        <f t="shared" si="0"/>
        <v>9.1</v>
      </c>
    </row>
    <row r="21" spans="4:11">
      <c r="D21" s="75">
        <v>46177</v>
      </c>
      <c r="E21" s="76">
        <v>1609119</v>
      </c>
      <c r="F21" s="76" t="s">
        <v>40</v>
      </c>
      <c r="G21" s="77">
        <v>20006863</v>
      </c>
      <c r="H21" s="76" t="s">
        <v>41</v>
      </c>
      <c r="I21" s="77">
        <v>1</v>
      </c>
      <c r="J21" s="78">
        <v>24.5</v>
      </c>
      <c r="K21" s="78">
        <f t="shared" si="0"/>
        <v>24.5</v>
      </c>
    </row>
    <row r="22" spans="4:11">
      <c r="D22" s="75">
        <v>46177</v>
      </c>
      <c r="E22" s="76">
        <v>1609119</v>
      </c>
      <c r="F22" s="76" t="s">
        <v>42</v>
      </c>
      <c r="G22" s="77">
        <v>20388680</v>
      </c>
      <c r="H22" s="76" t="s">
        <v>43</v>
      </c>
      <c r="I22" s="77">
        <v>1</v>
      </c>
      <c r="J22" s="78">
        <v>46.2</v>
      </c>
      <c r="K22" s="78">
        <f t="shared" si="0"/>
        <v>46.2</v>
      </c>
    </row>
    <row r="23" spans="4:11">
      <c r="D23" s="75">
        <v>46177</v>
      </c>
      <c r="E23" s="76">
        <v>1609119</v>
      </c>
      <c r="F23" s="76" t="s">
        <v>42</v>
      </c>
      <c r="G23" s="77">
        <v>20388699</v>
      </c>
      <c r="H23" s="76" t="s">
        <v>46</v>
      </c>
      <c r="I23" s="77">
        <v>1</v>
      </c>
      <c r="J23" s="78">
        <v>30.8</v>
      </c>
      <c r="K23" s="78">
        <f t="shared" si="0"/>
        <v>30.8</v>
      </c>
    </row>
    <row r="24" spans="4:11">
      <c r="D24" s="75">
        <v>46177</v>
      </c>
      <c r="E24" s="76">
        <v>1609119</v>
      </c>
      <c r="F24" s="76" t="s">
        <v>42</v>
      </c>
      <c r="G24" s="77">
        <v>20388681</v>
      </c>
      <c r="H24" s="76" t="s">
        <v>47</v>
      </c>
      <c r="I24" s="77">
        <v>1</v>
      </c>
      <c r="J24" s="78">
        <v>46.2</v>
      </c>
      <c r="K24" s="78">
        <f t="shared" si="0"/>
        <v>46.2</v>
      </c>
    </row>
    <row r="25" spans="4:11">
      <c r="D25" s="75">
        <v>46178</v>
      </c>
      <c r="E25" s="76">
        <v>1609440</v>
      </c>
      <c r="F25" s="76" t="s">
        <v>36</v>
      </c>
      <c r="G25" s="77">
        <v>20013604</v>
      </c>
      <c r="H25" s="76" t="s">
        <v>37</v>
      </c>
      <c r="I25" s="77">
        <v>5</v>
      </c>
      <c r="J25" s="78">
        <v>65.45</v>
      </c>
      <c r="K25" s="78">
        <f t="shared" si="0"/>
        <v>327.25</v>
      </c>
    </row>
    <row r="26" spans="4:11">
      <c r="D26" s="75">
        <v>46178</v>
      </c>
      <c r="E26" s="76">
        <v>1609440</v>
      </c>
      <c r="F26" s="76" t="s">
        <v>15</v>
      </c>
      <c r="G26" s="77">
        <v>20008409</v>
      </c>
      <c r="H26" s="76" t="s">
        <v>30</v>
      </c>
      <c r="I26" s="77">
        <v>1</v>
      </c>
      <c r="J26" s="78">
        <v>5.6</v>
      </c>
      <c r="K26" s="78">
        <f t="shared" si="0"/>
        <v>5.6</v>
      </c>
    </row>
    <row r="27" spans="4:11">
      <c r="D27" s="75">
        <v>46178</v>
      </c>
      <c r="E27" s="76">
        <v>1609440</v>
      </c>
      <c r="F27" s="76" t="s">
        <v>15</v>
      </c>
      <c r="G27" s="77">
        <v>20008322</v>
      </c>
      <c r="H27" s="76" t="s">
        <v>17</v>
      </c>
      <c r="I27" s="77">
        <v>1</v>
      </c>
      <c r="J27" s="78">
        <v>5.6</v>
      </c>
      <c r="K27" s="78">
        <f t="shared" si="0"/>
        <v>5.6</v>
      </c>
    </row>
    <row r="28" spans="4:11">
      <c r="D28" s="75">
        <v>46178</v>
      </c>
      <c r="E28" s="76">
        <v>1609440</v>
      </c>
      <c r="F28" s="76" t="s">
        <v>15</v>
      </c>
      <c r="G28" s="77">
        <v>20423877</v>
      </c>
      <c r="H28" s="76" t="s">
        <v>48</v>
      </c>
      <c r="I28" s="77">
        <v>3</v>
      </c>
      <c r="J28" s="78">
        <v>26.95</v>
      </c>
      <c r="K28" s="78">
        <f t="shared" si="0"/>
        <v>80.85</v>
      </c>
    </row>
    <row r="29" spans="4:11">
      <c r="D29" s="75">
        <v>46178</v>
      </c>
      <c r="E29" s="76">
        <v>1609440</v>
      </c>
      <c r="F29" s="76" t="s">
        <v>15</v>
      </c>
      <c r="G29" s="77">
        <v>20415308</v>
      </c>
      <c r="H29" s="76" t="s">
        <v>49</v>
      </c>
      <c r="I29" s="77">
        <v>2</v>
      </c>
      <c r="J29" s="78">
        <v>23.1</v>
      </c>
      <c r="K29" s="78">
        <f t="shared" si="0"/>
        <v>46.2</v>
      </c>
    </row>
    <row r="30" spans="4:11">
      <c r="D30" s="75">
        <v>46178</v>
      </c>
      <c r="E30" s="76">
        <v>1609440</v>
      </c>
      <c r="F30" s="76" t="s">
        <v>15</v>
      </c>
      <c r="G30" s="77">
        <v>20006832</v>
      </c>
      <c r="H30" s="76" t="s">
        <v>50</v>
      </c>
      <c r="I30" s="77">
        <v>1</v>
      </c>
      <c r="J30" s="78">
        <v>5.6</v>
      </c>
      <c r="K30" s="78">
        <f t="shared" si="0"/>
        <v>5.6</v>
      </c>
    </row>
    <row r="31" spans="4:11">
      <c r="D31" s="75">
        <v>46178</v>
      </c>
      <c r="E31" s="76">
        <v>1609440</v>
      </c>
      <c r="F31" s="76" t="s">
        <v>15</v>
      </c>
      <c r="G31" s="77">
        <v>20009483</v>
      </c>
      <c r="H31" s="76" t="s">
        <v>51</v>
      </c>
      <c r="I31" s="77">
        <v>1</v>
      </c>
      <c r="J31" s="78">
        <v>7.7</v>
      </c>
      <c r="K31" s="78">
        <f t="shared" si="0"/>
        <v>7.7</v>
      </c>
    </row>
    <row r="32" spans="4:11">
      <c r="D32" s="75">
        <v>46178</v>
      </c>
      <c r="E32" s="76">
        <v>1609440</v>
      </c>
      <c r="F32" s="76" t="s">
        <v>15</v>
      </c>
      <c r="G32" s="77">
        <v>20006817</v>
      </c>
      <c r="H32" s="76" t="s">
        <v>38</v>
      </c>
      <c r="I32" s="77">
        <v>1</v>
      </c>
      <c r="J32" s="78">
        <v>5.6</v>
      </c>
      <c r="K32" s="78">
        <f t="shared" si="0"/>
        <v>5.6</v>
      </c>
    </row>
    <row r="33" spans="4:11">
      <c r="D33" s="75">
        <v>46178</v>
      </c>
      <c r="E33" s="76">
        <v>1609440</v>
      </c>
      <c r="F33" s="76" t="s">
        <v>52</v>
      </c>
      <c r="G33" s="77">
        <v>20006837</v>
      </c>
      <c r="H33" s="76" t="s">
        <v>53</v>
      </c>
      <c r="I33" s="77">
        <v>16</v>
      </c>
      <c r="J33" s="78">
        <v>1.75</v>
      </c>
      <c r="K33" s="78">
        <f t="shared" si="0"/>
        <v>28</v>
      </c>
    </row>
    <row r="34" spans="4:11">
      <c r="D34" s="75">
        <v>46178</v>
      </c>
      <c r="E34" s="76">
        <v>1609440</v>
      </c>
      <c r="F34" s="76" t="s">
        <v>52</v>
      </c>
      <c r="G34" s="77">
        <v>20015193</v>
      </c>
      <c r="H34" s="76" t="s">
        <v>54</v>
      </c>
      <c r="I34" s="77">
        <v>1</v>
      </c>
      <c r="J34" s="78">
        <v>2.8</v>
      </c>
      <c r="K34" s="78">
        <f t="shared" si="0"/>
        <v>2.8</v>
      </c>
    </row>
    <row r="35" spans="4:11">
      <c r="D35" s="75">
        <v>46178</v>
      </c>
      <c r="E35" s="76">
        <v>1609440</v>
      </c>
      <c r="F35" s="76" t="s">
        <v>52</v>
      </c>
      <c r="G35" s="77">
        <v>20013079</v>
      </c>
      <c r="H35" s="76" t="s">
        <v>55</v>
      </c>
      <c r="I35" s="77">
        <v>2</v>
      </c>
      <c r="J35" s="78">
        <v>1.75</v>
      </c>
      <c r="K35" s="78">
        <f t="shared" si="0"/>
        <v>3.5</v>
      </c>
    </row>
    <row r="36" spans="4:11">
      <c r="D36" s="75">
        <v>46178</v>
      </c>
      <c r="E36" s="76">
        <v>1609440</v>
      </c>
      <c r="F36" s="76" t="s">
        <v>52</v>
      </c>
      <c r="G36" s="77">
        <v>20381585</v>
      </c>
      <c r="H36" s="76" t="s">
        <v>56</v>
      </c>
      <c r="I36" s="77">
        <v>10</v>
      </c>
      <c r="J36" s="78">
        <v>1.75</v>
      </c>
      <c r="K36" s="78">
        <f t="shared" si="0"/>
        <v>17.5</v>
      </c>
    </row>
    <row r="37" spans="4:11">
      <c r="D37" s="75">
        <v>46178</v>
      </c>
      <c r="E37" s="76">
        <v>1609498</v>
      </c>
      <c r="F37" s="76" t="s">
        <v>40</v>
      </c>
      <c r="G37" s="77">
        <v>20008622</v>
      </c>
      <c r="H37" s="76" t="s">
        <v>57</v>
      </c>
      <c r="I37" s="77">
        <v>1</v>
      </c>
      <c r="J37" s="78">
        <v>15.4</v>
      </c>
      <c r="K37" s="78">
        <f t="shared" si="0"/>
        <v>15.4</v>
      </c>
    </row>
    <row r="38" spans="4:11">
      <c r="D38" s="75">
        <v>46178</v>
      </c>
      <c r="E38" s="76">
        <v>1609498</v>
      </c>
      <c r="F38" s="76" t="s">
        <v>40</v>
      </c>
      <c r="G38" s="77">
        <v>20309509</v>
      </c>
      <c r="H38" s="76" t="s">
        <v>58</v>
      </c>
      <c r="I38" s="77">
        <v>1</v>
      </c>
      <c r="J38" s="78">
        <v>17.5</v>
      </c>
      <c r="K38" s="78">
        <f t="shared" ref="K38:K65" si="1">J38*I38</f>
        <v>17.5</v>
      </c>
    </row>
    <row r="39" spans="4:11">
      <c r="D39" s="75">
        <v>46178</v>
      </c>
      <c r="E39" s="76">
        <v>1609498</v>
      </c>
      <c r="F39" s="76" t="s">
        <v>40</v>
      </c>
      <c r="G39" s="77">
        <v>20006863</v>
      </c>
      <c r="H39" s="76" t="s">
        <v>41</v>
      </c>
      <c r="I39" s="77">
        <v>1</v>
      </c>
      <c r="J39" s="78">
        <v>24.5</v>
      </c>
      <c r="K39" s="78">
        <f t="shared" si="1"/>
        <v>24.5</v>
      </c>
    </row>
    <row r="40" spans="4:11">
      <c r="D40" s="75">
        <v>46178</v>
      </c>
      <c r="E40" s="76">
        <v>1609498</v>
      </c>
      <c r="F40" s="76" t="s">
        <v>42</v>
      </c>
      <c r="G40" s="77">
        <v>20388680</v>
      </c>
      <c r="H40" s="76" t="s">
        <v>43</v>
      </c>
      <c r="I40" s="77">
        <v>1</v>
      </c>
      <c r="J40" s="78">
        <v>46.2</v>
      </c>
      <c r="K40" s="78">
        <f t="shared" si="1"/>
        <v>46.2</v>
      </c>
    </row>
    <row r="41" spans="4:11">
      <c r="D41" s="75">
        <v>46179</v>
      </c>
      <c r="E41" s="76">
        <v>1609821</v>
      </c>
      <c r="F41" s="76" t="s">
        <v>36</v>
      </c>
      <c r="G41" s="77">
        <v>20013604</v>
      </c>
      <c r="H41" s="76" t="s">
        <v>37</v>
      </c>
      <c r="I41" s="77">
        <v>2</v>
      </c>
      <c r="J41" s="78">
        <v>65.45</v>
      </c>
      <c r="K41" s="78">
        <f t="shared" si="1"/>
        <v>130.9</v>
      </c>
    </row>
    <row r="42" spans="4:11">
      <c r="D42" s="75">
        <v>46179</v>
      </c>
      <c r="E42" s="76">
        <v>1609821</v>
      </c>
      <c r="F42" s="76" t="s">
        <v>36</v>
      </c>
      <c r="G42" s="77">
        <v>20014203</v>
      </c>
      <c r="H42" s="76" t="s">
        <v>59</v>
      </c>
      <c r="I42" s="77">
        <v>1</v>
      </c>
      <c r="J42" s="78">
        <v>19.25</v>
      </c>
      <c r="K42" s="78">
        <f t="shared" si="1"/>
        <v>19.25</v>
      </c>
    </row>
    <row r="43" spans="4:11">
      <c r="D43" s="75">
        <v>46179</v>
      </c>
      <c r="E43" s="76">
        <v>1609821</v>
      </c>
      <c r="F43" s="76" t="s">
        <v>15</v>
      </c>
      <c r="G43" s="77">
        <v>20008409</v>
      </c>
      <c r="H43" s="76" t="s">
        <v>30</v>
      </c>
      <c r="I43" s="77">
        <v>1</v>
      </c>
      <c r="J43" s="78">
        <v>5.6</v>
      </c>
      <c r="K43" s="78">
        <f t="shared" si="1"/>
        <v>5.6</v>
      </c>
    </row>
    <row r="44" spans="4:11">
      <c r="D44" s="75">
        <v>46179</v>
      </c>
      <c r="E44" s="76">
        <v>1609821</v>
      </c>
      <c r="F44" s="76" t="s">
        <v>15</v>
      </c>
      <c r="G44" s="77">
        <v>20006825</v>
      </c>
      <c r="H44" s="76" t="s">
        <v>60</v>
      </c>
      <c r="I44" s="77">
        <v>1</v>
      </c>
      <c r="J44" s="78">
        <v>9.1</v>
      </c>
      <c r="K44" s="78">
        <f t="shared" si="1"/>
        <v>9.1</v>
      </c>
    </row>
    <row r="45" spans="4:11">
      <c r="D45" s="75">
        <v>46179</v>
      </c>
      <c r="E45" s="76">
        <v>1609821</v>
      </c>
      <c r="F45" s="76" t="s">
        <v>15</v>
      </c>
      <c r="G45" s="77">
        <v>20006827</v>
      </c>
      <c r="H45" s="76" t="s">
        <v>61</v>
      </c>
      <c r="I45" s="77">
        <v>2</v>
      </c>
      <c r="J45" s="78">
        <v>7.7</v>
      </c>
      <c r="K45" s="78">
        <f t="shared" si="1"/>
        <v>15.4</v>
      </c>
    </row>
    <row r="46" spans="4:11">
      <c r="D46" s="75">
        <v>46179</v>
      </c>
      <c r="E46" s="76">
        <v>1609821</v>
      </c>
      <c r="F46" s="76" t="s">
        <v>15</v>
      </c>
      <c r="G46" s="77">
        <v>20008149</v>
      </c>
      <c r="H46" s="76" t="s">
        <v>62</v>
      </c>
      <c r="I46" s="77">
        <v>1</v>
      </c>
      <c r="J46" s="78">
        <v>5.6</v>
      </c>
      <c r="K46" s="78">
        <f t="shared" si="1"/>
        <v>5.6</v>
      </c>
    </row>
    <row r="47" spans="4:11">
      <c r="D47" s="75">
        <v>46179</v>
      </c>
      <c r="E47" s="76">
        <v>1609821</v>
      </c>
      <c r="F47" s="76" t="s">
        <v>15</v>
      </c>
      <c r="G47" s="77">
        <v>20009483</v>
      </c>
      <c r="H47" s="76" t="s">
        <v>51</v>
      </c>
      <c r="I47" s="77">
        <v>1</v>
      </c>
      <c r="J47" s="78">
        <v>7.7</v>
      </c>
      <c r="K47" s="78">
        <f t="shared" si="1"/>
        <v>7.7</v>
      </c>
    </row>
    <row r="48" spans="4:11">
      <c r="D48" s="75">
        <v>46179</v>
      </c>
      <c r="E48" s="76">
        <v>1609821</v>
      </c>
      <c r="F48" s="76" t="s">
        <v>15</v>
      </c>
      <c r="G48" s="77">
        <v>20006817</v>
      </c>
      <c r="H48" s="76" t="s">
        <v>38</v>
      </c>
      <c r="I48" s="77">
        <v>2</v>
      </c>
      <c r="J48" s="78">
        <v>5.6</v>
      </c>
      <c r="K48" s="78">
        <f t="shared" si="1"/>
        <v>11.2</v>
      </c>
    </row>
    <row r="49" spans="4:11">
      <c r="D49" s="75">
        <v>46179</v>
      </c>
      <c r="E49" s="76">
        <v>1609821</v>
      </c>
      <c r="F49" s="76" t="s">
        <v>15</v>
      </c>
      <c r="G49" s="77">
        <v>20006826</v>
      </c>
      <c r="H49" s="76" t="s">
        <v>39</v>
      </c>
      <c r="I49" s="77">
        <v>2</v>
      </c>
      <c r="J49" s="78">
        <v>7.7</v>
      </c>
      <c r="K49" s="78">
        <f t="shared" si="1"/>
        <v>15.4</v>
      </c>
    </row>
    <row r="50" spans="4:11">
      <c r="D50" s="75">
        <v>46179</v>
      </c>
      <c r="E50" s="76">
        <v>1609821</v>
      </c>
      <c r="F50" s="76" t="s">
        <v>15</v>
      </c>
      <c r="G50" s="77">
        <v>20321510</v>
      </c>
      <c r="H50" s="76" t="s">
        <v>63</v>
      </c>
      <c r="I50" s="77">
        <v>1</v>
      </c>
      <c r="J50" s="78">
        <v>5.6</v>
      </c>
      <c r="K50" s="78">
        <f t="shared" si="1"/>
        <v>5.6</v>
      </c>
    </row>
    <row r="51" spans="4:11">
      <c r="D51" s="75">
        <v>46179</v>
      </c>
      <c r="E51" s="76">
        <v>1609821</v>
      </c>
      <c r="F51" s="76" t="s">
        <v>40</v>
      </c>
      <c r="G51" s="77">
        <v>20006863</v>
      </c>
      <c r="H51" s="76" t="s">
        <v>41</v>
      </c>
      <c r="I51" s="77">
        <v>1</v>
      </c>
      <c r="J51" s="78">
        <v>24.5</v>
      </c>
      <c r="K51" s="78">
        <f t="shared" si="1"/>
        <v>24.5</v>
      </c>
    </row>
    <row r="52" spans="4:11">
      <c r="D52" s="75">
        <v>46179</v>
      </c>
      <c r="E52" s="76">
        <v>1609821</v>
      </c>
      <c r="F52" s="76" t="s">
        <v>42</v>
      </c>
      <c r="G52" s="77">
        <v>20388679</v>
      </c>
      <c r="H52" s="76" t="s">
        <v>46</v>
      </c>
      <c r="I52" s="77">
        <v>1</v>
      </c>
      <c r="J52" s="78">
        <v>30.8</v>
      </c>
      <c r="K52" s="78">
        <f t="shared" si="1"/>
        <v>30.8</v>
      </c>
    </row>
    <row r="53" spans="4:11">
      <c r="D53" s="75">
        <v>46182</v>
      </c>
      <c r="E53" s="76">
        <v>1610381</v>
      </c>
      <c r="F53" s="76" t="s">
        <v>36</v>
      </c>
      <c r="G53" s="77">
        <v>20013604</v>
      </c>
      <c r="H53" s="76" t="s">
        <v>37</v>
      </c>
      <c r="I53" s="77">
        <v>4</v>
      </c>
      <c r="J53" s="78">
        <v>65.45</v>
      </c>
      <c r="K53" s="78">
        <f t="shared" si="1"/>
        <v>261.8</v>
      </c>
    </row>
    <row r="54" spans="4:11">
      <c r="D54" s="75">
        <v>46182</v>
      </c>
      <c r="E54" s="76">
        <v>1610381</v>
      </c>
      <c r="F54" s="76" t="s">
        <v>15</v>
      </c>
      <c r="G54" s="77">
        <v>20006827</v>
      </c>
      <c r="H54" s="76" t="s">
        <v>61</v>
      </c>
      <c r="I54" s="77">
        <v>1</v>
      </c>
      <c r="J54" s="78">
        <v>7.7</v>
      </c>
      <c r="K54" s="78">
        <f t="shared" si="1"/>
        <v>7.7</v>
      </c>
    </row>
    <row r="55" spans="4:11">
      <c r="D55" s="75">
        <v>46182</v>
      </c>
      <c r="E55" s="76">
        <v>1610381</v>
      </c>
      <c r="F55" s="76" t="s">
        <v>15</v>
      </c>
      <c r="G55" s="77">
        <v>20006828</v>
      </c>
      <c r="H55" s="76" t="s">
        <v>64</v>
      </c>
      <c r="I55" s="77">
        <v>2</v>
      </c>
      <c r="J55" s="78">
        <v>7.7</v>
      </c>
      <c r="K55" s="78">
        <f t="shared" si="1"/>
        <v>15.4</v>
      </c>
    </row>
    <row r="56" spans="4:11">
      <c r="D56" s="75">
        <v>46182</v>
      </c>
      <c r="E56" s="76">
        <v>1610381</v>
      </c>
      <c r="F56" s="76" t="s">
        <v>15</v>
      </c>
      <c r="G56" s="77">
        <v>20008322</v>
      </c>
      <c r="H56" s="76" t="s">
        <v>17</v>
      </c>
      <c r="I56" s="77">
        <v>2</v>
      </c>
      <c r="J56" s="78">
        <v>5.6</v>
      </c>
      <c r="K56" s="78">
        <f t="shared" si="1"/>
        <v>11.2</v>
      </c>
    </row>
    <row r="57" spans="4:11">
      <c r="D57" s="75">
        <v>46182</v>
      </c>
      <c r="E57" s="76">
        <v>1610381</v>
      </c>
      <c r="F57" s="76" t="s">
        <v>15</v>
      </c>
      <c r="G57" s="77">
        <v>20006824</v>
      </c>
      <c r="H57" s="76" t="s">
        <v>65</v>
      </c>
      <c r="I57" s="77">
        <v>1</v>
      </c>
      <c r="J57" s="78">
        <v>7.7</v>
      </c>
      <c r="K57" s="78">
        <f t="shared" si="1"/>
        <v>7.7</v>
      </c>
    </row>
    <row r="58" spans="4:11">
      <c r="D58" s="75">
        <v>46182</v>
      </c>
      <c r="E58" s="76">
        <v>1610381</v>
      </c>
      <c r="F58" s="76" t="s">
        <v>15</v>
      </c>
      <c r="G58" s="77">
        <v>20391282</v>
      </c>
      <c r="H58" s="76" t="s">
        <v>48</v>
      </c>
      <c r="I58" s="77">
        <v>2</v>
      </c>
      <c r="J58" s="78">
        <v>26.95</v>
      </c>
      <c r="K58" s="78">
        <f t="shared" si="1"/>
        <v>53.9</v>
      </c>
    </row>
    <row r="59" spans="4:11">
      <c r="D59" s="75">
        <v>46182</v>
      </c>
      <c r="E59" s="76">
        <v>1610381</v>
      </c>
      <c r="F59" s="76" t="s">
        <v>15</v>
      </c>
      <c r="G59" s="77">
        <v>20321383</v>
      </c>
      <c r="H59" s="76" t="s">
        <v>23</v>
      </c>
      <c r="I59" s="77">
        <v>3</v>
      </c>
      <c r="J59" s="78">
        <v>5.6</v>
      </c>
      <c r="K59" s="78">
        <f t="shared" si="1"/>
        <v>16.8</v>
      </c>
    </row>
    <row r="60" spans="4:11">
      <c r="D60" s="75">
        <v>46184</v>
      </c>
      <c r="E60" s="76">
        <v>1611184</v>
      </c>
      <c r="F60" s="76" t="s">
        <v>36</v>
      </c>
      <c r="G60" s="77">
        <v>20013604</v>
      </c>
      <c r="H60" s="76" t="s">
        <v>37</v>
      </c>
      <c r="I60" s="77">
        <v>7</v>
      </c>
      <c r="J60" s="78">
        <v>65.45</v>
      </c>
      <c r="K60" s="78">
        <f t="shared" si="1"/>
        <v>458.15</v>
      </c>
    </row>
    <row r="61" spans="4:11">
      <c r="D61" s="75">
        <v>46184</v>
      </c>
      <c r="E61" s="76">
        <v>1611184</v>
      </c>
      <c r="F61" s="76" t="s">
        <v>36</v>
      </c>
      <c r="G61" s="77">
        <v>20014203</v>
      </c>
      <c r="H61" s="76" t="s">
        <v>59</v>
      </c>
      <c r="I61" s="77">
        <v>1</v>
      </c>
      <c r="J61" s="78">
        <v>19.25</v>
      </c>
      <c r="K61" s="78">
        <f t="shared" si="1"/>
        <v>19.25</v>
      </c>
    </row>
    <row r="62" spans="4:11">
      <c r="D62" s="75">
        <v>46184</v>
      </c>
      <c r="E62" s="76">
        <v>1611184</v>
      </c>
      <c r="F62" s="76" t="s">
        <v>20</v>
      </c>
      <c r="G62" s="77">
        <v>20010992</v>
      </c>
      <c r="H62" s="76" t="s">
        <v>44</v>
      </c>
      <c r="I62" s="77">
        <v>2</v>
      </c>
      <c r="J62" s="78">
        <v>11.2</v>
      </c>
      <c r="K62" s="78">
        <f t="shared" si="1"/>
        <v>22.4</v>
      </c>
    </row>
    <row r="63" spans="4:11">
      <c r="D63" s="75">
        <v>46184</v>
      </c>
      <c r="E63" s="76">
        <v>1611184</v>
      </c>
      <c r="F63" s="76" t="s">
        <v>15</v>
      </c>
      <c r="G63" s="77">
        <v>20006827</v>
      </c>
      <c r="H63" s="76" t="s">
        <v>61</v>
      </c>
      <c r="I63" s="77">
        <v>1</v>
      </c>
      <c r="J63" s="78">
        <v>7.7</v>
      </c>
      <c r="K63" s="78">
        <f t="shared" si="1"/>
        <v>7.7</v>
      </c>
    </row>
    <row r="64" spans="4:11">
      <c r="D64" s="75">
        <v>46184</v>
      </c>
      <c r="E64" s="76">
        <v>1611184</v>
      </c>
      <c r="F64" s="76" t="s">
        <v>15</v>
      </c>
      <c r="G64" s="77">
        <v>20008149</v>
      </c>
      <c r="H64" s="76" t="s">
        <v>62</v>
      </c>
      <c r="I64" s="77">
        <v>1</v>
      </c>
      <c r="J64" s="78">
        <v>5.6</v>
      </c>
      <c r="K64" s="78">
        <f t="shared" si="1"/>
        <v>5.6</v>
      </c>
    </row>
    <row r="65" spans="4:11">
      <c r="D65" s="75">
        <v>46184</v>
      </c>
      <c r="E65" s="76">
        <v>1611184</v>
      </c>
      <c r="F65" s="76" t="s">
        <v>15</v>
      </c>
      <c r="G65" s="77">
        <v>20006817</v>
      </c>
      <c r="H65" s="76" t="s">
        <v>38</v>
      </c>
      <c r="I65" s="77">
        <v>1</v>
      </c>
      <c r="J65" s="78">
        <v>5.6</v>
      </c>
      <c r="K65" s="78">
        <f t="shared" si="1"/>
        <v>5.6</v>
      </c>
    </row>
    <row r="66" spans="4:11">
      <c r="D66" s="75">
        <v>46190</v>
      </c>
      <c r="E66" s="76">
        <v>1612770</v>
      </c>
      <c r="F66" s="76" t="s">
        <v>36</v>
      </c>
      <c r="G66" s="77">
        <v>20013604</v>
      </c>
      <c r="H66" s="76" t="s">
        <v>37</v>
      </c>
      <c r="I66" s="77">
        <v>3</v>
      </c>
      <c r="J66" s="78">
        <v>65.45</v>
      </c>
      <c r="K66" s="78">
        <f t="shared" ref="K66:K95" si="2">J66*I66</f>
        <v>196.35</v>
      </c>
    </row>
    <row r="67" spans="4:11">
      <c r="D67" s="75">
        <v>46190</v>
      </c>
      <c r="E67" s="76">
        <v>1612770</v>
      </c>
      <c r="F67" s="76" t="s">
        <v>15</v>
      </c>
      <c r="G67" s="77">
        <v>20321383</v>
      </c>
      <c r="H67" s="76" t="s">
        <v>23</v>
      </c>
      <c r="I67" s="77">
        <v>2</v>
      </c>
      <c r="J67" s="78">
        <v>5.6</v>
      </c>
      <c r="K67" s="78">
        <f t="shared" si="2"/>
        <v>11.2</v>
      </c>
    </row>
    <row r="68" spans="4:11">
      <c r="D68" s="75">
        <v>46190</v>
      </c>
      <c r="E68" s="76">
        <v>1612770</v>
      </c>
      <c r="F68" s="76" t="s">
        <v>15</v>
      </c>
      <c r="G68" s="77">
        <v>20006817</v>
      </c>
      <c r="H68" s="76" t="s">
        <v>38</v>
      </c>
      <c r="I68" s="77">
        <v>1</v>
      </c>
      <c r="J68" s="78">
        <v>5.6</v>
      </c>
      <c r="K68" s="78">
        <f t="shared" si="2"/>
        <v>5.6</v>
      </c>
    </row>
    <row r="69" spans="4:11">
      <c r="D69" s="75">
        <v>46190</v>
      </c>
      <c r="E69" s="76">
        <v>1612851</v>
      </c>
      <c r="F69" s="76" t="s">
        <v>40</v>
      </c>
      <c r="G69" s="77">
        <v>20006863</v>
      </c>
      <c r="H69" s="76" t="s">
        <v>41</v>
      </c>
      <c r="I69" s="77">
        <v>1</v>
      </c>
      <c r="J69" s="78">
        <v>24.5</v>
      </c>
      <c r="K69" s="78">
        <f t="shared" si="2"/>
        <v>24.5</v>
      </c>
    </row>
    <row r="70" spans="4:11">
      <c r="D70" s="75">
        <v>46190</v>
      </c>
      <c r="E70" s="76">
        <v>1612851</v>
      </c>
      <c r="F70" s="76" t="s">
        <v>42</v>
      </c>
      <c r="G70" s="77">
        <v>20388680</v>
      </c>
      <c r="H70" s="76" t="s">
        <v>43</v>
      </c>
      <c r="I70" s="77">
        <v>1</v>
      </c>
      <c r="J70" s="78">
        <v>46.2</v>
      </c>
      <c r="K70" s="78">
        <f t="shared" si="2"/>
        <v>46.2</v>
      </c>
    </row>
    <row r="71" spans="4:11">
      <c r="D71" s="75">
        <v>46191</v>
      </c>
      <c r="E71" s="76">
        <v>1613226</v>
      </c>
      <c r="F71" s="76" t="s">
        <v>36</v>
      </c>
      <c r="G71" s="77">
        <v>20013604</v>
      </c>
      <c r="H71" s="76" t="s">
        <v>37</v>
      </c>
      <c r="I71" s="77">
        <v>4</v>
      </c>
      <c r="J71" s="78">
        <v>65.45</v>
      </c>
      <c r="K71" s="78">
        <f t="shared" si="2"/>
        <v>261.8</v>
      </c>
    </row>
    <row r="72" spans="4:11">
      <c r="D72" s="75">
        <v>46191</v>
      </c>
      <c r="E72" s="76">
        <v>1613226</v>
      </c>
      <c r="F72" s="76" t="s">
        <v>20</v>
      </c>
      <c r="G72" s="77">
        <v>20008765</v>
      </c>
      <c r="H72" s="76" t="s">
        <v>66</v>
      </c>
      <c r="I72" s="77">
        <v>1</v>
      </c>
      <c r="J72" s="78">
        <v>9.1</v>
      </c>
      <c r="K72" s="78">
        <f t="shared" si="2"/>
        <v>9.1</v>
      </c>
    </row>
    <row r="73" spans="4:11">
      <c r="D73" s="75">
        <v>46191</v>
      </c>
      <c r="E73" s="76">
        <v>1613226</v>
      </c>
      <c r="F73" s="76" t="s">
        <v>15</v>
      </c>
      <c r="G73" s="77">
        <v>20008409</v>
      </c>
      <c r="H73" s="76" t="s">
        <v>30</v>
      </c>
      <c r="I73" s="77">
        <v>1</v>
      </c>
      <c r="J73" s="78">
        <v>5.6</v>
      </c>
      <c r="K73" s="78">
        <f t="shared" si="2"/>
        <v>5.6</v>
      </c>
    </row>
    <row r="74" spans="4:11">
      <c r="D74" s="75">
        <v>46191</v>
      </c>
      <c r="E74" s="76">
        <v>1613226</v>
      </c>
      <c r="F74" s="76" t="s">
        <v>15</v>
      </c>
      <c r="G74" s="77">
        <v>20006828</v>
      </c>
      <c r="H74" s="76" t="s">
        <v>64</v>
      </c>
      <c r="I74" s="77">
        <v>1</v>
      </c>
      <c r="J74" s="78">
        <v>7.7</v>
      </c>
      <c r="K74" s="78">
        <f t="shared" si="2"/>
        <v>7.7</v>
      </c>
    </row>
    <row r="75" spans="4:11">
      <c r="D75" s="75">
        <v>46191</v>
      </c>
      <c r="E75" s="76">
        <v>1613226</v>
      </c>
      <c r="F75" s="76" t="s">
        <v>15</v>
      </c>
      <c r="G75" s="77">
        <v>20006824</v>
      </c>
      <c r="H75" s="76" t="s">
        <v>65</v>
      </c>
      <c r="I75" s="77">
        <v>1</v>
      </c>
      <c r="J75" s="78">
        <v>7.7</v>
      </c>
      <c r="K75" s="78">
        <f t="shared" si="2"/>
        <v>7.7</v>
      </c>
    </row>
    <row r="76" spans="4:11">
      <c r="D76" s="75">
        <v>46191</v>
      </c>
      <c r="E76" s="76">
        <v>1613226</v>
      </c>
      <c r="F76" s="76" t="s">
        <v>15</v>
      </c>
      <c r="G76" s="77">
        <v>20321383</v>
      </c>
      <c r="H76" s="76" t="s">
        <v>23</v>
      </c>
      <c r="I76" s="77">
        <v>2</v>
      </c>
      <c r="J76" s="78">
        <v>5.6</v>
      </c>
      <c r="K76" s="78">
        <f t="shared" si="2"/>
        <v>11.2</v>
      </c>
    </row>
    <row r="77" spans="4:11">
      <c r="D77" s="75">
        <v>46191</v>
      </c>
      <c r="E77" s="76">
        <v>1613226</v>
      </c>
      <c r="F77" s="76" t="s">
        <v>15</v>
      </c>
      <c r="G77" s="77">
        <v>20006817</v>
      </c>
      <c r="H77" s="76" t="s">
        <v>38</v>
      </c>
      <c r="I77" s="77">
        <v>1</v>
      </c>
      <c r="J77" s="78">
        <v>5.6</v>
      </c>
      <c r="K77" s="78">
        <f t="shared" si="2"/>
        <v>5.6</v>
      </c>
    </row>
    <row r="78" spans="4:11">
      <c r="D78" s="75">
        <v>46191</v>
      </c>
      <c r="E78" s="76">
        <v>1613253</v>
      </c>
      <c r="F78" s="76" t="s">
        <v>40</v>
      </c>
      <c r="G78" s="77">
        <v>20008622</v>
      </c>
      <c r="H78" s="76" t="s">
        <v>57</v>
      </c>
      <c r="I78" s="77">
        <v>1</v>
      </c>
      <c r="J78" s="78">
        <v>15.4</v>
      </c>
      <c r="K78" s="78">
        <f t="shared" si="2"/>
        <v>15.4</v>
      </c>
    </row>
    <row r="79" spans="4:11">
      <c r="D79" s="75">
        <v>46191</v>
      </c>
      <c r="E79" s="76">
        <v>1613253</v>
      </c>
      <c r="F79" s="76" t="s">
        <v>40</v>
      </c>
      <c r="G79" s="77">
        <v>20006863</v>
      </c>
      <c r="H79" s="76" t="s">
        <v>41</v>
      </c>
      <c r="I79" s="77">
        <v>1</v>
      </c>
      <c r="J79" s="78">
        <v>24.5</v>
      </c>
      <c r="K79" s="78">
        <f t="shared" si="2"/>
        <v>24.5</v>
      </c>
    </row>
    <row r="80" spans="4:11">
      <c r="D80" s="75">
        <v>46191</v>
      </c>
      <c r="E80" s="76">
        <v>1613253</v>
      </c>
      <c r="F80" s="76" t="s">
        <v>42</v>
      </c>
      <c r="G80" s="77">
        <v>20388680</v>
      </c>
      <c r="H80" s="76" t="s">
        <v>43</v>
      </c>
      <c r="I80" s="77">
        <v>1</v>
      </c>
      <c r="J80" s="78">
        <v>46.2</v>
      </c>
      <c r="K80" s="78">
        <f t="shared" si="2"/>
        <v>46.2</v>
      </c>
    </row>
    <row r="81" spans="4:11">
      <c r="D81" s="75">
        <v>46191</v>
      </c>
      <c r="E81" s="76">
        <v>1613253</v>
      </c>
      <c r="F81" s="76" t="s">
        <v>42</v>
      </c>
      <c r="G81" s="77">
        <v>20388679</v>
      </c>
      <c r="H81" s="76" t="s">
        <v>46</v>
      </c>
      <c r="I81" s="77">
        <v>1</v>
      </c>
      <c r="J81" s="78">
        <v>30.8</v>
      </c>
      <c r="K81" s="78">
        <f t="shared" si="2"/>
        <v>30.8</v>
      </c>
    </row>
    <row r="82" spans="4:11">
      <c r="D82" s="75">
        <v>46195</v>
      </c>
      <c r="E82" s="76">
        <v>1614169</v>
      </c>
      <c r="F82" s="76" t="s">
        <v>36</v>
      </c>
      <c r="G82" s="77">
        <v>20013604</v>
      </c>
      <c r="H82" s="76" t="s">
        <v>37</v>
      </c>
      <c r="I82" s="77">
        <v>8</v>
      </c>
      <c r="J82" s="78">
        <v>65.45</v>
      </c>
      <c r="K82" s="78">
        <f t="shared" si="2"/>
        <v>523.6</v>
      </c>
    </row>
    <row r="83" spans="4:11">
      <c r="D83" s="75">
        <v>46195</v>
      </c>
      <c r="E83" s="76">
        <v>1614169</v>
      </c>
      <c r="F83" s="76" t="s">
        <v>36</v>
      </c>
      <c r="G83" s="77">
        <v>20014203</v>
      </c>
      <c r="H83" s="76" t="s">
        <v>59</v>
      </c>
      <c r="I83" s="77">
        <v>1</v>
      </c>
      <c r="J83" s="78">
        <v>19.25</v>
      </c>
      <c r="K83" s="78">
        <f t="shared" si="2"/>
        <v>19.25</v>
      </c>
    </row>
    <row r="84" spans="4:11">
      <c r="D84" s="75">
        <v>46195</v>
      </c>
      <c r="E84" s="76">
        <v>1614169</v>
      </c>
      <c r="F84" s="76" t="s">
        <v>15</v>
      </c>
      <c r="G84" s="77">
        <v>20006825</v>
      </c>
      <c r="H84" s="76" t="s">
        <v>60</v>
      </c>
      <c r="I84" s="77">
        <v>1</v>
      </c>
      <c r="J84" s="78">
        <v>9.1</v>
      </c>
      <c r="K84" s="78">
        <f t="shared" si="2"/>
        <v>9.1</v>
      </c>
    </row>
    <row r="85" spans="4:11">
      <c r="D85" s="75">
        <v>46195</v>
      </c>
      <c r="E85" s="76">
        <v>1614169</v>
      </c>
      <c r="F85" s="76" t="s">
        <v>15</v>
      </c>
      <c r="G85" s="77">
        <v>20008149</v>
      </c>
      <c r="H85" s="76" t="s">
        <v>62</v>
      </c>
      <c r="I85" s="77">
        <v>2</v>
      </c>
      <c r="J85" s="78">
        <v>5.6</v>
      </c>
      <c r="K85" s="78">
        <f t="shared" si="2"/>
        <v>11.2</v>
      </c>
    </row>
    <row r="86" spans="4:11">
      <c r="D86" s="75">
        <v>46195</v>
      </c>
      <c r="E86" s="76">
        <v>1614169</v>
      </c>
      <c r="F86" s="76" t="s">
        <v>15</v>
      </c>
      <c r="G86" s="77">
        <v>20008322</v>
      </c>
      <c r="H86" s="76" t="s">
        <v>17</v>
      </c>
      <c r="I86" s="77">
        <v>2</v>
      </c>
      <c r="J86" s="78">
        <v>5.6</v>
      </c>
      <c r="K86" s="78">
        <f t="shared" si="2"/>
        <v>11.2</v>
      </c>
    </row>
    <row r="87" spans="4:11">
      <c r="D87" s="75">
        <v>46195</v>
      </c>
      <c r="E87" s="76">
        <v>1614169</v>
      </c>
      <c r="F87" s="76" t="s">
        <v>15</v>
      </c>
      <c r="G87" s="77">
        <v>20391282</v>
      </c>
      <c r="H87" s="76" t="s">
        <v>48</v>
      </c>
      <c r="I87" s="77">
        <v>1</v>
      </c>
      <c r="J87" s="78">
        <v>26.95</v>
      </c>
      <c r="K87" s="78">
        <f t="shared" si="2"/>
        <v>26.95</v>
      </c>
    </row>
    <row r="88" spans="4:11">
      <c r="D88" s="75">
        <v>46195</v>
      </c>
      <c r="E88" s="76">
        <v>1614169</v>
      </c>
      <c r="F88" s="76" t="s">
        <v>15</v>
      </c>
      <c r="G88" s="77">
        <v>20321383</v>
      </c>
      <c r="H88" s="76" t="s">
        <v>23</v>
      </c>
      <c r="I88" s="77">
        <v>3</v>
      </c>
      <c r="J88" s="78">
        <v>5.6</v>
      </c>
      <c r="K88" s="78">
        <f t="shared" si="2"/>
        <v>16.8</v>
      </c>
    </row>
    <row r="89" spans="4:11">
      <c r="D89" s="75">
        <v>46195</v>
      </c>
      <c r="E89" s="76">
        <v>1614169</v>
      </c>
      <c r="F89" s="76" t="s">
        <v>15</v>
      </c>
      <c r="G89" s="77">
        <v>20006817</v>
      </c>
      <c r="H89" s="76" t="s">
        <v>38</v>
      </c>
      <c r="I89" s="77">
        <v>2</v>
      </c>
      <c r="J89" s="78">
        <v>5.6</v>
      </c>
      <c r="K89" s="78">
        <f t="shared" si="2"/>
        <v>11.2</v>
      </c>
    </row>
    <row r="90" spans="4:11">
      <c r="D90" s="75">
        <v>46195</v>
      </c>
      <c r="E90" s="76">
        <v>1614169</v>
      </c>
      <c r="F90" s="76" t="s">
        <v>15</v>
      </c>
      <c r="G90" s="77">
        <v>20009761</v>
      </c>
      <c r="H90" s="76" t="s">
        <v>45</v>
      </c>
      <c r="I90" s="77">
        <v>1</v>
      </c>
      <c r="J90" s="78">
        <v>9.1</v>
      </c>
      <c r="K90" s="78">
        <f t="shared" si="2"/>
        <v>9.1</v>
      </c>
    </row>
    <row r="91" spans="4:11">
      <c r="D91" s="75">
        <v>46196</v>
      </c>
      <c r="E91" s="76">
        <v>1614222</v>
      </c>
      <c r="F91" s="76" t="s">
        <v>40</v>
      </c>
      <c r="G91" s="77">
        <v>20008622</v>
      </c>
      <c r="H91" s="76" t="s">
        <v>57</v>
      </c>
      <c r="I91" s="77">
        <v>1</v>
      </c>
      <c r="J91" s="78">
        <v>15.4</v>
      </c>
      <c r="K91" s="78">
        <f t="shared" si="2"/>
        <v>15.4</v>
      </c>
    </row>
    <row r="92" spans="4:11">
      <c r="D92" s="75">
        <v>46196</v>
      </c>
      <c r="E92" s="76">
        <v>1614222</v>
      </c>
      <c r="F92" s="76" t="s">
        <v>40</v>
      </c>
      <c r="G92" s="77">
        <v>20006863</v>
      </c>
      <c r="H92" s="76" t="s">
        <v>41</v>
      </c>
      <c r="I92" s="77">
        <v>1</v>
      </c>
      <c r="J92" s="78">
        <v>24.5</v>
      </c>
      <c r="K92" s="78">
        <f t="shared" si="2"/>
        <v>24.5</v>
      </c>
    </row>
    <row r="93" spans="4:11">
      <c r="D93" s="75">
        <v>46196</v>
      </c>
      <c r="E93" s="76">
        <v>1614222</v>
      </c>
      <c r="F93" s="76" t="s">
        <v>42</v>
      </c>
      <c r="G93" s="77">
        <v>20388679</v>
      </c>
      <c r="H93" s="76" t="s">
        <v>46</v>
      </c>
      <c r="I93" s="77">
        <v>1</v>
      </c>
      <c r="J93" s="78">
        <v>30.8</v>
      </c>
      <c r="K93" s="78">
        <f t="shared" si="2"/>
        <v>30.8</v>
      </c>
    </row>
    <row r="94" spans="4:11">
      <c r="D94" s="75">
        <v>46198</v>
      </c>
      <c r="E94" s="76">
        <v>1614953</v>
      </c>
      <c r="F94" s="76" t="s">
        <v>36</v>
      </c>
      <c r="G94" s="77">
        <v>20013604</v>
      </c>
      <c r="H94" s="76" t="s">
        <v>37</v>
      </c>
      <c r="I94" s="77">
        <v>4</v>
      </c>
      <c r="J94" s="78">
        <v>65.45</v>
      </c>
      <c r="K94" s="78">
        <f t="shared" si="2"/>
        <v>261.8</v>
      </c>
    </row>
    <row r="95" spans="4:11">
      <c r="D95" s="75">
        <v>46198</v>
      </c>
      <c r="E95" s="76">
        <v>1614953</v>
      </c>
      <c r="F95" s="76" t="s">
        <v>36</v>
      </c>
      <c r="G95" s="77">
        <v>20014203</v>
      </c>
      <c r="H95" s="76" t="s">
        <v>59</v>
      </c>
      <c r="I95" s="77">
        <v>1</v>
      </c>
      <c r="J95" s="78">
        <v>19.25</v>
      </c>
      <c r="K95" s="78">
        <f t="shared" si="2"/>
        <v>19.25</v>
      </c>
    </row>
    <row r="96" spans="4:11">
      <c r="D96" s="75">
        <v>46198</v>
      </c>
      <c r="E96" s="76">
        <v>1614953</v>
      </c>
      <c r="F96" s="76" t="s">
        <v>20</v>
      </c>
      <c r="G96" s="77">
        <v>20010992</v>
      </c>
      <c r="H96" s="76" t="s">
        <v>44</v>
      </c>
      <c r="I96" s="77">
        <v>1</v>
      </c>
      <c r="J96" s="78">
        <v>11.2</v>
      </c>
      <c r="K96" s="78">
        <f t="shared" ref="K96:K126" si="3">J96*I96</f>
        <v>11.2</v>
      </c>
    </row>
    <row r="97" spans="4:11">
      <c r="D97" s="75">
        <v>46198</v>
      </c>
      <c r="E97" s="76">
        <v>1614953</v>
      </c>
      <c r="F97" s="76" t="s">
        <v>15</v>
      </c>
      <c r="G97" s="77">
        <v>20006825</v>
      </c>
      <c r="H97" s="76" t="s">
        <v>60</v>
      </c>
      <c r="I97" s="77">
        <v>1</v>
      </c>
      <c r="J97" s="78">
        <v>9.1</v>
      </c>
      <c r="K97" s="78">
        <f t="shared" si="3"/>
        <v>9.1</v>
      </c>
    </row>
    <row r="98" spans="4:11">
      <c r="D98" s="75">
        <v>46198</v>
      </c>
      <c r="E98" s="76">
        <v>1614953</v>
      </c>
      <c r="F98" s="76" t="s">
        <v>15</v>
      </c>
      <c r="G98" s="77">
        <v>20006827</v>
      </c>
      <c r="H98" s="76" t="s">
        <v>61</v>
      </c>
      <c r="I98" s="77">
        <v>1</v>
      </c>
      <c r="J98" s="78">
        <v>7.7</v>
      </c>
      <c r="K98" s="78">
        <f t="shared" si="3"/>
        <v>7.7</v>
      </c>
    </row>
    <row r="99" spans="4:11">
      <c r="D99" s="75">
        <v>46198</v>
      </c>
      <c r="E99" s="76">
        <v>1614953</v>
      </c>
      <c r="F99" s="76" t="s">
        <v>15</v>
      </c>
      <c r="G99" s="77">
        <v>20008322</v>
      </c>
      <c r="H99" s="76" t="s">
        <v>17</v>
      </c>
      <c r="I99" s="77">
        <v>2</v>
      </c>
      <c r="J99" s="78">
        <v>5.6</v>
      </c>
      <c r="K99" s="78">
        <f t="shared" si="3"/>
        <v>11.2</v>
      </c>
    </row>
    <row r="100" spans="4:11">
      <c r="D100" s="75">
        <v>46198</v>
      </c>
      <c r="E100" s="76">
        <v>1614953</v>
      </c>
      <c r="F100" s="76" t="s">
        <v>15</v>
      </c>
      <c r="G100" s="77">
        <v>20006824</v>
      </c>
      <c r="H100" s="76" t="s">
        <v>65</v>
      </c>
      <c r="I100" s="77">
        <v>1</v>
      </c>
      <c r="J100" s="78">
        <v>7.7</v>
      </c>
      <c r="K100" s="78">
        <f t="shared" si="3"/>
        <v>7.7</v>
      </c>
    </row>
    <row r="101" spans="4:11">
      <c r="D101" s="75">
        <v>46198</v>
      </c>
      <c r="E101" s="76">
        <v>1614953</v>
      </c>
      <c r="F101" s="76" t="s">
        <v>15</v>
      </c>
      <c r="G101" s="77">
        <v>20321383</v>
      </c>
      <c r="H101" s="76" t="s">
        <v>23</v>
      </c>
      <c r="I101" s="77">
        <v>2</v>
      </c>
      <c r="J101" s="78">
        <v>5.6</v>
      </c>
      <c r="K101" s="78">
        <f t="shared" si="3"/>
        <v>11.2</v>
      </c>
    </row>
    <row r="102" spans="4:11">
      <c r="D102" s="75">
        <v>46198</v>
      </c>
      <c r="E102" s="76">
        <v>1614953</v>
      </c>
      <c r="F102" s="76" t="s">
        <v>15</v>
      </c>
      <c r="G102" s="77">
        <v>20009761</v>
      </c>
      <c r="H102" s="76" t="s">
        <v>45</v>
      </c>
      <c r="I102" s="77">
        <v>1</v>
      </c>
      <c r="J102" s="78">
        <v>9.1</v>
      </c>
      <c r="K102" s="78">
        <f t="shared" si="3"/>
        <v>9.1</v>
      </c>
    </row>
    <row r="103" spans="4:11">
      <c r="D103" s="75">
        <v>46198</v>
      </c>
      <c r="E103" s="76">
        <v>1614975</v>
      </c>
      <c r="F103" s="76" t="s">
        <v>40</v>
      </c>
      <c r="G103" s="77">
        <v>20006863</v>
      </c>
      <c r="H103" s="76" t="s">
        <v>41</v>
      </c>
      <c r="I103" s="77">
        <v>1</v>
      </c>
      <c r="J103" s="78">
        <v>24.5</v>
      </c>
      <c r="K103" s="78">
        <f t="shared" si="3"/>
        <v>24.5</v>
      </c>
    </row>
    <row r="104" spans="4:11">
      <c r="D104" s="75">
        <v>46198</v>
      </c>
      <c r="E104" s="76">
        <v>1614975</v>
      </c>
      <c r="F104" s="76" t="s">
        <v>42</v>
      </c>
      <c r="G104" s="77">
        <v>20388680</v>
      </c>
      <c r="H104" s="76" t="s">
        <v>43</v>
      </c>
      <c r="I104" s="77">
        <v>1</v>
      </c>
      <c r="J104" s="78">
        <v>46.2</v>
      </c>
      <c r="K104" s="78">
        <f t="shared" si="3"/>
        <v>46.2</v>
      </c>
    </row>
    <row r="105" spans="4:11">
      <c r="D105" s="75">
        <v>46199</v>
      </c>
      <c r="E105" s="76">
        <v>1615323</v>
      </c>
      <c r="F105" s="76" t="s">
        <v>36</v>
      </c>
      <c r="G105" s="77">
        <v>20013604</v>
      </c>
      <c r="H105" s="76" t="s">
        <v>37</v>
      </c>
      <c r="I105" s="77">
        <v>5</v>
      </c>
      <c r="J105" s="78">
        <v>65.45</v>
      </c>
      <c r="K105" s="78">
        <f t="shared" si="3"/>
        <v>327.25</v>
      </c>
    </row>
    <row r="106" spans="4:11">
      <c r="D106" s="75">
        <v>46199</v>
      </c>
      <c r="E106" s="76">
        <v>1615323</v>
      </c>
      <c r="F106" s="76" t="s">
        <v>15</v>
      </c>
      <c r="G106" s="77">
        <v>20006824</v>
      </c>
      <c r="H106" s="76" t="s">
        <v>65</v>
      </c>
      <c r="I106" s="77">
        <v>1</v>
      </c>
      <c r="J106" s="78">
        <v>7.7</v>
      </c>
      <c r="K106" s="78">
        <f t="shared" si="3"/>
        <v>7.7</v>
      </c>
    </row>
    <row r="107" spans="4:11">
      <c r="D107" s="75">
        <v>46199</v>
      </c>
      <c r="E107" s="76">
        <v>1615323</v>
      </c>
      <c r="F107" s="76" t="s">
        <v>15</v>
      </c>
      <c r="G107" s="77">
        <v>20423877</v>
      </c>
      <c r="H107" s="76" t="s">
        <v>48</v>
      </c>
      <c r="I107" s="77">
        <v>1</v>
      </c>
      <c r="J107" s="78">
        <v>26.95</v>
      </c>
      <c r="K107" s="78">
        <f t="shared" si="3"/>
        <v>26.95</v>
      </c>
    </row>
    <row r="108" spans="4:11">
      <c r="D108" s="75">
        <v>46199</v>
      </c>
      <c r="E108" s="76">
        <v>1615323</v>
      </c>
      <c r="F108" s="76" t="s">
        <v>15</v>
      </c>
      <c r="G108" s="77">
        <v>20390844</v>
      </c>
      <c r="H108" s="76" t="s">
        <v>67</v>
      </c>
      <c r="I108" s="77">
        <v>1</v>
      </c>
      <c r="J108" s="78">
        <v>19.25</v>
      </c>
      <c r="K108" s="78">
        <f t="shared" si="3"/>
        <v>19.25</v>
      </c>
    </row>
    <row r="109" spans="4:11">
      <c r="D109" s="75">
        <v>46199</v>
      </c>
      <c r="E109" s="76">
        <v>1615323</v>
      </c>
      <c r="F109" s="76" t="s">
        <v>15</v>
      </c>
      <c r="G109" s="77">
        <v>20006819</v>
      </c>
      <c r="H109" s="76" t="s">
        <v>68</v>
      </c>
      <c r="I109" s="77">
        <v>1</v>
      </c>
      <c r="J109" s="78">
        <v>5.6</v>
      </c>
      <c r="K109" s="78">
        <f t="shared" si="3"/>
        <v>5.6</v>
      </c>
    </row>
    <row r="110" spans="4:11">
      <c r="D110" s="75">
        <v>46199</v>
      </c>
      <c r="E110" s="76">
        <v>1615323</v>
      </c>
      <c r="F110" s="76" t="s">
        <v>15</v>
      </c>
      <c r="G110" s="77">
        <v>20006832</v>
      </c>
      <c r="H110" s="76" t="s">
        <v>50</v>
      </c>
      <c r="I110" s="77">
        <v>1</v>
      </c>
      <c r="J110" s="78">
        <v>5.6</v>
      </c>
      <c r="K110" s="78">
        <f t="shared" si="3"/>
        <v>5.6</v>
      </c>
    </row>
    <row r="111" spans="4:11">
      <c r="D111" s="75">
        <v>46199</v>
      </c>
      <c r="E111" s="76">
        <v>1615323</v>
      </c>
      <c r="F111" s="76" t="s">
        <v>15</v>
      </c>
      <c r="G111" s="77">
        <v>20321383</v>
      </c>
      <c r="H111" s="76" t="s">
        <v>23</v>
      </c>
      <c r="I111" s="77">
        <v>1</v>
      </c>
      <c r="J111" s="78">
        <v>5.6</v>
      </c>
      <c r="K111" s="78">
        <f t="shared" si="3"/>
        <v>5.6</v>
      </c>
    </row>
    <row r="112" spans="4:11">
      <c r="D112" s="75">
        <v>46199</v>
      </c>
      <c r="E112" s="76">
        <v>1615323</v>
      </c>
      <c r="F112" s="76" t="s">
        <v>15</v>
      </c>
      <c r="G112" s="77">
        <v>20006817</v>
      </c>
      <c r="H112" s="76" t="s">
        <v>38</v>
      </c>
      <c r="I112" s="77">
        <v>1</v>
      </c>
      <c r="J112" s="78">
        <v>5.6</v>
      </c>
      <c r="K112" s="78">
        <f t="shared" si="3"/>
        <v>5.6</v>
      </c>
    </row>
    <row r="113" spans="4:11">
      <c r="D113" s="75">
        <v>46199</v>
      </c>
      <c r="E113" s="76">
        <v>1615590</v>
      </c>
      <c r="F113" s="76" t="s">
        <v>36</v>
      </c>
      <c r="G113" s="77">
        <v>20013604</v>
      </c>
      <c r="H113" s="76" t="s">
        <v>37</v>
      </c>
      <c r="I113" s="77">
        <v>2</v>
      </c>
      <c r="J113" s="78">
        <v>65.45</v>
      </c>
      <c r="K113" s="78">
        <f t="shared" si="3"/>
        <v>130.9</v>
      </c>
    </row>
    <row r="114" spans="4:11">
      <c r="D114" s="75">
        <v>46199</v>
      </c>
      <c r="E114" s="76">
        <v>1615590</v>
      </c>
      <c r="F114" s="76" t="s">
        <v>15</v>
      </c>
      <c r="G114" s="77">
        <v>20006827</v>
      </c>
      <c r="H114" s="76" t="s">
        <v>61</v>
      </c>
      <c r="I114" s="77">
        <v>1</v>
      </c>
      <c r="J114" s="78">
        <v>7.7</v>
      </c>
      <c r="K114" s="78">
        <f t="shared" si="3"/>
        <v>7.7</v>
      </c>
    </row>
    <row r="115" spans="4:11">
      <c r="D115" s="75">
        <v>46199</v>
      </c>
      <c r="E115" s="76">
        <v>1615590</v>
      </c>
      <c r="F115" s="76" t="s">
        <v>15</v>
      </c>
      <c r="G115" s="77">
        <v>20321383</v>
      </c>
      <c r="H115" s="76" t="s">
        <v>23</v>
      </c>
      <c r="I115" s="77">
        <v>1</v>
      </c>
      <c r="J115" s="78">
        <v>5.6</v>
      </c>
      <c r="K115" s="78">
        <f t="shared" si="3"/>
        <v>5.6</v>
      </c>
    </row>
    <row r="116" spans="4:11">
      <c r="D116" s="75">
        <v>46199</v>
      </c>
      <c r="E116" s="76">
        <v>1615590</v>
      </c>
      <c r="F116" s="76" t="s">
        <v>15</v>
      </c>
      <c r="G116" s="77">
        <v>20014828</v>
      </c>
      <c r="H116" s="76" t="s">
        <v>18</v>
      </c>
      <c r="I116" s="77">
        <v>1</v>
      </c>
      <c r="J116" s="78">
        <v>5.6</v>
      </c>
      <c r="K116" s="78">
        <f t="shared" si="3"/>
        <v>5.6</v>
      </c>
    </row>
    <row r="117" spans="4:11">
      <c r="D117" s="75">
        <v>46200</v>
      </c>
      <c r="E117" s="76">
        <v>1615633</v>
      </c>
      <c r="F117" s="76" t="s">
        <v>40</v>
      </c>
      <c r="G117" s="77">
        <v>20006863</v>
      </c>
      <c r="H117" s="76" t="s">
        <v>41</v>
      </c>
      <c r="I117" s="77">
        <v>1</v>
      </c>
      <c r="J117" s="78">
        <v>24.5</v>
      </c>
      <c r="K117" s="78">
        <f t="shared" si="3"/>
        <v>24.5</v>
      </c>
    </row>
    <row r="118" spans="4:11">
      <c r="D118" s="75">
        <v>46200</v>
      </c>
      <c r="E118" s="76">
        <v>1615633</v>
      </c>
      <c r="F118" s="76" t="s">
        <v>42</v>
      </c>
      <c r="G118" s="77">
        <v>20388680</v>
      </c>
      <c r="H118" s="76" t="s">
        <v>43</v>
      </c>
      <c r="I118" s="77">
        <v>1</v>
      </c>
      <c r="J118" s="78">
        <v>46.2</v>
      </c>
      <c r="K118" s="78">
        <f t="shared" si="3"/>
        <v>46.2</v>
      </c>
    </row>
    <row r="119" spans="4:11">
      <c r="D119" s="75">
        <v>46203</v>
      </c>
      <c r="E119" s="76">
        <v>1616154</v>
      </c>
      <c r="F119" s="76" t="s">
        <v>36</v>
      </c>
      <c r="G119" s="77">
        <v>20013604</v>
      </c>
      <c r="H119" s="76" t="s">
        <v>37</v>
      </c>
      <c r="I119" s="77">
        <v>3</v>
      </c>
      <c r="J119" s="78">
        <v>65.45</v>
      </c>
      <c r="K119" s="78">
        <f t="shared" si="3"/>
        <v>196.35</v>
      </c>
    </row>
    <row r="120" spans="4:11">
      <c r="D120" s="75">
        <v>46203</v>
      </c>
      <c r="E120" s="76">
        <v>1616154</v>
      </c>
      <c r="F120" s="76" t="s">
        <v>15</v>
      </c>
      <c r="G120" s="77">
        <v>20006827</v>
      </c>
      <c r="H120" s="76" t="s">
        <v>61</v>
      </c>
      <c r="I120" s="77">
        <v>2</v>
      </c>
      <c r="J120" s="78">
        <v>7.7</v>
      </c>
      <c r="K120" s="78">
        <f t="shared" si="3"/>
        <v>15.4</v>
      </c>
    </row>
    <row r="121" spans="4:11">
      <c r="D121" s="75">
        <v>46203</v>
      </c>
      <c r="E121" s="76">
        <v>1616154</v>
      </c>
      <c r="F121" s="76" t="s">
        <v>15</v>
      </c>
      <c r="G121" s="77">
        <v>20390844</v>
      </c>
      <c r="H121" s="76" t="s">
        <v>67</v>
      </c>
      <c r="I121" s="77">
        <v>1</v>
      </c>
      <c r="J121" s="78">
        <v>19.25</v>
      </c>
      <c r="K121" s="78">
        <f t="shared" si="3"/>
        <v>19.25</v>
      </c>
    </row>
    <row r="122" spans="4:11">
      <c r="D122" s="75">
        <v>46203</v>
      </c>
      <c r="E122" s="76">
        <v>1616185</v>
      </c>
      <c r="F122" s="76" t="s">
        <v>40</v>
      </c>
      <c r="G122" s="77">
        <v>20006863</v>
      </c>
      <c r="H122" s="76" t="s">
        <v>41</v>
      </c>
      <c r="I122" s="77">
        <v>1</v>
      </c>
      <c r="J122" s="78">
        <v>24.5</v>
      </c>
      <c r="K122" s="78">
        <f t="shared" si="3"/>
        <v>24.5</v>
      </c>
    </row>
    <row r="123" spans="4:11">
      <c r="D123" s="75">
        <v>46203</v>
      </c>
      <c r="E123" s="76">
        <v>1616185</v>
      </c>
      <c r="F123" s="76" t="s">
        <v>42</v>
      </c>
      <c r="G123" s="77">
        <v>20388680</v>
      </c>
      <c r="H123" s="76" t="s">
        <v>43</v>
      </c>
      <c r="I123" s="77">
        <v>1</v>
      </c>
      <c r="J123" s="78">
        <v>46.2</v>
      </c>
      <c r="K123" s="78">
        <f t="shared" si="3"/>
        <v>46.2</v>
      </c>
    </row>
    <row r="124" spans="4:11">
      <c r="D124" s="75">
        <v>46203</v>
      </c>
      <c r="E124" s="76">
        <v>1616185</v>
      </c>
      <c r="F124" s="76" t="s">
        <v>42</v>
      </c>
      <c r="G124" s="77">
        <v>20388679</v>
      </c>
      <c r="H124" s="76" t="s">
        <v>69</v>
      </c>
      <c r="I124" s="77">
        <v>1</v>
      </c>
      <c r="J124" s="78">
        <v>30.8</v>
      </c>
      <c r="K124" s="78">
        <f t="shared" si="3"/>
        <v>30.8</v>
      </c>
    </row>
    <row r="125" spans="4:11">
      <c r="D125" s="75">
        <v>46203</v>
      </c>
      <c r="E125" s="76">
        <v>1616446</v>
      </c>
      <c r="F125" s="76" t="s">
        <v>40</v>
      </c>
      <c r="G125" s="77">
        <v>20006863</v>
      </c>
      <c r="H125" s="76" t="s">
        <v>41</v>
      </c>
      <c r="I125" s="77">
        <v>1</v>
      </c>
      <c r="J125" s="78">
        <v>24.5</v>
      </c>
      <c r="K125" s="78">
        <f t="shared" si="3"/>
        <v>24.5</v>
      </c>
    </row>
    <row r="126" spans="4:11">
      <c r="D126" s="75">
        <v>46203</v>
      </c>
      <c r="E126" s="76">
        <v>1616446</v>
      </c>
      <c r="F126" s="76" t="s">
        <v>42</v>
      </c>
      <c r="G126" s="77">
        <v>20388680</v>
      </c>
      <c r="H126" s="76" t="s">
        <v>43</v>
      </c>
      <c r="I126" s="77">
        <v>1</v>
      </c>
      <c r="J126" s="78">
        <v>46.2</v>
      </c>
      <c r="K126" s="78">
        <f t="shared" si="3"/>
        <v>46.2</v>
      </c>
    </row>
    <row r="127" ht="0.05" customHeight="1"/>
  </sheetData>
  <autoFilter xmlns:etc="http://www.wps.cn/officeDocument/2017/etCustomData" ref="A7:K126" etc:filterBottomFollowUsedRange="0">
    <extLst/>
  </autoFilter>
  <mergeCells count="5">
    <mergeCell ref="D8:H8"/>
    <mergeCell ref="C7:C126"/>
    <mergeCell ref="B4:H5"/>
    <mergeCell ref="C1:H2"/>
    <mergeCell ref="A7:B12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70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f>SUM(I9:I63)</f>
        <v>63</v>
      </c>
      <c r="J8" s="74"/>
      <c r="K8" s="74">
        <f>SUM(K9:K63)</f>
        <v>2299.15</v>
      </c>
    </row>
    <row r="9" spans="1:11">
      <c r="D9" s="75">
        <v>46175</v>
      </c>
      <c r="E9" s="76">
        <v>1608332</v>
      </c>
      <c r="F9" s="76" t="s">
        <v>15</v>
      </c>
      <c r="G9" s="77">
        <v>20391282</v>
      </c>
      <c r="H9" s="76" t="s">
        <v>48</v>
      </c>
      <c r="I9" s="77">
        <v>1</v>
      </c>
      <c r="J9" s="78">
        <v>26.95</v>
      </c>
      <c r="K9" s="78">
        <f>J9*I9</f>
        <v>26.95</v>
      </c>
    </row>
    <row r="10" spans="1:11">
      <c r="D10" s="75">
        <v>46175</v>
      </c>
      <c r="E10" s="76">
        <v>1608332</v>
      </c>
      <c r="F10" s="76" t="s">
        <v>15</v>
      </c>
      <c r="G10" s="77">
        <v>20391281</v>
      </c>
      <c r="H10" s="76" t="s">
        <v>71</v>
      </c>
      <c r="I10" s="77">
        <v>1</v>
      </c>
      <c r="J10" s="78">
        <v>23.1</v>
      </c>
      <c r="K10" s="78">
        <f t="shared" ref="K10:K63" si="0">J10*I10</f>
        <v>23.1</v>
      </c>
    </row>
    <row r="11" spans="1:11">
      <c r="D11" s="75">
        <v>46175</v>
      </c>
      <c r="E11" s="76">
        <v>1608332</v>
      </c>
      <c r="F11" s="76" t="s">
        <v>25</v>
      </c>
      <c r="G11" s="77">
        <v>20391163</v>
      </c>
      <c r="H11" s="76" t="s">
        <v>72</v>
      </c>
      <c r="I11" s="77">
        <v>2</v>
      </c>
      <c r="J11" s="78">
        <v>42.35</v>
      </c>
      <c r="K11" s="78">
        <f t="shared" si="0"/>
        <v>84.7</v>
      </c>
    </row>
    <row r="12" spans="1:11">
      <c r="D12" s="75">
        <v>46175</v>
      </c>
      <c r="E12" s="76">
        <v>1608357</v>
      </c>
      <c r="F12" s="76" t="s">
        <v>40</v>
      </c>
      <c r="G12" s="77">
        <v>20384116</v>
      </c>
      <c r="H12" s="76" t="s">
        <v>73</v>
      </c>
      <c r="I12" s="77">
        <v>1</v>
      </c>
      <c r="J12" s="78">
        <v>77</v>
      </c>
      <c r="K12" s="78">
        <f t="shared" si="0"/>
        <v>77</v>
      </c>
    </row>
    <row r="13" spans="1:11">
      <c r="D13" s="75">
        <v>46175</v>
      </c>
      <c r="E13" s="76">
        <v>1608357</v>
      </c>
      <c r="F13" s="76" t="s">
        <v>40</v>
      </c>
      <c r="G13" s="77">
        <v>20007633</v>
      </c>
      <c r="H13" s="76" t="s">
        <v>74</v>
      </c>
      <c r="I13" s="77">
        <v>1</v>
      </c>
      <c r="J13" s="78">
        <v>24.5</v>
      </c>
      <c r="K13" s="78">
        <f t="shared" si="0"/>
        <v>24.5</v>
      </c>
    </row>
    <row r="14" spans="1:11">
      <c r="D14" s="75">
        <v>46175</v>
      </c>
      <c r="E14" s="76">
        <v>1608357</v>
      </c>
      <c r="F14" s="76" t="s">
        <v>42</v>
      </c>
      <c r="G14" s="77">
        <v>20390423</v>
      </c>
      <c r="H14" s="76" t="s">
        <v>75</v>
      </c>
      <c r="I14" s="77">
        <v>1</v>
      </c>
      <c r="J14" s="78">
        <v>19.6</v>
      </c>
      <c r="K14" s="78">
        <f t="shared" si="0"/>
        <v>19.6</v>
      </c>
    </row>
    <row r="15" spans="1:11">
      <c r="D15" s="75">
        <v>46176</v>
      </c>
      <c r="E15" s="76">
        <v>1609024</v>
      </c>
      <c r="F15" s="76" t="s">
        <v>25</v>
      </c>
      <c r="G15" s="77">
        <v>20391163</v>
      </c>
      <c r="H15" s="76" t="s">
        <v>72</v>
      </c>
      <c r="I15" s="77">
        <v>2</v>
      </c>
      <c r="J15" s="78">
        <v>42.35</v>
      </c>
      <c r="K15" s="78">
        <f t="shared" si="0"/>
        <v>84.7</v>
      </c>
    </row>
    <row r="16" spans="1:11">
      <c r="D16" s="75">
        <v>46177</v>
      </c>
      <c r="E16" s="76">
        <v>1609108</v>
      </c>
      <c r="F16" s="76" t="s">
        <v>15</v>
      </c>
      <c r="G16" s="77">
        <v>20391282</v>
      </c>
      <c r="H16" s="76" t="s">
        <v>48</v>
      </c>
      <c r="I16" s="77">
        <v>1</v>
      </c>
      <c r="J16" s="78">
        <v>26.95</v>
      </c>
      <c r="K16" s="78">
        <f t="shared" si="0"/>
        <v>26.95</v>
      </c>
    </row>
    <row r="17" spans="4:11">
      <c r="D17" s="75">
        <v>46177</v>
      </c>
      <c r="E17" s="76">
        <v>1609108</v>
      </c>
      <c r="F17" s="76" t="s">
        <v>15</v>
      </c>
      <c r="G17" s="77">
        <v>20391281</v>
      </c>
      <c r="H17" s="76" t="s">
        <v>71</v>
      </c>
      <c r="I17" s="77">
        <v>1</v>
      </c>
      <c r="J17" s="78">
        <v>23.1</v>
      </c>
      <c r="K17" s="78">
        <f t="shared" si="0"/>
        <v>23.1</v>
      </c>
    </row>
    <row r="18" spans="4:11">
      <c r="D18" s="75">
        <v>46177</v>
      </c>
      <c r="E18" s="76">
        <v>1609120</v>
      </c>
      <c r="F18" s="76" t="s">
        <v>40</v>
      </c>
      <c r="G18" s="77">
        <v>20384116</v>
      </c>
      <c r="H18" s="76" t="s">
        <v>73</v>
      </c>
      <c r="I18" s="77">
        <v>1</v>
      </c>
      <c r="J18" s="78">
        <v>77</v>
      </c>
      <c r="K18" s="78">
        <f t="shared" si="0"/>
        <v>77</v>
      </c>
    </row>
    <row r="19" spans="4:11">
      <c r="D19" s="75">
        <v>46177</v>
      </c>
      <c r="E19" s="76">
        <v>1609120</v>
      </c>
      <c r="F19" s="76" t="s">
        <v>40</v>
      </c>
      <c r="G19" s="77">
        <v>20007633</v>
      </c>
      <c r="H19" s="76" t="s">
        <v>74</v>
      </c>
      <c r="I19" s="77">
        <v>1</v>
      </c>
      <c r="J19" s="78">
        <v>24.5</v>
      </c>
      <c r="K19" s="78">
        <f t="shared" si="0"/>
        <v>24.5</v>
      </c>
    </row>
    <row r="20" spans="4:11">
      <c r="D20" s="75">
        <v>46177</v>
      </c>
      <c r="E20" s="76">
        <v>1609120</v>
      </c>
      <c r="F20" s="76" t="s">
        <v>42</v>
      </c>
      <c r="G20" s="77">
        <v>20390423</v>
      </c>
      <c r="H20" s="76" t="s">
        <v>75</v>
      </c>
      <c r="I20" s="77">
        <v>1</v>
      </c>
      <c r="J20" s="78">
        <v>19.6</v>
      </c>
      <c r="K20" s="78">
        <f t="shared" si="0"/>
        <v>19.6</v>
      </c>
    </row>
    <row r="21" spans="4:11">
      <c r="D21" s="75">
        <v>46178</v>
      </c>
      <c r="E21" s="76">
        <v>1609441</v>
      </c>
      <c r="F21" s="76" t="s">
        <v>15</v>
      </c>
      <c r="G21" s="77">
        <v>20391281</v>
      </c>
      <c r="H21" s="76" t="s">
        <v>71</v>
      </c>
      <c r="I21" s="77">
        <v>1</v>
      </c>
      <c r="J21" s="78">
        <v>23.1</v>
      </c>
      <c r="K21" s="78">
        <f t="shared" si="0"/>
        <v>23.1</v>
      </c>
    </row>
    <row r="22" spans="4:11">
      <c r="D22" s="75">
        <v>46178</v>
      </c>
      <c r="E22" s="76">
        <v>1609441</v>
      </c>
      <c r="F22" s="76" t="s">
        <v>25</v>
      </c>
      <c r="G22" s="77">
        <v>20391163</v>
      </c>
      <c r="H22" s="76" t="s">
        <v>72</v>
      </c>
      <c r="I22" s="77">
        <v>2</v>
      </c>
      <c r="J22" s="78">
        <v>42.35</v>
      </c>
      <c r="K22" s="78">
        <f t="shared" si="0"/>
        <v>84.7</v>
      </c>
    </row>
    <row r="23" spans="4:11">
      <c r="D23" s="75">
        <v>46178</v>
      </c>
      <c r="E23" s="76">
        <v>1609499</v>
      </c>
      <c r="F23" s="76" t="s">
        <v>40</v>
      </c>
      <c r="G23" s="77">
        <v>20384116</v>
      </c>
      <c r="H23" s="76" t="s">
        <v>73</v>
      </c>
      <c r="I23" s="77">
        <v>1</v>
      </c>
      <c r="J23" s="78">
        <v>77</v>
      </c>
      <c r="K23" s="78">
        <f t="shared" si="0"/>
        <v>77</v>
      </c>
    </row>
    <row r="24" spans="4:11">
      <c r="D24" s="75">
        <v>46178</v>
      </c>
      <c r="E24" s="76">
        <v>1609499</v>
      </c>
      <c r="F24" s="76" t="s">
        <v>40</v>
      </c>
      <c r="G24" s="77">
        <v>20007633</v>
      </c>
      <c r="H24" s="76" t="s">
        <v>74</v>
      </c>
      <c r="I24" s="77">
        <v>1</v>
      </c>
      <c r="J24" s="78">
        <v>24.5</v>
      </c>
      <c r="K24" s="78">
        <f t="shared" si="0"/>
        <v>24.5</v>
      </c>
    </row>
    <row r="25" spans="4:11">
      <c r="D25" s="75">
        <v>46178</v>
      </c>
      <c r="E25" s="76">
        <v>1609499</v>
      </c>
      <c r="F25" s="76" t="s">
        <v>42</v>
      </c>
      <c r="G25" s="77">
        <v>20390423</v>
      </c>
      <c r="H25" s="76" t="s">
        <v>75</v>
      </c>
      <c r="I25" s="77">
        <v>1</v>
      </c>
      <c r="J25" s="78">
        <v>19.6</v>
      </c>
      <c r="K25" s="78">
        <f t="shared" si="0"/>
        <v>19.6</v>
      </c>
    </row>
    <row r="26" spans="4:11">
      <c r="D26" s="75">
        <v>46179</v>
      </c>
      <c r="E26" s="76">
        <v>1609888</v>
      </c>
      <c r="F26" s="76" t="s">
        <v>15</v>
      </c>
      <c r="G26" s="77">
        <v>20391281</v>
      </c>
      <c r="H26" s="76" t="s">
        <v>71</v>
      </c>
      <c r="I26" s="77">
        <v>1</v>
      </c>
      <c r="J26" s="78">
        <v>23.1</v>
      </c>
      <c r="K26" s="78">
        <f t="shared" si="0"/>
        <v>23.1</v>
      </c>
    </row>
    <row r="27" spans="4:11">
      <c r="D27" s="75">
        <v>46179</v>
      </c>
      <c r="E27" s="76">
        <v>1609888</v>
      </c>
      <c r="F27" s="76" t="s">
        <v>25</v>
      </c>
      <c r="G27" s="77">
        <v>20391163</v>
      </c>
      <c r="H27" s="76" t="s">
        <v>72</v>
      </c>
      <c r="I27" s="77">
        <v>1</v>
      </c>
      <c r="J27" s="78">
        <v>42.35</v>
      </c>
      <c r="K27" s="78">
        <f t="shared" si="0"/>
        <v>42.35</v>
      </c>
    </row>
    <row r="28" spans="4:11">
      <c r="D28" s="75">
        <v>46182</v>
      </c>
      <c r="E28" s="76">
        <v>1610382</v>
      </c>
      <c r="F28" s="76" t="s">
        <v>15</v>
      </c>
      <c r="G28" s="77">
        <v>20428980</v>
      </c>
      <c r="H28" s="76" t="s">
        <v>76</v>
      </c>
      <c r="I28" s="77">
        <v>1</v>
      </c>
      <c r="J28" s="78">
        <v>50.05</v>
      </c>
      <c r="K28" s="78">
        <f t="shared" si="0"/>
        <v>50.05</v>
      </c>
    </row>
    <row r="29" spans="4:11">
      <c r="D29" s="75">
        <v>46182</v>
      </c>
      <c r="E29" s="76">
        <v>1610382</v>
      </c>
      <c r="F29" s="76" t="s">
        <v>15</v>
      </c>
      <c r="G29" s="77">
        <v>20391281</v>
      </c>
      <c r="H29" s="76" t="s">
        <v>71</v>
      </c>
      <c r="I29" s="77">
        <v>1</v>
      </c>
      <c r="J29" s="78">
        <v>23.1</v>
      </c>
      <c r="K29" s="78">
        <f t="shared" si="0"/>
        <v>23.1</v>
      </c>
    </row>
    <row r="30" spans="4:11">
      <c r="D30" s="75">
        <v>46182</v>
      </c>
      <c r="E30" s="76">
        <v>1610382</v>
      </c>
      <c r="F30" s="76" t="s">
        <v>25</v>
      </c>
      <c r="G30" s="77">
        <v>20391163</v>
      </c>
      <c r="H30" s="76" t="s">
        <v>72</v>
      </c>
      <c r="I30" s="77">
        <v>2</v>
      </c>
      <c r="J30" s="78">
        <v>42.35</v>
      </c>
      <c r="K30" s="78">
        <f t="shared" si="0"/>
        <v>84.7</v>
      </c>
    </row>
    <row r="31" spans="4:11">
      <c r="D31" s="75">
        <v>46182</v>
      </c>
      <c r="E31" s="76">
        <v>1610466</v>
      </c>
      <c r="F31" s="76" t="s">
        <v>40</v>
      </c>
      <c r="G31" s="77">
        <v>20384116</v>
      </c>
      <c r="H31" s="76" t="s">
        <v>73</v>
      </c>
      <c r="I31" s="77">
        <v>1</v>
      </c>
      <c r="J31" s="78">
        <v>77</v>
      </c>
      <c r="K31" s="78">
        <f t="shared" si="0"/>
        <v>77</v>
      </c>
    </row>
    <row r="32" spans="4:11">
      <c r="D32" s="75">
        <v>46182</v>
      </c>
      <c r="E32" s="76">
        <v>1610466</v>
      </c>
      <c r="F32" s="76" t="s">
        <v>40</v>
      </c>
      <c r="G32" s="77">
        <v>20007633</v>
      </c>
      <c r="H32" s="76" t="s">
        <v>74</v>
      </c>
      <c r="I32" s="77">
        <v>1</v>
      </c>
      <c r="J32" s="78">
        <v>24.5</v>
      </c>
      <c r="K32" s="78">
        <f t="shared" si="0"/>
        <v>24.5</v>
      </c>
    </row>
    <row r="33" spans="4:11">
      <c r="D33" s="75">
        <v>46182</v>
      </c>
      <c r="E33" s="76">
        <v>1610466</v>
      </c>
      <c r="F33" s="76" t="s">
        <v>42</v>
      </c>
      <c r="G33" s="77">
        <v>20390423</v>
      </c>
      <c r="H33" s="76" t="s">
        <v>75</v>
      </c>
      <c r="I33" s="77">
        <v>1</v>
      </c>
      <c r="J33" s="78">
        <v>19.6</v>
      </c>
      <c r="K33" s="78">
        <f t="shared" si="0"/>
        <v>19.6</v>
      </c>
    </row>
    <row r="34" spans="4:11">
      <c r="D34" s="75">
        <v>46183</v>
      </c>
      <c r="E34" s="76">
        <v>1610860</v>
      </c>
      <c r="F34" s="76" t="s">
        <v>15</v>
      </c>
      <c r="G34" s="77">
        <v>20391282</v>
      </c>
      <c r="H34" s="76" t="s">
        <v>48</v>
      </c>
      <c r="I34" s="77">
        <v>1</v>
      </c>
      <c r="J34" s="78">
        <v>26.95</v>
      </c>
      <c r="K34" s="78">
        <f t="shared" si="0"/>
        <v>26.95</v>
      </c>
    </row>
    <row r="35" spans="4:11">
      <c r="D35" s="75">
        <v>46185</v>
      </c>
      <c r="E35" s="76">
        <v>1611609</v>
      </c>
      <c r="F35" s="76" t="s">
        <v>15</v>
      </c>
      <c r="G35" s="77">
        <v>20391282</v>
      </c>
      <c r="H35" s="76" t="s">
        <v>48</v>
      </c>
      <c r="I35" s="77">
        <v>1</v>
      </c>
      <c r="J35" s="78">
        <v>26.95</v>
      </c>
      <c r="K35" s="78">
        <f t="shared" si="0"/>
        <v>26.95</v>
      </c>
    </row>
    <row r="36" spans="4:11">
      <c r="D36" s="75">
        <v>46185</v>
      </c>
      <c r="E36" s="76">
        <v>1611609</v>
      </c>
      <c r="F36" s="76" t="s">
        <v>15</v>
      </c>
      <c r="G36" s="77">
        <v>20391281</v>
      </c>
      <c r="H36" s="76" t="s">
        <v>71</v>
      </c>
      <c r="I36" s="77">
        <v>1</v>
      </c>
      <c r="J36" s="78">
        <v>23.1</v>
      </c>
      <c r="K36" s="78">
        <f t="shared" si="0"/>
        <v>23.1</v>
      </c>
    </row>
    <row r="37" spans="4:11">
      <c r="D37" s="75">
        <v>46185</v>
      </c>
      <c r="E37" s="76">
        <v>1611609</v>
      </c>
      <c r="F37" s="76" t="s">
        <v>25</v>
      </c>
      <c r="G37" s="77">
        <v>20391163</v>
      </c>
      <c r="H37" s="76" t="s">
        <v>72</v>
      </c>
      <c r="I37" s="77">
        <v>2</v>
      </c>
      <c r="J37" s="78">
        <v>42.35</v>
      </c>
      <c r="K37" s="78">
        <f t="shared" si="0"/>
        <v>84.7</v>
      </c>
    </row>
    <row r="38" spans="4:11">
      <c r="D38" s="75">
        <v>46185</v>
      </c>
      <c r="E38" s="76">
        <v>1611623</v>
      </c>
      <c r="F38" s="76" t="s">
        <v>40</v>
      </c>
      <c r="G38" s="77">
        <v>20384116</v>
      </c>
      <c r="H38" s="76" t="s">
        <v>73</v>
      </c>
      <c r="I38" s="77">
        <v>1</v>
      </c>
      <c r="J38" s="78">
        <v>77</v>
      </c>
      <c r="K38" s="78">
        <f t="shared" si="0"/>
        <v>77</v>
      </c>
    </row>
    <row r="39" spans="4:11">
      <c r="D39" s="75">
        <v>46185</v>
      </c>
      <c r="E39" s="76">
        <v>1611623</v>
      </c>
      <c r="F39" s="76" t="s">
        <v>40</v>
      </c>
      <c r="G39" s="77">
        <v>20007633</v>
      </c>
      <c r="H39" s="76" t="s">
        <v>74</v>
      </c>
      <c r="I39" s="77">
        <v>1</v>
      </c>
      <c r="J39" s="78">
        <v>24.5</v>
      </c>
      <c r="K39" s="78">
        <f t="shared" si="0"/>
        <v>24.5</v>
      </c>
    </row>
    <row r="40" spans="4:11">
      <c r="D40" s="75">
        <v>46185</v>
      </c>
      <c r="E40" s="76">
        <v>1611623</v>
      </c>
      <c r="F40" s="76" t="s">
        <v>42</v>
      </c>
      <c r="G40" s="77">
        <v>20390423</v>
      </c>
      <c r="H40" s="76" t="s">
        <v>75</v>
      </c>
      <c r="I40" s="77">
        <v>1</v>
      </c>
      <c r="J40" s="78">
        <v>19.6</v>
      </c>
      <c r="K40" s="78">
        <f t="shared" si="0"/>
        <v>19.6</v>
      </c>
    </row>
    <row r="41" spans="4:11">
      <c r="D41" s="75">
        <v>46191</v>
      </c>
      <c r="E41" s="76">
        <v>1613510</v>
      </c>
      <c r="F41" s="76" t="s">
        <v>40</v>
      </c>
      <c r="G41" s="77">
        <v>20384116</v>
      </c>
      <c r="H41" s="76" t="s">
        <v>73</v>
      </c>
      <c r="I41" s="77">
        <v>1</v>
      </c>
      <c r="J41" s="78">
        <v>77</v>
      </c>
      <c r="K41" s="78">
        <f t="shared" si="0"/>
        <v>77</v>
      </c>
    </row>
    <row r="42" spans="4:11">
      <c r="D42" s="75">
        <v>46191</v>
      </c>
      <c r="E42" s="76">
        <v>1613510</v>
      </c>
      <c r="F42" s="76" t="s">
        <v>40</v>
      </c>
      <c r="G42" s="77">
        <v>20007633</v>
      </c>
      <c r="H42" s="76" t="s">
        <v>74</v>
      </c>
      <c r="I42" s="77">
        <v>1</v>
      </c>
      <c r="J42" s="78">
        <v>24.5</v>
      </c>
      <c r="K42" s="78">
        <f t="shared" si="0"/>
        <v>24.5</v>
      </c>
    </row>
    <row r="43" spans="4:11">
      <c r="D43" s="75">
        <v>46191</v>
      </c>
      <c r="E43" s="76">
        <v>1613510</v>
      </c>
      <c r="F43" s="76" t="s">
        <v>42</v>
      </c>
      <c r="G43" s="77">
        <v>20390423</v>
      </c>
      <c r="H43" s="76" t="s">
        <v>75</v>
      </c>
      <c r="I43" s="77">
        <v>1</v>
      </c>
      <c r="J43" s="78">
        <v>19.6</v>
      </c>
      <c r="K43" s="78">
        <f t="shared" si="0"/>
        <v>19.6</v>
      </c>
    </row>
    <row r="44" spans="4:11">
      <c r="D44" s="75">
        <v>46192</v>
      </c>
      <c r="E44" s="76">
        <v>1613573</v>
      </c>
      <c r="F44" s="76" t="s">
        <v>15</v>
      </c>
      <c r="G44" s="77">
        <v>20391282</v>
      </c>
      <c r="H44" s="76" t="s">
        <v>48</v>
      </c>
      <c r="I44" s="77">
        <v>1</v>
      </c>
      <c r="J44" s="78">
        <v>26.95</v>
      </c>
      <c r="K44" s="78">
        <f t="shared" si="0"/>
        <v>26.95</v>
      </c>
    </row>
    <row r="45" spans="4:11">
      <c r="D45" s="75">
        <v>46192</v>
      </c>
      <c r="E45" s="76">
        <v>1613573</v>
      </c>
      <c r="F45" s="76" t="s">
        <v>15</v>
      </c>
      <c r="G45" s="77">
        <v>20391281</v>
      </c>
      <c r="H45" s="76" t="s">
        <v>71</v>
      </c>
      <c r="I45" s="77">
        <v>1</v>
      </c>
      <c r="J45" s="78">
        <v>23.1</v>
      </c>
      <c r="K45" s="78">
        <f t="shared" si="0"/>
        <v>23.1</v>
      </c>
    </row>
    <row r="46" spans="4:11">
      <c r="D46" s="75">
        <v>46192</v>
      </c>
      <c r="E46" s="76">
        <v>1613573</v>
      </c>
      <c r="F46" s="76" t="s">
        <v>25</v>
      </c>
      <c r="G46" s="77">
        <v>20391163</v>
      </c>
      <c r="H46" s="76" t="s">
        <v>72</v>
      </c>
      <c r="I46" s="77">
        <v>2</v>
      </c>
      <c r="J46" s="78">
        <v>42.35</v>
      </c>
      <c r="K46" s="78">
        <f t="shared" si="0"/>
        <v>84.7</v>
      </c>
    </row>
    <row r="47" spans="4:11">
      <c r="D47" s="75">
        <v>46192</v>
      </c>
      <c r="E47" s="76">
        <v>1613726</v>
      </c>
      <c r="F47" s="76" t="s">
        <v>42</v>
      </c>
      <c r="G47" s="77">
        <v>20390423</v>
      </c>
      <c r="H47" s="76" t="s">
        <v>75</v>
      </c>
      <c r="I47" s="77">
        <v>1</v>
      </c>
      <c r="J47" s="78">
        <v>19.6</v>
      </c>
      <c r="K47" s="78">
        <f t="shared" si="0"/>
        <v>19.6</v>
      </c>
    </row>
    <row r="48" spans="4:11">
      <c r="D48" s="75">
        <v>46198</v>
      </c>
      <c r="E48" s="76">
        <v>1614976</v>
      </c>
      <c r="F48" s="76" t="s">
        <v>40</v>
      </c>
      <c r="G48" s="77">
        <v>20384116</v>
      </c>
      <c r="H48" s="76" t="s">
        <v>73</v>
      </c>
      <c r="I48" s="77">
        <v>1</v>
      </c>
      <c r="J48" s="78">
        <v>77</v>
      </c>
      <c r="K48" s="78">
        <f t="shared" si="0"/>
        <v>77</v>
      </c>
    </row>
    <row r="49" spans="4:11">
      <c r="D49" s="75">
        <v>46198</v>
      </c>
      <c r="E49" s="76">
        <v>1614976</v>
      </c>
      <c r="F49" s="76" t="s">
        <v>40</v>
      </c>
      <c r="G49" s="77">
        <v>20007633</v>
      </c>
      <c r="H49" s="76" t="s">
        <v>74</v>
      </c>
      <c r="I49" s="77">
        <v>1</v>
      </c>
      <c r="J49" s="78">
        <v>24.5</v>
      </c>
      <c r="K49" s="78">
        <f t="shared" si="0"/>
        <v>24.5</v>
      </c>
    </row>
    <row r="50" spans="4:11">
      <c r="D50" s="75">
        <v>46198</v>
      </c>
      <c r="E50" s="76">
        <v>1614976</v>
      </c>
      <c r="F50" s="76" t="s">
        <v>42</v>
      </c>
      <c r="G50" s="77">
        <v>20390423</v>
      </c>
      <c r="H50" s="76" t="s">
        <v>75</v>
      </c>
      <c r="I50" s="77">
        <v>1</v>
      </c>
      <c r="J50" s="78">
        <v>19.6</v>
      </c>
      <c r="K50" s="78">
        <f t="shared" si="0"/>
        <v>19.6</v>
      </c>
    </row>
    <row r="51" spans="4:11">
      <c r="D51" s="75">
        <v>46198</v>
      </c>
      <c r="E51" s="76">
        <v>1615051</v>
      </c>
      <c r="F51" s="76" t="s">
        <v>40</v>
      </c>
      <c r="G51" s="77">
        <v>20329153</v>
      </c>
      <c r="H51" s="76" t="s">
        <v>77</v>
      </c>
      <c r="I51" s="77">
        <v>1</v>
      </c>
      <c r="J51" s="78">
        <v>77</v>
      </c>
      <c r="K51" s="78">
        <f t="shared" si="0"/>
        <v>77</v>
      </c>
    </row>
    <row r="52" spans="4:11">
      <c r="D52" s="75">
        <v>46198</v>
      </c>
      <c r="E52" s="76">
        <v>1615051</v>
      </c>
      <c r="F52" s="76" t="s">
        <v>40</v>
      </c>
      <c r="G52" s="77">
        <v>20007633</v>
      </c>
      <c r="H52" s="76" t="s">
        <v>74</v>
      </c>
      <c r="I52" s="77">
        <v>1</v>
      </c>
      <c r="J52" s="78">
        <v>24.5</v>
      </c>
      <c r="K52" s="78">
        <f t="shared" si="0"/>
        <v>24.5</v>
      </c>
    </row>
    <row r="53" spans="4:11">
      <c r="D53" s="75">
        <v>46198</v>
      </c>
      <c r="E53" s="76">
        <v>1615051</v>
      </c>
      <c r="F53" s="76" t="s">
        <v>42</v>
      </c>
      <c r="G53" s="77">
        <v>20390423</v>
      </c>
      <c r="H53" s="76" t="s">
        <v>75</v>
      </c>
      <c r="I53" s="77">
        <v>1</v>
      </c>
      <c r="J53" s="78">
        <v>19.6</v>
      </c>
      <c r="K53" s="78">
        <f t="shared" si="0"/>
        <v>19.6</v>
      </c>
    </row>
    <row r="54" spans="4:11">
      <c r="D54" s="75">
        <v>46199</v>
      </c>
      <c r="E54" s="76">
        <v>1615324</v>
      </c>
      <c r="F54" s="76" t="s">
        <v>15</v>
      </c>
      <c r="G54" s="77">
        <v>20423877</v>
      </c>
      <c r="H54" s="76" t="s">
        <v>78</v>
      </c>
      <c r="I54" s="77">
        <v>1</v>
      </c>
      <c r="J54" s="78">
        <v>23.1</v>
      </c>
      <c r="K54" s="78">
        <f t="shared" si="0"/>
        <v>23.1</v>
      </c>
    </row>
    <row r="55" spans="4:11">
      <c r="D55" s="75">
        <v>46199</v>
      </c>
      <c r="E55" s="76">
        <v>1615324</v>
      </c>
      <c r="F55" s="76" t="s">
        <v>15</v>
      </c>
      <c r="G55" s="77">
        <v>20391282</v>
      </c>
      <c r="H55" s="76" t="s">
        <v>48</v>
      </c>
      <c r="I55" s="77">
        <v>1</v>
      </c>
      <c r="J55" s="78">
        <v>26.95</v>
      </c>
      <c r="K55" s="78">
        <f t="shared" si="0"/>
        <v>26.95</v>
      </c>
    </row>
    <row r="56" spans="4:11">
      <c r="D56" s="75">
        <v>46199</v>
      </c>
      <c r="E56" s="76">
        <v>1615324</v>
      </c>
      <c r="F56" s="76" t="s">
        <v>15</v>
      </c>
      <c r="G56" s="77">
        <v>20391281</v>
      </c>
      <c r="H56" s="76" t="s">
        <v>71</v>
      </c>
      <c r="I56" s="77">
        <v>1</v>
      </c>
      <c r="J56" s="78">
        <v>23.1</v>
      </c>
      <c r="K56" s="78">
        <f t="shared" si="0"/>
        <v>23.1</v>
      </c>
    </row>
    <row r="57" spans="4:11">
      <c r="D57" s="75">
        <v>46199</v>
      </c>
      <c r="E57" s="76">
        <v>1615324</v>
      </c>
      <c r="F57" s="76" t="s">
        <v>25</v>
      </c>
      <c r="G57" s="77">
        <v>20391163</v>
      </c>
      <c r="H57" s="76" t="s">
        <v>72</v>
      </c>
      <c r="I57" s="77">
        <v>2</v>
      </c>
      <c r="J57" s="78">
        <v>42.35</v>
      </c>
      <c r="K57" s="78">
        <f t="shared" si="0"/>
        <v>84.7</v>
      </c>
    </row>
    <row r="58" spans="4:11">
      <c r="D58" s="75">
        <v>46203</v>
      </c>
      <c r="E58" s="76">
        <v>1616156</v>
      </c>
      <c r="F58" s="76" t="s">
        <v>15</v>
      </c>
      <c r="G58" s="77">
        <v>20391282</v>
      </c>
      <c r="H58" s="76" t="s">
        <v>48</v>
      </c>
      <c r="I58" s="77">
        <v>1</v>
      </c>
      <c r="J58" s="78">
        <v>26.95</v>
      </c>
      <c r="K58" s="78">
        <f t="shared" si="0"/>
        <v>26.95</v>
      </c>
    </row>
    <row r="59" spans="4:11">
      <c r="D59" s="75">
        <v>46203</v>
      </c>
      <c r="E59" s="76">
        <v>1616156</v>
      </c>
      <c r="F59" s="76" t="s">
        <v>15</v>
      </c>
      <c r="G59" s="77">
        <v>20391281</v>
      </c>
      <c r="H59" s="76" t="s">
        <v>71</v>
      </c>
      <c r="I59" s="77">
        <v>1</v>
      </c>
      <c r="J59" s="78">
        <v>23.1</v>
      </c>
      <c r="K59" s="78">
        <f t="shared" si="0"/>
        <v>23.1</v>
      </c>
    </row>
    <row r="60" spans="4:11">
      <c r="D60" s="75">
        <v>46203</v>
      </c>
      <c r="E60" s="76">
        <v>1616156</v>
      </c>
      <c r="F60" s="76" t="s">
        <v>25</v>
      </c>
      <c r="G60" s="77">
        <v>20391163</v>
      </c>
      <c r="H60" s="76" t="s">
        <v>72</v>
      </c>
      <c r="I60" s="77">
        <v>2</v>
      </c>
      <c r="J60" s="78">
        <v>42.35</v>
      </c>
      <c r="K60" s="78">
        <f t="shared" si="0"/>
        <v>84.7</v>
      </c>
    </row>
    <row r="61" spans="4:11">
      <c r="D61" s="75">
        <v>46203</v>
      </c>
      <c r="E61" s="76">
        <v>1616186</v>
      </c>
      <c r="F61" s="76" t="s">
        <v>40</v>
      </c>
      <c r="G61" s="77">
        <v>20384116</v>
      </c>
      <c r="H61" s="76" t="s">
        <v>73</v>
      </c>
      <c r="I61" s="77">
        <v>1</v>
      </c>
      <c r="J61" s="78">
        <v>77</v>
      </c>
      <c r="K61" s="78">
        <f t="shared" si="0"/>
        <v>77</v>
      </c>
    </row>
    <row r="62" spans="4:11">
      <c r="D62" s="75">
        <v>46203</v>
      </c>
      <c r="E62" s="76">
        <v>1616186</v>
      </c>
      <c r="F62" s="76" t="s">
        <v>40</v>
      </c>
      <c r="G62" s="77">
        <v>20007633</v>
      </c>
      <c r="H62" s="76" t="s">
        <v>74</v>
      </c>
      <c r="I62" s="77">
        <v>1</v>
      </c>
      <c r="J62" s="78">
        <v>24.5</v>
      </c>
      <c r="K62" s="78">
        <f t="shared" si="0"/>
        <v>24.5</v>
      </c>
    </row>
    <row r="63" spans="4:11">
      <c r="D63" s="75">
        <v>46203</v>
      </c>
      <c r="E63" s="76">
        <v>1616186</v>
      </c>
      <c r="F63" s="76" t="s">
        <v>42</v>
      </c>
      <c r="G63" s="77">
        <v>20390423</v>
      </c>
      <c r="H63" s="76" t="s">
        <v>75</v>
      </c>
      <c r="I63" s="77">
        <v>1</v>
      </c>
      <c r="J63" s="78">
        <v>19.6</v>
      </c>
      <c r="K63" s="78">
        <f t="shared" si="0"/>
        <v>19.6</v>
      </c>
    </row>
  </sheetData>
  <autoFilter xmlns:etc="http://www.wps.cn/officeDocument/2017/etCustomData" ref="A7:K63" etc:filterBottomFollowUsedRange="0">
    <extLst/>
  </autoFilter>
  <mergeCells count="5">
    <mergeCell ref="D8:H8"/>
    <mergeCell ref="C7:C63"/>
    <mergeCell ref="B4:H5"/>
    <mergeCell ref="C1:H2"/>
    <mergeCell ref="A7:B6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79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145</v>
      </c>
      <c r="J8" s="74"/>
      <c r="K8" s="74">
        <v>793.45</v>
      </c>
    </row>
    <row r="9" spans="1:11">
      <c r="D9" s="75">
        <v>46175</v>
      </c>
      <c r="E9" s="76">
        <v>1608565</v>
      </c>
      <c r="F9" s="76" t="s">
        <v>20</v>
      </c>
      <c r="G9" s="77">
        <v>20010992</v>
      </c>
      <c r="H9" s="76" t="s">
        <v>44</v>
      </c>
      <c r="I9" s="77">
        <v>3</v>
      </c>
      <c r="J9" s="78">
        <v>11.2</v>
      </c>
      <c r="K9" s="78">
        <f>J9*I9</f>
        <v>33.6</v>
      </c>
    </row>
    <row r="10" spans="1:11">
      <c r="D10" s="75">
        <v>46175</v>
      </c>
      <c r="E10" s="76">
        <v>1608565</v>
      </c>
      <c r="F10" s="76" t="s">
        <v>15</v>
      </c>
      <c r="G10" s="77">
        <v>20008409</v>
      </c>
      <c r="H10" s="76" t="s">
        <v>30</v>
      </c>
      <c r="I10" s="77">
        <v>2</v>
      </c>
      <c r="J10" s="78">
        <v>5.6</v>
      </c>
      <c r="K10" s="78">
        <f t="shared" ref="K10:K50" si="0">J10*I10</f>
        <v>11.2</v>
      </c>
    </row>
    <row r="11" spans="1:11">
      <c r="D11" s="75">
        <v>46175</v>
      </c>
      <c r="E11" s="76">
        <v>1608565</v>
      </c>
      <c r="F11" s="76" t="s">
        <v>15</v>
      </c>
      <c r="G11" s="77">
        <v>20006816</v>
      </c>
      <c r="H11" s="76" t="s">
        <v>80</v>
      </c>
      <c r="I11" s="77">
        <v>2</v>
      </c>
      <c r="J11" s="78">
        <v>5.6</v>
      </c>
      <c r="K11" s="78">
        <f t="shared" si="0"/>
        <v>11.2</v>
      </c>
    </row>
    <row r="12" spans="1:11">
      <c r="D12" s="75">
        <v>46175</v>
      </c>
      <c r="E12" s="76">
        <v>1608565</v>
      </c>
      <c r="F12" s="76" t="s">
        <v>15</v>
      </c>
      <c r="G12" s="77">
        <v>20011204</v>
      </c>
      <c r="H12" s="76" t="s">
        <v>16</v>
      </c>
      <c r="I12" s="77">
        <v>2</v>
      </c>
      <c r="J12" s="78">
        <v>5.6</v>
      </c>
      <c r="K12" s="78">
        <f t="shared" si="0"/>
        <v>11.2</v>
      </c>
    </row>
    <row r="13" spans="1:11">
      <c r="D13" s="75">
        <v>46175</v>
      </c>
      <c r="E13" s="76">
        <v>1608565</v>
      </c>
      <c r="F13" s="76" t="s">
        <v>15</v>
      </c>
      <c r="G13" s="77">
        <v>20012489</v>
      </c>
      <c r="H13" s="76" t="s">
        <v>81</v>
      </c>
      <c r="I13" s="77">
        <v>2</v>
      </c>
      <c r="J13" s="78">
        <v>5.6</v>
      </c>
      <c r="K13" s="78">
        <f t="shared" si="0"/>
        <v>11.2</v>
      </c>
    </row>
    <row r="14" spans="1:11">
      <c r="D14" s="75">
        <v>46175</v>
      </c>
      <c r="E14" s="76">
        <v>1608565</v>
      </c>
      <c r="F14" s="76" t="s">
        <v>15</v>
      </c>
      <c r="G14" s="77">
        <v>20330575</v>
      </c>
      <c r="H14" s="76" t="s">
        <v>82</v>
      </c>
      <c r="I14" s="77">
        <v>6</v>
      </c>
      <c r="J14" s="78">
        <v>5.6</v>
      </c>
      <c r="K14" s="78">
        <f t="shared" si="0"/>
        <v>33.6</v>
      </c>
    </row>
    <row r="15" spans="1:11">
      <c r="D15" s="75">
        <v>46175</v>
      </c>
      <c r="E15" s="76">
        <v>1608565</v>
      </c>
      <c r="F15" s="76" t="s">
        <v>15</v>
      </c>
      <c r="G15" s="77">
        <v>20008322</v>
      </c>
      <c r="H15" s="76" t="s">
        <v>17</v>
      </c>
      <c r="I15" s="77">
        <v>3</v>
      </c>
      <c r="J15" s="78">
        <v>5.6</v>
      </c>
      <c r="K15" s="78">
        <f t="shared" si="0"/>
        <v>16.8</v>
      </c>
    </row>
    <row r="16" spans="1:11">
      <c r="D16" s="75">
        <v>46175</v>
      </c>
      <c r="E16" s="76">
        <v>1608565</v>
      </c>
      <c r="F16" s="76" t="s">
        <v>15</v>
      </c>
      <c r="G16" s="77">
        <v>20316670</v>
      </c>
      <c r="H16" s="76" t="s">
        <v>83</v>
      </c>
      <c r="I16" s="77">
        <v>10</v>
      </c>
      <c r="J16" s="78">
        <v>5.6</v>
      </c>
      <c r="K16" s="78">
        <f t="shared" si="0"/>
        <v>56</v>
      </c>
    </row>
    <row r="17" spans="4:11">
      <c r="D17" s="75">
        <v>46175</v>
      </c>
      <c r="E17" s="76">
        <v>1608565</v>
      </c>
      <c r="F17" s="76" t="s">
        <v>15</v>
      </c>
      <c r="G17" s="77">
        <v>20011545</v>
      </c>
      <c r="H17" s="76" t="s">
        <v>84</v>
      </c>
      <c r="I17" s="77">
        <v>2</v>
      </c>
      <c r="J17" s="78">
        <v>5.6</v>
      </c>
      <c r="K17" s="78">
        <f t="shared" si="0"/>
        <v>11.2</v>
      </c>
    </row>
    <row r="18" spans="4:11">
      <c r="D18" s="75">
        <v>46175</v>
      </c>
      <c r="E18" s="76">
        <v>1608565</v>
      </c>
      <c r="F18" s="76" t="s">
        <v>15</v>
      </c>
      <c r="G18" s="77">
        <v>20014828</v>
      </c>
      <c r="H18" s="76" t="s">
        <v>18</v>
      </c>
      <c r="I18" s="77">
        <v>4</v>
      </c>
      <c r="J18" s="78">
        <v>5.6</v>
      </c>
      <c r="K18" s="78">
        <f t="shared" si="0"/>
        <v>22.4</v>
      </c>
    </row>
    <row r="19" spans="4:11">
      <c r="D19" s="75">
        <v>46175</v>
      </c>
      <c r="E19" s="76">
        <v>1608565</v>
      </c>
      <c r="F19" s="76" t="s">
        <v>25</v>
      </c>
      <c r="G19" s="77">
        <v>20006846</v>
      </c>
      <c r="H19" s="76" t="s">
        <v>85</v>
      </c>
      <c r="I19" s="77">
        <v>1</v>
      </c>
      <c r="J19" s="78">
        <v>42.35</v>
      </c>
      <c r="K19" s="78">
        <f t="shared" si="0"/>
        <v>42.35</v>
      </c>
    </row>
    <row r="20" spans="4:11">
      <c r="D20" s="75">
        <v>46182</v>
      </c>
      <c r="E20" s="76">
        <v>1610647</v>
      </c>
      <c r="F20" s="76" t="s">
        <v>52</v>
      </c>
      <c r="G20" s="77">
        <v>20318074</v>
      </c>
      <c r="H20" s="76" t="s">
        <v>86</v>
      </c>
      <c r="I20" s="77">
        <v>30</v>
      </c>
      <c r="J20" s="78">
        <v>1.75</v>
      </c>
      <c r="K20" s="78">
        <f t="shared" si="0"/>
        <v>52.5</v>
      </c>
    </row>
    <row r="21" spans="4:11">
      <c r="D21" s="75">
        <v>46182</v>
      </c>
      <c r="E21" s="76">
        <v>1610647</v>
      </c>
      <c r="F21" s="76" t="s">
        <v>52</v>
      </c>
      <c r="G21" s="77">
        <v>20381585</v>
      </c>
      <c r="H21" s="76" t="s">
        <v>56</v>
      </c>
      <c r="I21" s="77">
        <v>20</v>
      </c>
      <c r="J21" s="78">
        <v>1.75</v>
      </c>
      <c r="K21" s="78">
        <f t="shared" si="0"/>
        <v>35</v>
      </c>
    </row>
    <row r="22" spans="4:11">
      <c r="D22" s="75">
        <v>46182</v>
      </c>
      <c r="E22" s="76">
        <v>1610730</v>
      </c>
      <c r="F22" s="76" t="s">
        <v>15</v>
      </c>
      <c r="G22" s="77">
        <v>20008409</v>
      </c>
      <c r="H22" s="76" t="s">
        <v>30</v>
      </c>
      <c r="I22" s="77">
        <v>4</v>
      </c>
      <c r="J22" s="78">
        <v>5.6</v>
      </c>
      <c r="K22" s="78">
        <f t="shared" si="0"/>
        <v>22.4</v>
      </c>
    </row>
    <row r="23" spans="4:11">
      <c r="D23" s="75">
        <v>46182</v>
      </c>
      <c r="E23" s="76">
        <v>1610730</v>
      </c>
      <c r="F23" s="76" t="s">
        <v>15</v>
      </c>
      <c r="G23" s="77">
        <v>20011204</v>
      </c>
      <c r="H23" s="76" t="s">
        <v>16</v>
      </c>
      <c r="I23" s="77">
        <v>1</v>
      </c>
      <c r="J23" s="78">
        <v>5.6</v>
      </c>
      <c r="K23" s="78">
        <f t="shared" si="0"/>
        <v>5.6</v>
      </c>
    </row>
    <row r="24" spans="4:11">
      <c r="D24" s="75">
        <v>46182</v>
      </c>
      <c r="E24" s="76">
        <v>1610730</v>
      </c>
      <c r="F24" s="76" t="s">
        <v>15</v>
      </c>
      <c r="G24" s="77">
        <v>20330575</v>
      </c>
      <c r="H24" s="76" t="s">
        <v>82</v>
      </c>
      <c r="I24" s="77">
        <v>1</v>
      </c>
      <c r="J24" s="78">
        <v>5.6</v>
      </c>
      <c r="K24" s="78">
        <f t="shared" si="0"/>
        <v>5.6</v>
      </c>
    </row>
    <row r="25" spans="4:11">
      <c r="D25" s="75">
        <v>46182</v>
      </c>
      <c r="E25" s="76">
        <v>1610730</v>
      </c>
      <c r="F25" s="76" t="s">
        <v>15</v>
      </c>
      <c r="G25" s="77">
        <v>20008322</v>
      </c>
      <c r="H25" s="76" t="s">
        <v>17</v>
      </c>
      <c r="I25" s="77">
        <v>2</v>
      </c>
      <c r="J25" s="78">
        <v>5.6</v>
      </c>
      <c r="K25" s="78">
        <f t="shared" si="0"/>
        <v>11.2</v>
      </c>
    </row>
    <row r="26" spans="4:11">
      <c r="D26" s="75">
        <v>46182</v>
      </c>
      <c r="E26" s="76">
        <v>1610730</v>
      </c>
      <c r="F26" s="76" t="s">
        <v>15</v>
      </c>
      <c r="G26" s="77">
        <v>20316670</v>
      </c>
      <c r="H26" s="76" t="s">
        <v>83</v>
      </c>
      <c r="I26" s="77">
        <v>2</v>
      </c>
      <c r="J26" s="78">
        <v>5.6</v>
      </c>
      <c r="K26" s="78">
        <f t="shared" si="0"/>
        <v>11.2</v>
      </c>
    </row>
    <row r="27" spans="4:11">
      <c r="D27" s="75">
        <v>46182</v>
      </c>
      <c r="E27" s="76">
        <v>1610730</v>
      </c>
      <c r="F27" s="76" t="s">
        <v>15</v>
      </c>
      <c r="G27" s="77">
        <v>20014828</v>
      </c>
      <c r="H27" s="76" t="s">
        <v>18</v>
      </c>
      <c r="I27" s="77">
        <v>2</v>
      </c>
      <c r="J27" s="78">
        <v>5.6</v>
      </c>
      <c r="K27" s="78">
        <f t="shared" si="0"/>
        <v>11.2</v>
      </c>
    </row>
    <row r="28" spans="4:11">
      <c r="D28" s="75">
        <v>46190</v>
      </c>
      <c r="E28" s="76">
        <v>1613132</v>
      </c>
      <c r="F28" s="76" t="s">
        <v>20</v>
      </c>
      <c r="G28" s="77">
        <v>20010992</v>
      </c>
      <c r="H28" s="76" t="s">
        <v>44</v>
      </c>
      <c r="I28" s="77">
        <v>2</v>
      </c>
      <c r="J28" s="78">
        <v>11.2</v>
      </c>
      <c r="K28" s="78">
        <f t="shared" si="0"/>
        <v>22.4</v>
      </c>
    </row>
    <row r="29" spans="4:11">
      <c r="D29" s="75">
        <v>46190</v>
      </c>
      <c r="E29" s="76">
        <v>1613132</v>
      </c>
      <c r="F29" s="76" t="s">
        <v>15</v>
      </c>
      <c r="G29" s="77">
        <v>20008409</v>
      </c>
      <c r="H29" s="76" t="s">
        <v>30</v>
      </c>
      <c r="I29" s="77">
        <v>1</v>
      </c>
      <c r="J29" s="78">
        <v>5.6</v>
      </c>
      <c r="K29" s="78">
        <f t="shared" si="0"/>
        <v>5.6</v>
      </c>
    </row>
    <row r="30" spans="4:11">
      <c r="D30" s="75">
        <v>46190</v>
      </c>
      <c r="E30" s="76">
        <v>1613132</v>
      </c>
      <c r="F30" s="76" t="s">
        <v>15</v>
      </c>
      <c r="G30" s="77">
        <v>20011204</v>
      </c>
      <c r="H30" s="76" t="s">
        <v>16</v>
      </c>
      <c r="I30" s="77">
        <v>2</v>
      </c>
      <c r="J30" s="78">
        <v>5.6</v>
      </c>
      <c r="K30" s="78">
        <f t="shared" si="0"/>
        <v>11.2</v>
      </c>
    </row>
    <row r="31" spans="4:11">
      <c r="D31" s="75">
        <v>46190</v>
      </c>
      <c r="E31" s="76">
        <v>1613132</v>
      </c>
      <c r="F31" s="76" t="s">
        <v>15</v>
      </c>
      <c r="G31" s="77">
        <v>20012489</v>
      </c>
      <c r="H31" s="76" t="s">
        <v>81</v>
      </c>
      <c r="I31" s="77">
        <v>1</v>
      </c>
      <c r="J31" s="78">
        <v>5.6</v>
      </c>
      <c r="K31" s="78">
        <f t="shared" si="0"/>
        <v>5.6</v>
      </c>
    </row>
    <row r="32" spans="4:11">
      <c r="D32" s="75">
        <v>46190</v>
      </c>
      <c r="E32" s="76">
        <v>1613132</v>
      </c>
      <c r="F32" s="76" t="s">
        <v>15</v>
      </c>
      <c r="G32" s="77">
        <v>20330575</v>
      </c>
      <c r="H32" s="76" t="s">
        <v>82</v>
      </c>
      <c r="I32" s="77">
        <v>1</v>
      </c>
      <c r="J32" s="78">
        <v>5.6</v>
      </c>
      <c r="K32" s="78">
        <f t="shared" si="0"/>
        <v>5.6</v>
      </c>
    </row>
    <row r="33" spans="4:11">
      <c r="D33" s="75">
        <v>46190</v>
      </c>
      <c r="E33" s="76">
        <v>1613132</v>
      </c>
      <c r="F33" s="76" t="s">
        <v>15</v>
      </c>
      <c r="G33" s="77">
        <v>20316670</v>
      </c>
      <c r="H33" s="76" t="s">
        <v>83</v>
      </c>
      <c r="I33" s="77">
        <v>3</v>
      </c>
      <c r="J33" s="78">
        <v>5.6</v>
      </c>
      <c r="K33" s="78">
        <f t="shared" si="0"/>
        <v>16.8</v>
      </c>
    </row>
    <row r="34" spans="4:11">
      <c r="D34" s="75">
        <v>46190</v>
      </c>
      <c r="E34" s="76">
        <v>1613132</v>
      </c>
      <c r="F34" s="76" t="s">
        <v>15</v>
      </c>
      <c r="G34" s="77">
        <v>20006838</v>
      </c>
      <c r="H34" s="76" t="s">
        <v>87</v>
      </c>
      <c r="I34" s="77">
        <v>1</v>
      </c>
      <c r="J34" s="78">
        <v>5.6</v>
      </c>
      <c r="K34" s="78">
        <f t="shared" si="0"/>
        <v>5.6</v>
      </c>
    </row>
    <row r="35" spans="4:11">
      <c r="D35" s="75">
        <v>46190</v>
      </c>
      <c r="E35" s="76">
        <v>1613132</v>
      </c>
      <c r="F35" s="76" t="s">
        <v>15</v>
      </c>
      <c r="G35" s="77">
        <v>20014828</v>
      </c>
      <c r="H35" s="76" t="s">
        <v>18</v>
      </c>
      <c r="I35" s="77">
        <v>3</v>
      </c>
      <c r="J35" s="78">
        <v>5.6</v>
      </c>
      <c r="K35" s="78">
        <f t="shared" si="0"/>
        <v>16.8</v>
      </c>
    </row>
    <row r="36" spans="4:11">
      <c r="D36" s="75">
        <v>46190</v>
      </c>
      <c r="E36" s="76">
        <v>1613132</v>
      </c>
      <c r="F36" s="76" t="s">
        <v>25</v>
      </c>
      <c r="G36" s="77">
        <v>20006846</v>
      </c>
      <c r="H36" s="76" t="s">
        <v>85</v>
      </c>
      <c r="I36" s="77">
        <v>1</v>
      </c>
      <c r="J36" s="78">
        <v>42.35</v>
      </c>
      <c r="K36" s="78">
        <f t="shared" si="0"/>
        <v>42.35</v>
      </c>
    </row>
    <row r="37" spans="4:11">
      <c r="D37" s="75">
        <v>46191</v>
      </c>
      <c r="E37" s="76">
        <v>1613271</v>
      </c>
      <c r="F37" s="76" t="s">
        <v>13</v>
      </c>
      <c r="G37" s="77">
        <v>20405396</v>
      </c>
      <c r="H37" s="76" t="s">
        <v>14</v>
      </c>
      <c r="I37" s="77">
        <v>1</v>
      </c>
      <c r="J37" s="78">
        <v>24.5</v>
      </c>
      <c r="K37" s="78">
        <f t="shared" si="0"/>
        <v>24.5</v>
      </c>
    </row>
    <row r="38" spans="4:11">
      <c r="D38" s="75">
        <v>46196</v>
      </c>
      <c r="E38" s="76">
        <v>1614396</v>
      </c>
      <c r="F38" s="76" t="s">
        <v>20</v>
      </c>
      <c r="G38" s="77">
        <v>20010992</v>
      </c>
      <c r="H38" s="76" t="s">
        <v>44</v>
      </c>
      <c r="I38" s="77">
        <v>2</v>
      </c>
      <c r="J38" s="78">
        <v>11.2</v>
      </c>
      <c r="K38" s="78">
        <f t="shared" si="0"/>
        <v>22.4</v>
      </c>
    </row>
    <row r="39" spans="4:11">
      <c r="D39" s="75">
        <v>46196</v>
      </c>
      <c r="E39" s="76">
        <v>1614396</v>
      </c>
      <c r="F39" s="76" t="s">
        <v>15</v>
      </c>
      <c r="G39" s="77">
        <v>20008409</v>
      </c>
      <c r="H39" s="76" t="s">
        <v>30</v>
      </c>
      <c r="I39" s="77">
        <v>3</v>
      </c>
      <c r="J39" s="78">
        <v>5.6</v>
      </c>
      <c r="K39" s="78">
        <f t="shared" si="0"/>
        <v>16.8</v>
      </c>
    </row>
    <row r="40" spans="4:11">
      <c r="D40" s="75">
        <v>46196</v>
      </c>
      <c r="E40" s="76">
        <v>1614396</v>
      </c>
      <c r="F40" s="76" t="s">
        <v>15</v>
      </c>
      <c r="G40" s="77">
        <v>20012489</v>
      </c>
      <c r="H40" s="76" t="s">
        <v>81</v>
      </c>
      <c r="I40" s="77">
        <v>1</v>
      </c>
      <c r="J40" s="78">
        <v>5.6</v>
      </c>
      <c r="K40" s="78">
        <f t="shared" si="0"/>
        <v>5.6</v>
      </c>
    </row>
    <row r="41" spans="4:11">
      <c r="D41" s="75">
        <v>46196</v>
      </c>
      <c r="E41" s="76">
        <v>1614396</v>
      </c>
      <c r="F41" s="76" t="s">
        <v>15</v>
      </c>
      <c r="G41" s="77">
        <v>20330575</v>
      </c>
      <c r="H41" s="76" t="s">
        <v>82</v>
      </c>
      <c r="I41" s="77">
        <v>1</v>
      </c>
      <c r="J41" s="78">
        <v>5.6</v>
      </c>
      <c r="K41" s="78">
        <f t="shared" si="0"/>
        <v>5.6</v>
      </c>
    </row>
    <row r="42" spans="4:11">
      <c r="D42" s="75">
        <v>46196</v>
      </c>
      <c r="E42" s="76">
        <v>1614396</v>
      </c>
      <c r="F42" s="76" t="s">
        <v>15</v>
      </c>
      <c r="G42" s="77">
        <v>20008322</v>
      </c>
      <c r="H42" s="76" t="s">
        <v>17</v>
      </c>
      <c r="I42" s="77">
        <v>1</v>
      </c>
      <c r="J42" s="78">
        <v>5.6</v>
      </c>
      <c r="K42" s="78">
        <f t="shared" si="0"/>
        <v>5.6</v>
      </c>
    </row>
    <row r="43" spans="4:11">
      <c r="D43" s="75">
        <v>46196</v>
      </c>
      <c r="E43" s="76">
        <v>1614396</v>
      </c>
      <c r="F43" s="76" t="s">
        <v>15</v>
      </c>
      <c r="G43" s="77">
        <v>20316670</v>
      </c>
      <c r="H43" s="76" t="s">
        <v>83</v>
      </c>
      <c r="I43" s="77">
        <v>4</v>
      </c>
      <c r="J43" s="78">
        <v>5.6</v>
      </c>
      <c r="K43" s="78">
        <f t="shared" si="0"/>
        <v>22.4</v>
      </c>
    </row>
    <row r="44" spans="4:11">
      <c r="D44" s="75">
        <v>46196</v>
      </c>
      <c r="E44" s="76">
        <v>1614396</v>
      </c>
      <c r="F44" s="76" t="s">
        <v>15</v>
      </c>
      <c r="G44" s="77">
        <v>20014828</v>
      </c>
      <c r="H44" s="76" t="s">
        <v>18</v>
      </c>
      <c r="I44" s="77">
        <v>1</v>
      </c>
      <c r="J44" s="78">
        <v>5.6</v>
      </c>
      <c r="K44" s="78">
        <f t="shared" si="0"/>
        <v>5.6</v>
      </c>
    </row>
    <row r="45" spans="4:11">
      <c r="D45" s="75">
        <v>46196</v>
      </c>
      <c r="E45" s="76">
        <v>1614396</v>
      </c>
      <c r="F45" s="76" t="s">
        <v>25</v>
      </c>
      <c r="G45" s="77">
        <v>20006846</v>
      </c>
      <c r="H45" s="76" t="s">
        <v>85</v>
      </c>
      <c r="I45" s="77">
        <v>1</v>
      </c>
      <c r="J45" s="78">
        <v>42.35</v>
      </c>
      <c r="K45" s="78">
        <f t="shared" si="0"/>
        <v>42.35</v>
      </c>
    </row>
    <row r="46" spans="4:11">
      <c r="D46" s="75">
        <v>46203</v>
      </c>
      <c r="E46" s="76">
        <v>1616409</v>
      </c>
      <c r="F46" s="76" t="s">
        <v>20</v>
      </c>
      <c r="G46" s="77">
        <v>20009022</v>
      </c>
      <c r="H46" s="76" t="s">
        <v>88</v>
      </c>
      <c r="I46" s="77">
        <v>1</v>
      </c>
      <c r="J46" s="78">
        <v>11.2</v>
      </c>
      <c r="K46" s="78">
        <f t="shared" si="0"/>
        <v>11.2</v>
      </c>
    </row>
    <row r="47" spans="4:11">
      <c r="D47" s="75">
        <v>46203</v>
      </c>
      <c r="E47" s="76">
        <v>1616409</v>
      </c>
      <c r="F47" s="76" t="s">
        <v>15</v>
      </c>
      <c r="G47" s="77">
        <v>20330575</v>
      </c>
      <c r="H47" s="76" t="s">
        <v>82</v>
      </c>
      <c r="I47" s="77">
        <v>1</v>
      </c>
      <c r="J47" s="78">
        <v>5.6</v>
      </c>
      <c r="K47" s="78">
        <f t="shared" si="0"/>
        <v>5.6</v>
      </c>
    </row>
    <row r="48" spans="4:11">
      <c r="D48" s="75">
        <v>46203</v>
      </c>
      <c r="E48" s="76">
        <v>1616409</v>
      </c>
      <c r="F48" s="76" t="s">
        <v>15</v>
      </c>
      <c r="G48" s="77">
        <v>20011203</v>
      </c>
      <c r="H48" s="76" t="s">
        <v>89</v>
      </c>
      <c r="I48" s="77">
        <v>3</v>
      </c>
      <c r="J48" s="78">
        <v>5.6</v>
      </c>
      <c r="K48" s="78">
        <f t="shared" si="0"/>
        <v>16.8</v>
      </c>
    </row>
    <row r="49" spans="4:11">
      <c r="D49" s="75">
        <v>46203</v>
      </c>
      <c r="E49" s="76">
        <v>1616409</v>
      </c>
      <c r="F49" s="76" t="s">
        <v>15</v>
      </c>
      <c r="G49" s="77">
        <v>20316670</v>
      </c>
      <c r="H49" s="76" t="s">
        <v>83</v>
      </c>
      <c r="I49" s="77">
        <v>6</v>
      </c>
      <c r="J49" s="78">
        <v>5.6</v>
      </c>
      <c r="K49" s="78">
        <f t="shared" si="0"/>
        <v>33.6</v>
      </c>
    </row>
    <row r="50" spans="4:11">
      <c r="D50" s="75">
        <v>46203</v>
      </c>
      <c r="E50" s="76">
        <v>1616409</v>
      </c>
      <c r="F50" s="76" t="s">
        <v>15</v>
      </c>
      <c r="G50" s="77">
        <v>20014828</v>
      </c>
      <c r="H50" s="76" t="s">
        <v>18</v>
      </c>
      <c r="I50" s="77">
        <v>5</v>
      </c>
      <c r="J50" s="78">
        <v>5.6</v>
      </c>
      <c r="K50" s="78">
        <f t="shared" si="0"/>
        <v>28</v>
      </c>
    </row>
  </sheetData>
  <autoFilter xmlns:etc="http://www.wps.cn/officeDocument/2017/etCustomData" ref="A7:K50" etc:filterBottomFollowUsedRange="0">
    <extLst/>
  </autoFilter>
  <mergeCells count="5">
    <mergeCell ref="D8:H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O15" sqref="N15: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90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130</v>
      </c>
      <c r="J8" s="74"/>
      <c r="K8" s="74">
        <v>2061.15</v>
      </c>
    </row>
    <row r="9" spans="1:11">
      <c r="D9" s="75">
        <v>46175</v>
      </c>
      <c r="E9" s="76">
        <v>1608566</v>
      </c>
      <c r="F9" s="76" t="s">
        <v>25</v>
      </c>
      <c r="G9" s="77">
        <v>20323252</v>
      </c>
      <c r="H9" s="76" t="s">
        <v>91</v>
      </c>
      <c r="I9" s="77">
        <v>3</v>
      </c>
      <c r="J9" s="78">
        <v>30.8</v>
      </c>
      <c r="K9" s="78">
        <v>92.4</v>
      </c>
    </row>
    <row r="10" spans="1:11">
      <c r="D10" s="75">
        <v>46175</v>
      </c>
      <c r="E10" s="76">
        <v>1608584</v>
      </c>
      <c r="F10" s="76" t="s">
        <v>20</v>
      </c>
      <c r="G10" s="77">
        <v>20010992</v>
      </c>
      <c r="H10" s="76" t="s">
        <v>44</v>
      </c>
      <c r="I10" s="77">
        <v>1</v>
      </c>
      <c r="J10" s="78">
        <v>11.2</v>
      </c>
      <c r="K10" s="78">
        <v>11.2</v>
      </c>
    </row>
    <row r="11" spans="1:11">
      <c r="D11" s="75">
        <v>46175</v>
      </c>
      <c r="E11" s="76">
        <v>1608584</v>
      </c>
      <c r="F11" s="76" t="s">
        <v>15</v>
      </c>
      <c r="G11" s="77">
        <v>20011204</v>
      </c>
      <c r="H11" s="76" t="s">
        <v>16</v>
      </c>
      <c r="I11" s="77">
        <v>1</v>
      </c>
      <c r="J11" s="78">
        <v>5.6</v>
      </c>
      <c r="K11" s="78">
        <v>5.6</v>
      </c>
    </row>
    <row r="12" spans="1:11">
      <c r="D12" s="75">
        <v>46175</v>
      </c>
      <c r="E12" s="76">
        <v>1608584</v>
      </c>
      <c r="F12" s="76" t="s">
        <v>15</v>
      </c>
      <c r="G12" s="77">
        <v>20008322</v>
      </c>
      <c r="H12" s="76" t="s">
        <v>17</v>
      </c>
      <c r="I12" s="77">
        <v>1</v>
      </c>
      <c r="J12" s="78">
        <v>5.6</v>
      </c>
      <c r="K12" s="78">
        <v>5.6</v>
      </c>
    </row>
    <row r="13" spans="1:11">
      <c r="D13" s="75">
        <v>46175</v>
      </c>
      <c r="E13" s="76">
        <v>1608584</v>
      </c>
      <c r="F13" s="76" t="s">
        <v>15</v>
      </c>
      <c r="G13" s="77">
        <v>20014828</v>
      </c>
      <c r="H13" s="76" t="s">
        <v>18</v>
      </c>
      <c r="I13" s="77">
        <v>5</v>
      </c>
      <c r="J13" s="78">
        <v>5.6</v>
      </c>
      <c r="K13" s="78">
        <v>28</v>
      </c>
    </row>
    <row r="14" spans="1:11">
      <c r="D14" s="75">
        <v>46182</v>
      </c>
      <c r="E14" s="76">
        <v>1610648</v>
      </c>
      <c r="F14" s="76" t="s">
        <v>25</v>
      </c>
      <c r="G14" s="77">
        <v>20323253</v>
      </c>
      <c r="H14" s="76" t="s">
        <v>92</v>
      </c>
      <c r="I14" s="77">
        <v>1</v>
      </c>
      <c r="J14" s="78">
        <v>42.35</v>
      </c>
      <c r="K14" s="78">
        <v>42.35</v>
      </c>
    </row>
    <row r="15" spans="1:11">
      <c r="D15" s="75">
        <v>46182</v>
      </c>
      <c r="E15" s="76">
        <v>1610648</v>
      </c>
      <c r="F15" s="76" t="s">
        <v>25</v>
      </c>
      <c r="G15" s="77">
        <v>20323252</v>
      </c>
      <c r="H15" s="76" t="s">
        <v>91</v>
      </c>
      <c r="I15" s="77">
        <v>5</v>
      </c>
      <c r="J15" s="78">
        <v>30.8</v>
      </c>
      <c r="K15" s="78">
        <v>154</v>
      </c>
    </row>
    <row r="16" spans="1:11">
      <c r="D16" s="75">
        <v>46182</v>
      </c>
      <c r="E16" s="76">
        <v>1610731</v>
      </c>
      <c r="F16" s="76" t="s">
        <v>20</v>
      </c>
      <c r="G16" s="77">
        <v>20010992</v>
      </c>
      <c r="H16" s="76" t="s">
        <v>44</v>
      </c>
      <c r="I16" s="77">
        <v>1</v>
      </c>
      <c r="J16" s="78">
        <v>11.2</v>
      </c>
      <c r="K16" s="78">
        <v>11.2</v>
      </c>
    </row>
    <row r="17" spans="4:11">
      <c r="D17" s="75">
        <v>46182</v>
      </c>
      <c r="E17" s="76">
        <v>1610731</v>
      </c>
      <c r="F17" s="76" t="s">
        <v>15</v>
      </c>
      <c r="G17" s="77">
        <v>20008322</v>
      </c>
      <c r="H17" s="76" t="s">
        <v>17</v>
      </c>
      <c r="I17" s="77">
        <v>8</v>
      </c>
      <c r="J17" s="78">
        <v>5.6</v>
      </c>
      <c r="K17" s="78">
        <v>44.8</v>
      </c>
    </row>
    <row r="18" spans="4:11">
      <c r="D18" s="75">
        <v>46182</v>
      </c>
      <c r="E18" s="76">
        <v>1610731</v>
      </c>
      <c r="F18" s="76" t="s">
        <v>15</v>
      </c>
      <c r="G18" s="77">
        <v>20014828</v>
      </c>
      <c r="H18" s="76" t="s">
        <v>18</v>
      </c>
      <c r="I18" s="77">
        <v>7</v>
      </c>
      <c r="J18" s="78">
        <v>5.6</v>
      </c>
      <c r="K18" s="78">
        <v>39.2</v>
      </c>
    </row>
    <row r="19" spans="4:11">
      <c r="D19" s="75">
        <v>46185</v>
      </c>
      <c r="E19" s="76">
        <v>1611610</v>
      </c>
      <c r="F19" s="76" t="s">
        <v>15</v>
      </c>
      <c r="G19" s="77">
        <v>20014828</v>
      </c>
      <c r="H19" s="76" t="s">
        <v>18</v>
      </c>
      <c r="I19" s="77">
        <v>3</v>
      </c>
      <c r="J19" s="78">
        <v>5.6</v>
      </c>
      <c r="K19" s="78">
        <v>16.8</v>
      </c>
    </row>
    <row r="20" spans="4:11">
      <c r="D20" s="75">
        <v>46185</v>
      </c>
      <c r="E20" s="76">
        <v>1611610</v>
      </c>
      <c r="F20" s="76" t="s">
        <v>25</v>
      </c>
      <c r="G20" s="77">
        <v>20323253</v>
      </c>
      <c r="H20" s="76" t="s">
        <v>92</v>
      </c>
      <c r="I20" s="77">
        <v>1</v>
      </c>
      <c r="J20" s="78">
        <v>42.35</v>
      </c>
      <c r="K20" s="78">
        <v>42.35</v>
      </c>
    </row>
    <row r="21" spans="4:11">
      <c r="D21" s="75">
        <v>46185</v>
      </c>
      <c r="E21" s="76">
        <v>1611610</v>
      </c>
      <c r="F21" s="76" t="s">
        <v>25</v>
      </c>
      <c r="G21" s="77">
        <v>20323252</v>
      </c>
      <c r="H21" s="76" t="s">
        <v>91</v>
      </c>
      <c r="I21" s="77">
        <v>4</v>
      </c>
      <c r="J21" s="78">
        <v>30.8</v>
      </c>
      <c r="K21" s="78">
        <v>123.2</v>
      </c>
    </row>
    <row r="22" spans="4:11">
      <c r="D22" s="75">
        <v>46189</v>
      </c>
      <c r="E22" s="76">
        <v>1612439</v>
      </c>
      <c r="F22" s="76" t="s">
        <v>20</v>
      </c>
      <c r="G22" s="77">
        <v>20010992</v>
      </c>
      <c r="H22" s="76" t="s">
        <v>44</v>
      </c>
      <c r="I22" s="77">
        <v>2</v>
      </c>
      <c r="J22" s="78">
        <v>11.2</v>
      </c>
      <c r="K22" s="78">
        <v>22.4</v>
      </c>
    </row>
    <row r="23" spans="4:11">
      <c r="D23" s="75">
        <v>46189</v>
      </c>
      <c r="E23" s="76">
        <v>1612439</v>
      </c>
      <c r="F23" s="76" t="s">
        <v>15</v>
      </c>
      <c r="G23" s="77">
        <v>20008322</v>
      </c>
      <c r="H23" s="76" t="s">
        <v>17</v>
      </c>
      <c r="I23" s="77">
        <v>8</v>
      </c>
      <c r="J23" s="78">
        <v>5.6</v>
      </c>
      <c r="K23" s="78">
        <v>44.8</v>
      </c>
    </row>
    <row r="24" spans="4:11">
      <c r="D24" s="75">
        <v>46189</v>
      </c>
      <c r="E24" s="76">
        <v>1612439</v>
      </c>
      <c r="F24" s="76" t="s">
        <v>15</v>
      </c>
      <c r="G24" s="77">
        <v>20014828</v>
      </c>
      <c r="H24" s="76" t="s">
        <v>18</v>
      </c>
      <c r="I24" s="77">
        <v>3</v>
      </c>
      <c r="J24" s="78">
        <v>5.6</v>
      </c>
      <c r="K24" s="78">
        <v>16.8</v>
      </c>
    </row>
    <row r="25" spans="4:11">
      <c r="D25" s="75">
        <v>46189</v>
      </c>
      <c r="E25" s="76">
        <v>1612439</v>
      </c>
      <c r="F25" s="76" t="s">
        <v>25</v>
      </c>
      <c r="G25" s="77">
        <v>20323253</v>
      </c>
      <c r="H25" s="76" t="s">
        <v>92</v>
      </c>
      <c r="I25" s="77">
        <v>2</v>
      </c>
      <c r="J25" s="78">
        <v>42.35</v>
      </c>
      <c r="K25" s="78">
        <v>84.7</v>
      </c>
    </row>
    <row r="26" spans="4:11">
      <c r="D26" s="75">
        <v>46189</v>
      </c>
      <c r="E26" s="76">
        <v>1612439</v>
      </c>
      <c r="F26" s="76" t="s">
        <v>25</v>
      </c>
      <c r="G26" s="77">
        <v>20323252</v>
      </c>
      <c r="H26" s="76" t="s">
        <v>91</v>
      </c>
      <c r="I26" s="77">
        <v>12</v>
      </c>
      <c r="J26" s="78">
        <v>30.8</v>
      </c>
      <c r="K26" s="78">
        <v>369.6</v>
      </c>
    </row>
    <row r="27" spans="4:11">
      <c r="D27" s="75">
        <v>46190</v>
      </c>
      <c r="E27" s="76">
        <v>1613133</v>
      </c>
      <c r="F27" s="76" t="s">
        <v>15</v>
      </c>
      <c r="G27" s="77">
        <v>20008322</v>
      </c>
      <c r="H27" s="76" t="s">
        <v>17</v>
      </c>
      <c r="I27" s="77">
        <v>1</v>
      </c>
      <c r="J27" s="78">
        <v>5.6</v>
      </c>
      <c r="K27" s="78">
        <v>5.6</v>
      </c>
    </row>
    <row r="28" spans="4:11">
      <c r="D28" s="75">
        <v>46190</v>
      </c>
      <c r="E28" s="76">
        <v>1613133</v>
      </c>
      <c r="F28" s="76" t="s">
        <v>15</v>
      </c>
      <c r="G28" s="77">
        <v>20321383</v>
      </c>
      <c r="H28" s="76" t="s">
        <v>23</v>
      </c>
      <c r="I28" s="77">
        <v>1</v>
      </c>
      <c r="J28" s="78">
        <v>5.6</v>
      </c>
      <c r="K28" s="78">
        <v>5.6</v>
      </c>
    </row>
    <row r="29" spans="4:11">
      <c r="D29" s="75">
        <v>46190</v>
      </c>
      <c r="E29" s="76">
        <v>1613133</v>
      </c>
      <c r="F29" s="76" t="s">
        <v>15</v>
      </c>
      <c r="G29" s="77">
        <v>20014828</v>
      </c>
      <c r="H29" s="76" t="s">
        <v>18</v>
      </c>
      <c r="I29" s="77">
        <v>4</v>
      </c>
      <c r="J29" s="78">
        <v>5.6</v>
      </c>
      <c r="K29" s="78">
        <v>22.4</v>
      </c>
    </row>
    <row r="30" spans="4:11">
      <c r="D30" s="75">
        <v>46190</v>
      </c>
      <c r="E30" s="76">
        <v>1613133</v>
      </c>
      <c r="F30" s="76" t="s">
        <v>25</v>
      </c>
      <c r="G30" s="77">
        <v>20323253</v>
      </c>
      <c r="H30" s="76" t="s">
        <v>92</v>
      </c>
      <c r="I30" s="77">
        <v>4</v>
      </c>
      <c r="J30" s="78">
        <v>42.35</v>
      </c>
      <c r="K30" s="78">
        <v>169.4</v>
      </c>
    </row>
    <row r="31" spans="4:11">
      <c r="D31" s="75">
        <v>46195</v>
      </c>
      <c r="E31" s="76">
        <v>1614170</v>
      </c>
      <c r="F31" s="76" t="s">
        <v>15</v>
      </c>
      <c r="G31" s="77">
        <v>20323330</v>
      </c>
      <c r="H31" s="76" t="s">
        <v>93</v>
      </c>
      <c r="I31" s="77">
        <v>1</v>
      </c>
      <c r="J31" s="78">
        <v>5.6</v>
      </c>
      <c r="K31" s="78">
        <v>5.6</v>
      </c>
    </row>
    <row r="32" spans="4:11">
      <c r="D32" s="75">
        <v>46195</v>
      </c>
      <c r="E32" s="76">
        <v>1614170</v>
      </c>
      <c r="F32" s="76" t="s">
        <v>15</v>
      </c>
      <c r="G32" s="77">
        <v>20008322</v>
      </c>
      <c r="H32" s="76" t="s">
        <v>17</v>
      </c>
      <c r="I32" s="77">
        <v>3</v>
      </c>
      <c r="J32" s="78">
        <v>5.6</v>
      </c>
      <c r="K32" s="78">
        <v>16.8</v>
      </c>
    </row>
    <row r="33" spans="4:11">
      <c r="D33" s="75">
        <v>46195</v>
      </c>
      <c r="E33" s="76">
        <v>1614170</v>
      </c>
      <c r="F33" s="76" t="s">
        <v>15</v>
      </c>
      <c r="G33" s="77">
        <v>20014828</v>
      </c>
      <c r="H33" s="76" t="s">
        <v>18</v>
      </c>
      <c r="I33" s="77">
        <v>2</v>
      </c>
      <c r="J33" s="78">
        <v>5.6</v>
      </c>
      <c r="K33" s="78">
        <v>11.2</v>
      </c>
    </row>
    <row r="34" spans="4:11">
      <c r="D34" s="75">
        <v>46195</v>
      </c>
      <c r="E34" s="76">
        <v>1614170</v>
      </c>
      <c r="F34" s="76" t="s">
        <v>25</v>
      </c>
      <c r="G34" s="77">
        <v>20323252</v>
      </c>
      <c r="H34" s="76" t="s">
        <v>91</v>
      </c>
      <c r="I34" s="77">
        <v>10</v>
      </c>
      <c r="J34" s="78">
        <v>30.8</v>
      </c>
      <c r="K34" s="78">
        <v>308</v>
      </c>
    </row>
    <row r="35" spans="4:11">
      <c r="D35" s="75">
        <v>46196</v>
      </c>
      <c r="E35" s="76">
        <v>1614230</v>
      </c>
      <c r="F35" s="76" t="s">
        <v>15</v>
      </c>
      <c r="G35" s="77">
        <v>20014828</v>
      </c>
      <c r="H35" s="76" t="s">
        <v>18</v>
      </c>
      <c r="I35" s="77">
        <v>1</v>
      </c>
      <c r="J35" s="78">
        <v>5.6</v>
      </c>
      <c r="K35" s="78">
        <v>5.6</v>
      </c>
    </row>
    <row r="36" spans="4:11">
      <c r="D36" s="75">
        <v>46198</v>
      </c>
      <c r="E36" s="76">
        <v>1615198</v>
      </c>
      <c r="F36" s="76" t="s">
        <v>20</v>
      </c>
      <c r="G36" s="77">
        <v>20010992</v>
      </c>
      <c r="H36" s="76" t="s">
        <v>44</v>
      </c>
      <c r="I36" s="77">
        <v>3</v>
      </c>
      <c r="J36" s="78">
        <v>11.2</v>
      </c>
      <c r="K36" s="78">
        <v>33.6</v>
      </c>
    </row>
    <row r="37" spans="4:11">
      <c r="D37" s="75">
        <v>46198</v>
      </c>
      <c r="E37" s="76">
        <v>1615198</v>
      </c>
      <c r="F37" s="76" t="s">
        <v>15</v>
      </c>
      <c r="G37" s="77">
        <v>20008322</v>
      </c>
      <c r="H37" s="76" t="s">
        <v>17</v>
      </c>
      <c r="I37" s="77">
        <v>4</v>
      </c>
      <c r="J37" s="78">
        <v>5.6</v>
      </c>
      <c r="K37" s="78">
        <v>22.4</v>
      </c>
    </row>
    <row r="38" spans="4:11">
      <c r="D38" s="75">
        <v>46198</v>
      </c>
      <c r="E38" s="76">
        <v>1615198</v>
      </c>
      <c r="F38" s="76" t="s">
        <v>15</v>
      </c>
      <c r="G38" s="77">
        <v>20014828</v>
      </c>
      <c r="H38" s="76" t="s">
        <v>18</v>
      </c>
      <c r="I38" s="77">
        <v>2</v>
      </c>
      <c r="J38" s="78">
        <v>5.6</v>
      </c>
      <c r="K38" s="78">
        <v>11.2</v>
      </c>
    </row>
    <row r="39" spans="4:11">
      <c r="D39" s="75">
        <v>46198</v>
      </c>
      <c r="E39" s="76">
        <v>1615198</v>
      </c>
      <c r="F39" s="76" t="s">
        <v>25</v>
      </c>
      <c r="G39" s="77">
        <v>20323252</v>
      </c>
      <c r="H39" s="76" t="s">
        <v>91</v>
      </c>
      <c r="I39" s="77">
        <v>4</v>
      </c>
      <c r="J39" s="78">
        <v>30.8</v>
      </c>
      <c r="K39" s="78">
        <v>123.2</v>
      </c>
    </row>
    <row r="40" spans="4:11">
      <c r="D40" s="75">
        <v>46203</v>
      </c>
      <c r="E40" s="76">
        <v>1616410</v>
      </c>
      <c r="F40" s="76" t="s">
        <v>20</v>
      </c>
      <c r="G40" s="77">
        <v>20010992</v>
      </c>
      <c r="H40" s="76" t="s">
        <v>44</v>
      </c>
      <c r="I40" s="77">
        <v>1</v>
      </c>
      <c r="J40" s="78">
        <v>11.2</v>
      </c>
      <c r="K40" s="78">
        <v>11.2</v>
      </c>
    </row>
    <row r="41" spans="4:11">
      <c r="D41" s="75">
        <v>46203</v>
      </c>
      <c r="E41" s="76">
        <v>1616410</v>
      </c>
      <c r="F41" s="76" t="s">
        <v>15</v>
      </c>
      <c r="G41" s="77">
        <v>20323330</v>
      </c>
      <c r="H41" s="76" t="s">
        <v>93</v>
      </c>
      <c r="I41" s="77">
        <v>1</v>
      </c>
      <c r="J41" s="78">
        <v>5.6</v>
      </c>
      <c r="K41" s="78">
        <v>5.6</v>
      </c>
    </row>
    <row r="42" spans="4:11">
      <c r="D42" s="75">
        <v>46203</v>
      </c>
      <c r="E42" s="76">
        <v>1616410</v>
      </c>
      <c r="F42" s="76" t="s">
        <v>15</v>
      </c>
      <c r="G42" s="77">
        <v>20008322</v>
      </c>
      <c r="H42" s="76" t="s">
        <v>17</v>
      </c>
      <c r="I42" s="77">
        <v>6</v>
      </c>
      <c r="J42" s="78">
        <v>5.6</v>
      </c>
      <c r="K42" s="78">
        <v>33.6</v>
      </c>
    </row>
    <row r="43" spans="4:11">
      <c r="D43" s="75">
        <v>46203</v>
      </c>
      <c r="E43" s="76">
        <v>1616410</v>
      </c>
      <c r="F43" s="76" t="s">
        <v>15</v>
      </c>
      <c r="G43" s="77">
        <v>20321383</v>
      </c>
      <c r="H43" s="76" t="s">
        <v>23</v>
      </c>
      <c r="I43" s="77">
        <v>1</v>
      </c>
      <c r="J43" s="78">
        <v>5.6</v>
      </c>
      <c r="K43" s="78">
        <v>5.6</v>
      </c>
    </row>
    <row r="44" spans="4:11">
      <c r="D44" s="75">
        <v>46203</v>
      </c>
      <c r="E44" s="76">
        <v>1616410</v>
      </c>
      <c r="F44" s="76" t="s">
        <v>15</v>
      </c>
      <c r="G44" s="77">
        <v>20014828</v>
      </c>
      <c r="H44" s="76" t="s">
        <v>18</v>
      </c>
      <c r="I44" s="77">
        <v>12</v>
      </c>
      <c r="J44" s="78">
        <v>5.6</v>
      </c>
      <c r="K44" s="78">
        <v>67.2</v>
      </c>
    </row>
    <row r="45" spans="4:11">
      <c r="D45" s="75">
        <v>46203</v>
      </c>
      <c r="E45" s="76">
        <v>1616410</v>
      </c>
      <c r="F45" s="76" t="s">
        <v>25</v>
      </c>
      <c r="G45" s="77">
        <v>20323253</v>
      </c>
      <c r="H45" s="76" t="s">
        <v>92</v>
      </c>
      <c r="I45" s="77">
        <v>1</v>
      </c>
      <c r="J45" s="78">
        <v>42.35</v>
      </c>
      <c r="K45" s="78">
        <v>42.35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Q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94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28</v>
      </c>
      <c r="J8" s="74"/>
      <c r="K8" s="74">
        <v>78.4</v>
      </c>
    </row>
    <row r="9" spans="1:11">
      <c r="D9" s="75">
        <v>46175</v>
      </c>
      <c r="E9" s="76">
        <v>1608567</v>
      </c>
      <c r="F9" s="76" t="s">
        <v>52</v>
      </c>
      <c r="G9" s="77">
        <v>20361390</v>
      </c>
      <c r="H9" s="76" t="s">
        <v>95</v>
      </c>
      <c r="I9" s="77">
        <v>6</v>
      </c>
      <c r="J9" s="78">
        <v>2.8</v>
      </c>
      <c r="K9" s="78">
        <v>16.8</v>
      </c>
    </row>
    <row r="10" spans="1:11">
      <c r="D10" s="75">
        <v>46177</v>
      </c>
      <c r="E10" s="76">
        <v>1609350</v>
      </c>
      <c r="F10" s="76" t="s">
        <v>52</v>
      </c>
      <c r="G10" s="77">
        <v>20361390</v>
      </c>
      <c r="H10" s="76" t="s">
        <v>95</v>
      </c>
      <c r="I10" s="77">
        <v>2</v>
      </c>
      <c r="J10" s="78">
        <v>2.8</v>
      </c>
      <c r="K10" s="78">
        <v>5.6</v>
      </c>
    </row>
    <row r="11" spans="1:11">
      <c r="D11" s="75">
        <v>46182</v>
      </c>
      <c r="E11" s="76">
        <v>1610649</v>
      </c>
      <c r="F11" s="76" t="s">
        <v>52</v>
      </c>
      <c r="G11" s="77">
        <v>20361390</v>
      </c>
      <c r="H11" s="76" t="s">
        <v>95</v>
      </c>
      <c r="I11" s="77">
        <v>5</v>
      </c>
      <c r="J11" s="78">
        <v>2.8</v>
      </c>
      <c r="K11" s="78">
        <v>14</v>
      </c>
    </row>
    <row r="12" spans="1:11">
      <c r="D12" s="75">
        <v>46190</v>
      </c>
      <c r="E12" s="76">
        <v>1613134</v>
      </c>
      <c r="F12" s="76" t="s">
        <v>52</v>
      </c>
      <c r="G12" s="77">
        <v>20361390</v>
      </c>
      <c r="H12" s="76" t="s">
        <v>95</v>
      </c>
      <c r="I12" s="77">
        <v>6</v>
      </c>
      <c r="J12" s="78">
        <v>2.8</v>
      </c>
      <c r="K12" s="78">
        <v>16.8</v>
      </c>
    </row>
    <row r="13" spans="1:11">
      <c r="D13" s="75">
        <v>46196</v>
      </c>
      <c r="E13" s="76">
        <v>1614397</v>
      </c>
      <c r="F13" s="76" t="s">
        <v>52</v>
      </c>
      <c r="G13" s="77">
        <v>20361390</v>
      </c>
      <c r="H13" s="76" t="s">
        <v>95</v>
      </c>
      <c r="I13" s="77">
        <v>4</v>
      </c>
      <c r="J13" s="78">
        <v>2.8</v>
      </c>
      <c r="K13" s="78">
        <v>11.2</v>
      </c>
    </row>
    <row r="14" spans="1:11">
      <c r="D14" s="75">
        <v>46203</v>
      </c>
      <c r="E14" s="76">
        <v>1616411</v>
      </c>
      <c r="F14" s="76" t="s">
        <v>52</v>
      </c>
      <c r="G14" s="77">
        <v>20361390</v>
      </c>
      <c r="H14" s="76" t="s">
        <v>95</v>
      </c>
      <c r="I14" s="77">
        <v>5</v>
      </c>
      <c r="J14" s="78">
        <v>2.8</v>
      </c>
      <c r="K14" s="78">
        <v>14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96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</v>
      </c>
      <c r="J8" s="74"/>
      <c r="K8" s="74">
        <v>24.5</v>
      </c>
    </row>
    <row r="9" spans="1:11">
      <c r="D9" s="75">
        <v>46191</v>
      </c>
      <c r="E9" s="76">
        <v>1613272</v>
      </c>
      <c r="F9" s="76" t="s">
        <v>13</v>
      </c>
      <c r="G9" s="77">
        <v>20362742</v>
      </c>
      <c r="H9" s="76" t="s">
        <v>97</v>
      </c>
      <c r="I9" s="77">
        <v>1</v>
      </c>
      <c r="J9" s="78">
        <v>24.5</v>
      </c>
      <c r="K9" s="78">
        <v>24.5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98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2</v>
      </c>
      <c r="J8" s="74"/>
      <c r="K8" s="74">
        <v>30.8</v>
      </c>
    </row>
    <row r="9" spans="1:11">
      <c r="D9" s="75">
        <v>46176</v>
      </c>
      <c r="E9" s="76">
        <v>1608742</v>
      </c>
      <c r="F9" s="76" t="s">
        <v>40</v>
      </c>
      <c r="G9" s="77">
        <v>20013613</v>
      </c>
      <c r="H9" s="76" t="s">
        <v>99</v>
      </c>
      <c r="I9" s="77">
        <v>2</v>
      </c>
      <c r="J9" s="78">
        <v>15.4</v>
      </c>
      <c r="K9" s="78">
        <v>30.8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showGridLines="0" view="pageBreakPreview" zoomScaleNormal="100" workbookViewId="0">
      <pane ySplit="6" topLeftCell="A7" activePane="bottomLeft" state="frozen"/>
      <selection/>
      <selection pane="bottomLeft" activeCell="P24" sqref="P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100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104</v>
      </c>
      <c r="J8" s="74"/>
      <c r="K8" s="74">
        <v>2050.3</v>
      </c>
    </row>
    <row r="9" spans="1:11">
      <c r="D9" s="75">
        <v>46175</v>
      </c>
      <c r="E9" s="76">
        <v>1608333</v>
      </c>
      <c r="F9" s="76" t="s">
        <v>36</v>
      </c>
      <c r="G9" s="77">
        <v>20342851</v>
      </c>
      <c r="H9" s="76" t="s">
        <v>101</v>
      </c>
      <c r="I9" s="77">
        <v>1</v>
      </c>
      <c r="J9" s="78">
        <v>127.05</v>
      </c>
      <c r="K9" s="78">
        <v>127.05</v>
      </c>
    </row>
    <row r="10" spans="1:11">
      <c r="D10" s="75">
        <v>46175</v>
      </c>
      <c r="E10" s="76">
        <v>1608333</v>
      </c>
      <c r="F10" s="76" t="s">
        <v>36</v>
      </c>
      <c r="G10" s="77">
        <v>20342369</v>
      </c>
      <c r="H10" s="76" t="s">
        <v>102</v>
      </c>
      <c r="I10" s="77">
        <v>1</v>
      </c>
      <c r="J10" s="78">
        <v>57.75</v>
      </c>
      <c r="K10" s="78">
        <v>57.75</v>
      </c>
    </row>
    <row r="11" spans="1:11">
      <c r="D11" s="75">
        <v>46175</v>
      </c>
      <c r="E11" s="76">
        <v>1608333</v>
      </c>
      <c r="F11" s="76" t="s">
        <v>36</v>
      </c>
      <c r="G11" s="77">
        <v>20342852</v>
      </c>
      <c r="H11" s="76" t="s">
        <v>103</v>
      </c>
      <c r="I11" s="77">
        <v>1</v>
      </c>
      <c r="J11" s="78">
        <v>123.2</v>
      </c>
      <c r="K11" s="78">
        <v>123.2</v>
      </c>
    </row>
    <row r="12" spans="1:11">
      <c r="D12" s="75">
        <v>46175</v>
      </c>
      <c r="E12" s="76">
        <v>1608333</v>
      </c>
      <c r="F12" s="76" t="s">
        <v>15</v>
      </c>
      <c r="G12" s="77">
        <v>20355170</v>
      </c>
      <c r="H12" s="76" t="s">
        <v>104</v>
      </c>
      <c r="I12" s="77">
        <v>1</v>
      </c>
      <c r="J12" s="78">
        <v>5.6</v>
      </c>
      <c r="K12" s="78">
        <v>5.6</v>
      </c>
    </row>
    <row r="13" spans="1:11">
      <c r="D13" s="75">
        <v>46175</v>
      </c>
      <c r="E13" s="76">
        <v>1608333</v>
      </c>
      <c r="F13" s="76" t="s">
        <v>15</v>
      </c>
      <c r="G13" s="77">
        <v>20360105</v>
      </c>
      <c r="H13" s="76" t="s">
        <v>105</v>
      </c>
      <c r="I13" s="77">
        <v>1</v>
      </c>
      <c r="J13" s="78">
        <v>5.6</v>
      </c>
      <c r="K13" s="78">
        <v>5.6</v>
      </c>
    </row>
    <row r="14" spans="1:11">
      <c r="D14" s="75">
        <v>46175</v>
      </c>
      <c r="E14" s="76">
        <v>1608333</v>
      </c>
      <c r="F14" s="76" t="s">
        <v>15</v>
      </c>
      <c r="G14" s="77">
        <v>20011204</v>
      </c>
      <c r="H14" s="76" t="s">
        <v>16</v>
      </c>
      <c r="I14" s="77">
        <v>2</v>
      </c>
      <c r="J14" s="78">
        <v>5.6</v>
      </c>
      <c r="K14" s="78">
        <v>11.2</v>
      </c>
    </row>
    <row r="15" spans="1:11">
      <c r="D15" s="75">
        <v>46175</v>
      </c>
      <c r="E15" s="76">
        <v>1608333</v>
      </c>
      <c r="F15" s="76" t="s">
        <v>15</v>
      </c>
      <c r="G15" s="77">
        <v>20008322</v>
      </c>
      <c r="H15" s="76" t="s">
        <v>17</v>
      </c>
      <c r="I15" s="77">
        <v>3</v>
      </c>
      <c r="J15" s="78">
        <v>5.6</v>
      </c>
      <c r="K15" s="78">
        <v>16.8</v>
      </c>
    </row>
    <row r="16" spans="1:11">
      <c r="D16" s="75">
        <v>46175</v>
      </c>
      <c r="E16" s="76">
        <v>1608333</v>
      </c>
      <c r="F16" s="76" t="s">
        <v>15</v>
      </c>
      <c r="G16" s="77">
        <v>20011203</v>
      </c>
      <c r="H16" s="76" t="s">
        <v>89</v>
      </c>
      <c r="I16" s="77">
        <v>3</v>
      </c>
      <c r="J16" s="78">
        <v>5.6</v>
      </c>
      <c r="K16" s="78">
        <v>16.8</v>
      </c>
    </row>
    <row r="17" spans="4:11">
      <c r="D17" s="75">
        <v>46175</v>
      </c>
      <c r="E17" s="76">
        <v>1608333</v>
      </c>
      <c r="F17" s="76" t="s">
        <v>15</v>
      </c>
      <c r="G17" s="77">
        <v>20360104</v>
      </c>
      <c r="H17" s="76" t="s">
        <v>106</v>
      </c>
      <c r="I17" s="77">
        <v>1</v>
      </c>
      <c r="J17" s="78">
        <v>5.6</v>
      </c>
      <c r="K17" s="78">
        <v>5.6</v>
      </c>
    </row>
    <row r="18" spans="4:11">
      <c r="D18" s="75">
        <v>46175</v>
      </c>
      <c r="E18" s="76">
        <v>1608333</v>
      </c>
      <c r="F18" s="76" t="s">
        <v>15</v>
      </c>
      <c r="G18" s="77">
        <v>20355171</v>
      </c>
      <c r="H18" s="76" t="s">
        <v>107</v>
      </c>
      <c r="I18" s="77">
        <v>5</v>
      </c>
      <c r="J18" s="78">
        <v>5.6</v>
      </c>
      <c r="K18" s="78">
        <v>28</v>
      </c>
    </row>
    <row r="19" spans="4:11">
      <c r="D19" s="75">
        <v>46175</v>
      </c>
      <c r="E19" s="76">
        <v>1608333</v>
      </c>
      <c r="F19" s="76" t="s">
        <v>15</v>
      </c>
      <c r="G19" s="77">
        <v>20368183</v>
      </c>
      <c r="H19" s="76" t="s">
        <v>108</v>
      </c>
      <c r="I19" s="77">
        <v>1</v>
      </c>
      <c r="J19" s="78">
        <v>5.6</v>
      </c>
      <c r="K19" s="78">
        <v>5.6</v>
      </c>
    </row>
    <row r="20" spans="4:11">
      <c r="D20" s="75">
        <v>46175</v>
      </c>
      <c r="E20" s="76">
        <v>1608333</v>
      </c>
      <c r="F20" s="76" t="s">
        <v>15</v>
      </c>
      <c r="G20" s="77">
        <v>20321383</v>
      </c>
      <c r="H20" s="76" t="s">
        <v>23</v>
      </c>
      <c r="I20" s="77">
        <v>1</v>
      </c>
      <c r="J20" s="78">
        <v>5.6</v>
      </c>
      <c r="K20" s="78">
        <v>5.6</v>
      </c>
    </row>
    <row r="21" spans="4:11">
      <c r="D21" s="75">
        <v>46175</v>
      </c>
      <c r="E21" s="76">
        <v>1608333</v>
      </c>
      <c r="F21" s="76" t="s">
        <v>15</v>
      </c>
      <c r="G21" s="77">
        <v>20363008</v>
      </c>
      <c r="H21" s="76" t="s">
        <v>109</v>
      </c>
      <c r="I21" s="77">
        <v>1</v>
      </c>
      <c r="J21" s="78">
        <v>5.6</v>
      </c>
      <c r="K21" s="78">
        <v>5.6</v>
      </c>
    </row>
    <row r="22" spans="4:11">
      <c r="D22" s="75">
        <v>46175</v>
      </c>
      <c r="E22" s="76">
        <v>1608333</v>
      </c>
      <c r="F22" s="76" t="s">
        <v>15</v>
      </c>
      <c r="G22" s="77">
        <v>20360102</v>
      </c>
      <c r="H22" s="76" t="s">
        <v>110</v>
      </c>
      <c r="I22" s="77">
        <v>4</v>
      </c>
      <c r="J22" s="78">
        <v>5.6</v>
      </c>
      <c r="K22" s="78">
        <v>22.4</v>
      </c>
    </row>
    <row r="23" spans="4:11">
      <c r="D23" s="75">
        <v>46175</v>
      </c>
      <c r="E23" s="76">
        <v>1608333</v>
      </c>
      <c r="F23" s="76" t="s">
        <v>15</v>
      </c>
      <c r="G23" s="77">
        <v>20360101</v>
      </c>
      <c r="H23" s="76" t="s">
        <v>111</v>
      </c>
      <c r="I23" s="77">
        <v>1</v>
      </c>
      <c r="J23" s="78">
        <v>5.6</v>
      </c>
      <c r="K23" s="78">
        <v>5.6</v>
      </c>
    </row>
    <row r="24" spans="4:11">
      <c r="D24" s="75">
        <v>46175</v>
      </c>
      <c r="E24" s="76">
        <v>1608333</v>
      </c>
      <c r="F24" s="76" t="s">
        <v>15</v>
      </c>
      <c r="G24" s="77">
        <v>20360100</v>
      </c>
      <c r="H24" s="76" t="s">
        <v>112</v>
      </c>
      <c r="I24" s="77">
        <v>2</v>
      </c>
      <c r="J24" s="78">
        <v>5.6</v>
      </c>
      <c r="K24" s="78">
        <v>11.2</v>
      </c>
    </row>
    <row r="25" spans="4:11">
      <c r="D25" s="75">
        <v>46175</v>
      </c>
      <c r="E25" s="76">
        <v>1608333</v>
      </c>
      <c r="F25" s="76" t="s">
        <v>15</v>
      </c>
      <c r="G25" s="77">
        <v>20347033</v>
      </c>
      <c r="H25" s="76" t="s">
        <v>113</v>
      </c>
      <c r="I25" s="77">
        <v>1</v>
      </c>
      <c r="J25" s="78">
        <v>5.6</v>
      </c>
      <c r="K25" s="78">
        <v>5.6</v>
      </c>
    </row>
    <row r="26" spans="4:11">
      <c r="D26" s="75">
        <v>46175</v>
      </c>
      <c r="E26" s="76">
        <v>1608333</v>
      </c>
      <c r="F26" s="76" t="s">
        <v>114</v>
      </c>
      <c r="G26" s="77">
        <v>20342848</v>
      </c>
      <c r="H26" s="76" t="s">
        <v>115</v>
      </c>
      <c r="I26" s="77">
        <v>1</v>
      </c>
      <c r="J26" s="78">
        <v>24.5</v>
      </c>
      <c r="K26" s="78">
        <v>24.5</v>
      </c>
    </row>
    <row r="27" spans="4:11">
      <c r="D27" s="75">
        <v>46175</v>
      </c>
      <c r="E27" s="76">
        <v>1608333</v>
      </c>
      <c r="F27" s="76" t="s">
        <v>27</v>
      </c>
      <c r="G27" s="77">
        <v>20342351</v>
      </c>
      <c r="H27" s="76" t="s">
        <v>116</v>
      </c>
      <c r="I27" s="77">
        <v>1</v>
      </c>
      <c r="J27" s="78">
        <v>11.55</v>
      </c>
      <c r="K27" s="78">
        <v>11.55</v>
      </c>
    </row>
    <row r="28" spans="4:11">
      <c r="D28" s="75">
        <v>46176</v>
      </c>
      <c r="E28" s="76">
        <v>1609025</v>
      </c>
      <c r="F28" s="76" t="s">
        <v>25</v>
      </c>
      <c r="G28" s="77">
        <v>20338693</v>
      </c>
      <c r="H28" s="76" t="s">
        <v>117</v>
      </c>
      <c r="I28" s="77">
        <v>2</v>
      </c>
      <c r="J28" s="78">
        <v>34.65</v>
      </c>
      <c r="K28" s="78">
        <v>69.3</v>
      </c>
    </row>
    <row r="29" spans="4:11">
      <c r="D29" s="75">
        <v>46177</v>
      </c>
      <c r="E29" s="76">
        <v>1609109</v>
      </c>
      <c r="F29" s="76" t="s">
        <v>15</v>
      </c>
      <c r="G29" s="77">
        <v>20011204</v>
      </c>
      <c r="H29" s="76" t="s">
        <v>16</v>
      </c>
      <c r="I29" s="77">
        <v>1</v>
      </c>
      <c r="J29" s="78">
        <v>5.6</v>
      </c>
      <c r="K29" s="78">
        <v>5.6</v>
      </c>
    </row>
    <row r="30" spans="4:11">
      <c r="D30" s="75">
        <v>46177</v>
      </c>
      <c r="E30" s="76">
        <v>1609109</v>
      </c>
      <c r="F30" s="76" t="s">
        <v>15</v>
      </c>
      <c r="G30" s="77">
        <v>20006845</v>
      </c>
      <c r="H30" s="76" t="s">
        <v>118</v>
      </c>
      <c r="I30" s="77">
        <v>1</v>
      </c>
      <c r="J30" s="78">
        <v>11.55</v>
      </c>
      <c r="K30" s="78">
        <v>11.55</v>
      </c>
    </row>
    <row r="31" spans="4:11">
      <c r="D31" s="75">
        <v>46177</v>
      </c>
      <c r="E31" s="76">
        <v>1609109</v>
      </c>
      <c r="F31" s="76" t="s">
        <v>15</v>
      </c>
      <c r="G31" s="77">
        <v>20009483</v>
      </c>
      <c r="H31" s="76" t="s">
        <v>51</v>
      </c>
      <c r="I31" s="77">
        <v>1</v>
      </c>
      <c r="J31" s="78">
        <v>7.7</v>
      </c>
      <c r="K31" s="78">
        <v>7.7</v>
      </c>
    </row>
    <row r="32" spans="4:11">
      <c r="D32" s="75">
        <v>46177</v>
      </c>
      <c r="E32" s="76">
        <v>1609109</v>
      </c>
      <c r="F32" s="76" t="s">
        <v>15</v>
      </c>
      <c r="G32" s="77">
        <v>20321383</v>
      </c>
      <c r="H32" s="76" t="s">
        <v>23</v>
      </c>
      <c r="I32" s="77">
        <v>1</v>
      </c>
      <c r="J32" s="78">
        <v>5.6</v>
      </c>
      <c r="K32" s="78">
        <v>5.6</v>
      </c>
    </row>
    <row r="33" spans="4:11">
      <c r="D33" s="75">
        <v>46179</v>
      </c>
      <c r="E33" s="76">
        <v>1609889</v>
      </c>
      <c r="F33" s="76" t="s">
        <v>15</v>
      </c>
      <c r="G33" s="77">
        <v>20330575</v>
      </c>
      <c r="H33" s="76" t="s">
        <v>82</v>
      </c>
      <c r="I33" s="77">
        <v>1</v>
      </c>
      <c r="J33" s="78">
        <v>5.6</v>
      </c>
      <c r="K33" s="78">
        <v>5.6</v>
      </c>
    </row>
    <row r="34" spans="4:11">
      <c r="D34" s="75">
        <v>46179</v>
      </c>
      <c r="E34" s="76">
        <v>1609889</v>
      </c>
      <c r="F34" s="76" t="s">
        <v>25</v>
      </c>
      <c r="G34" s="77">
        <v>20338693</v>
      </c>
      <c r="H34" s="76" t="s">
        <v>117</v>
      </c>
      <c r="I34" s="77">
        <v>1</v>
      </c>
      <c r="J34" s="78">
        <v>34.65</v>
      </c>
      <c r="K34" s="78">
        <v>34.65</v>
      </c>
    </row>
    <row r="35" spans="4:11">
      <c r="D35" s="75">
        <v>46182</v>
      </c>
      <c r="E35" s="76">
        <v>1610383</v>
      </c>
      <c r="F35" s="76" t="s">
        <v>25</v>
      </c>
      <c r="G35" s="77">
        <v>20329860</v>
      </c>
      <c r="H35" s="76" t="s">
        <v>119</v>
      </c>
      <c r="I35" s="77">
        <v>1</v>
      </c>
      <c r="J35" s="78">
        <v>130.9</v>
      </c>
      <c r="K35" s="78">
        <v>130.9</v>
      </c>
    </row>
    <row r="36" spans="4:11">
      <c r="D36" s="75">
        <v>46183</v>
      </c>
      <c r="E36" s="76">
        <v>1610861</v>
      </c>
      <c r="F36" s="76" t="s">
        <v>15</v>
      </c>
      <c r="G36" s="77">
        <v>20400097</v>
      </c>
      <c r="H36" s="76" t="s">
        <v>120</v>
      </c>
      <c r="I36" s="77">
        <v>1</v>
      </c>
      <c r="J36" s="78">
        <v>5.6</v>
      </c>
      <c r="K36" s="78">
        <v>5.6</v>
      </c>
    </row>
    <row r="37" spans="4:11">
      <c r="D37" s="75">
        <v>46183</v>
      </c>
      <c r="E37" s="76">
        <v>1610861</v>
      </c>
      <c r="F37" s="76" t="s">
        <v>15</v>
      </c>
      <c r="G37" s="77">
        <v>20330575</v>
      </c>
      <c r="H37" s="76" t="s">
        <v>82</v>
      </c>
      <c r="I37" s="77">
        <v>1</v>
      </c>
      <c r="J37" s="78">
        <v>5.6</v>
      </c>
      <c r="K37" s="78">
        <v>5.6</v>
      </c>
    </row>
    <row r="38" spans="4:11">
      <c r="D38" s="75">
        <v>46183</v>
      </c>
      <c r="E38" s="76">
        <v>1610861</v>
      </c>
      <c r="F38" s="76" t="s">
        <v>15</v>
      </c>
      <c r="G38" s="77">
        <v>20006845</v>
      </c>
      <c r="H38" s="76" t="s">
        <v>118</v>
      </c>
      <c r="I38" s="77">
        <v>1</v>
      </c>
      <c r="J38" s="78">
        <v>11.55</v>
      </c>
      <c r="K38" s="78">
        <v>11.55</v>
      </c>
    </row>
    <row r="39" spans="4:11">
      <c r="D39" s="75">
        <v>46183</v>
      </c>
      <c r="E39" s="76">
        <v>1610861</v>
      </c>
      <c r="F39" s="76" t="s">
        <v>15</v>
      </c>
      <c r="G39" s="77">
        <v>20008491</v>
      </c>
      <c r="H39" s="76" t="s">
        <v>121</v>
      </c>
      <c r="I39" s="77">
        <v>1</v>
      </c>
      <c r="J39" s="78">
        <v>11.55</v>
      </c>
      <c r="K39" s="78">
        <v>11.55</v>
      </c>
    </row>
    <row r="40" spans="4:11">
      <c r="D40" s="75">
        <v>46183</v>
      </c>
      <c r="E40" s="76">
        <v>1610861</v>
      </c>
      <c r="F40" s="76" t="s">
        <v>15</v>
      </c>
      <c r="G40" s="77">
        <v>20008204</v>
      </c>
      <c r="H40" s="76" t="s">
        <v>122</v>
      </c>
      <c r="I40" s="77">
        <v>1</v>
      </c>
      <c r="J40" s="78">
        <v>9.45</v>
      </c>
      <c r="K40" s="78">
        <v>9.45</v>
      </c>
    </row>
    <row r="41" spans="4:11">
      <c r="D41" s="75">
        <v>46183</v>
      </c>
      <c r="E41" s="76">
        <v>1610861</v>
      </c>
      <c r="F41" s="76" t="s">
        <v>25</v>
      </c>
      <c r="G41" s="77">
        <v>20338693</v>
      </c>
      <c r="H41" s="76" t="s">
        <v>117</v>
      </c>
      <c r="I41" s="77">
        <v>2</v>
      </c>
      <c r="J41" s="78">
        <v>34.65</v>
      </c>
      <c r="K41" s="78">
        <v>69.3</v>
      </c>
    </row>
    <row r="42" spans="4:11">
      <c r="D42" s="75">
        <v>46183</v>
      </c>
      <c r="E42" s="76">
        <v>1610861</v>
      </c>
      <c r="F42" s="76" t="s">
        <v>27</v>
      </c>
      <c r="G42" s="77">
        <v>20008214</v>
      </c>
      <c r="H42" s="76" t="s">
        <v>123</v>
      </c>
      <c r="I42" s="77">
        <v>1</v>
      </c>
      <c r="J42" s="78">
        <v>11.55</v>
      </c>
      <c r="K42" s="78">
        <v>11.55</v>
      </c>
    </row>
    <row r="43" spans="4:11">
      <c r="D43" s="75">
        <v>46185</v>
      </c>
      <c r="E43" s="76">
        <v>1611704</v>
      </c>
      <c r="F43" s="76" t="s">
        <v>15</v>
      </c>
      <c r="G43" s="77">
        <v>20009483</v>
      </c>
      <c r="H43" s="76" t="s">
        <v>51</v>
      </c>
      <c r="I43" s="77">
        <v>1</v>
      </c>
      <c r="J43" s="78">
        <v>7.7</v>
      </c>
      <c r="K43" s="78">
        <v>7.7</v>
      </c>
    </row>
    <row r="44" spans="4:11">
      <c r="D44" s="75">
        <v>46185</v>
      </c>
      <c r="E44" s="76">
        <v>1611704</v>
      </c>
      <c r="F44" s="76" t="s">
        <v>25</v>
      </c>
      <c r="G44" s="77">
        <v>20338693</v>
      </c>
      <c r="H44" s="76" t="s">
        <v>117</v>
      </c>
      <c r="I44" s="77">
        <v>4</v>
      </c>
      <c r="J44" s="78">
        <v>34.65</v>
      </c>
      <c r="K44" s="78">
        <v>138.6</v>
      </c>
    </row>
    <row r="45" spans="4:11">
      <c r="D45" s="75">
        <v>46187</v>
      </c>
      <c r="E45" s="76">
        <v>1612081</v>
      </c>
      <c r="F45" s="76" t="s">
        <v>25</v>
      </c>
      <c r="G45" s="77">
        <v>20338693</v>
      </c>
      <c r="H45" s="76" t="s">
        <v>117</v>
      </c>
      <c r="I45" s="77">
        <v>1</v>
      </c>
      <c r="J45" s="78">
        <v>34.65</v>
      </c>
      <c r="K45" s="78">
        <v>34.65</v>
      </c>
    </row>
    <row r="46" spans="4:11">
      <c r="D46" s="75">
        <v>46189</v>
      </c>
      <c r="E46" s="76">
        <v>1612607</v>
      </c>
      <c r="F46" s="76" t="s">
        <v>25</v>
      </c>
      <c r="G46" s="77">
        <v>20338693</v>
      </c>
      <c r="H46" s="76" t="s">
        <v>117</v>
      </c>
      <c r="I46" s="77">
        <v>2</v>
      </c>
      <c r="J46" s="78">
        <v>34.65</v>
      </c>
      <c r="K46" s="78">
        <v>69.3</v>
      </c>
    </row>
    <row r="47" spans="4:11">
      <c r="D47" s="75">
        <v>46190</v>
      </c>
      <c r="E47" s="76">
        <v>1612769</v>
      </c>
      <c r="F47" s="76" t="s">
        <v>15</v>
      </c>
      <c r="G47" s="77">
        <v>20009483</v>
      </c>
      <c r="H47" s="76" t="s">
        <v>51</v>
      </c>
      <c r="I47" s="77">
        <v>1</v>
      </c>
      <c r="J47" s="78">
        <v>7.7</v>
      </c>
      <c r="K47" s="78">
        <v>7.7</v>
      </c>
    </row>
    <row r="48" spans="4:11">
      <c r="D48" s="75">
        <v>46190</v>
      </c>
      <c r="E48" s="76">
        <v>1612769</v>
      </c>
      <c r="F48" s="76" t="s">
        <v>25</v>
      </c>
      <c r="G48" s="77">
        <v>20338693</v>
      </c>
      <c r="H48" s="76" t="s">
        <v>117</v>
      </c>
      <c r="I48" s="77">
        <v>1</v>
      </c>
      <c r="J48" s="78">
        <v>34.65</v>
      </c>
      <c r="K48" s="78">
        <v>34.65</v>
      </c>
    </row>
    <row r="49" spans="4:11">
      <c r="D49" s="75">
        <v>46190</v>
      </c>
      <c r="E49" s="76">
        <v>1612982</v>
      </c>
      <c r="F49" s="76" t="s">
        <v>15</v>
      </c>
      <c r="G49" s="77">
        <v>20009483</v>
      </c>
      <c r="H49" s="76" t="s">
        <v>51</v>
      </c>
      <c r="I49" s="77">
        <v>1</v>
      </c>
      <c r="J49" s="78">
        <v>7.7</v>
      </c>
      <c r="K49" s="78">
        <v>7.7</v>
      </c>
    </row>
    <row r="50" spans="4:11">
      <c r="D50" s="75">
        <v>46190</v>
      </c>
      <c r="E50" s="76">
        <v>1612982</v>
      </c>
      <c r="F50" s="76" t="s">
        <v>15</v>
      </c>
      <c r="G50" s="77">
        <v>20011861</v>
      </c>
      <c r="H50" s="76" t="s">
        <v>124</v>
      </c>
      <c r="I50" s="77">
        <v>1</v>
      </c>
      <c r="J50" s="78">
        <v>11.55</v>
      </c>
      <c r="K50" s="78">
        <v>11.55</v>
      </c>
    </row>
    <row r="51" spans="4:11">
      <c r="D51" s="75">
        <v>46190</v>
      </c>
      <c r="E51" s="76">
        <v>1612982</v>
      </c>
      <c r="F51" s="76" t="s">
        <v>25</v>
      </c>
      <c r="G51" s="77">
        <v>20338693</v>
      </c>
      <c r="H51" s="76" t="s">
        <v>117</v>
      </c>
      <c r="I51" s="77">
        <v>1</v>
      </c>
      <c r="J51" s="78">
        <v>34.65</v>
      </c>
      <c r="K51" s="78">
        <v>34.65</v>
      </c>
    </row>
    <row r="52" spans="4:11">
      <c r="D52" s="75">
        <v>46192</v>
      </c>
      <c r="E52" s="76">
        <v>1613574</v>
      </c>
      <c r="F52" s="76" t="s">
        <v>15</v>
      </c>
      <c r="G52" s="77">
        <v>20008409</v>
      </c>
      <c r="H52" s="76" t="s">
        <v>30</v>
      </c>
      <c r="I52" s="77">
        <v>1</v>
      </c>
      <c r="J52" s="78">
        <v>5.6</v>
      </c>
      <c r="K52" s="78">
        <v>5.6</v>
      </c>
    </row>
    <row r="53" spans="4:11">
      <c r="D53" s="75">
        <v>46192</v>
      </c>
      <c r="E53" s="76">
        <v>1613574</v>
      </c>
      <c r="F53" s="76" t="s">
        <v>15</v>
      </c>
      <c r="G53" s="77">
        <v>20011204</v>
      </c>
      <c r="H53" s="76" t="s">
        <v>16</v>
      </c>
      <c r="I53" s="77">
        <v>1</v>
      </c>
      <c r="J53" s="78">
        <v>5.6</v>
      </c>
      <c r="K53" s="78">
        <v>5.6</v>
      </c>
    </row>
    <row r="54" spans="4:11">
      <c r="D54" s="75">
        <v>46192</v>
      </c>
      <c r="E54" s="76">
        <v>1613574</v>
      </c>
      <c r="F54" s="76" t="s">
        <v>15</v>
      </c>
      <c r="G54" s="77">
        <v>20330575</v>
      </c>
      <c r="H54" s="76" t="s">
        <v>82</v>
      </c>
      <c r="I54" s="77">
        <v>1</v>
      </c>
      <c r="J54" s="78">
        <v>5.6</v>
      </c>
      <c r="K54" s="78">
        <v>5.6</v>
      </c>
    </row>
    <row r="55" spans="4:11">
      <c r="D55" s="75">
        <v>46192</v>
      </c>
      <c r="E55" s="76">
        <v>1613574</v>
      </c>
      <c r="F55" s="76" t="s">
        <v>25</v>
      </c>
      <c r="G55" s="77">
        <v>20338693</v>
      </c>
      <c r="H55" s="76" t="s">
        <v>117</v>
      </c>
      <c r="I55" s="77">
        <v>1</v>
      </c>
      <c r="J55" s="78">
        <v>34.65</v>
      </c>
      <c r="K55" s="78">
        <v>34.65</v>
      </c>
    </row>
    <row r="56" spans="4:11">
      <c r="D56" s="75">
        <v>46192</v>
      </c>
      <c r="E56" s="76">
        <v>1613574</v>
      </c>
      <c r="F56" s="76" t="s">
        <v>25</v>
      </c>
      <c r="G56" s="77">
        <v>20329864</v>
      </c>
      <c r="H56" s="76" t="s">
        <v>125</v>
      </c>
      <c r="I56" s="77">
        <v>1</v>
      </c>
      <c r="J56" s="78">
        <v>96.25</v>
      </c>
      <c r="K56" s="78">
        <v>96.25</v>
      </c>
    </row>
    <row r="57" spans="4:11">
      <c r="D57" s="75">
        <v>46194</v>
      </c>
      <c r="E57" s="76">
        <v>1613837</v>
      </c>
      <c r="F57" s="76" t="s">
        <v>25</v>
      </c>
      <c r="G57" s="77">
        <v>20338693</v>
      </c>
      <c r="H57" s="76" t="s">
        <v>117</v>
      </c>
      <c r="I57" s="77">
        <v>2</v>
      </c>
      <c r="J57" s="78">
        <v>34.65</v>
      </c>
      <c r="K57" s="78">
        <v>69.3</v>
      </c>
    </row>
    <row r="58" spans="4:11">
      <c r="D58" s="75">
        <v>46195</v>
      </c>
      <c r="E58" s="76">
        <v>1614171</v>
      </c>
      <c r="F58" s="76" t="s">
        <v>15</v>
      </c>
      <c r="G58" s="77">
        <v>20008409</v>
      </c>
      <c r="H58" s="76" t="s">
        <v>30</v>
      </c>
      <c r="I58" s="77">
        <v>1</v>
      </c>
      <c r="J58" s="78">
        <v>5.6</v>
      </c>
      <c r="K58" s="78">
        <v>5.6</v>
      </c>
    </row>
    <row r="59" spans="4:11">
      <c r="D59" s="75">
        <v>46195</v>
      </c>
      <c r="E59" s="76">
        <v>1614171</v>
      </c>
      <c r="F59" s="76" t="s">
        <v>15</v>
      </c>
      <c r="G59" s="77">
        <v>20006845</v>
      </c>
      <c r="H59" s="76" t="s">
        <v>118</v>
      </c>
      <c r="I59" s="77">
        <v>1</v>
      </c>
      <c r="J59" s="78">
        <v>11.55</v>
      </c>
      <c r="K59" s="78">
        <v>11.55</v>
      </c>
    </row>
    <row r="60" spans="4:11">
      <c r="D60" s="75">
        <v>46195</v>
      </c>
      <c r="E60" s="76">
        <v>1614171</v>
      </c>
      <c r="F60" s="76" t="s">
        <v>15</v>
      </c>
      <c r="G60" s="77">
        <v>20008322</v>
      </c>
      <c r="H60" s="76" t="s">
        <v>17</v>
      </c>
      <c r="I60" s="77">
        <v>1</v>
      </c>
      <c r="J60" s="78">
        <v>5.6</v>
      </c>
      <c r="K60" s="78">
        <v>5.6</v>
      </c>
    </row>
    <row r="61" spans="4:11">
      <c r="D61" s="75">
        <v>46195</v>
      </c>
      <c r="E61" s="76">
        <v>1614171</v>
      </c>
      <c r="F61" s="76" t="s">
        <v>15</v>
      </c>
      <c r="G61" s="77">
        <v>20009483</v>
      </c>
      <c r="H61" s="76" t="s">
        <v>51</v>
      </c>
      <c r="I61" s="77">
        <v>1</v>
      </c>
      <c r="J61" s="78">
        <v>7.7</v>
      </c>
      <c r="K61" s="78">
        <v>7.7</v>
      </c>
    </row>
    <row r="62" spans="4:11">
      <c r="D62" s="75">
        <v>46195</v>
      </c>
      <c r="E62" s="76">
        <v>1614171</v>
      </c>
      <c r="F62" s="76" t="s">
        <v>15</v>
      </c>
      <c r="G62" s="77">
        <v>20320412</v>
      </c>
      <c r="H62" s="76" t="s">
        <v>126</v>
      </c>
      <c r="I62" s="77">
        <v>1</v>
      </c>
      <c r="J62" s="78">
        <v>7.7</v>
      </c>
      <c r="K62" s="78">
        <v>7.7</v>
      </c>
    </row>
    <row r="63" spans="4:11">
      <c r="D63" s="75">
        <v>46195</v>
      </c>
      <c r="E63" s="76">
        <v>1614171</v>
      </c>
      <c r="F63" s="76" t="s">
        <v>15</v>
      </c>
      <c r="G63" s="77">
        <v>20008491</v>
      </c>
      <c r="H63" s="76" t="s">
        <v>121</v>
      </c>
      <c r="I63" s="77">
        <v>1</v>
      </c>
      <c r="J63" s="78">
        <v>11.55</v>
      </c>
      <c r="K63" s="78">
        <v>11.55</v>
      </c>
    </row>
    <row r="64" spans="4:11">
      <c r="D64" s="75">
        <v>46195</v>
      </c>
      <c r="E64" s="76">
        <v>1614171</v>
      </c>
      <c r="F64" s="76" t="s">
        <v>25</v>
      </c>
      <c r="G64" s="77">
        <v>20338693</v>
      </c>
      <c r="H64" s="76" t="s">
        <v>117</v>
      </c>
      <c r="I64" s="77">
        <v>2</v>
      </c>
      <c r="J64" s="78">
        <v>34.65</v>
      </c>
      <c r="K64" s="78">
        <v>69.3</v>
      </c>
    </row>
    <row r="65" spans="4:11">
      <c r="D65" s="75">
        <v>46197</v>
      </c>
      <c r="E65" s="76">
        <v>1614540</v>
      </c>
      <c r="F65" s="76" t="s">
        <v>25</v>
      </c>
      <c r="G65" s="77">
        <v>20338693</v>
      </c>
      <c r="H65" s="76" t="s">
        <v>117</v>
      </c>
      <c r="I65" s="77">
        <v>1</v>
      </c>
      <c r="J65" s="78">
        <v>34.65</v>
      </c>
      <c r="K65" s="78">
        <v>34.65</v>
      </c>
    </row>
    <row r="66" spans="4:11">
      <c r="D66" s="75">
        <v>46198</v>
      </c>
      <c r="E66" s="76">
        <v>1614954</v>
      </c>
      <c r="F66" s="76" t="s">
        <v>15</v>
      </c>
      <c r="G66" s="77">
        <v>20008409</v>
      </c>
      <c r="H66" s="76" t="s">
        <v>30</v>
      </c>
      <c r="I66" s="77">
        <v>2</v>
      </c>
      <c r="J66" s="78">
        <v>5.6</v>
      </c>
      <c r="K66" s="78">
        <v>11.2</v>
      </c>
    </row>
    <row r="67" spans="4:11">
      <c r="D67" s="75">
        <v>46198</v>
      </c>
      <c r="E67" s="76">
        <v>1614954</v>
      </c>
      <c r="F67" s="76" t="s">
        <v>15</v>
      </c>
      <c r="G67" s="77">
        <v>20008322</v>
      </c>
      <c r="H67" s="76" t="s">
        <v>17</v>
      </c>
      <c r="I67" s="77">
        <v>3</v>
      </c>
      <c r="J67" s="78">
        <v>5.6</v>
      </c>
      <c r="K67" s="78">
        <v>16.8</v>
      </c>
    </row>
    <row r="68" spans="4:11">
      <c r="D68" s="75">
        <v>46198</v>
      </c>
      <c r="E68" s="76">
        <v>1614954</v>
      </c>
      <c r="F68" s="76" t="s">
        <v>15</v>
      </c>
      <c r="G68" s="77">
        <v>20011203</v>
      </c>
      <c r="H68" s="76" t="s">
        <v>89</v>
      </c>
      <c r="I68" s="77">
        <v>6</v>
      </c>
      <c r="J68" s="78">
        <v>5.6</v>
      </c>
      <c r="K68" s="78">
        <v>33.6</v>
      </c>
    </row>
    <row r="69" spans="4:11">
      <c r="D69" s="75">
        <v>46198</v>
      </c>
      <c r="E69" s="76">
        <v>1614954</v>
      </c>
      <c r="F69" s="76" t="s">
        <v>15</v>
      </c>
      <c r="G69" s="77">
        <v>20009483</v>
      </c>
      <c r="H69" s="76" t="s">
        <v>51</v>
      </c>
      <c r="I69" s="77">
        <v>3</v>
      </c>
      <c r="J69" s="78">
        <v>7.7</v>
      </c>
      <c r="K69" s="78">
        <v>23.1</v>
      </c>
    </row>
    <row r="70" spans="4:11">
      <c r="D70" s="75">
        <v>46198</v>
      </c>
      <c r="E70" s="76">
        <v>1614954</v>
      </c>
      <c r="F70" s="76" t="s">
        <v>25</v>
      </c>
      <c r="G70" s="77">
        <v>20338693</v>
      </c>
      <c r="H70" s="76" t="s">
        <v>117</v>
      </c>
      <c r="I70" s="77">
        <v>7</v>
      </c>
      <c r="J70" s="78">
        <v>34.65</v>
      </c>
      <c r="K70" s="78">
        <v>242.55</v>
      </c>
    </row>
    <row r="71" spans="4:11">
      <c r="D71" s="75">
        <v>46199</v>
      </c>
      <c r="E71" s="76">
        <v>1615591</v>
      </c>
      <c r="F71" s="76" t="s">
        <v>25</v>
      </c>
      <c r="G71" s="77">
        <v>20338693</v>
      </c>
      <c r="H71" s="76" t="s">
        <v>117</v>
      </c>
      <c r="I71" s="77">
        <v>1</v>
      </c>
      <c r="J71" s="78">
        <v>34.65</v>
      </c>
      <c r="K71" s="78">
        <v>34.65</v>
      </c>
    </row>
    <row r="72" spans="4:11">
      <c r="D72" s="75">
        <v>46203</v>
      </c>
      <c r="E72" s="76">
        <v>1616155</v>
      </c>
      <c r="F72" s="76" t="s">
        <v>15</v>
      </c>
      <c r="G72" s="77">
        <v>20008409</v>
      </c>
      <c r="H72" s="76" t="s">
        <v>30</v>
      </c>
      <c r="I72" s="77">
        <v>1</v>
      </c>
      <c r="J72" s="78">
        <v>5.6</v>
      </c>
      <c r="K72" s="78">
        <v>5.6</v>
      </c>
    </row>
    <row r="73" spans="4:11">
      <c r="D73" s="75">
        <v>46203</v>
      </c>
      <c r="E73" s="76">
        <v>1616155</v>
      </c>
      <c r="F73" s="76" t="s">
        <v>15</v>
      </c>
      <c r="G73" s="77">
        <v>20008322</v>
      </c>
      <c r="H73" s="76" t="s">
        <v>17</v>
      </c>
      <c r="I73" s="77">
        <v>1</v>
      </c>
      <c r="J73" s="78">
        <v>5.6</v>
      </c>
      <c r="K73" s="78">
        <v>5.6</v>
      </c>
    </row>
    <row r="74" spans="4:11">
      <c r="D74" s="75">
        <v>46203</v>
      </c>
      <c r="E74" s="76">
        <v>1616155</v>
      </c>
      <c r="F74" s="76" t="s">
        <v>25</v>
      </c>
      <c r="G74" s="77">
        <v>20338693</v>
      </c>
      <c r="H74" s="76" t="s">
        <v>117</v>
      </c>
      <c r="I74" s="77">
        <v>2</v>
      </c>
      <c r="J74" s="78">
        <v>34.65</v>
      </c>
      <c r="K74" s="78">
        <v>69.3</v>
      </c>
    </row>
  </sheetData>
  <autoFilter xmlns:etc="http://www.wps.cn/officeDocument/2017/etCustomData" ref="A7:K74" etc:filterBottomFollowUsedRange="0">
    <extLst/>
  </autoFilter>
  <mergeCells count="5">
    <mergeCell ref="D8:H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M14" sqref="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75" customWidth="1"/>
    <col min="9" max="9" width="6.475" customWidth="1"/>
    <col min="10" max="10" width="11.25" customWidth="1"/>
    <col min="11" max="11" width="11.6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127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59</v>
      </c>
      <c r="J8" s="74"/>
      <c r="K8" s="74">
        <v>481.6</v>
      </c>
    </row>
    <row r="9" spans="1:11">
      <c r="D9" s="75">
        <v>46175</v>
      </c>
      <c r="E9" s="76">
        <v>1608462</v>
      </c>
      <c r="F9" s="76" t="s">
        <v>15</v>
      </c>
      <c r="G9" s="77">
        <v>20378662</v>
      </c>
      <c r="H9" s="76" t="s">
        <v>128</v>
      </c>
      <c r="I9" s="77">
        <v>3</v>
      </c>
      <c r="J9" s="78">
        <v>11.55</v>
      </c>
      <c r="K9" s="78">
        <v>34.65</v>
      </c>
    </row>
    <row r="10" spans="1:11">
      <c r="D10" s="75">
        <v>46175</v>
      </c>
      <c r="E10" s="76">
        <v>1608462</v>
      </c>
      <c r="F10" s="76" t="s">
        <v>15</v>
      </c>
      <c r="G10" s="77">
        <v>20321383</v>
      </c>
      <c r="H10" s="76" t="s">
        <v>23</v>
      </c>
      <c r="I10" s="77">
        <v>6</v>
      </c>
      <c r="J10" s="78">
        <v>5.6</v>
      </c>
      <c r="K10" s="78">
        <v>33.6</v>
      </c>
    </row>
    <row r="11" spans="1:11">
      <c r="D11" s="75">
        <v>46175</v>
      </c>
      <c r="E11" s="76">
        <v>1608462</v>
      </c>
      <c r="F11" s="76" t="s">
        <v>40</v>
      </c>
      <c r="G11" s="77">
        <v>20387617</v>
      </c>
      <c r="H11" s="76" t="s">
        <v>129</v>
      </c>
      <c r="I11" s="77">
        <v>1</v>
      </c>
      <c r="J11" s="78">
        <v>30.8</v>
      </c>
      <c r="K11" s="78">
        <v>30.8</v>
      </c>
    </row>
    <row r="12" spans="1:11">
      <c r="D12" s="75">
        <v>46177</v>
      </c>
      <c r="E12" s="76">
        <v>1609236</v>
      </c>
      <c r="F12" s="76" t="s">
        <v>15</v>
      </c>
      <c r="G12" s="77">
        <v>20371722</v>
      </c>
      <c r="H12" s="76" t="s">
        <v>130</v>
      </c>
      <c r="I12" s="77">
        <v>2</v>
      </c>
      <c r="J12" s="78">
        <v>5.6</v>
      </c>
      <c r="K12" s="78">
        <v>11.2</v>
      </c>
    </row>
    <row r="13" spans="1:11">
      <c r="D13" s="75">
        <v>46177</v>
      </c>
      <c r="E13" s="76">
        <v>1609236</v>
      </c>
      <c r="F13" s="76" t="s">
        <v>15</v>
      </c>
      <c r="G13" s="77">
        <v>20378662</v>
      </c>
      <c r="H13" s="76" t="s">
        <v>128</v>
      </c>
      <c r="I13" s="77">
        <v>3</v>
      </c>
      <c r="J13" s="78">
        <v>11.55</v>
      </c>
      <c r="K13" s="78">
        <v>34.65</v>
      </c>
    </row>
    <row r="14" spans="1:11">
      <c r="D14" s="75">
        <v>46177</v>
      </c>
      <c r="E14" s="76">
        <v>1609236</v>
      </c>
      <c r="F14" s="76" t="s">
        <v>15</v>
      </c>
      <c r="G14" s="77">
        <v>20006840</v>
      </c>
      <c r="H14" s="76" t="s">
        <v>33</v>
      </c>
      <c r="I14" s="77">
        <v>1</v>
      </c>
      <c r="J14" s="78">
        <v>5.6</v>
      </c>
      <c r="K14" s="78">
        <v>5.6</v>
      </c>
    </row>
    <row r="15" spans="1:11">
      <c r="D15" s="75">
        <v>46177</v>
      </c>
      <c r="E15" s="76">
        <v>1609236</v>
      </c>
      <c r="F15" s="76" t="s">
        <v>15</v>
      </c>
      <c r="G15" s="77">
        <v>20006899</v>
      </c>
      <c r="H15" s="76" t="s">
        <v>131</v>
      </c>
      <c r="I15" s="77">
        <v>1</v>
      </c>
      <c r="J15" s="78">
        <v>5.6</v>
      </c>
      <c r="K15" s="78">
        <v>5.6</v>
      </c>
    </row>
    <row r="16" spans="1:11">
      <c r="D16" s="75">
        <v>46177</v>
      </c>
      <c r="E16" s="76">
        <v>1609240</v>
      </c>
      <c r="F16" s="76" t="s">
        <v>40</v>
      </c>
      <c r="G16" s="77">
        <v>20423703</v>
      </c>
      <c r="H16" s="76" t="s">
        <v>132</v>
      </c>
      <c r="I16" s="77">
        <v>1</v>
      </c>
      <c r="J16" s="78">
        <v>24.5</v>
      </c>
      <c r="K16" s="78">
        <v>24.5</v>
      </c>
    </row>
    <row r="17" spans="4:11">
      <c r="D17" s="75">
        <v>46182</v>
      </c>
      <c r="E17" s="76">
        <v>1610566</v>
      </c>
      <c r="F17" s="76" t="s">
        <v>15</v>
      </c>
      <c r="G17" s="77">
        <v>20378662</v>
      </c>
      <c r="H17" s="76" t="s">
        <v>128</v>
      </c>
      <c r="I17" s="77">
        <v>4</v>
      </c>
      <c r="J17" s="78">
        <v>11.55</v>
      </c>
      <c r="K17" s="78">
        <v>46.2</v>
      </c>
    </row>
    <row r="18" spans="4:11">
      <c r="D18" s="75">
        <v>46182</v>
      </c>
      <c r="E18" s="76">
        <v>1610566</v>
      </c>
      <c r="F18" s="76" t="s">
        <v>15</v>
      </c>
      <c r="G18" s="77">
        <v>20321383</v>
      </c>
      <c r="H18" s="76" t="s">
        <v>23</v>
      </c>
      <c r="I18" s="77">
        <v>5</v>
      </c>
      <c r="J18" s="78">
        <v>5.6</v>
      </c>
      <c r="K18" s="78">
        <v>28</v>
      </c>
    </row>
    <row r="19" spans="4:11">
      <c r="D19" s="75">
        <v>46184</v>
      </c>
      <c r="E19" s="76">
        <v>1611310</v>
      </c>
      <c r="F19" s="76" t="s">
        <v>15</v>
      </c>
      <c r="G19" s="77">
        <v>20008322</v>
      </c>
      <c r="H19" s="76" t="s">
        <v>17</v>
      </c>
      <c r="I19" s="77">
        <v>1</v>
      </c>
      <c r="J19" s="78">
        <v>5.6</v>
      </c>
      <c r="K19" s="78">
        <v>5.6</v>
      </c>
    </row>
    <row r="20" spans="4:11">
      <c r="D20" s="75">
        <v>46184</v>
      </c>
      <c r="E20" s="76">
        <v>1611310</v>
      </c>
      <c r="F20" s="76" t="s">
        <v>15</v>
      </c>
      <c r="G20" s="77">
        <v>20378662</v>
      </c>
      <c r="H20" s="76" t="s">
        <v>128</v>
      </c>
      <c r="I20" s="77">
        <v>1</v>
      </c>
      <c r="J20" s="78">
        <v>11.55</v>
      </c>
      <c r="K20" s="78">
        <v>11.55</v>
      </c>
    </row>
    <row r="21" spans="4:11">
      <c r="D21" s="75">
        <v>46184</v>
      </c>
      <c r="E21" s="76">
        <v>1611310</v>
      </c>
      <c r="F21" s="76" t="s">
        <v>15</v>
      </c>
      <c r="G21" s="77">
        <v>20321383</v>
      </c>
      <c r="H21" s="76" t="s">
        <v>23</v>
      </c>
      <c r="I21" s="77">
        <v>3</v>
      </c>
      <c r="J21" s="78">
        <v>5.6</v>
      </c>
      <c r="K21" s="78">
        <v>16.8</v>
      </c>
    </row>
    <row r="22" spans="4:11">
      <c r="D22" s="75">
        <v>46190</v>
      </c>
      <c r="E22" s="76">
        <v>1612983</v>
      </c>
      <c r="F22" s="76" t="s">
        <v>15</v>
      </c>
      <c r="G22" s="77">
        <v>20359111</v>
      </c>
      <c r="H22" s="76" t="s">
        <v>133</v>
      </c>
      <c r="I22" s="77">
        <v>2</v>
      </c>
      <c r="J22" s="78">
        <v>11.55</v>
      </c>
      <c r="K22" s="78">
        <v>23.1</v>
      </c>
    </row>
    <row r="23" spans="4:11">
      <c r="D23" s="75">
        <v>46190</v>
      </c>
      <c r="E23" s="76">
        <v>1612983</v>
      </c>
      <c r="F23" s="76" t="s">
        <v>15</v>
      </c>
      <c r="G23" s="77">
        <v>20006840</v>
      </c>
      <c r="H23" s="76" t="s">
        <v>33</v>
      </c>
      <c r="I23" s="77">
        <v>3</v>
      </c>
      <c r="J23" s="78">
        <v>5.6</v>
      </c>
      <c r="K23" s="78">
        <v>16.8</v>
      </c>
    </row>
    <row r="24" spans="4:11">
      <c r="D24" s="75">
        <v>46190</v>
      </c>
      <c r="E24" s="76">
        <v>1612983</v>
      </c>
      <c r="F24" s="76" t="s">
        <v>15</v>
      </c>
      <c r="G24" s="77">
        <v>20006899</v>
      </c>
      <c r="H24" s="76" t="s">
        <v>131</v>
      </c>
      <c r="I24" s="77">
        <v>5</v>
      </c>
      <c r="J24" s="78">
        <v>5.6</v>
      </c>
      <c r="K24" s="78">
        <v>28</v>
      </c>
    </row>
    <row r="25" spans="4:11">
      <c r="D25" s="75">
        <v>46196</v>
      </c>
      <c r="E25" s="76">
        <v>1614329</v>
      </c>
      <c r="F25" s="76" t="s">
        <v>15</v>
      </c>
      <c r="G25" s="77">
        <v>20378662</v>
      </c>
      <c r="H25" s="76" t="s">
        <v>128</v>
      </c>
      <c r="I25" s="77">
        <v>3</v>
      </c>
      <c r="J25" s="78">
        <v>11.55</v>
      </c>
      <c r="K25" s="78">
        <v>34.65</v>
      </c>
    </row>
    <row r="26" spans="4:11">
      <c r="D26" s="75">
        <v>46196</v>
      </c>
      <c r="E26" s="76">
        <v>1614329</v>
      </c>
      <c r="F26" s="76" t="s">
        <v>15</v>
      </c>
      <c r="G26" s="77">
        <v>20321383</v>
      </c>
      <c r="H26" s="76" t="s">
        <v>23</v>
      </c>
      <c r="I26" s="77">
        <v>2</v>
      </c>
      <c r="J26" s="78">
        <v>5.6</v>
      </c>
      <c r="K26" s="78">
        <v>11.2</v>
      </c>
    </row>
    <row r="27" spans="4:11">
      <c r="D27" s="75">
        <v>46196</v>
      </c>
      <c r="E27" s="76">
        <v>1614329</v>
      </c>
      <c r="F27" s="76" t="s">
        <v>15</v>
      </c>
      <c r="G27" s="77">
        <v>20430701</v>
      </c>
      <c r="H27" s="76" t="s">
        <v>134</v>
      </c>
      <c r="I27" s="77">
        <v>1</v>
      </c>
      <c r="J27" s="78">
        <v>5.6</v>
      </c>
      <c r="K27" s="78">
        <v>5.6</v>
      </c>
    </row>
    <row r="28" spans="4:11">
      <c r="D28" s="75">
        <v>46202</v>
      </c>
      <c r="E28" s="76">
        <v>1615899</v>
      </c>
      <c r="F28" s="76" t="s">
        <v>15</v>
      </c>
      <c r="G28" s="77">
        <v>20008322</v>
      </c>
      <c r="H28" s="76" t="s">
        <v>17</v>
      </c>
      <c r="I28" s="77">
        <v>1</v>
      </c>
      <c r="J28" s="78">
        <v>5.6</v>
      </c>
      <c r="K28" s="78">
        <v>5.6</v>
      </c>
    </row>
    <row r="29" spans="4:11">
      <c r="D29" s="75">
        <v>46202</v>
      </c>
      <c r="E29" s="76">
        <v>1615899</v>
      </c>
      <c r="F29" s="76" t="s">
        <v>15</v>
      </c>
      <c r="G29" s="77">
        <v>20378662</v>
      </c>
      <c r="H29" s="76" t="s">
        <v>128</v>
      </c>
      <c r="I29" s="77">
        <v>2</v>
      </c>
      <c r="J29" s="78">
        <v>11.55</v>
      </c>
      <c r="K29" s="78">
        <v>23.1</v>
      </c>
    </row>
    <row r="30" spans="4:11">
      <c r="D30" s="75">
        <v>46202</v>
      </c>
      <c r="E30" s="76">
        <v>1615899</v>
      </c>
      <c r="F30" s="76" t="s">
        <v>15</v>
      </c>
      <c r="G30" s="77">
        <v>20321383</v>
      </c>
      <c r="H30" s="76" t="s">
        <v>23</v>
      </c>
      <c r="I30" s="77">
        <v>7</v>
      </c>
      <c r="J30" s="78">
        <v>5.6</v>
      </c>
      <c r="K30" s="78">
        <v>39.2</v>
      </c>
    </row>
    <row r="31" spans="4:11">
      <c r="D31" s="75">
        <v>46203</v>
      </c>
      <c r="E31" s="76">
        <v>1616250</v>
      </c>
      <c r="F31" s="76" t="s">
        <v>15</v>
      </c>
      <c r="G31" s="77">
        <v>20321383</v>
      </c>
      <c r="H31" s="76" t="s">
        <v>23</v>
      </c>
      <c r="I31" s="77">
        <v>1</v>
      </c>
      <c r="J31" s="78">
        <v>5.6</v>
      </c>
      <c r="K31" s="78">
        <v>5.6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Q14" sqref="Q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135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14</v>
      </c>
      <c r="J8" s="74"/>
      <c r="K8" s="74">
        <v>95.9</v>
      </c>
    </row>
    <row r="9" spans="1:11">
      <c r="D9" s="75">
        <v>46179</v>
      </c>
      <c r="E9" s="76">
        <v>1609890</v>
      </c>
      <c r="F9" s="76" t="s">
        <v>15</v>
      </c>
      <c r="G9" s="77">
        <v>20011204</v>
      </c>
      <c r="H9" s="76" t="s">
        <v>16</v>
      </c>
      <c r="I9" s="77">
        <v>2</v>
      </c>
      <c r="J9" s="78">
        <v>5.6</v>
      </c>
      <c r="K9" s="78">
        <v>11.2</v>
      </c>
    </row>
    <row r="10" spans="1:11">
      <c r="D10" s="75">
        <v>46179</v>
      </c>
      <c r="E10" s="76">
        <v>1609890</v>
      </c>
      <c r="F10" s="76" t="s">
        <v>15</v>
      </c>
      <c r="G10" s="77">
        <v>20009489</v>
      </c>
      <c r="H10" s="76" t="s">
        <v>136</v>
      </c>
      <c r="I10" s="77">
        <v>2</v>
      </c>
      <c r="J10" s="78">
        <v>5.6</v>
      </c>
      <c r="K10" s="78">
        <v>11.2</v>
      </c>
    </row>
    <row r="11" spans="1:11">
      <c r="D11" s="75">
        <v>46179</v>
      </c>
      <c r="E11" s="76">
        <v>1609890</v>
      </c>
      <c r="F11" s="76" t="s">
        <v>15</v>
      </c>
      <c r="G11" s="77">
        <v>20362045</v>
      </c>
      <c r="H11" s="76" t="s">
        <v>137</v>
      </c>
      <c r="I11" s="77">
        <v>2</v>
      </c>
      <c r="J11" s="78">
        <v>5.6</v>
      </c>
      <c r="K11" s="78">
        <v>11.2</v>
      </c>
    </row>
    <row r="12" spans="1:11">
      <c r="D12" s="75">
        <v>46179</v>
      </c>
      <c r="E12" s="76">
        <v>1609890</v>
      </c>
      <c r="F12" s="76" t="s">
        <v>15</v>
      </c>
      <c r="G12" s="77">
        <v>20347043</v>
      </c>
      <c r="H12" s="76" t="s">
        <v>138</v>
      </c>
      <c r="I12" s="77">
        <v>1</v>
      </c>
      <c r="J12" s="78">
        <v>23.1</v>
      </c>
      <c r="K12" s="78">
        <v>23.1</v>
      </c>
    </row>
    <row r="13" spans="1:11">
      <c r="D13" s="75">
        <v>46179</v>
      </c>
      <c r="E13" s="76">
        <v>1609890</v>
      </c>
      <c r="F13" s="76" t="s">
        <v>15</v>
      </c>
      <c r="G13" s="77">
        <v>20347037</v>
      </c>
      <c r="H13" s="76" t="s">
        <v>139</v>
      </c>
      <c r="I13" s="77">
        <v>1</v>
      </c>
      <c r="J13" s="78">
        <v>5.6</v>
      </c>
      <c r="K13" s="78">
        <v>5.6</v>
      </c>
    </row>
    <row r="14" spans="1:11">
      <c r="D14" s="75">
        <v>46179</v>
      </c>
      <c r="E14" s="76">
        <v>1609890</v>
      </c>
      <c r="F14" s="76" t="s">
        <v>15</v>
      </c>
      <c r="G14" s="77">
        <v>20011545</v>
      </c>
      <c r="H14" s="76" t="s">
        <v>84</v>
      </c>
      <c r="I14" s="77">
        <v>1</v>
      </c>
      <c r="J14" s="78">
        <v>5.6</v>
      </c>
      <c r="K14" s="78">
        <v>5.6</v>
      </c>
    </row>
    <row r="15" spans="1:11">
      <c r="D15" s="75">
        <v>46179</v>
      </c>
      <c r="E15" s="76">
        <v>1609890</v>
      </c>
      <c r="F15" s="76" t="s">
        <v>15</v>
      </c>
      <c r="G15" s="77">
        <v>20009493</v>
      </c>
      <c r="H15" s="76" t="s">
        <v>140</v>
      </c>
      <c r="I15" s="77">
        <v>2</v>
      </c>
      <c r="J15" s="78">
        <v>5.6</v>
      </c>
      <c r="K15" s="78">
        <v>11.2</v>
      </c>
    </row>
    <row r="16" spans="1:11">
      <c r="D16" s="75">
        <v>46195</v>
      </c>
      <c r="E16" s="76">
        <v>1614172</v>
      </c>
      <c r="F16" s="76" t="s">
        <v>15</v>
      </c>
      <c r="G16" s="77">
        <v>20347037</v>
      </c>
      <c r="H16" s="76" t="s">
        <v>139</v>
      </c>
      <c r="I16" s="77">
        <v>1</v>
      </c>
      <c r="J16" s="78">
        <v>5.6</v>
      </c>
      <c r="K16" s="78">
        <v>5.6</v>
      </c>
    </row>
    <row r="17" spans="4:11">
      <c r="D17" s="75">
        <v>46195</v>
      </c>
      <c r="E17" s="76">
        <v>1614172</v>
      </c>
      <c r="F17" s="76" t="s">
        <v>15</v>
      </c>
      <c r="G17" s="77">
        <v>20342950</v>
      </c>
      <c r="H17" s="76" t="s">
        <v>141</v>
      </c>
      <c r="I17" s="77">
        <v>1</v>
      </c>
      <c r="J17" s="78">
        <v>5.6</v>
      </c>
      <c r="K17" s="78">
        <v>5.6</v>
      </c>
    </row>
    <row r="18" spans="4:11">
      <c r="D18" s="75">
        <v>46195</v>
      </c>
      <c r="E18" s="76">
        <v>1614172</v>
      </c>
      <c r="F18" s="76" t="s">
        <v>15</v>
      </c>
      <c r="G18" s="77">
        <v>20347042</v>
      </c>
      <c r="H18" s="76" t="s">
        <v>142</v>
      </c>
      <c r="I18" s="77">
        <v>1</v>
      </c>
      <c r="J18" s="78">
        <v>5.6</v>
      </c>
      <c r="K18" s="78">
        <v>5.6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O18" sqref="O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5" customWidth="1"/>
    <col min="9" max="9" width="6.475" customWidth="1"/>
    <col min="10" max="10" width="12.2083333333333" customWidth="1"/>
    <col min="11" max="11" width="11.6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143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24</v>
      </c>
      <c r="J8" s="74"/>
      <c r="K8" s="74">
        <v>534.8</v>
      </c>
    </row>
    <row r="9" spans="1:11">
      <c r="D9" s="75">
        <v>46185</v>
      </c>
      <c r="E9" s="76">
        <v>1611624</v>
      </c>
      <c r="F9" s="76" t="s">
        <v>40</v>
      </c>
      <c r="G9" s="77">
        <v>20364814</v>
      </c>
      <c r="H9" s="76" t="s">
        <v>144</v>
      </c>
      <c r="I9" s="77">
        <v>1</v>
      </c>
      <c r="J9" s="78">
        <v>17.5</v>
      </c>
      <c r="K9" s="78">
        <v>17.5</v>
      </c>
    </row>
    <row r="10" spans="1:11">
      <c r="D10" s="75">
        <v>46185</v>
      </c>
      <c r="E10" s="76">
        <v>1611624</v>
      </c>
      <c r="F10" s="76" t="s">
        <v>40</v>
      </c>
      <c r="G10" s="77">
        <v>20322920</v>
      </c>
      <c r="H10" s="76" t="s">
        <v>145</v>
      </c>
      <c r="I10" s="77">
        <v>1</v>
      </c>
      <c r="J10" s="78">
        <v>19.6</v>
      </c>
      <c r="K10" s="78">
        <v>19.6</v>
      </c>
    </row>
    <row r="11" spans="1:11">
      <c r="D11" s="75">
        <v>46185</v>
      </c>
      <c r="E11" s="76">
        <v>1611624</v>
      </c>
      <c r="F11" s="76" t="s">
        <v>42</v>
      </c>
      <c r="G11" s="77">
        <v>20364808</v>
      </c>
      <c r="H11" s="76" t="s">
        <v>146</v>
      </c>
      <c r="I11" s="77">
        <v>1</v>
      </c>
      <c r="J11" s="78">
        <v>30.8</v>
      </c>
      <c r="K11" s="78">
        <v>30.8</v>
      </c>
    </row>
    <row r="12" spans="1:11">
      <c r="D12" s="75">
        <v>46185</v>
      </c>
      <c r="E12" s="76">
        <v>1611624</v>
      </c>
      <c r="F12" s="76" t="s">
        <v>42</v>
      </c>
      <c r="G12" s="77">
        <v>20364418</v>
      </c>
      <c r="H12" s="76" t="s">
        <v>147</v>
      </c>
      <c r="I12" s="77">
        <v>1</v>
      </c>
      <c r="J12" s="78">
        <v>19.6</v>
      </c>
      <c r="K12" s="78">
        <v>19.6</v>
      </c>
    </row>
    <row r="13" spans="1:11">
      <c r="D13" s="75">
        <v>46185</v>
      </c>
      <c r="E13" s="76">
        <v>1611632</v>
      </c>
      <c r="F13" s="76" t="s">
        <v>13</v>
      </c>
      <c r="G13" s="77">
        <v>20405396</v>
      </c>
      <c r="H13" s="76" t="s">
        <v>14</v>
      </c>
      <c r="I13" s="77">
        <v>1</v>
      </c>
      <c r="J13" s="78">
        <v>24.5</v>
      </c>
      <c r="K13" s="78">
        <v>24.5</v>
      </c>
    </row>
    <row r="14" spans="1:11">
      <c r="D14" s="75">
        <v>46185</v>
      </c>
      <c r="E14" s="76">
        <v>1611935</v>
      </c>
      <c r="F14" s="76" t="s">
        <v>40</v>
      </c>
      <c r="G14" s="77">
        <v>20364814</v>
      </c>
      <c r="H14" s="76" t="s">
        <v>144</v>
      </c>
      <c r="I14" s="77">
        <v>1</v>
      </c>
      <c r="J14" s="78">
        <v>17.5</v>
      </c>
      <c r="K14" s="78">
        <v>17.5</v>
      </c>
    </row>
    <row r="15" spans="1:11">
      <c r="D15" s="75">
        <v>46185</v>
      </c>
      <c r="E15" s="76">
        <v>1611935</v>
      </c>
      <c r="F15" s="76" t="s">
        <v>40</v>
      </c>
      <c r="G15" s="77">
        <v>20322920</v>
      </c>
      <c r="H15" s="76" t="s">
        <v>145</v>
      </c>
      <c r="I15" s="77">
        <v>1</v>
      </c>
      <c r="J15" s="78">
        <v>19.6</v>
      </c>
      <c r="K15" s="78">
        <v>19.6</v>
      </c>
    </row>
    <row r="16" spans="1:11">
      <c r="D16" s="75">
        <v>46185</v>
      </c>
      <c r="E16" s="76">
        <v>1611935</v>
      </c>
      <c r="F16" s="76" t="s">
        <v>42</v>
      </c>
      <c r="G16" s="77">
        <v>20364808</v>
      </c>
      <c r="H16" s="76" t="s">
        <v>146</v>
      </c>
      <c r="I16" s="77">
        <v>1</v>
      </c>
      <c r="J16" s="78">
        <v>30.8</v>
      </c>
      <c r="K16" s="78">
        <v>30.8</v>
      </c>
    </row>
    <row r="17" spans="4:11">
      <c r="D17" s="75">
        <v>46185</v>
      </c>
      <c r="E17" s="76">
        <v>1611935</v>
      </c>
      <c r="F17" s="76" t="s">
        <v>42</v>
      </c>
      <c r="G17" s="77">
        <v>20364417</v>
      </c>
      <c r="H17" s="76" t="s">
        <v>148</v>
      </c>
      <c r="I17" s="77">
        <v>1</v>
      </c>
      <c r="J17" s="78">
        <v>19.6</v>
      </c>
      <c r="K17" s="78">
        <v>19.6</v>
      </c>
    </row>
    <row r="18" spans="4:11">
      <c r="D18" s="75">
        <v>46189</v>
      </c>
      <c r="E18" s="76">
        <v>1612460</v>
      </c>
      <c r="F18" s="76" t="s">
        <v>40</v>
      </c>
      <c r="G18" s="77">
        <v>20364815</v>
      </c>
      <c r="H18" s="76" t="s">
        <v>149</v>
      </c>
      <c r="I18" s="77">
        <v>1</v>
      </c>
      <c r="J18" s="78">
        <v>17.5</v>
      </c>
      <c r="K18" s="78">
        <v>17.5</v>
      </c>
    </row>
    <row r="19" spans="4:11">
      <c r="D19" s="75">
        <v>46189</v>
      </c>
      <c r="E19" s="76">
        <v>1612460</v>
      </c>
      <c r="F19" s="76" t="s">
        <v>42</v>
      </c>
      <c r="G19" s="77">
        <v>20364808</v>
      </c>
      <c r="H19" s="76" t="s">
        <v>146</v>
      </c>
      <c r="I19" s="77">
        <v>1</v>
      </c>
      <c r="J19" s="78">
        <v>30.8</v>
      </c>
      <c r="K19" s="78">
        <v>30.8</v>
      </c>
    </row>
    <row r="20" spans="4:11">
      <c r="D20" s="75">
        <v>46189</v>
      </c>
      <c r="E20" s="76">
        <v>1612460</v>
      </c>
      <c r="F20" s="76" t="s">
        <v>42</v>
      </c>
      <c r="G20" s="77">
        <v>20364418</v>
      </c>
      <c r="H20" s="76" t="s">
        <v>147</v>
      </c>
      <c r="I20" s="77">
        <v>1</v>
      </c>
      <c r="J20" s="78">
        <v>19.6</v>
      </c>
      <c r="K20" s="78">
        <v>19.6</v>
      </c>
    </row>
    <row r="21" spans="4:11">
      <c r="D21" s="75">
        <v>46196</v>
      </c>
      <c r="E21" s="76">
        <v>1614223</v>
      </c>
      <c r="F21" s="76" t="s">
        <v>40</v>
      </c>
      <c r="G21" s="77">
        <v>20364815</v>
      </c>
      <c r="H21" s="76" t="s">
        <v>149</v>
      </c>
      <c r="I21" s="77">
        <v>1</v>
      </c>
      <c r="J21" s="78">
        <v>17.5</v>
      </c>
      <c r="K21" s="78">
        <v>17.5</v>
      </c>
    </row>
    <row r="22" spans="4:11">
      <c r="D22" s="75">
        <v>46196</v>
      </c>
      <c r="E22" s="76">
        <v>1614223</v>
      </c>
      <c r="F22" s="76" t="s">
        <v>40</v>
      </c>
      <c r="G22" s="77">
        <v>20405799</v>
      </c>
      <c r="H22" s="76" t="s">
        <v>14</v>
      </c>
      <c r="I22" s="77">
        <v>1</v>
      </c>
      <c r="J22" s="78">
        <v>24.5</v>
      </c>
      <c r="K22" s="78">
        <v>24.5</v>
      </c>
    </row>
    <row r="23" spans="4:11">
      <c r="D23" s="75">
        <v>46196</v>
      </c>
      <c r="E23" s="76">
        <v>1614223</v>
      </c>
      <c r="F23" s="76" t="s">
        <v>42</v>
      </c>
      <c r="G23" s="77">
        <v>20364808</v>
      </c>
      <c r="H23" s="76" t="s">
        <v>146</v>
      </c>
      <c r="I23" s="77">
        <v>1</v>
      </c>
      <c r="J23" s="78">
        <v>30.8</v>
      </c>
      <c r="K23" s="78">
        <v>30.8</v>
      </c>
    </row>
    <row r="24" spans="4:11">
      <c r="D24" s="75">
        <v>46196</v>
      </c>
      <c r="E24" s="76">
        <v>1614223</v>
      </c>
      <c r="F24" s="76" t="s">
        <v>42</v>
      </c>
      <c r="G24" s="77">
        <v>20364418</v>
      </c>
      <c r="H24" s="76" t="s">
        <v>147</v>
      </c>
      <c r="I24" s="77">
        <v>1</v>
      </c>
      <c r="J24" s="78">
        <v>19.6</v>
      </c>
      <c r="K24" s="78">
        <v>19.6</v>
      </c>
    </row>
    <row r="25" spans="4:11">
      <c r="D25" s="75">
        <v>46198</v>
      </c>
      <c r="E25" s="76">
        <v>1614977</v>
      </c>
      <c r="F25" s="76" t="s">
        <v>40</v>
      </c>
      <c r="G25" s="77">
        <v>20364815</v>
      </c>
      <c r="H25" s="76" t="s">
        <v>149</v>
      </c>
      <c r="I25" s="77">
        <v>1</v>
      </c>
      <c r="J25" s="78">
        <v>17.5</v>
      </c>
      <c r="K25" s="78">
        <v>17.5</v>
      </c>
    </row>
    <row r="26" spans="4:11">
      <c r="D26" s="75">
        <v>46198</v>
      </c>
      <c r="E26" s="76">
        <v>1614977</v>
      </c>
      <c r="F26" s="76" t="s">
        <v>40</v>
      </c>
      <c r="G26" s="77">
        <v>20322920</v>
      </c>
      <c r="H26" s="76" t="s">
        <v>145</v>
      </c>
      <c r="I26" s="77">
        <v>1</v>
      </c>
      <c r="J26" s="78">
        <v>19.6</v>
      </c>
      <c r="K26" s="78">
        <v>19.6</v>
      </c>
    </row>
    <row r="27" spans="4:11">
      <c r="D27" s="75">
        <v>46198</v>
      </c>
      <c r="E27" s="76">
        <v>1614977</v>
      </c>
      <c r="F27" s="76" t="s">
        <v>42</v>
      </c>
      <c r="G27" s="77">
        <v>20364808</v>
      </c>
      <c r="H27" s="76" t="s">
        <v>146</v>
      </c>
      <c r="I27" s="77">
        <v>1</v>
      </c>
      <c r="J27" s="78">
        <v>30.8</v>
      </c>
      <c r="K27" s="78">
        <v>30.8</v>
      </c>
    </row>
    <row r="28" spans="4:11">
      <c r="D28" s="75">
        <v>46198</v>
      </c>
      <c r="E28" s="76">
        <v>1614977</v>
      </c>
      <c r="F28" s="76" t="s">
        <v>42</v>
      </c>
      <c r="G28" s="77">
        <v>20364417</v>
      </c>
      <c r="H28" s="76" t="s">
        <v>148</v>
      </c>
      <c r="I28" s="77">
        <v>1</v>
      </c>
      <c r="J28" s="78">
        <v>19.6</v>
      </c>
      <c r="K28" s="78">
        <v>19.6</v>
      </c>
    </row>
    <row r="29" spans="4:11">
      <c r="D29" s="75">
        <v>46203</v>
      </c>
      <c r="E29" s="76">
        <v>1616187</v>
      </c>
      <c r="F29" s="76" t="s">
        <v>40</v>
      </c>
      <c r="G29" s="77">
        <v>20364815</v>
      </c>
      <c r="H29" s="76" t="s">
        <v>149</v>
      </c>
      <c r="I29" s="77">
        <v>1</v>
      </c>
      <c r="J29" s="78">
        <v>17.5</v>
      </c>
      <c r="K29" s="78">
        <v>17.5</v>
      </c>
    </row>
    <row r="30" spans="4:11">
      <c r="D30" s="75">
        <v>46203</v>
      </c>
      <c r="E30" s="76">
        <v>1616187</v>
      </c>
      <c r="F30" s="76" t="s">
        <v>40</v>
      </c>
      <c r="G30" s="77">
        <v>20322920</v>
      </c>
      <c r="H30" s="76" t="s">
        <v>145</v>
      </c>
      <c r="I30" s="77">
        <v>1</v>
      </c>
      <c r="J30" s="78">
        <v>19.6</v>
      </c>
      <c r="K30" s="78">
        <v>19.6</v>
      </c>
    </row>
    <row r="31" spans="4:11">
      <c r="D31" s="75">
        <v>46203</v>
      </c>
      <c r="E31" s="76">
        <v>1616187</v>
      </c>
      <c r="F31" s="76" t="s">
        <v>42</v>
      </c>
      <c r="G31" s="77">
        <v>20364812</v>
      </c>
      <c r="H31" s="76" t="s">
        <v>150</v>
      </c>
      <c r="I31" s="77">
        <v>1</v>
      </c>
      <c r="J31" s="78">
        <v>30.8</v>
      </c>
      <c r="K31" s="78">
        <v>30.8</v>
      </c>
    </row>
    <row r="32" spans="4:11">
      <c r="D32" s="75">
        <v>46203</v>
      </c>
      <c r="E32" s="76">
        <v>1616187</v>
      </c>
      <c r="F32" s="76" t="s">
        <v>42</v>
      </c>
      <c r="G32" s="77">
        <v>20364417</v>
      </c>
      <c r="H32" s="76" t="s">
        <v>148</v>
      </c>
      <c r="I32" s="77">
        <v>1</v>
      </c>
      <c r="J32" s="78">
        <v>19.6</v>
      </c>
      <c r="K32" s="78">
        <v>19.6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N19" sqref="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151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26</v>
      </c>
      <c r="J8" s="74"/>
      <c r="K8" s="74">
        <v>209.3</v>
      </c>
    </row>
    <row r="9" spans="1:11">
      <c r="D9" s="75">
        <v>46175</v>
      </c>
      <c r="E9" s="76">
        <v>1608568</v>
      </c>
      <c r="F9" s="76" t="s">
        <v>15</v>
      </c>
      <c r="G9" s="77">
        <v>20011204</v>
      </c>
      <c r="H9" s="76" t="s">
        <v>16</v>
      </c>
      <c r="I9" s="77">
        <v>1</v>
      </c>
      <c r="J9" s="78">
        <v>5.6</v>
      </c>
      <c r="K9" s="78">
        <v>5.6</v>
      </c>
    </row>
    <row r="10" spans="1:11">
      <c r="D10" s="75">
        <v>46175</v>
      </c>
      <c r="E10" s="76">
        <v>1608568</v>
      </c>
      <c r="F10" s="76" t="s">
        <v>15</v>
      </c>
      <c r="G10" s="77">
        <v>20330575</v>
      </c>
      <c r="H10" s="76" t="s">
        <v>82</v>
      </c>
      <c r="I10" s="77">
        <v>1</v>
      </c>
      <c r="J10" s="78">
        <v>5.6</v>
      </c>
      <c r="K10" s="78">
        <v>5.6</v>
      </c>
    </row>
    <row r="11" spans="1:11">
      <c r="D11" s="75">
        <v>46175</v>
      </c>
      <c r="E11" s="76">
        <v>1608568</v>
      </c>
      <c r="F11" s="76" t="s">
        <v>15</v>
      </c>
      <c r="G11" s="77">
        <v>20008322</v>
      </c>
      <c r="H11" s="76" t="s">
        <v>17</v>
      </c>
      <c r="I11" s="77">
        <v>1</v>
      </c>
      <c r="J11" s="78">
        <v>5.6</v>
      </c>
      <c r="K11" s="78">
        <v>5.6</v>
      </c>
    </row>
    <row r="12" spans="1:11">
      <c r="D12" s="75">
        <v>46175</v>
      </c>
      <c r="E12" s="76">
        <v>1608568</v>
      </c>
      <c r="F12" s="76" t="s">
        <v>15</v>
      </c>
      <c r="G12" s="77">
        <v>20014828</v>
      </c>
      <c r="H12" s="76" t="s">
        <v>18</v>
      </c>
      <c r="I12" s="77">
        <v>6</v>
      </c>
      <c r="J12" s="78">
        <v>5.6</v>
      </c>
      <c r="K12" s="78">
        <v>33.6</v>
      </c>
    </row>
    <row r="13" spans="1:11">
      <c r="D13" s="75">
        <v>46177</v>
      </c>
      <c r="E13" s="76">
        <v>1609351</v>
      </c>
      <c r="F13" s="76" t="s">
        <v>15</v>
      </c>
      <c r="G13" s="77">
        <v>20011204</v>
      </c>
      <c r="H13" s="76" t="s">
        <v>16</v>
      </c>
      <c r="I13" s="77">
        <v>1</v>
      </c>
      <c r="J13" s="78">
        <v>5.6</v>
      </c>
      <c r="K13" s="78">
        <v>5.6</v>
      </c>
    </row>
    <row r="14" spans="1:11">
      <c r="D14" s="75">
        <v>46177</v>
      </c>
      <c r="E14" s="76">
        <v>1609351</v>
      </c>
      <c r="F14" s="76" t="s">
        <v>15</v>
      </c>
      <c r="G14" s="77">
        <v>20014828</v>
      </c>
      <c r="H14" s="76" t="s">
        <v>18</v>
      </c>
      <c r="I14" s="77">
        <v>1</v>
      </c>
      <c r="J14" s="78">
        <v>5.6</v>
      </c>
      <c r="K14" s="78">
        <v>5.6</v>
      </c>
    </row>
    <row r="15" spans="1:11">
      <c r="D15" s="75">
        <v>46190</v>
      </c>
      <c r="E15" s="76">
        <v>1613135</v>
      </c>
      <c r="F15" s="76" t="s">
        <v>15</v>
      </c>
      <c r="G15" s="77">
        <v>20011204</v>
      </c>
      <c r="H15" s="76" t="s">
        <v>16</v>
      </c>
      <c r="I15" s="77">
        <v>1</v>
      </c>
      <c r="J15" s="78">
        <v>5.6</v>
      </c>
      <c r="K15" s="78">
        <v>5.6</v>
      </c>
    </row>
    <row r="16" spans="1:11">
      <c r="D16" s="75">
        <v>46190</v>
      </c>
      <c r="E16" s="76">
        <v>1613135</v>
      </c>
      <c r="F16" s="76" t="s">
        <v>15</v>
      </c>
      <c r="G16" s="77">
        <v>20014828</v>
      </c>
      <c r="H16" s="76" t="s">
        <v>18</v>
      </c>
      <c r="I16" s="77">
        <v>4</v>
      </c>
      <c r="J16" s="78">
        <v>5.6</v>
      </c>
      <c r="K16" s="78">
        <v>22.4</v>
      </c>
    </row>
    <row r="17" spans="4:11">
      <c r="D17" s="75">
        <v>46196</v>
      </c>
      <c r="E17" s="76">
        <v>1614398</v>
      </c>
      <c r="F17" s="76" t="s">
        <v>36</v>
      </c>
      <c r="G17" s="77">
        <v>20006844</v>
      </c>
      <c r="H17" s="76" t="s">
        <v>152</v>
      </c>
      <c r="I17" s="77">
        <v>1</v>
      </c>
      <c r="J17" s="78">
        <v>69.3</v>
      </c>
      <c r="K17" s="78">
        <v>69.3</v>
      </c>
    </row>
    <row r="18" spans="4:11">
      <c r="D18" s="75">
        <v>46196</v>
      </c>
      <c r="E18" s="76">
        <v>1614398</v>
      </c>
      <c r="F18" s="76" t="s">
        <v>15</v>
      </c>
      <c r="G18" s="77">
        <v>20008409</v>
      </c>
      <c r="H18" s="76" t="s">
        <v>30</v>
      </c>
      <c r="I18" s="77">
        <v>1</v>
      </c>
      <c r="J18" s="78">
        <v>5.6</v>
      </c>
      <c r="K18" s="78">
        <v>5.6</v>
      </c>
    </row>
    <row r="19" spans="4:11">
      <c r="D19" s="75">
        <v>46196</v>
      </c>
      <c r="E19" s="76">
        <v>1614398</v>
      </c>
      <c r="F19" s="76" t="s">
        <v>15</v>
      </c>
      <c r="G19" s="77">
        <v>20008322</v>
      </c>
      <c r="H19" s="76" t="s">
        <v>17</v>
      </c>
      <c r="I19" s="77">
        <v>1</v>
      </c>
      <c r="J19" s="78">
        <v>5.6</v>
      </c>
      <c r="K19" s="78">
        <v>5.6</v>
      </c>
    </row>
    <row r="20" spans="4:11">
      <c r="D20" s="75">
        <v>46196</v>
      </c>
      <c r="E20" s="76">
        <v>1614398</v>
      </c>
      <c r="F20" s="76" t="s">
        <v>15</v>
      </c>
      <c r="G20" s="77">
        <v>20014828</v>
      </c>
      <c r="H20" s="76" t="s">
        <v>18</v>
      </c>
      <c r="I20" s="77">
        <v>2</v>
      </c>
      <c r="J20" s="78">
        <v>5.6</v>
      </c>
      <c r="K20" s="78">
        <v>11.2</v>
      </c>
    </row>
    <row r="21" spans="4:11">
      <c r="D21" s="75">
        <v>46203</v>
      </c>
      <c r="E21" s="76">
        <v>1616412</v>
      </c>
      <c r="F21" s="76" t="s">
        <v>15</v>
      </c>
      <c r="G21" s="77">
        <v>20011204</v>
      </c>
      <c r="H21" s="76" t="s">
        <v>16</v>
      </c>
      <c r="I21" s="77">
        <v>1</v>
      </c>
      <c r="J21" s="78">
        <v>5.6</v>
      </c>
      <c r="K21" s="78">
        <v>5.6</v>
      </c>
    </row>
    <row r="22" spans="4:11">
      <c r="D22" s="75">
        <v>46203</v>
      </c>
      <c r="E22" s="76">
        <v>1616412</v>
      </c>
      <c r="F22" s="76" t="s">
        <v>15</v>
      </c>
      <c r="G22" s="77">
        <v>20014828</v>
      </c>
      <c r="H22" s="76" t="s">
        <v>18</v>
      </c>
      <c r="I22" s="77">
        <v>4</v>
      </c>
      <c r="J22" s="78">
        <v>5.6</v>
      </c>
      <c r="K22" s="78">
        <v>22.4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N27" sqref="N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1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153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35</v>
      </c>
      <c r="J8" s="74"/>
      <c r="K8" s="74">
        <v>255.85</v>
      </c>
    </row>
    <row r="9" spans="1:11">
      <c r="D9" s="75">
        <v>46177</v>
      </c>
      <c r="E9" s="76">
        <v>1609352</v>
      </c>
      <c r="F9" s="76" t="s">
        <v>15</v>
      </c>
      <c r="G9" s="77">
        <v>20011204</v>
      </c>
      <c r="H9" s="76" t="s">
        <v>16</v>
      </c>
      <c r="I9" s="77">
        <v>3</v>
      </c>
      <c r="J9" s="78">
        <v>5.6</v>
      </c>
      <c r="K9" s="78">
        <v>16.8</v>
      </c>
    </row>
    <row r="10" spans="1:11">
      <c r="D10" s="75">
        <v>46177</v>
      </c>
      <c r="E10" s="76">
        <v>1609352</v>
      </c>
      <c r="F10" s="76" t="s">
        <v>15</v>
      </c>
      <c r="G10" s="77">
        <v>20330575</v>
      </c>
      <c r="H10" s="76" t="s">
        <v>82</v>
      </c>
      <c r="I10" s="77">
        <v>2</v>
      </c>
      <c r="J10" s="78">
        <v>5.6</v>
      </c>
      <c r="K10" s="78">
        <v>11.2</v>
      </c>
    </row>
    <row r="11" spans="1:11">
      <c r="D11" s="75">
        <v>46177</v>
      </c>
      <c r="E11" s="76">
        <v>1609352</v>
      </c>
      <c r="F11" s="76" t="s">
        <v>15</v>
      </c>
      <c r="G11" s="77">
        <v>20014092</v>
      </c>
      <c r="H11" s="76" t="s">
        <v>154</v>
      </c>
      <c r="I11" s="77">
        <v>1</v>
      </c>
      <c r="J11" s="78">
        <v>5.6</v>
      </c>
      <c r="K11" s="78">
        <v>5.6</v>
      </c>
    </row>
    <row r="12" spans="1:11">
      <c r="D12" s="75">
        <v>46177</v>
      </c>
      <c r="E12" s="76">
        <v>1609352</v>
      </c>
      <c r="F12" s="76" t="s">
        <v>15</v>
      </c>
      <c r="G12" s="77">
        <v>20321510</v>
      </c>
      <c r="H12" s="76" t="s">
        <v>63</v>
      </c>
      <c r="I12" s="77">
        <v>2</v>
      </c>
      <c r="J12" s="78">
        <v>5.6</v>
      </c>
      <c r="K12" s="78">
        <v>11.2</v>
      </c>
    </row>
    <row r="13" spans="1:11">
      <c r="D13" s="75">
        <v>46177</v>
      </c>
      <c r="E13" s="76">
        <v>1609352</v>
      </c>
      <c r="F13" s="76" t="s">
        <v>15</v>
      </c>
      <c r="G13" s="77">
        <v>20011507</v>
      </c>
      <c r="H13" s="76" t="s">
        <v>155</v>
      </c>
      <c r="I13" s="77">
        <v>2</v>
      </c>
      <c r="J13" s="78">
        <v>5.6</v>
      </c>
      <c r="K13" s="78">
        <v>11.2</v>
      </c>
    </row>
    <row r="14" spans="1:11">
      <c r="D14" s="75">
        <v>46177</v>
      </c>
      <c r="E14" s="76">
        <v>1609352</v>
      </c>
      <c r="F14" s="76" t="s">
        <v>15</v>
      </c>
      <c r="G14" s="77">
        <v>20008757</v>
      </c>
      <c r="H14" s="76" t="s">
        <v>156</v>
      </c>
      <c r="I14" s="77">
        <v>2</v>
      </c>
      <c r="J14" s="78">
        <v>5.6</v>
      </c>
      <c r="K14" s="78">
        <v>11.2</v>
      </c>
    </row>
    <row r="15" spans="1:11">
      <c r="D15" s="75">
        <v>46185</v>
      </c>
      <c r="E15" s="76">
        <v>1611611</v>
      </c>
      <c r="F15" s="76" t="s">
        <v>15</v>
      </c>
      <c r="G15" s="77">
        <v>20011204</v>
      </c>
      <c r="H15" s="76" t="s">
        <v>16</v>
      </c>
      <c r="I15" s="77">
        <v>2</v>
      </c>
      <c r="J15" s="78">
        <v>5.6</v>
      </c>
      <c r="K15" s="78">
        <v>11.2</v>
      </c>
    </row>
    <row r="16" spans="1:11">
      <c r="D16" s="75">
        <v>46185</v>
      </c>
      <c r="E16" s="76">
        <v>1611611</v>
      </c>
      <c r="F16" s="76" t="s">
        <v>15</v>
      </c>
      <c r="G16" s="77">
        <v>20321510</v>
      </c>
      <c r="H16" s="76" t="s">
        <v>63</v>
      </c>
      <c r="I16" s="77">
        <v>2</v>
      </c>
      <c r="J16" s="78">
        <v>5.6</v>
      </c>
      <c r="K16" s="78">
        <v>11.2</v>
      </c>
    </row>
    <row r="17" spans="4:11">
      <c r="D17" s="75">
        <v>46185</v>
      </c>
      <c r="E17" s="76">
        <v>1611611</v>
      </c>
      <c r="F17" s="76" t="s">
        <v>15</v>
      </c>
      <c r="G17" s="77">
        <v>20008757</v>
      </c>
      <c r="H17" s="76" t="s">
        <v>156</v>
      </c>
      <c r="I17" s="77">
        <v>2</v>
      </c>
      <c r="J17" s="78">
        <v>5.6</v>
      </c>
      <c r="K17" s="78">
        <v>11.2</v>
      </c>
    </row>
    <row r="18" spans="4:11">
      <c r="D18" s="75">
        <v>46185</v>
      </c>
      <c r="E18" s="76">
        <v>1611633</v>
      </c>
      <c r="F18" s="76" t="s">
        <v>13</v>
      </c>
      <c r="G18" s="77">
        <v>20379977</v>
      </c>
      <c r="H18" s="76" t="s">
        <v>157</v>
      </c>
      <c r="I18" s="77">
        <v>1</v>
      </c>
      <c r="J18" s="78">
        <v>24.5</v>
      </c>
      <c r="K18" s="78">
        <v>24.5</v>
      </c>
    </row>
    <row r="19" spans="4:11">
      <c r="D19" s="75">
        <v>46190</v>
      </c>
      <c r="E19" s="76">
        <v>1613136</v>
      </c>
      <c r="F19" s="76" t="s">
        <v>15</v>
      </c>
      <c r="G19" s="77">
        <v>20011204</v>
      </c>
      <c r="H19" s="76" t="s">
        <v>16</v>
      </c>
      <c r="I19" s="77">
        <v>3</v>
      </c>
      <c r="J19" s="78">
        <v>5.6</v>
      </c>
      <c r="K19" s="78">
        <v>16.8</v>
      </c>
    </row>
    <row r="20" spans="4:11">
      <c r="D20" s="75">
        <v>46190</v>
      </c>
      <c r="E20" s="76">
        <v>1613136</v>
      </c>
      <c r="F20" s="76" t="s">
        <v>15</v>
      </c>
      <c r="G20" s="77">
        <v>20321510</v>
      </c>
      <c r="H20" s="76" t="s">
        <v>63</v>
      </c>
      <c r="I20" s="77">
        <v>1</v>
      </c>
      <c r="J20" s="78">
        <v>5.6</v>
      </c>
      <c r="K20" s="78">
        <v>5.6</v>
      </c>
    </row>
    <row r="21" spans="4:11">
      <c r="D21" s="75">
        <v>46190</v>
      </c>
      <c r="E21" s="76">
        <v>1613136</v>
      </c>
      <c r="F21" s="76" t="s">
        <v>15</v>
      </c>
      <c r="G21" s="77">
        <v>20011507</v>
      </c>
      <c r="H21" s="76" t="s">
        <v>155</v>
      </c>
      <c r="I21" s="77">
        <v>2</v>
      </c>
      <c r="J21" s="78">
        <v>5.6</v>
      </c>
      <c r="K21" s="78">
        <v>11.2</v>
      </c>
    </row>
    <row r="22" spans="4:11">
      <c r="D22" s="75">
        <v>46190</v>
      </c>
      <c r="E22" s="76">
        <v>1613136</v>
      </c>
      <c r="F22" s="76" t="s">
        <v>15</v>
      </c>
      <c r="G22" s="77">
        <v>20008757</v>
      </c>
      <c r="H22" s="76" t="s">
        <v>156</v>
      </c>
      <c r="I22" s="77">
        <v>1</v>
      </c>
      <c r="J22" s="78">
        <v>5.6</v>
      </c>
      <c r="K22" s="78">
        <v>5.6</v>
      </c>
    </row>
    <row r="23" spans="4:11">
      <c r="D23" s="75">
        <v>46196</v>
      </c>
      <c r="E23" s="76">
        <v>1614469</v>
      </c>
      <c r="F23" s="76" t="s">
        <v>15</v>
      </c>
      <c r="G23" s="77">
        <v>20009085</v>
      </c>
      <c r="H23" s="76" t="s">
        <v>158</v>
      </c>
      <c r="I23" s="77">
        <v>2</v>
      </c>
      <c r="J23" s="78">
        <v>11.55</v>
      </c>
      <c r="K23" s="78">
        <v>23.1</v>
      </c>
    </row>
    <row r="24" spans="4:11">
      <c r="D24" s="75">
        <v>46196</v>
      </c>
      <c r="E24" s="76">
        <v>1614469</v>
      </c>
      <c r="F24" s="76" t="s">
        <v>15</v>
      </c>
      <c r="G24" s="77">
        <v>20321510</v>
      </c>
      <c r="H24" s="76" t="s">
        <v>63</v>
      </c>
      <c r="I24" s="77">
        <v>2</v>
      </c>
      <c r="J24" s="78">
        <v>5.6</v>
      </c>
      <c r="K24" s="78">
        <v>11.2</v>
      </c>
    </row>
    <row r="25" spans="4:11">
      <c r="D25" s="75">
        <v>46196</v>
      </c>
      <c r="E25" s="76">
        <v>1614469</v>
      </c>
      <c r="F25" s="76" t="s">
        <v>15</v>
      </c>
      <c r="G25" s="77">
        <v>20011507</v>
      </c>
      <c r="H25" s="76" t="s">
        <v>155</v>
      </c>
      <c r="I25" s="77">
        <v>2</v>
      </c>
      <c r="J25" s="78">
        <v>5.6</v>
      </c>
      <c r="K25" s="78">
        <v>11.2</v>
      </c>
    </row>
    <row r="26" spans="4:11">
      <c r="D26" s="75">
        <v>46198</v>
      </c>
      <c r="E26" s="76">
        <v>1615199</v>
      </c>
      <c r="F26" s="76" t="s">
        <v>15</v>
      </c>
      <c r="G26" s="77">
        <v>20008322</v>
      </c>
      <c r="H26" s="76" t="s">
        <v>17</v>
      </c>
      <c r="I26" s="77">
        <v>2</v>
      </c>
      <c r="J26" s="78">
        <v>5.6</v>
      </c>
      <c r="K26" s="78">
        <v>11.2</v>
      </c>
    </row>
    <row r="27" spans="4:11">
      <c r="D27" s="75">
        <v>46198</v>
      </c>
      <c r="E27" s="76">
        <v>1615199</v>
      </c>
      <c r="F27" s="76" t="s">
        <v>25</v>
      </c>
      <c r="G27" s="77">
        <v>20011418</v>
      </c>
      <c r="H27" s="76" t="s">
        <v>159</v>
      </c>
      <c r="I27" s="77">
        <v>1</v>
      </c>
      <c r="J27" s="78">
        <v>34.65</v>
      </c>
      <c r="K27" s="78">
        <v>34.65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7"/>
  <sheetViews>
    <sheetView showGridLines="0" view="pageBreakPreview" zoomScaleNormal="100" workbookViewId="0">
      <pane ySplit="6" topLeftCell="A7" activePane="bottomLeft" state="frozen"/>
      <selection/>
      <selection pane="bottomLeft" activeCell="G205" sqref="G20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160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f>SUM(I9:I836)</f>
        <v>1565</v>
      </c>
      <c r="J8" s="74"/>
      <c r="K8" s="74">
        <f>SUM(K9:K836)</f>
        <v>49343.3499999999</v>
      </c>
    </row>
    <row r="9" spans="1:11">
      <c r="D9" s="75">
        <v>46175</v>
      </c>
      <c r="E9" s="76">
        <v>1608334</v>
      </c>
      <c r="F9" s="76" t="s">
        <v>36</v>
      </c>
      <c r="G9" s="77">
        <v>20012915</v>
      </c>
      <c r="H9" s="76" t="s">
        <v>161</v>
      </c>
      <c r="I9" s="77">
        <v>1</v>
      </c>
      <c r="J9" s="78">
        <v>26.95</v>
      </c>
      <c r="K9" s="78">
        <f>J9*I9</f>
        <v>26.95</v>
      </c>
    </row>
    <row r="10" spans="1:11">
      <c r="D10" s="75">
        <v>46175</v>
      </c>
      <c r="E10" s="76">
        <v>1608334</v>
      </c>
      <c r="F10" s="76" t="s">
        <v>36</v>
      </c>
      <c r="G10" s="77">
        <v>20329313</v>
      </c>
      <c r="H10" s="76" t="s">
        <v>162</v>
      </c>
      <c r="I10" s="77">
        <v>1</v>
      </c>
      <c r="J10" s="78">
        <v>107.8</v>
      </c>
      <c r="K10" s="78">
        <f t="shared" ref="K10:K73" si="0">J10*I10</f>
        <v>107.8</v>
      </c>
    </row>
    <row r="11" spans="1:11">
      <c r="D11" s="75">
        <v>46175</v>
      </c>
      <c r="E11" s="76">
        <v>1608334</v>
      </c>
      <c r="F11" s="76" t="s">
        <v>36</v>
      </c>
      <c r="G11" s="77">
        <v>20008341</v>
      </c>
      <c r="H11" s="76" t="s">
        <v>163</v>
      </c>
      <c r="I11" s="77">
        <v>1</v>
      </c>
      <c r="J11" s="78">
        <v>157.85</v>
      </c>
      <c r="K11" s="78">
        <f t="shared" si="0"/>
        <v>157.85</v>
      </c>
    </row>
    <row r="12" spans="1:11">
      <c r="D12" s="75">
        <v>46175</v>
      </c>
      <c r="E12" s="76">
        <v>1608334</v>
      </c>
      <c r="F12" s="76" t="s">
        <v>36</v>
      </c>
      <c r="G12" s="77">
        <v>20008128</v>
      </c>
      <c r="H12" s="76" t="s">
        <v>164</v>
      </c>
      <c r="I12" s="77">
        <v>4</v>
      </c>
      <c r="J12" s="78">
        <v>130.9</v>
      </c>
      <c r="K12" s="78">
        <f t="shared" si="0"/>
        <v>523.6</v>
      </c>
    </row>
    <row r="13" spans="1:11">
      <c r="D13" s="75">
        <v>46175</v>
      </c>
      <c r="E13" s="76">
        <v>1608334</v>
      </c>
      <c r="F13" s="76" t="s">
        <v>36</v>
      </c>
      <c r="G13" s="77">
        <v>20311037</v>
      </c>
      <c r="H13" s="76" t="s">
        <v>165</v>
      </c>
      <c r="I13" s="77">
        <v>1</v>
      </c>
      <c r="J13" s="78">
        <v>53.55</v>
      </c>
      <c r="K13" s="78">
        <f t="shared" si="0"/>
        <v>53.55</v>
      </c>
    </row>
    <row r="14" spans="1:11">
      <c r="D14" s="75">
        <v>46175</v>
      </c>
      <c r="E14" s="76">
        <v>1608334</v>
      </c>
      <c r="F14" s="76" t="s">
        <v>20</v>
      </c>
      <c r="G14" s="77">
        <v>20013667</v>
      </c>
      <c r="H14" s="76" t="s">
        <v>166</v>
      </c>
      <c r="I14" s="77">
        <v>1</v>
      </c>
      <c r="J14" s="78">
        <v>15.4</v>
      </c>
      <c r="K14" s="78">
        <f t="shared" si="0"/>
        <v>15.4</v>
      </c>
    </row>
    <row r="15" spans="1:11">
      <c r="D15" s="75">
        <v>46175</v>
      </c>
      <c r="E15" s="76">
        <v>1608334</v>
      </c>
      <c r="F15" s="76" t="s">
        <v>15</v>
      </c>
      <c r="G15" s="77">
        <v>20008180</v>
      </c>
      <c r="H15" s="76" t="s">
        <v>167</v>
      </c>
      <c r="I15" s="77">
        <v>2</v>
      </c>
      <c r="J15" s="78">
        <v>5.6</v>
      </c>
      <c r="K15" s="78">
        <f t="shared" si="0"/>
        <v>11.2</v>
      </c>
    </row>
    <row r="16" spans="1:11">
      <c r="D16" s="75">
        <v>46175</v>
      </c>
      <c r="E16" s="76">
        <v>1608334</v>
      </c>
      <c r="F16" s="76" t="s">
        <v>15</v>
      </c>
      <c r="G16" s="77">
        <v>20013515</v>
      </c>
      <c r="H16" s="76" t="s">
        <v>168</v>
      </c>
      <c r="I16" s="77">
        <v>1</v>
      </c>
      <c r="J16" s="78">
        <v>13.3</v>
      </c>
      <c r="K16" s="78">
        <f t="shared" si="0"/>
        <v>13.3</v>
      </c>
    </row>
    <row r="17" spans="4:11">
      <c r="D17" s="75">
        <v>46175</v>
      </c>
      <c r="E17" s="76">
        <v>1608334</v>
      </c>
      <c r="F17" s="76" t="s">
        <v>15</v>
      </c>
      <c r="G17" s="77">
        <v>20008153</v>
      </c>
      <c r="H17" s="76" t="s">
        <v>169</v>
      </c>
      <c r="I17" s="77">
        <v>2</v>
      </c>
      <c r="J17" s="78">
        <v>5.6</v>
      </c>
      <c r="K17" s="78">
        <f t="shared" si="0"/>
        <v>11.2</v>
      </c>
    </row>
    <row r="18" spans="4:11">
      <c r="D18" s="75">
        <v>46175</v>
      </c>
      <c r="E18" s="76">
        <v>1608334</v>
      </c>
      <c r="F18" s="76" t="s">
        <v>15</v>
      </c>
      <c r="G18" s="77">
        <v>20012573</v>
      </c>
      <c r="H18" s="76" t="s">
        <v>170</v>
      </c>
      <c r="I18" s="77">
        <v>1</v>
      </c>
      <c r="J18" s="78">
        <v>7.35</v>
      </c>
      <c r="K18" s="78">
        <f t="shared" si="0"/>
        <v>7.35</v>
      </c>
    </row>
    <row r="19" spans="4:11">
      <c r="D19" s="75">
        <v>46175</v>
      </c>
      <c r="E19" s="76">
        <v>1608334</v>
      </c>
      <c r="F19" s="76" t="s">
        <v>15</v>
      </c>
      <c r="G19" s="77">
        <v>20012575</v>
      </c>
      <c r="H19" s="76" t="s">
        <v>171</v>
      </c>
      <c r="I19" s="77">
        <v>1</v>
      </c>
      <c r="J19" s="78">
        <v>7.35</v>
      </c>
      <c r="K19" s="78">
        <f t="shared" si="0"/>
        <v>7.35</v>
      </c>
    </row>
    <row r="20" spans="4:11">
      <c r="D20" s="75">
        <v>46175</v>
      </c>
      <c r="E20" s="76">
        <v>1608334</v>
      </c>
      <c r="F20" s="76" t="s">
        <v>15</v>
      </c>
      <c r="G20" s="77">
        <v>20427910</v>
      </c>
      <c r="H20" s="76" t="s">
        <v>172</v>
      </c>
      <c r="I20" s="77">
        <v>1</v>
      </c>
      <c r="J20" s="78">
        <v>7.35</v>
      </c>
      <c r="K20" s="78">
        <f t="shared" si="0"/>
        <v>7.35</v>
      </c>
    </row>
    <row r="21" spans="4:11">
      <c r="D21" s="75">
        <v>46175</v>
      </c>
      <c r="E21" s="76">
        <v>1608334</v>
      </c>
      <c r="F21" s="76" t="s">
        <v>15</v>
      </c>
      <c r="G21" s="77">
        <v>20427911</v>
      </c>
      <c r="H21" s="76" t="s">
        <v>173</v>
      </c>
      <c r="I21" s="77">
        <v>1</v>
      </c>
      <c r="J21" s="78">
        <v>7.35</v>
      </c>
      <c r="K21" s="78">
        <f t="shared" si="0"/>
        <v>7.35</v>
      </c>
    </row>
    <row r="22" spans="4:11">
      <c r="D22" s="75">
        <v>46175</v>
      </c>
      <c r="E22" s="76">
        <v>1608334</v>
      </c>
      <c r="F22" s="76" t="s">
        <v>15</v>
      </c>
      <c r="G22" s="77">
        <v>20012311</v>
      </c>
      <c r="H22" s="76" t="s">
        <v>174</v>
      </c>
      <c r="I22" s="77">
        <v>1</v>
      </c>
      <c r="J22" s="78">
        <v>7.7</v>
      </c>
      <c r="K22" s="78">
        <f t="shared" si="0"/>
        <v>7.7</v>
      </c>
    </row>
    <row r="23" spans="4:11">
      <c r="D23" s="75">
        <v>46175</v>
      </c>
      <c r="E23" s="76">
        <v>1608334</v>
      </c>
      <c r="F23" s="76" t="s">
        <v>15</v>
      </c>
      <c r="G23" s="77">
        <v>20006845</v>
      </c>
      <c r="H23" s="76" t="s">
        <v>118</v>
      </c>
      <c r="I23" s="77">
        <v>1</v>
      </c>
      <c r="J23" s="78">
        <v>11.55</v>
      </c>
      <c r="K23" s="78">
        <f t="shared" si="0"/>
        <v>11.55</v>
      </c>
    </row>
    <row r="24" spans="4:11">
      <c r="D24" s="75">
        <v>46175</v>
      </c>
      <c r="E24" s="76">
        <v>1608334</v>
      </c>
      <c r="F24" s="76" t="s">
        <v>15</v>
      </c>
      <c r="G24" s="77">
        <v>20009483</v>
      </c>
      <c r="H24" s="76" t="s">
        <v>51</v>
      </c>
      <c r="I24" s="77">
        <v>1</v>
      </c>
      <c r="J24" s="78">
        <v>7.7</v>
      </c>
      <c r="K24" s="78">
        <f t="shared" si="0"/>
        <v>7.7</v>
      </c>
    </row>
    <row r="25" spans="4:11">
      <c r="D25" s="75">
        <v>46175</v>
      </c>
      <c r="E25" s="76">
        <v>1608334</v>
      </c>
      <c r="F25" s="76" t="s">
        <v>15</v>
      </c>
      <c r="G25" s="77">
        <v>20340574</v>
      </c>
      <c r="H25" s="76" t="s">
        <v>175</v>
      </c>
      <c r="I25" s="77">
        <v>1</v>
      </c>
      <c r="J25" s="78">
        <v>5.6</v>
      </c>
      <c r="K25" s="78">
        <f t="shared" si="0"/>
        <v>5.6</v>
      </c>
    </row>
    <row r="26" spans="4:11">
      <c r="D26" s="75">
        <v>46175</v>
      </c>
      <c r="E26" s="76">
        <v>1608334</v>
      </c>
      <c r="F26" s="76" t="s">
        <v>15</v>
      </c>
      <c r="G26" s="77">
        <v>20344015</v>
      </c>
      <c r="H26" s="76" t="s">
        <v>176</v>
      </c>
      <c r="I26" s="77">
        <v>1</v>
      </c>
      <c r="J26" s="78">
        <v>5.6</v>
      </c>
      <c r="K26" s="78">
        <f t="shared" si="0"/>
        <v>5.6</v>
      </c>
    </row>
    <row r="27" spans="4:11">
      <c r="D27" s="75">
        <v>46175</v>
      </c>
      <c r="E27" s="76">
        <v>1608334</v>
      </c>
      <c r="F27" s="76" t="s">
        <v>15</v>
      </c>
      <c r="G27" s="77">
        <v>20337516</v>
      </c>
      <c r="H27" s="76" t="s">
        <v>177</v>
      </c>
      <c r="I27" s="77">
        <v>1</v>
      </c>
      <c r="J27" s="78">
        <v>5.6</v>
      </c>
      <c r="K27" s="78">
        <f t="shared" si="0"/>
        <v>5.6</v>
      </c>
    </row>
    <row r="28" spans="4:11">
      <c r="D28" s="75">
        <v>46175</v>
      </c>
      <c r="E28" s="76">
        <v>1608334</v>
      </c>
      <c r="F28" s="76" t="s">
        <v>15</v>
      </c>
      <c r="G28" s="77">
        <v>20014209</v>
      </c>
      <c r="H28" s="76" t="s">
        <v>178</v>
      </c>
      <c r="I28" s="77">
        <v>1</v>
      </c>
      <c r="J28" s="78">
        <v>5.6</v>
      </c>
      <c r="K28" s="78">
        <f t="shared" si="0"/>
        <v>5.6</v>
      </c>
    </row>
    <row r="29" spans="4:11">
      <c r="D29" s="75">
        <v>46175</v>
      </c>
      <c r="E29" s="76">
        <v>1608334</v>
      </c>
      <c r="F29" s="76" t="s">
        <v>15</v>
      </c>
      <c r="G29" s="77">
        <v>20013900</v>
      </c>
      <c r="H29" s="76" t="s">
        <v>179</v>
      </c>
      <c r="I29" s="77">
        <v>1</v>
      </c>
      <c r="J29" s="78">
        <v>5.6</v>
      </c>
      <c r="K29" s="78">
        <f t="shared" si="0"/>
        <v>5.6</v>
      </c>
    </row>
    <row r="30" spans="4:11">
      <c r="D30" s="75">
        <v>46175</v>
      </c>
      <c r="E30" s="76">
        <v>1608334</v>
      </c>
      <c r="F30" s="76" t="s">
        <v>15</v>
      </c>
      <c r="G30" s="77">
        <v>20012488</v>
      </c>
      <c r="H30" s="76" t="s">
        <v>180</v>
      </c>
      <c r="I30" s="77">
        <v>1</v>
      </c>
      <c r="J30" s="78">
        <v>5.6</v>
      </c>
      <c r="K30" s="78">
        <f t="shared" si="0"/>
        <v>5.6</v>
      </c>
    </row>
    <row r="31" spans="4:11">
      <c r="D31" s="75">
        <v>46175</v>
      </c>
      <c r="E31" s="76">
        <v>1608334</v>
      </c>
      <c r="F31" s="76" t="s">
        <v>15</v>
      </c>
      <c r="G31" s="77">
        <v>20367135</v>
      </c>
      <c r="H31" s="76" t="s">
        <v>181</v>
      </c>
      <c r="I31" s="77">
        <v>1</v>
      </c>
      <c r="J31" s="78">
        <v>7.35</v>
      </c>
      <c r="K31" s="78">
        <f t="shared" si="0"/>
        <v>7.35</v>
      </c>
    </row>
    <row r="32" spans="4:11">
      <c r="D32" s="75">
        <v>46175</v>
      </c>
      <c r="E32" s="76">
        <v>1608334</v>
      </c>
      <c r="F32" s="76" t="s">
        <v>15</v>
      </c>
      <c r="G32" s="77">
        <v>20008747</v>
      </c>
      <c r="H32" s="76" t="s">
        <v>182</v>
      </c>
      <c r="I32" s="77">
        <v>2</v>
      </c>
      <c r="J32" s="78">
        <v>5.6</v>
      </c>
      <c r="K32" s="78">
        <f t="shared" si="0"/>
        <v>11.2</v>
      </c>
    </row>
    <row r="33" spans="4:11">
      <c r="D33" s="75">
        <v>46175</v>
      </c>
      <c r="E33" s="76">
        <v>1608334</v>
      </c>
      <c r="F33" s="76" t="s">
        <v>114</v>
      </c>
      <c r="G33" s="77">
        <v>20362791</v>
      </c>
      <c r="H33" s="76" t="s">
        <v>183</v>
      </c>
      <c r="I33" s="77">
        <v>1</v>
      </c>
      <c r="J33" s="78">
        <v>24.5</v>
      </c>
      <c r="K33" s="78">
        <f t="shared" si="0"/>
        <v>24.5</v>
      </c>
    </row>
    <row r="34" spans="4:11">
      <c r="D34" s="75">
        <v>46175</v>
      </c>
      <c r="E34" s="76">
        <v>1608334</v>
      </c>
      <c r="F34" s="76" t="s">
        <v>27</v>
      </c>
      <c r="G34" s="77">
        <v>20008214</v>
      </c>
      <c r="H34" s="76" t="s">
        <v>123</v>
      </c>
      <c r="I34" s="77">
        <v>6</v>
      </c>
      <c r="J34" s="78">
        <v>11.55</v>
      </c>
      <c r="K34" s="78">
        <f t="shared" si="0"/>
        <v>69.3</v>
      </c>
    </row>
    <row r="35" spans="4:11">
      <c r="D35" s="75">
        <v>46175</v>
      </c>
      <c r="E35" s="76">
        <v>1608334</v>
      </c>
      <c r="F35" s="76" t="s">
        <v>27</v>
      </c>
      <c r="G35" s="77">
        <v>20007560</v>
      </c>
      <c r="H35" s="76" t="s">
        <v>184</v>
      </c>
      <c r="I35" s="77">
        <v>1</v>
      </c>
      <c r="J35" s="78">
        <v>11.55</v>
      </c>
      <c r="K35" s="78">
        <f t="shared" si="0"/>
        <v>11.55</v>
      </c>
    </row>
    <row r="36" spans="4:11">
      <c r="D36" s="75">
        <v>46175</v>
      </c>
      <c r="E36" s="76">
        <v>1608334</v>
      </c>
      <c r="F36" s="76" t="s">
        <v>27</v>
      </c>
      <c r="G36" s="77">
        <v>20012460</v>
      </c>
      <c r="H36" s="76" t="s">
        <v>185</v>
      </c>
      <c r="I36" s="77">
        <v>1</v>
      </c>
      <c r="J36" s="78">
        <v>11.55</v>
      </c>
      <c r="K36" s="78">
        <f t="shared" si="0"/>
        <v>11.55</v>
      </c>
    </row>
    <row r="37" spans="4:11">
      <c r="D37" s="75">
        <v>46175</v>
      </c>
      <c r="E37" s="76">
        <v>1608334</v>
      </c>
      <c r="F37" s="76" t="s">
        <v>27</v>
      </c>
      <c r="G37" s="77">
        <v>20008345</v>
      </c>
      <c r="H37" s="76" t="s">
        <v>186</v>
      </c>
      <c r="I37" s="77">
        <v>1</v>
      </c>
      <c r="J37" s="78">
        <v>19.25</v>
      </c>
      <c r="K37" s="78">
        <f t="shared" si="0"/>
        <v>19.25</v>
      </c>
    </row>
    <row r="38" spans="4:11">
      <c r="D38" s="75">
        <v>46175</v>
      </c>
      <c r="E38" s="76">
        <v>1608358</v>
      </c>
      <c r="F38" s="76" t="s">
        <v>40</v>
      </c>
      <c r="G38" s="77">
        <v>20365916</v>
      </c>
      <c r="H38" s="76" t="s">
        <v>187</v>
      </c>
      <c r="I38" s="77">
        <v>1</v>
      </c>
      <c r="J38" s="78">
        <v>61.6</v>
      </c>
      <c r="K38" s="78">
        <f t="shared" si="0"/>
        <v>61.6</v>
      </c>
    </row>
    <row r="39" spans="4:11">
      <c r="D39" s="75">
        <v>46175</v>
      </c>
      <c r="E39" s="76">
        <v>1608358</v>
      </c>
      <c r="F39" s="76" t="s">
        <v>40</v>
      </c>
      <c r="G39" s="77">
        <v>20008623</v>
      </c>
      <c r="H39" s="76" t="s">
        <v>188</v>
      </c>
      <c r="I39" s="77">
        <v>1</v>
      </c>
      <c r="J39" s="78">
        <v>15.4</v>
      </c>
      <c r="K39" s="78">
        <f t="shared" si="0"/>
        <v>15.4</v>
      </c>
    </row>
    <row r="40" spans="4:11">
      <c r="D40" s="75">
        <v>46175</v>
      </c>
      <c r="E40" s="76">
        <v>1608358</v>
      </c>
      <c r="F40" s="76" t="s">
        <v>40</v>
      </c>
      <c r="G40" s="77">
        <v>20007633</v>
      </c>
      <c r="H40" s="76" t="s">
        <v>74</v>
      </c>
      <c r="I40" s="77">
        <v>1</v>
      </c>
      <c r="J40" s="78">
        <v>24.5</v>
      </c>
      <c r="K40" s="78">
        <f t="shared" si="0"/>
        <v>24.5</v>
      </c>
    </row>
    <row r="41" spans="4:11">
      <c r="D41" s="75">
        <v>46175</v>
      </c>
      <c r="E41" s="76">
        <v>1608358</v>
      </c>
      <c r="F41" s="76" t="s">
        <v>40</v>
      </c>
      <c r="G41" s="77">
        <v>20006853</v>
      </c>
      <c r="H41" s="76" t="s">
        <v>189</v>
      </c>
      <c r="I41" s="77">
        <v>2</v>
      </c>
      <c r="J41" s="78">
        <v>24.5</v>
      </c>
      <c r="K41" s="78">
        <f t="shared" si="0"/>
        <v>49</v>
      </c>
    </row>
    <row r="42" spans="4:11">
      <c r="D42" s="75">
        <v>46175</v>
      </c>
      <c r="E42" s="76">
        <v>1608358</v>
      </c>
      <c r="F42" s="76" t="s">
        <v>40</v>
      </c>
      <c r="G42" s="77">
        <v>20400917</v>
      </c>
      <c r="H42" s="76" t="s">
        <v>190</v>
      </c>
      <c r="I42" s="77">
        <v>2</v>
      </c>
      <c r="J42" s="78">
        <v>17.5</v>
      </c>
      <c r="K42" s="78">
        <f t="shared" si="0"/>
        <v>35</v>
      </c>
    </row>
    <row r="43" spans="4:11">
      <c r="D43" s="75">
        <v>46175</v>
      </c>
      <c r="E43" s="76">
        <v>1608358</v>
      </c>
      <c r="F43" s="76" t="s">
        <v>40</v>
      </c>
      <c r="G43" s="77">
        <v>20006890</v>
      </c>
      <c r="H43" s="76" t="s">
        <v>191</v>
      </c>
      <c r="I43" s="77">
        <v>1</v>
      </c>
      <c r="J43" s="78">
        <v>19.6</v>
      </c>
      <c r="K43" s="78">
        <f t="shared" si="0"/>
        <v>19.6</v>
      </c>
    </row>
    <row r="44" spans="4:11">
      <c r="D44" s="75">
        <v>46175</v>
      </c>
      <c r="E44" s="76">
        <v>1608358</v>
      </c>
      <c r="F44" s="76" t="s">
        <v>40</v>
      </c>
      <c r="G44" s="77">
        <v>20423694</v>
      </c>
      <c r="H44" s="76" t="s">
        <v>192</v>
      </c>
      <c r="I44" s="77">
        <v>1</v>
      </c>
      <c r="J44" s="78">
        <v>30.8</v>
      </c>
      <c r="K44" s="78">
        <f t="shared" si="0"/>
        <v>30.8</v>
      </c>
    </row>
    <row r="45" spans="4:11">
      <c r="D45" s="75">
        <v>46175</v>
      </c>
      <c r="E45" s="76">
        <v>1608358</v>
      </c>
      <c r="F45" s="76" t="s">
        <v>40</v>
      </c>
      <c r="G45" s="77">
        <v>20006863</v>
      </c>
      <c r="H45" s="76" t="s">
        <v>41</v>
      </c>
      <c r="I45" s="77">
        <v>2</v>
      </c>
      <c r="J45" s="78">
        <v>24.5</v>
      </c>
      <c r="K45" s="78">
        <f t="shared" si="0"/>
        <v>49</v>
      </c>
    </row>
    <row r="46" spans="4:11">
      <c r="D46" s="75">
        <v>46175</v>
      </c>
      <c r="E46" s="76">
        <v>1608358</v>
      </c>
      <c r="F46" s="76" t="s">
        <v>40</v>
      </c>
      <c r="G46" s="77">
        <v>20007639</v>
      </c>
      <c r="H46" s="76" t="s">
        <v>193</v>
      </c>
      <c r="I46" s="77">
        <v>2</v>
      </c>
      <c r="J46" s="78">
        <v>19.6</v>
      </c>
      <c r="K46" s="78">
        <f t="shared" si="0"/>
        <v>39.2</v>
      </c>
    </row>
    <row r="47" spans="4:11">
      <c r="D47" s="75">
        <v>46175</v>
      </c>
      <c r="E47" s="76">
        <v>1608358</v>
      </c>
      <c r="F47" s="76" t="s">
        <v>40</v>
      </c>
      <c r="G47" s="77">
        <v>20007638</v>
      </c>
      <c r="H47" s="76" t="s">
        <v>194</v>
      </c>
      <c r="I47" s="77">
        <v>3</v>
      </c>
      <c r="J47" s="78">
        <v>19.6</v>
      </c>
      <c r="K47" s="78">
        <f t="shared" si="0"/>
        <v>58.8</v>
      </c>
    </row>
    <row r="48" spans="4:11">
      <c r="D48" s="75">
        <v>46175</v>
      </c>
      <c r="E48" s="76">
        <v>1608358</v>
      </c>
      <c r="F48" s="76" t="s">
        <v>40</v>
      </c>
      <c r="G48" s="77">
        <v>20008639</v>
      </c>
      <c r="H48" s="76" t="s">
        <v>195</v>
      </c>
      <c r="I48" s="77">
        <v>2</v>
      </c>
      <c r="J48" s="78">
        <v>17.5</v>
      </c>
      <c r="K48" s="78">
        <f t="shared" si="0"/>
        <v>35</v>
      </c>
    </row>
    <row r="49" spans="4:11">
      <c r="D49" s="75">
        <v>46175</v>
      </c>
      <c r="E49" s="76">
        <v>1608358</v>
      </c>
      <c r="F49" s="76" t="s">
        <v>40</v>
      </c>
      <c r="G49" s="77">
        <v>20335399</v>
      </c>
      <c r="H49" s="76" t="s">
        <v>196</v>
      </c>
      <c r="I49" s="77">
        <v>1</v>
      </c>
      <c r="J49" s="78">
        <v>61.6</v>
      </c>
      <c r="K49" s="78">
        <f t="shared" si="0"/>
        <v>61.6</v>
      </c>
    </row>
    <row r="50" spans="4:11">
      <c r="D50" s="75">
        <v>46175</v>
      </c>
      <c r="E50" s="76">
        <v>1608358</v>
      </c>
      <c r="F50" s="76" t="s">
        <v>42</v>
      </c>
      <c r="G50" s="77">
        <v>20395507</v>
      </c>
      <c r="H50" s="76" t="s">
        <v>197</v>
      </c>
      <c r="I50" s="77">
        <v>1</v>
      </c>
      <c r="J50" s="78">
        <v>19.6</v>
      </c>
      <c r="K50" s="78">
        <f t="shared" si="0"/>
        <v>19.6</v>
      </c>
    </row>
    <row r="51" spans="4:11">
      <c r="D51" s="75">
        <v>46175</v>
      </c>
      <c r="E51" s="76">
        <v>1608358</v>
      </c>
      <c r="F51" s="76" t="s">
        <v>42</v>
      </c>
      <c r="G51" s="77">
        <v>20396267</v>
      </c>
      <c r="H51" s="76" t="s">
        <v>198</v>
      </c>
      <c r="I51" s="77">
        <v>1</v>
      </c>
      <c r="J51" s="78">
        <v>19.6</v>
      </c>
      <c r="K51" s="78">
        <f t="shared" si="0"/>
        <v>19.6</v>
      </c>
    </row>
    <row r="52" spans="4:11">
      <c r="D52" s="75">
        <v>46175</v>
      </c>
      <c r="E52" s="76">
        <v>1608358</v>
      </c>
      <c r="F52" s="76" t="s">
        <v>42</v>
      </c>
      <c r="G52" s="77">
        <v>20390423</v>
      </c>
      <c r="H52" s="76" t="s">
        <v>75</v>
      </c>
      <c r="I52" s="77">
        <v>1</v>
      </c>
      <c r="J52" s="78">
        <v>19.6</v>
      </c>
      <c r="K52" s="78">
        <f t="shared" si="0"/>
        <v>19.6</v>
      </c>
    </row>
    <row r="53" spans="4:11">
      <c r="D53" s="75">
        <v>46175</v>
      </c>
      <c r="E53" s="76">
        <v>1608463</v>
      </c>
      <c r="F53" s="76" t="s">
        <v>36</v>
      </c>
      <c r="G53" s="77">
        <v>20311037</v>
      </c>
      <c r="H53" s="76" t="s">
        <v>165</v>
      </c>
      <c r="I53" s="77">
        <v>1</v>
      </c>
      <c r="J53" s="78">
        <v>53.55</v>
      </c>
      <c r="K53" s="78">
        <f t="shared" si="0"/>
        <v>53.55</v>
      </c>
    </row>
    <row r="54" spans="4:11">
      <c r="D54" s="75">
        <v>46175</v>
      </c>
      <c r="E54" s="76">
        <v>1608463</v>
      </c>
      <c r="F54" s="76" t="s">
        <v>15</v>
      </c>
      <c r="G54" s="77">
        <v>20315578</v>
      </c>
      <c r="H54" s="76" t="s">
        <v>199</v>
      </c>
      <c r="I54" s="77">
        <v>1</v>
      </c>
      <c r="J54" s="78">
        <v>23.1</v>
      </c>
      <c r="K54" s="78">
        <f t="shared" si="0"/>
        <v>23.1</v>
      </c>
    </row>
    <row r="55" spans="4:11">
      <c r="D55" s="75">
        <v>46175</v>
      </c>
      <c r="E55" s="76">
        <v>1608463</v>
      </c>
      <c r="F55" s="76" t="s">
        <v>15</v>
      </c>
      <c r="G55" s="77">
        <v>20008280</v>
      </c>
      <c r="H55" s="76" t="s">
        <v>200</v>
      </c>
      <c r="I55" s="77">
        <v>1</v>
      </c>
      <c r="J55" s="78">
        <v>11.55</v>
      </c>
      <c r="K55" s="78">
        <f t="shared" si="0"/>
        <v>11.55</v>
      </c>
    </row>
    <row r="56" spans="4:11">
      <c r="D56" s="75">
        <v>46175</v>
      </c>
      <c r="E56" s="76">
        <v>1608463</v>
      </c>
      <c r="F56" s="76" t="s">
        <v>42</v>
      </c>
      <c r="G56" s="77">
        <v>20013036</v>
      </c>
      <c r="H56" s="76" t="s">
        <v>201</v>
      </c>
      <c r="I56" s="77">
        <v>1</v>
      </c>
      <c r="J56" s="78">
        <v>30.8</v>
      </c>
      <c r="K56" s="78">
        <f t="shared" si="0"/>
        <v>30.8</v>
      </c>
    </row>
    <row r="57" spans="4:11">
      <c r="D57" s="75">
        <v>46176</v>
      </c>
      <c r="E57" s="76">
        <v>1608679</v>
      </c>
      <c r="F57" s="76" t="s">
        <v>36</v>
      </c>
      <c r="G57" s="77">
        <v>20014637</v>
      </c>
      <c r="H57" s="76" t="s">
        <v>202</v>
      </c>
      <c r="I57" s="77">
        <v>1</v>
      </c>
      <c r="J57" s="78">
        <v>73.15</v>
      </c>
      <c r="K57" s="78">
        <f t="shared" si="0"/>
        <v>73.15</v>
      </c>
    </row>
    <row r="58" spans="4:11">
      <c r="D58" s="75">
        <v>46176</v>
      </c>
      <c r="E58" s="76">
        <v>1608679</v>
      </c>
      <c r="F58" s="76" t="s">
        <v>36</v>
      </c>
      <c r="G58" s="77">
        <v>20012360</v>
      </c>
      <c r="H58" s="76" t="s">
        <v>203</v>
      </c>
      <c r="I58" s="77">
        <v>1</v>
      </c>
      <c r="J58" s="78">
        <v>107.8</v>
      </c>
      <c r="K58" s="78">
        <f t="shared" si="0"/>
        <v>107.8</v>
      </c>
    </row>
    <row r="59" spans="4:11">
      <c r="D59" s="75">
        <v>46176</v>
      </c>
      <c r="E59" s="76">
        <v>1608679</v>
      </c>
      <c r="F59" s="76" t="s">
        <v>36</v>
      </c>
      <c r="G59" s="77">
        <v>20008128</v>
      </c>
      <c r="H59" s="76" t="s">
        <v>164</v>
      </c>
      <c r="I59" s="77">
        <v>1</v>
      </c>
      <c r="J59" s="78">
        <v>130.9</v>
      </c>
      <c r="K59" s="78">
        <f t="shared" si="0"/>
        <v>130.9</v>
      </c>
    </row>
    <row r="60" spans="4:11">
      <c r="D60" s="75">
        <v>46176</v>
      </c>
      <c r="E60" s="76">
        <v>1608679</v>
      </c>
      <c r="F60" s="76" t="s">
        <v>15</v>
      </c>
      <c r="G60" s="77">
        <v>20007623</v>
      </c>
      <c r="H60" s="76" t="s">
        <v>204</v>
      </c>
      <c r="I60" s="77">
        <v>1</v>
      </c>
      <c r="J60" s="78">
        <v>5.6</v>
      </c>
      <c r="K60" s="78">
        <f t="shared" si="0"/>
        <v>5.6</v>
      </c>
    </row>
    <row r="61" spans="4:11">
      <c r="D61" s="75">
        <v>46176</v>
      </c>
      <c r="E61" s="76">
        <v>1608679</v>
      </c>
      <c r="F61" s="76" t="s">
        <v>15</v>
      </c>
      <c r="G61" s="77">
        <v>20008491</v>
      </c>
      <c r="H61" s="76" t="s">
        <v>121</v>
      </c>
      <c r="I61" s="77">
        <v>1</v>
      </c>
      <c r="J61" s="78">
        <v>11.55</v>
      </c>
      <c r="K61" s="78">
        <f t="shared" si="0"/>
        <v>11.55</v>
      </c>
    </row>
    <row r="62" spans="4:11">
      <c r="D62" s="75">
        <v>46176</v>
      </c>
      <c r="E62" s="76">
        <v>1608679</v>
      </c>
      <c r="F62" s="76" t="s">
        <v>114</v>
      </c>
      <c r="G62" s="77">
        <v>20362791</v>
      </c>
      <c r="H62" s="76" t="s">
        <v>183</v>
      </c>
      <c r="I62" s="77">
        <v>1</v>
      </c>
      <c r="J62" s="78">
        <v>24.5</v>
      </c>
      <c r="K62" s="78">
        <f t="shared" si="0"/>
        <v>24.5</v>
      </c>
    </row>
    <row r="63" spans="4:11">
      <c r="D63" s="75">
        <v>46176</v>
      </c>
      <c r="E63" s="76">
        <v>1608679</v>
      </c>
      <c r="F63" s="76" t="s">
        <v>27</v>
      </c>
      <c r="G63" s="77">
        <v>20008214</v>
      </c>
      <c r="H63" s="76" t="s">
        <v>123</v>
      </c>
      <c r="I63" s="77">
        <v>2</v>
      </c>
      <c r="J63" s="78">
        <v>11.55</v>
      </c>
      <c r="K63" s="78">
        <f t="shared" si="0"/>
        <v>23.1</v>
      </c>
    </row>
    <row r="64" spans="4:11">
      <c r="D64" s="75">
        <v>46176</v>
      </c>
      <c r="E64" s="76">
        <v>1608679</v>
      </c>
      <c r="F64" s="76" t="s">
        <v>27</v>
      </c>
      <c r="G64" s="77">
        <v>20015105</v>
      </c>
      <c r="H64" s="76" t="s">
        <v>205</v>
      </c>
      <c r="I64" s="77">
        <v>1</v>
      </c>
      <c r="J64" s="78">
        <v>11.55</v>
      </c>
      <c r="K64" s="78">
        <f t="shared" si="0"/>
        <v>11.55</v>
      </c>
    </row>
    <row r="65" spans="4:11">
      <c r="D65" s="75">
        <v>46176</v>
      </c>
      <c r="E65" s="76">
        <v>1608679</v>
      </c>
      <c r="F65" s="76" t="s">
        <v>27</v>
      </c>
      <c r="G65" s="77">
        <v>20428139</v>
      </c>
      <c r="H65" s="76" t="s">
        <v>206</v>
      </c>
      <c r="I65" s="77">
        <v>1</v>
      </c>
      <c r="J65" s="78">
        <v>11.55</v>
      </c>
      <c r="K65" s="78">
        <f t="shared" si="0"/>
        <v>11.55</v>
      </c>
    </row>
    <row r="66" spans="4:11">
      <c r="D66" s="75">
        <v>46176</v>
      </c>
      <c r="E66" s="76">
        <v>1608679</v>
      </c>
      <c r="F66" s="76" t="s">
        <v>27</v>
      </c>
      <c r="G66" s="77">
        <v>20008345</v>
      </c>
      <c r="H66" s="76" t="s">
        <v>186</v>
      </c>
      <c r="I66" s="77">
        <v>1</v>
      </c>
      <c r="J66" s="78">
        <v>19.25</v>
      </c>
      <c r="K66" s="78">
        <f t="shared" si="0"/>
        <v>19.25</v>
      </c>
    </row>
    <row r="67" spans="4:11">
      <c r="D67" s="75">
        <v>46176</v>
      </c>
      <c r="E67" s="76">
        <v>1608743</v>
      </c>
      <c r="F67" s="76" t="s">
        <v>40</v>
      </c>
      <c r="G67" s="77">
        <v>20008208</v>
      </c>
      <c r="H67" s="76" t="s">
        <v>207</v>
      </c>
      <c r="I67" s="77">
        <v>1</v>
      </c>
      <c r="J67" s="78">
        <v>19.6</v>
      </c>
      <c r="K67" s="78">
        <f t="shared" si="0"/>
        <v>19.6</v>
      </c>
    </row>
    <row r="68" spans="4:11">
      <c r="D68" s="75">
        <v>46176</v>
      </c>
      <c r="E68" s="76">
        <v>1608743</v>
      </c>
      <c r="F68" s="76" t="s">
        <v>40</v>
      </c>
      <c r="G68" s="77">
        <v>20007634</v>
      </c>
      <c r="H68" s="76" t="s">
        <v>208</v>
      </c>
      <c r="I68" s="77">
        <v>1</v>
      </c>
      <c r="J68" s="78">
        <v>46.2</v>
      </c>
      <c r="K68" s="78">
        <f t="shared" si="0"/>
        <v>46.2</v>
      </c>
    </row>
    <row r="69" spans="4:11">
      <c r="D69" s="75">
        <v>46176</v>
      </c>
      <c r="E69" s="76">
        <v>1608743</v>
      </c>
      <c r="F69" s="76" t="s">
        <v>40</v>
      </c>
      <c r="G69" s="77">
        <v>20309675</v>
      </c>
      <c r="H69" s="76" t="s">
        <v>209</v>
      </c>
      <c r="I69" s="77">
        <v>1</v>
      </c>
      <c r="J69" s="78">
        <v>19.6</v>
      </c>
      <c r="K69" s="78">
        <f t="shared" si="0"/>
        <v>19.6</v>
      </c>
    </row>
    <row r="70" spans="4:11">
      <c r="D70" s="75">
        <v>46176</v>
      </c>
      <c r="E70" s="76">
        <v>1608743</v>
      </c>
      <c r="F70" s="76" t="s">
        <v>40</v>
      </c>
      <c r="G70" s="77">
        <v>20388880</v>
      </c>
      <c r="H70" s="76" t="s">
        <v>210</v>
      </c>
      <c r="I70" s="77">
        <v>1</v>
      </c>
      <c r="J70" s="78">
        <v>17.5</v>
      </c>
      <c r="K70" s="78">
        <f t="shared" si="0"/>
        <v>17.5</v>
      </c>
    </row>
    <row r="71" spans="4:11">
      <c r="D71" s="75">
        <v>46176</v>
      </c>
      <c r="E71" s="76">
        <v>1608743</v>
      </c>
      <c r="F71" s="76" t="s">
        <v>40</v>
      </c>
      <c r="G71" s="77">
        <v>20400915</v>
      </c>
      <c r="H71" s="76" t="s">
        <v>211</v>
      </c>
      <c r="I71" s="77">
        <v>1</v>
      </c>
      <c r="J71" s="78">
        <v>17.5</v>
      </c>
      <c r="K71" s="78">
        <f t="shared" si="0"/>
        <v>17.5</v>
      </c>
    </row>
    <row r="72" spans="4:11">
      <c r="D72" s="75">
        <v>46176</v>
      </c>
      <c r="E72" s="76">
        <v>1608743</v>
      </c>
      <c r="F72" s="76" t="s">
        <v>40</v>
      </c>
      <c r="G72" s="77">
        <v>20393806</v>
      </c>
      <c r="H72" s="76" t="s">
        <v>212</v>
      </c>
      <c r="I72" s="77">
        <v>1</v>
      </c>
      <c r="J72" s="78">
        <v>19.6</v>
      </c>
      <c r="K72" s="78">
        <f t="shared" si="0"/>
        <v>19.6</v>
      </c>
    </row>
    <row r="73" spans="4:11">
      <c r="D73" s="75">
        <v>46176</v>
      </c>
      <c r="E73" s="76">
        <v>1608743</v>
      </c>
      <c r="F73" s="76" t="s">
        <v>40</v>
      </c>
      <c r="G73" s="77">
        <v>20012182</v>
      </c>
      <c r="H73" s="76" t="s">
        <v>213</v>
      </c>
      <c r="I73" s="77">
        <v>2</v>
      </c>
      <c r="J73" s="78">
        <v>19.6</v>
      </c>
      <c r="K73" s="78">
        <f t="shared" si="0"/>
        <v>39.2</v>
      </c>
    </row>
    <row r="74" spans="4:11">
      <c r="D74" s="75">
        <v>46176</v>
      </c>
      <c r="E74" s="76">
        <v>1608743</v>
      </c>
      <c r="F74" s="76" t="s">
        <v>40</v>
      </c>
      <c r="G74" s="77">
        <v>20310837</v>
      </c>
      <c r="H74" s="76" t="s">
        <v>214</v>
      </c>
      <c r="I74" s="77">
        <v>1</v>
      </c>
      <c r="J74" s="78">
        <v>19.6</v>
      </c>
      <c r="K74" s="78">
        <f t="shared" ref="K74:K137" si="1">J74*I74</f>
        <v>19.6</v>
      </c>
    </row>
    <row r="75" spans="4:11">
      <c r="D75" s="75">
        <v>46176</v>
      </c>
      <c r="E75" s="76">
        <v>1608743</v>
      </c>
      <c r="F75" s="76" t="s">
        <v>40</v>
      </c>
      <c r="G75" s="77">
        <v>20363423</v>
      </c>
      <c r="H75" s="76" t="s">
        <v>215</v>
      </c>
      <c r="I75" s="77">
        <v>1</v>
      </c>
      <c r="J75" s="78">
        <v>19.6</v>
      </c>
      <c r="K75" s="78">
        <f t="shared" si="1"/>
        <v>19.6</v>
      </c>
    </row>
    <row r="76" spans="4:11">
      <c r="D76" s="75">
        <v>46176</v>
      </c>
      <c r="E76" s="76">
        <v>1608743</v>
      </c>
      <c r="F76" s="76" t="s">
        <v>40</v>
      </c>
      <c r="G76" s="77">
        <v>20310838</v>
      </c>
      <c r="H76" s="76" t="s">
        <v>216</v>
      </c>
      <c r="I76" s="77">
        <v>3</v>
      </c>
      <c r="J76" s="78">
        <v>19.6</v>
      </c>
      <c r="K76" s="78">
        <f t="shared" si="1"/>
        <v>58.8</v>
      </c>
    </row>
    <row r="77" spans="4:11">
      <c r="D77" s="75">
        <v>46176</v>
      </c>
      <c r="E77" s="76">
        <v>1608743</v>
      </c>
      <c r="F77" s="76" t="s">
        <v>40</v>
      </c>
      <c r="G77" s="77">
        <v>20377562</v>
      </c>
      <c r="H77" s="76" t="s">
        <v>217</v>
      </c>
      <c r="I77" s="77">
        <v>1</v>
      </c>
      <c r="J77" s="78">
        <v>15.4</v>
      </c>
      <c r="K77" s="78">
        <f t="shared" si="1"/>
        <v>15.4</v>
      </c>
    </row>
    <row r="78" spans="4:11">
      <c r="D78" s="75">
        <v>46176</v>
      </c>
      <c r="E78" s="76">
        <v>1608743</v>
      </c>
      <c r="F78" s="76" t="s">
        <v>42</v>
      </c>
      <c r="G78" s="77">
        <v>20008395</v>
      </c>
      <c r="H78" s="76" t="s">
        <v>218</v>
      </c>
      <c r="I78" s="77">
        <v>1</v>
      </c>
      <c r="J78" s="78">
        <v>19.6</v>
      </c>
      <c r="K78" s="78">
        <f t="shared" si="1"/>
        <v>19.6</v>
      </c>
    </row>
    <row r="79" spans="4:11">
      <c r="D79" s="75">
        <v>46176</v>
      </c>
      <c r="E79" s="76">
        <v>1608743</v>
      </c>
      <c r="F79" s="76" t="s">
        <v>42</v>
      </c>
      <c r="G79" s="77">
        <v>20011031</v>
      </c>
      <c r="H79" s="76" t="s">
        <v>219</v>
      </c>
      <c r="I79" s="77">
        <v>1</v>
      </c>
      <c r="J79" s="78">
        <v>19.6</v>
      </c>
      <c r="K79" s="78">
        <f t="shared" si="1"/>
        <v>19.6</v>
      </c>
    </row>
    <row r="80" spans="4:11">
      <c r="D80" s="75">
        <v>46176</v>
      </c>
      <c r="E80" s="76">
        <v>1608743</v>
      </c>
      <c r="F80" s="76" t="s">
        <v>42</v>
      </c>
      <c r="G80" s="77">
        <v>20011032</v>
      </c>
      <c r="H80" s="76" t="s">
        <v>220</v>
      </c>
      <c r="I80" s="77">
        <v>1</v>
      </c>
      <c r="J80" s="78">
        <v>19.6</v>
      </c>
      <c r="K80" s="78">
        <f t="shared" si="1"/>
        <v>19.6</v>
      </c>
    </row>
    <row r="81" spans="4:11">
      <c r="D81" s="75">
        <v>46176</v>
      </c>
      <c r="E81" s="76">
        <v>1608757</v>
      </c>
      <c r="F81" s="76" t="s">
        <v>221</v>
      </c>
      <c r="G81" s="77">
        <v>20008764</v>
      </c>
      <c r="H81" s="76" t="s">
        <v>222</v>
      </c>
      <c r="I81" s="77">
        <v>1</v>
      </c>
      <c r="J81" s="78">
        <v>210</v>
      </c>
      <c r="K81" s="78">
        <f t="shared" si="1"/>
        <v>210</v>
      </c>
    </row>
    <row r="82" spans="4:11">
      <c r="D82" s="75">
        <v>46176</v>
      </c>
      <c r="E82" s="76">
        <v>1608843</v>
      </c>
      <c r="F82" s="76" t="s">
        <v>36</v>
      </c>
      <c r="G82" s="77">
        <v>20013594</v>
      </c>
      <c r="H82" s="76" t="s">
        <v>223</v>
      </c>
      <c r="I82" s="77">
        <v>1</v>
      </c>
      <c r="J82" s="78">
        <v>140</v>
      </c>
      <c r="K82" s="78">
        <f t="shared" si="1"/>
        <v>140</v>
      </c>
    </row>
    <row r="83" spans="4:11">
      <c r="D83" s="75">
        <v>46176</v>
      </c>
      <c r="E83" s="76">
        <v>1608843</v>
      </c>
      <c r="F83" s="76" t="s">
        <v>36</v>
      </c>
      <c r="G83" s="77">
        <v>20013391</v>
      </c>
      <c r="H83" s="76" t="s">
        <v>224</v>
      </c>
      <c r="I83" s="77">
        <v>1</v>
      </c>
      <c r="J83" s="78">
        <v>42.35</v>
      </c>
      <c r="K83" s="78">
        <f t="shared" si="1"/>
        <v>42.35</v>
      </c>
    </row>
    <row r="84" spans="4:11">
      <c r="D84" s="75">
        <v>46176</v>
      </c>
      <c r="E84" s="76">
        <v>1608843</v>
      </c>
      <c r="F84" s="76" t="s">
        <v>36</v>
      </c>
      <c r="G84" s="77">
        <v>20013587</v>
      </c>
      <c r="H84" s="76" t="s">
        <v>225</v>
      </c>
      <c r="I84" s="77">
        <v>1</v>
      </c>
      <c r="J84" s="78">
        <v>100.1</v>
      </c>
      <c r="K84" s="78">
        <f t="shared" si="1"/>
        <v>100.1</v>
      </c>
    </row>
    <row r="85" spans="4:11">
      <c r="D85" s="75">
        <v>46176</v>
      </c>
      <c r="E85" s="76">
        <v>1608843</v>
      </c>
      <c r="F85" s="76" t="s">
        <v>36</v>
      </c>
      <c r="G85" s="77">
        <v>20013581</v>
      </c>
      <c r="H85" s="76" t="s">
        <v>226</v>
      </c>
      <c r="I85" s="77">
        <v>1</v>
      </c>
      <c r="J85" s="78">
        <v>73.15</v>
      </c>
      <c r="K85" s="78">
        <f t="shared" si="1"/>
        <v>73.15</v>
      </c>
    </row>
    <row r="86" spans="4:11">
      <c r="D86" s="75">
        <v>46176</v>
      </c>
      <c r="E86" s="76">
        <v>1608843</v>
      </c>
      <c r="F86" s="76" t="s">
        <v>36</v>
      </c>
      <c r="G86" s="77">
        <v>20315646</v>
      </c>
      <c r="H86" s="76" t="s">
        <v>227</v>
      </c>
      <c r="I86" s="77">
        <v>1</v>
      </c>
      <c r="J86" s="78">
        <v>169.4</v>
      </c>
      <c r="K86" s="78">
        <f t="shared" si="1"/>
        <v>169.4</v>
      </c>
    </row>
    <row r="87" spans="4:11">
      <c r="D87" s="75">
        <v>46176</v>
      </c>
      <c r="E87" s="76">
        <v>1608843</v>
      </c>
      <c r="F87" s="76" t="s">
        <v>15</v>
      </c>
      <c r="G87" s="77">
        <v>20008141</v>
      </c>
      <c r="H87" s="76" t="s">
        <v>228</v>
      </c>
      <c r="I87" s="77">
        <v>1</v>
      </c>
      <c r="J87" s="78">
        <v>9.1</v>
      </c>
      <c r="K87" s="78">
        <f t="shared" si="1"/>
        <v>9.1</v>
      </c>
    </row>
    <row r="88" spans="4:11">
      <c r="D88" s="75">
        <v>46176</v>
      </c>
      <c r="E88" s="76">
        <v>1608843</v>
      </c>
      <c r="F88" s="76" t="s">
        <v>15</v>
      </c>
      <c r="G88" s="77">
        <v>20008180</v>
      </c>
      <c r="H88" s="76" t="s">
        <v>167</v>
      </c>
      <c r="I88" s="77">
        <v>1</v>
      </c>
      <c r="J88" s="78">
        <v>5.6</v>
      </c>
      <c r="K88" s="78">
        <f t="shared" si="1"/>
        <v>5.6</v>
      </c>
    </row>
    <row r="89" spans="4:11">
      <c r="D89" s="75">
        <v>46176</v>
      </c>
      <c r="E89" s="76">
        <v>1608843</v>
      </c>
      <c r="F89" s="76" t="s">
        <v>15</v>
      </c>
      <c r="G89" s="77">
        <v>20370869</v>
      </c>
      <c r="H89" s="76" t="s">
        <v>229</v>
      </c>
      <c r="I89" s="77">
        <v>1</v>
      </c>
      <c r="J89" s="78">
        <v>5.6</v>
      </c>
      <c r="K89" s="78">
        <f t="shared" si="1"/>
        <v>5.6</v>
      </c>
    </row>
    <row r="90" spans="4:11">
      <c r="D90" s="75">
        <v>46176</v>
      </c>
      <c r="E90" s="76">
        <v>1608843</v>
      </c>
      <c r="F90" s="76" t="s">
        <v>15</v>
      </c>
      <c r="G90" s="77">
        <v>20013376</v>
      </c>
      <c r="H90" s="76" t="s">
        <v>230</v>
      </c>
      <c r="I90" s="77">
        <v>1</v>
      </c>
      <c r="J90" s="78">
        <v>5.6</v>
      </c>
      <c r="K90" s="78">
        <f t="shared" si="1"/>
        <v>5.6</v>
      </c>
    </row>
    <row r="91" spans="4:11">
      <c r="D91" s="75">
        <v>46176</v>
      </c>
      <c r="E91" s="76">
        <v>1608843</v>
      </c>
      <c r="F91" s="76" t="s">
        <v>15</v>
      </c>
      <c r="G91" s="77">
        <v>20012668</v>
      </c>
      <c r="H91" s="76" t="s">
        <v>231</v>
      </c>
      <c r="I91" s="77">
        <v>11</v>
      </c>
      <c r="J91" s="78">
        <v>5.6</v>
      </c>
      <c r="K91" s="78">
        <f t="shared" si="1"/>
        <v>61.6</v>
      </c>
    </row>
    <row r="92" spans="4:11">
      <c r="D92" s="75">
        <v>46176</v>
      </c>
      <c r="E92" s="76">
        <v>1608843</v>
      </c>
      <c r="F92" s="76" t="s">
        <v>15</v>
      </c>
      <c r="G92" s="77">
        <v>20008144</v>
      </c>
      <c r="H92" s="76" t="s">
        <v>232</v>
      </c>
      <c r="I92" s="77">
        <v>2</v>
      </c>
      <c r="J92" s="78">
        <v>9.1</v>
      </c>
      <c r="K92" s="78">
        <f t="shared" si="1"/>
        <v>18.2</v>
      </c>
    </row>
    <row r="93" spans="4:11">
      <c r="D93" s="75">
        <v>46176</v>
      </c>
      <c r="E93" s="76">
        <v>1608843</v>
      </c>
      <c r="F93" s="76" t="s">
        <v>15</v>
      </c>
      <c r="G93" s="77">
        <v>20332807</v>
      </c>
      <c r="H93" s="76" t="s">
        <v>233</v>
      </c>
      <c r="I93" s="77">
        <v>2</v>
      </c>
      <c r="J93" s="78">
        <v>5.6</v>
      </c>
      <c r="K93" s="78">
        <f t="shared" si="1"/>
        <v>11.2</v>
      </c>
    </row>
    <row r="94" spans="4:11">
      <c r="D94" s="75">
        <v>46176</v>
      </c>
      <c r="E94" s="76">
        <v>1608843</v>
      </c>
      <c r="F94" s="76" t="s">
        <v>15</v>
      </c>
      <c r="G94" s="77">
        <v>20344015</v>
      </c>
      <c r="H94" s="76" t="s">
        <v>176</v>
      </c>
      <c r="I94" s="77">
        <v>1</v>
      </c>
      <c r="J94" s="78">
        <v>5.6</v>
      </c>
      <c r="K94" s="78">
        <f t="shared" si="1"/>
        <v>5.6</v>
      </c>
    </row>
    <row r="95" spans="4:11">
      <c r="D95" s="75">
        <v>46176</v>
      </c>
      <c r="E95" s="76">
        <v>1608843</v>
      </c>
      <c r="F95" s="76" t="s">
        <v>15</v>
      </c>
      <c r="G95" s="77">
        <v>20008188</v>
      </c>
      <c r="H95" s="76" t="s">
        <v>234</v>
      </c>
      <c r="I95" s="77">
        <v>1</v>
      </c>
      <c r="J95" s="78">
        <v>5.6</v>
      </c>
      <c r="K95" s="78">
        <f t="shared" si="1"/>
        <v>5.6</v>
      </c>
    </row>
    <row r="96" spans="4:11">
      <c r="D96" s="75">
        <v>46176</v>
      </c>
      <c r="E96" s="76">
        <v>1608843</v>
      </c>
      <c r="F96" s="76" t="s">
        <v>15</v>
      </c>
      <c r="G96" s="77">
        <v>20315578</v>
      </c>
      <c r="H96" s="76" t="s">
        <v>199</v>
      </c>
      <c r="I96" s="77">
        <v>1</v>
      </c>
      <c r="J96" s="78">
        <v>23.1</v>
      </c>
      <c r="K96" s="78">
        <f t="shared" si="1"/>
        <v>23.1</v>
      </c>
    </row>
    <row r="97" spans="4:11">
      <c r="D97" s="75">
        <v>46176</v>
      </c>
      <c r="E97" s="76">
        <v>1608843</v>
      </c>
      <c r="F97" s="76" t="s">
        <v>15</v>
      </c>
      <c r="G97" s="77">
        <v>20008816</v>
      </c>
      <c r="H97" s="76" t="s">
        <v>31</v>
      </c>
      <c r="I97" s="77">
        <v>2</v>
      </c>
      <c r="J97" s="78">
        <v>5.6</v>
      </c>
      <c r="K97" s="78">
        <f t="shared" si="1"/>
        <v>11.2</v>
      </c>
    </row>
    <row r="98" spans="4:11">
      <c r="D98" s="75">
        <v>46176</v>
      </c>
      <c r="E98" s="76">
        <v>1608843</v>
      </c>
      <c r="F98" s="76" t="s">
        <v>15</v>
      </c>
      <c r="G98" s="77">
        <v>20007594</v>
      </c>
      <c r="H98" s="76" t="s">
        <v>235</v>
      </c>
      <c r="I98" s="77">
        <v>1</v>
      </c>
      <c r="J98" s="78">
        <v>5.6</v>
      </c>
      <c r="K98" s="78">
        <f t="shared" si="1"/>
        <v>5.6</v>
      </c>
    </row>
    <row r="99" spans="4:11">
      <c r="D99" s="75">
        <v>46176</v>
      </c>
      <c r="E99" s="76">
        <v>1608843</v>
      </c>
      <c r="F99" s="76" t="s">
        <v>15</v>
      </c>
      <c r="G99" s="77">
        <v>20013664</v>
      </c>
      <c r="H99" s="76" t="s">
        <v>236</v>
      </c>
      <c r="I99" s="77">
        <v>1</v>
      </c>
      <c r="J99" s="78">
        <v>5.6</v>
      </c>
      <c r="K99" s="78">
        <f t="shared" si="1"/>
        <v>5.6</v>
      </c>
    </row>
    <row r="100" spans="4:11">
      <c r="D100" s="75">
        <v>46176</v>
      </c>
      <c r="E100" s="76">
        <v>1608843</v>
      </c>
      <c r="F100" s="76" t="s">
        <v>15</v>
      </c>
      <c r="G100" s="77">
        <v>20014209</v>
      </c>
      <c r="H100" s="76" t="s">
        <v>178</v>
      </c>
      <c r="I100" s="77">
        <v>1</v>
      </c>
      <c r="J100" s="78">
        <v>5.6</v>
      </c>
      <c r="K100" s="78">
        <f t="shared" si="1"/>
        <v>5.6</v>
      </c>
    </row>
    <row r="101" spans="4:11">
      <c r="D101" s="75">
        <v>46176</v>
      </c>
      <c r="E101" s="76">
        <v>1608843</v>
      </c>
      <c r="F101" s="76" t="s">
        <v>15</v>
      </c>
      <c r="G101" s="77">
        <v>20008150</v>
      </c>
      <c r="H101" s="76" t="s">
        <v>237</v>
      </c>
      <c r="I101" s="77">
        <v>3</v>
      </c>
      <c r="J101" s="78">
        <v>5.6</v>
      </c>
      <c r="K101" s="78">
        <f t="shared" si="1"/>
        <v>16.8</v>
      </c>
    </row>
    <row r="102" ht="24.75" spans="4:11">
      <c r="D102" s="75">
        <v>46176</v>
      </c>
      <c r="E102" s="76">
        <v>1608843</v>
      </c>
      <c r="F102" s="76" t="s">
        <v>238</v>
      </c>
      <c r="G102" s="77">
        <v>20373142</v>
      </c>
      <c r="H102" s="76" t="s">
        <v>239</v>
      </c>
      <c r="I102" s="77">
        <v>1</v>
      </c>
      <c r="J102" s="78">
        <v>215.6</v>
      </c>
      <c r="K102" s="78">
        <f t="shared" si="1"/>
        <v>215.6</v>
      </c>
    </row>
    <row r="103" spans="4:11">
      <c r="D103" s="75">
        <v>46176</v>
      </c>
      <c r="E103" s="76">
        <v>1608843</v>
      </c>
      <c r="F103" s="76" t="s">
        <v>27</v>
      </c>
      <c r="G103" s="77">
        <v>20313859</v>
      </c>
      <c r="H103" s="76" t="s">
        <v>240</v>
      </c>
      <c r="I103" s="77">
        <v>1</v>
      </c>
      <c r="J103" s="78">
        <v>26.95</v>
      </c>
      <c r="K103" s="78">
        <f t="shared" si="1"/>
        <v>26.95</v>
      </c>
    </row>
    <row r="104" spans="4:11">
      <c r="D104" s="75">
        <v>46176</v>
      </c>
      <c r="E104" s="76">
        <v>1608843</v>
      </c>
      <c r="F104" s="76" t="s">
        <v>27</v>
      </c>
      <c r="G104" s="77">
        <v>20014160</v>
      </c>
      <c r="H104" s="76" t="s">
        <v>241</v>
      </c>
      <c r="I104" s="77">
        <v>2</v>
      </c>
      <c r="J104" s="78">
        <v>11.55</v>
      </c>
      <c r="K104" s="78">
        <f t="shared" si="1"/>
        <v>23.1</v>
      </c>
    </row>
    <row r="105" spans="4:11">
      <c r="D105" s="75">
        <v>46176</v>
      </c>
      <c r="E105" s="76">
        <v>1608843</v>
      </c>
      <c r="F105" s="76" t="s">
        <v>27</v>
      </c>
      <c r="G105" s="77">
        <v>20015105</v>
      </c>
      <c r="H105" s="76" t="s">
        <v>205</v>
      </c>
      <c r="I105" s="77">
        <v>1</v>
      </c>
      <c r="J105" s="78">
        <v>11.55</v>
      </c>
      <c r="K105" s="78">
        <f t="shared" si="1"/>
        <v>11.55</v>
      </c>
    </row>
    <row r="106" spans="4:11">
      <c r="D106" s="75">
        <v>46176</v>
      </c>
      <c r="E106" s="76">
        <v>1608843</v>
      </c>
      <c r="F106" s="76" t="s">
        <v>27</v>
      </c>
      <c r="G106" s="77">
        <v>20014109</v>
      </c>
      <c r="H106" s="76" t="s">
        <v>242</v>
      </c>
      <c r="I106" s="77">
        <v>4</v>
      </c>
      <c r="J106" s="78">
        <v>11.55</v>
      </c>
      <c r="K106" s="78">
        <f t="shared" si="1"/>
        <v>46.2</v>
      </c>
    </row>
    <row r="107" spans="4:11">
      <c r="D107" s="75">
        <v>46176</v>
      </c>
      <c r="E107" s="76">
        <v>1608843</v>
      </c>
      <c r="F107" s="76" t="s">
        <v>27</v>
      </c>
      <c r="G107" s="77">
        <v>20014739</v>
      </c>
      <c r="H107" s="76" t="s">
        <v>243</v>
      </c>
      <c r="I107" s="77">
        <v>1</v>
      </c>
      <c r="J107" s="78">
        <v>11.55</v>
      </c>
      <c r="K107" s="78">
        <f t="shared" si="1"/>
        <v>11.55</v>
      </c>
    </row>
    <row r="108" spans="4:11">
      <c r="D108" s="75">
        <v>46176</v>
      </c>
      <c r="E108" s="76">
        <v>1608843</v>
      </c>
      <c r="F108" s="76" t="s">
        <v>27</v>
      </c>
      <c r="G108" s="77">
        <v>20013636</v>
      </c>
      <c r="H108" s="76" t="s">
        <v>244</v>
      </c>
      <c r="I108" s="77">
        <v>1</v>
      </c>
      <c r="J108" s="78">
        <v>11.55</v>
      </c>
      <c r="K108" s="78">
        <f t="shared" si="1"/>
        <v>11.55</v>
      </c>
    </row>
    <row r="109" spans="4:11">
      <c r="D109" s="75">
        <v>46176</v>
      </c>
      <c r="E109" s="76">
        <v>1608843</v>
      </c>
      <c r="F109" s="76" t="s">
        <v>27</v>
      </c>
      <c r="G109" s="77">
        <v>20360382</v>
      </c>
      <c r="H109" s="76" t="s">
        <v>245</v>
      </c>
      <c r="I109" s="77">
        <v>1</v>
      </c>
      <c r="J109" s="78">
        <v>42.35</v>
      </c>
      <c r="K109" s="78">
        <f t="shared" si="1"/>
        <v>42.35</v>
      </c>
    </row>
    <row r="110" spans="4:11">
      <c r="D110" s="75">
        <v>46176</v>
      </c>
      <c r="E110" s="76">
        <v>1609026</v>
      </c>
      <c r="F110" s="76" t="s">
        <v>36</v>
      </c>
      <c r="G110" s="77">
        <v>20006867</v>
      </c>
      <c r="H110" s="76" t="s">
        <v>246</v>
      </c>
      <c r="I110" s="77">
        <v>1</v>
      </c>
      <c r="J110" s="78">
        <v>246.4</v>
      </c>
      <c r="K110" s="78">
        <f t="shared" si="1"/>
        <v>246.4</v>
      </c>
    </row>
    <row r="111" spans="4:11">
      <c r="D111" s="75">
        <v>46176</v>
      </c>
      <c r="E111" s="76">
        <v>1609026</v>
      </c>
      <c r="F111" s="76" t="s">
        <v>36</v>
      </c>
      <c r="G111" s="77">
        <v>20007715</v>
      </c>
      <c r="H111" s="76" t="s">
        <v>247</v>
      </c>
      <c r="I111" s="77">
        <v>1</v>
      </c>
      <c r="J111" s="78">
        <v>180.95</v>
      </c>
      <c r="K111" s="78">
        <f t="shared" si="1"/>
        <v>180.95</v>
      </c>
    </row>
    <row r="112" spans="4:11">
      <c r="D112" s="75">
        <v>46176</v>
      </c>
      <c r="E112" s="76">
        <v>1609026</v>
      </c>
      <c r="F112" s="76" t="s">
        <v>36</v>
      </c>
      <c r="G112" s="77">
        <v>20012472</v>
      </c>
      <c r="H112" s="76" t="s">
        <v>248</v>
      </c>
      <c r="I112" s="77">
        <v>1</v>
      </c>
      <c r="J112" s="78">
        <v>119.35</v>
      </c>
      <c r="K112" s="78">
        <f t="shared" si="1"/>
        <v>119.35</v>
      </c>
    </row>
    <row r="113" spans="4:11">
      <c r="D113" s="75">
        <v>46176</v>
      </c>
      <c r="E113" s="76">
        <v>1609026</v>
      </c>
      <c r="F113" s="76" t="s">
        <v>36</v>
      </c>
      <c r="G113" s="77">
        <v>20008128</v>
      </c>
      <c r="H113" s="76" t="s">
        <v>164</v>
      </c>
      <c r="I113" s="77">
        <v>3</v>
      </c>
      <c r="J113" s="78">
        <v>130.9</v>
      </c>
      <c r="K113" s="78">
        <f t="shared" si="1"/>
        <v>392.7</v>
      </c>
    </row>
    <row r="114" spans="4:11">
      <c r="D114" s="75">
        <v>46176</v>
      </c>
      <c r="E114" s="76">
        <v>1609026</v>
      </c>
      <c r="F114" s="76" t="s">
        <v>36</v>
      </c>
      <c r="G114" s="77">
        <v>20311037</v>
      </c>
      <c r="H114" s="76" t="s">
        <v>165</v>
      </c>
      <c r="I114" s="77">
        <v>1</v>
      </c>
      <c r="J114" s="78">
        <v>53.55</v>
      </c>
      <c r="K114" s="78">
        <f t="shared" si="1"/>
        <v>53.55</v>
      </c>
    </row>
    <row r="115" spans="4:11">
      <c r="D115" s="75">
        <v>46176</v>
      </c>
      <c r="E115" s="76">
        <v>1609026</v>
      </c>
      <c r="F115" s="76" t="s">
        <v>15</v>
      </c>
      <c r="G115" s="77">
        <v>20008180</v>
      </c>
      <c r="H115" s="76" t="s">
        <v>167</v>
      </c>
      <c r="I115" s="77">
        <v>1</v>
      </c>
      <c r="J115" s="78">
        <v>5.6</v>
      </c>
      <c r="K115" s="78">
        <f t="shared" si="1"/>
        <v>5.6</v>
      </c>
    </row>
    <row r="116" spans="4:11">
      <c r="D116" s="75">
        <v>46176</v>
      </c>
      <c r="E116" s="76">
        <v>1609026</v>
      </c>
      <c r="F116" s="76" t="s">
        <v>15</v>
      </c>
      <c r="G116" s="77">
        <v>20425822</v>
      </c>
      <c r="H116" s="76" t="s">
        <v>249</v>
      </c>
      <c r="I116" s="77">
        <v>1</v>
      </c>
      <c r="J116" s="78">
        <v>5.6</v>
      </c>
      <c r="K116" s="78">
        <f t="shared" si="1"/>
        <v>5.6</v>
      </c>
    </row>
    <row r="117" spans="4:11">
      <c r="D117" s="75">
        <v>46176</v>
      </c>
      <c r="E117" s="76">
        <v>1609026</v>
      </c>
      <c r="F117" s="76" t="s">
        <v>15</v>
      </c>
      <c r="G117" s="77">
        <v>20316841</v>
      </c>
      <c r="H117" s="76" t="s">
        <v>250</v>
      </c>
      <c r="I117" s="77">
        <v>50</v>
      </c>
      <c r="J117" s="78">
        <v>7.35</v>
      </c>
      <c r="K117" s="78">
        <f t="shared" si="1"/>
        <v>367.5</v>
      </c>
    </row>
    <row r="118" spans="4:11">
      <c r="D118" s="75">
        <v>46176</v>
      </c>
      <c r="E118" s="76">
        <v>1609026</v>
      </c>
      <c r="F118" s="76" t="s">
        <v>15</v>
      </c>
      <c r="G118" s="77">
        <v>20398426</v>
      </c>
      <c r="H118" s="76" t="s">
        <v>251</v>
      </c>
      <c r="I118" s="77">
        <v>9</v>
      </c>
      <c r="J118" s="78">
        <v>7.35</v>
      </c>
      <c r="K118" s="78">
        <f t="shared" si="1"/>
        <v>66.15</v>
      </c>
    </row>
    <row r="119" spans="4:11">
      <c r="D119" s="75">
        <v>46176</v>
      </c>
      <c r="E119" s="76">
        <v>1609026</v>
      </c>
      <c r="F119" s="76" t="s">
        <v>15</v>
      </c>
      <c r="G119" s="77">
        <v>20012311</v>
      </c>
      <c r="H119" s="76" t="s">
        <v>174</v>
      </c>
      <c r="I119" s="77">
        <v>1</v>
      </c>
      <c r="J119" s="78">
        <v>7.7</v>
      </c>
      <c r="K119" s="78">
        <f t="shared" si="1"/>
        <v>7.7</v>
      </c>
    </row>
    <row r="120" spans="4:11">
      <c r="D120" s="75">
        <v>46176</v>
      </c>
      <c r="E120" s="76">
        <v>1609026</v>
      </c>
      <c r="F120" s="76" t="s">
        <v>15</v>
      </c>
      <c r="G120" s="77">
        <v>20008322</v>
      </c>
      <c r="H120" s="76" t="s">
        <v>17</v>
      </c>
      <c r="I120" s="77">
        <v>1</v>
      </c>
      <c r="J120" s="78">
        <v>5.6</v>
      </c>
      <c r="K120" s="78">
        <f t="shared" si="1"/>
        <v>5.6</v>
      </c>
    </row>
    <row r="121" spans="4:11">
      <c r="D121" s="75">
        <v>46176</v>
      </c>
      <c r="E121" s="76">
        <v>1609026</v>
      </c>
      <c r="F121" s="76" t="s">
        <v>15</v>
      </c>
      <c r="G121" s="77">
        <v>20376042</v>
      </c>
      <c r="H121" s="76" t="s">
        <v>252</v>
      </c>
      <c r="I121" s="77">
        <v>2</v>
      </c>
      <c r="J121" s="78">
        <v>5.6</v>
      </c>
      <c r="K121" s="78">
        <f t="shared" si="1"/>
        <v>11.2</v>
      </c>
    </row>
    <row r="122" spans="4:11">
      <c r="D122" s="75">
        <v>46176</v>
      </c>
      <c r="E122" s="76">
        <v>1609026</v>
      </c>
      <c r="F122" s="76" t="s">
        <v>15</v>
      </c>
      <c r="G122" s="77">
        <v>20008491</v>
      </c>
      <c r="H122" s="76" t="s">
        <v>121</v>
      </c>
      <c r="I122" s="77">
        <v>1</v>
      </c>
      <c r="J122" s="78">
        <v>11.55</v>
      </c>
      <c r="K122" s="78">
        <f t="shared" si="1"/>
        <v>11.55</v>
      </c>
    </row>
    <row r="123" spans="4:11">
      <c r="D123" s="75">
        <v>46176</v>
      </c>
      <c r="E123" s="76">
        <v>1609026</v>
      </c>
      <c r="F123" s="76" t="s">
        <v>15</v>
      </c>
      <c r="G123" s="77">
        <v>20425054</v>
      </c>
      <c r="H123" s="76" t="s">
        <v>253</v>
      </c>
      <c r="I123" s="77">
        <v>2</v>
      </c>
      <c r="J123" s="78">
        <v>9.1</v>
      </c>
      <c r="K123" s="78">
        <f t="shared" si="1"/>
        <v>18.2</v>
      </c>
    </row>
    <row r="124" spans="4:11">
      <c r="D124" s="75">
        <v>46176</v>
      </c>
      <c r="E124" s="76">
        <v>1609026</v>
      </c>
      <c r="F124" s="76" t="s">
        <v>25</v>
      </c>
      <c r="G124" s="77">
        <v>20012968</v>
      </c>
      <c r="H124" s="76" t="s">
        <v>254</v>
      </c>
      <c r="I124" s="77">
        <v>1</v>
      </c>
      <c r="J124" s="78">
        <v>80.85</v>
      </c>
      <c r="K124" s="78">
        <f t="shared" si="1"/>
        <v>80.85</v>
      </c>
    </row>
    <row r="125" spans="4:11">
      <c r="D125" s="75">
        <v>46176</v>
      </c>
      <c r="E125" s="76">
        <v>1609026</v>
      </c>
      <c r="F125" s="76" t="s">
        <v>27</v>
      </c>
      <c r="G125" s="77">
        <v>20007545</v>
      </c>
      <c r="H125" s="76" t="s">
        <v>255</v>
      </c>
      <c r="I125" s="77">
        <v>1</v>
      </c>
      <c r="J125" s="78">
        <v>11.55</v>
      </c>
      <c r="K125" s="78">
        <f t="shared" si="1"/>
        <v>11.55</v>
      </c>
    </row>
    <row r="126" spans="4:11">
      <c r="D126" s="75">
        <v>46176</v>
      </c>
      <c r="E126" s="76">
        <v>1609026</v>
      </c>
      <c r="F126" s="76" t="s">
        <v>27</v>
      </c>
      <c r="G126" s="77">
        <v>20014160</v>
      </c>
      <c r="H126" s="76" t="s">
        <v>241</v>
      </c>
      <c r="I126" s="77">
        <v>2</v>
      </c>
      <c r="J126" s="78">
        <v>11.55</v>
      </c>
      <c r="K126" s="78">
        <f t="shared" si="1"/>
        <v>23.1</v>
      </c>
    </row>
    <row r="127" spans="4:11">
      <c r="D127" s="75">
        <v>46176</v>
      </c>
      <c r="E127" s="76">
        <v>1609026</v>
      </c>
      <c r="F127" s="76" t="s">
        <v>27</v>
      </c>
      <c r="G127" s="77">
        <v>20318200</v>
      </c>
      <c r="H127" s="76" t="s">
        <v>256</v>
      </c>
      <c r="I127" s="77">
        <v>1</v>
      </c>
      <c r="J127" s="78">
        <v>11.55</v>
      </c>
      <c r="K127" s="78">
        <f t="shared" si="1"/>
        <v>11.55</v>
      </c>
    </row>
    <row r="128" spans="4:11">
      <c r="D128" s="75">
        <v>46176</v>
      </c>
      <c r="E128" s="76">
        <v>1609026</v>
      </c>
      <c r="F128" s="76" t="s">
        <v>27</v>
      </c>
      <c r="G128" s="77">
        <v>20008214</v>
      </c>
      <c r="H128" s="76" t="s">
        <v>123</v>
      </c>
      <c r="I128" s="77">
        <v>5</v>
      </c>
      <c r="J128" s="78">
        <v>11.55</v>
      </c>
      <c r="K128" s="78">
        <f t="shared" si="1"/>
        <v>57.75</v>
      </c>
    </row>
    <row r="129" spans="4:11">
      <c r="D129" s="75">
        <v>46176</v>
      </c>
      <c r="E129" s="76">
        <v>1609026</v>
      </c>
      <c r="F129" s="76" t="s">
        <v>27</v>
      </c>
      <c r="G129" s="77">
        <v>20327628</v>
      </c>
      <c r="H129" s="76" t="s">
        <v>257</v>
      </c>
      <c r="I129" s="77">
        <v>1</v>
      </c>
      <c r="J129" s="78">
        <v>11.55</v>
      </c>
      <c r="K129" s="78">
        <f t="shared" si="1"/>
        <v>11.55</v>
      </c>
    </row>
    <row r="130" spans="4:11">
      <c r="D130" s="75">
        <v>46176</v>
      </c>
      <c r="E130" s="76">
        <v>1609026</v>
      </c>
      <c r="F130" s="76" t="s">
        <v>27</v>
      </c>
      <c r="G130" s="77">
        <v>20326053</v>
      </c>
      <c r="H130" s="76" t="s">
        <v>258</v>
      </c>
      <c r="I130" s="77">
        <v>1</v>
      </c>
      <c r="J130" s="78">
        <v>11.55</v>
      </c>
      <c r="K130" s="78">
        <f t="shared" si="1"/>
        <v>11.55</v>
      </c>
    </row>
    <row r="131" spans="4:11">
      <c r="D131" s="75">
        <v>46176</v>
      </c>
      <c r="E131" s="76">
        <v>1609026</v>
      </c>
      <c r="F131" s="76" t="s">
        <v>27</v>
      </c>
      <c r="G131" s="77">
        <v>20014636</v>
      </c>
      <c r="H131" s="76" t="s">
        <v>259</v>
      </c>
      <c r="I131" s="77">
        <v>1</v>
      </c>
      <c r="J131" s="78">
        <v>11.55</v>
      </c>
      <c r="K131" s="78">
        <f t="shared" si="1"/>
        <v>11.55</v>
      </c>
    </row>
    <row r="132" spans="4:11">
      <c r="D132" s="75">
        <v>46176</v>
      </c>
      <c r="E132" s="76">
        <v>1609026</v>
      </c>
      <c r="F132" s="76" t="s">
        <v>27</v>
      </c>
      <c r="G132" s="77">
        <v>20008345</v>
      </c>
      <c r="H132" s="76" t="s">
        <v>186</v>
      </c>
      <c r="I132" s="77">
        <v>2</v>
      </c>
      <c r="J132" s="78">
        <v>19.25</v>
      </c>
      <c r="K132" s="78">
        <f t="shared" si="1"/>
        <v>38.5</v>
      </c>
    </row>
    <row r="133" spans="4:11">
      <c r="D133" s="75">
        <v>46176</v>
      </c>
      <c r="E133" s="76">
        <v>1609026</v>
      </c>
      <c r="F133" s="76" t="s">
        <v>27</v>
      </c>
      <c r="G133" s="77">
        <v>20007631</v>
      </c>
      <c r="H133" s="76" t="s">
        <v>260</v>
      </c>
      <c r="I133" s="77">
        <v>1</v>
      </c>
      <c r="J133" s="78">
        <v>15.4</v>
      </c>
      <c r="K133" s="78">
        <f t="shared" si="1"/>
        <v>15.4</v>
      </c>
    </row>
    <row r="134" spans="4:11">
      <c r="D134" s="75">
        <v>46176</v>
      </c>
      <c r="E134" s="76">
        <v>1609026</v>
      </c>
      <c r="F134" s="76" t="s">
        <v>27</v>
      </c>
      <c r="G134" s="77">
        <v>20007620</v>
      </c>
      <c r="H134" s="76" t="s">
        <v>261</v>
      </c>
      <c r="I134" s="77">
        <v>1</v>
      </c>
      <c r="J134" s="78">
        <v>11.55</v>
      </c>
      <c r="K134" s="78">
        <f t="shared" si="1"/>
        <v>11.55</v>
      </c>
    </row>
    <row r="135" spans="4:11">
      <c r="D135" s="75">
        <v>46176</v>
      </c>
      <c r="E135" s="76">
        <v>1609026</v>
      </c>
      <c r="F135" s="76" t="s">
        <v>27</v>
      </c>
      <c r="G135" s="77">
        <v>20347868</v>
      </c>
      <c r="H135" s="76" t="s">
        <v>262</v>
      </c>
      <c r="I135" s="77">
        <v>1</v>
      </c>
      <c r="J135" s="78">
        <v>11.55</v>
      </c>
      <c r="K135" s="78">
        <f t="shared" si="1"/>
        <v>11.55</v>
      </c>
    </row>
    <row r="136" spans="4:11">
      <c r="D136" s="75">
        <v>46177</v>
      </c>
      <c r="E136" s="76">
        <v>1609110</v>
      </c>
      <c r="F136" s="76" t="s">
        <v>15</v>
      </c>
      <c r="G136" s="77">
        <v>20333029</v>
      </c>
      <c r="H136" s="76" t="s">
        <v>263</v>
      </c>
      <c r="I136" s="77">
        <v>20</v>
      </c>
      <c r="J136" s="78">
        <v>7.35</v>
      </c>
      <c r="K136" s="78">
        <f t="shared" si="1"/>
        <v>147</v>
      </c>
    </row>
    <row r="137" spans="4:11">
      <c r="D137" s="75">
        <v>46177</v>
      </c>
      <c r="E137" s="76">
        <v>1609110</v>
      </c>
      <c r="F137" s="76" t="s">
        <v>15</v>
      </c>
      <c r="G137" s="77">
        <v>20393156</v>
      </c>
      <c r="H137" s="76" t="s">
        <v>264</v>
      </c>
      <c r="I137" s="77">
        <v>1</v>
      </c>
      <c r="J137" s="78">
        <v>9.45</v>
      </c>
      <c r="K137" s="78">
        <f t="shared" si="1"/>
        <v>9.45</v>
      </c>
    </row>
    <row r="138" spans="4:11">
      <c r="D138" s="75">
        <v>46177</v>
      </c>
      <c r="E138" s="76">
        <v>1609110</v>
      </c>
      <c r="F138" s="76" t="s">
        <v>15</v>
      </c>
      <c r="G138" s="77">
        <v>20011204</v>
      </c>
      <c r="H138" s="76" t="s">
        <v>16</v>
      </c>
      <c r="I138" s="77">
        <v>2</v>
      </c>
      <c r="J138" s="78">
        <v>5.6</v>
      </c>
      <c r="K138" s="78">
        <f t="shared" ref="K138:K197" si="2">J138*I138</f>
        <v>11.2</v>
      </c>
    </row>
    <row r="139" spans="4:11">
      <c r="D139" s="75">
        <v>46177</v>
      </c>
      <c r="E139" s="76">
        <v>1609110</v>
      </c>
      <c r="F139" s="76" t="s">
        <v>15</v>
      </c>
      <c r="G139" s="77">
        <v>20379430</v>
      </c>
      <c r="H139" s="76" t="s">
        <v>265</v>
      </c>
      <c r="I139" s="77">
        <v>1</v>
      </c>
      <c r="J139" s="78">
        <v>9.45</v>
      </c>
      <c r="K139" s="78">
        <f t="shared" si="2"/>
        <v>9.45</v>
      </c>
    </row>
    <row r="140" spans="4:11">
      <c r="D140" s="75">
        <v>46177</v>
      </c>
      <c r="E140" s="76">
        <v>1609110</v>
      </c>
      <c r="F140" s="76" t="s">
        <v>15</v>
      </c>
      <c r="G140" s="77">
        <v>20316841</v>
      </c>
      <c r="H140" s="76" t="s">
        <v>250</v>
      </c>
      <c r="I140" s="77">
        <v>75</v>
      </c>
      <c r="J140" s="78">
        <v>7.35</v>
      </c>
      <c r="K140" s="78">
        <f t="shared" si="2"/>
        <v>551.25</v>
      </c>
    </row>
    <row r="141" spans="4:11">
      <c r="D141" s="75">
        <v>46177</v>
      </c>
      <c r="E141" s="76">
        <v>1609110</v>
      </c>
      <c r="F141" s="76" t="s">
        <v>15</v>
      </c>
      <c r="G141" s="77">
        <v>20386607</v>
      </c>
      <c r="H141" s="76" t="s">
        <v>266</v>
      </c>
      <c r="I141" s="77">
        <v>2</v>
      </c>
      <c r="J141" s="78">
        <v>7.7</v>
      </c>
      <c r="K141" s="78">
        <f t="shared" si="2"/>
        <v>15.4</v>
      </c>
    </row>
    <row r="142" spans="4:11">
      <c r="D142" s="75">
        <v>46177</v>
      </c>
      <c r="E142" s="76">
        <v>1609110</v>
      </c>
      <c r="F142" s="76" t="s">
        <v>15</v>
      </c>
      <c r="G142" s="77">
        <v>20376042</v>
      </c>
      <c r="H142" s="76" t="s">
        <v>252</v>
      </c>
      <c r="I142" s="77">
        <v>1</v>
      </c>
      <c r="J142" s="78">
        <v>5.6</v>
      </c>
      <c r="K142" s="78">
        <f t="shared" si="2"/>
        <v>5.6</v>
      </c>
    </row>
    <row r="143" spans="4:11">
      <c r="D143" s="75">
        <v>46177</v>
      </c>
      <c r="E143" s="76">
        <v>1609110</v>
      </c>
      <c r="F143" s="76" t="s">
        <v>15</v>
      </c>
      <c r="G143" s="77">
        <v>20385525</v>
      </c>
      <c r="H143" s="76" t="s">
        <v>267</v>
      </c>
      <c r="I143" s="77">
        <v>2</v>
      </c>
      <c r="J143" s="78">
        <v>5.6</v>
      </c>
      <c r="K143" s="78">
        <f t="shared" si="2"/>
        <v>11.2</v>
      </c>
    </row>
    <row r="144" spans="4:11">
      <c r="D144" s="75">
        <v>46177</v>
      </c>
      <c r="E144" s="76">
        <v>1609110</v>
      </c>
      <c r="F144" s="76" t="s">
        <v>15</v>
      </c>
      <c r="G144" s="77">
        <v>20009218</v>
      </c>
      <c r="H144" s="76" t="s">
        <v>268</v>
      </c>
      <c r="I144" s="77">
        <v>3</v>
      </c>
      <c r="J144" s="78">
        <v>7.35</v>
      </c>
      <c r="K144" s="78">
        <f t="shared" si="2"/>
        <v>22.05</v>
      </c>
    </row>
    <row r="145" spans="4:11">
      <c r="D145" s="75">
        <v>46177</v>
      </c>
      <c r="E145" s="76">
        <v>1609110</v>
      </c>
      <c r="F145" s="76" t="s">
        <v>15</v>
      </c>
      <c r="G145" s="77">
        <v>20369116</v>
      </c>
      <c r="H145" s="76" t="s">
        <v>269</v>
      </c>
      <c r="I145" s="77">
        <v>1</v>
      </c>
      <c r="J145" s="78">
        <v>7.35</v>
      </c>
      <c r="K145" s="78">
        <f t="shared" si="2"/>
        <v>7.35</v>
      </c>
    </row>
    <row r="146" spans="4:11">
      <c r="D146" s="75">
        <v>46177</v>
      </c>
      <c r="E146" s="76">
        <v>1609110</v>
      </c>
      <c r="F146" s="76" t="s">
        <v>15</v>
      </c>
      <c r="G146" s="77">
        <v>20008264</v>
      </c>
      <c r="H146" s="76" t="s">
        <v>270</v>
      </c>
      <c r="I146" s="77">
        <v>1</v>
      </c>
      <c r="J146" s="78">
        <v>5.6</v>
      </c>
      <c r="K146" s="78">
        <f t="shared" si="2"/>
        <v>5.6</v>
      </c>
    </row>
    <row r="147" spans="4:11">
      <c r="D147" s="75">
        <v>46177</v>
      </c>
      <c r="E147" s="76">
        <v>1609110</v>
      </c>
      <c r="F147" s="76" t="s">
        <v>15</v>
      </c>
      <c r="G147" s="77">
        <v>20013606</v>
      </c>
      <c r="H147" s="76" t="s">
        <v>271</v>
      </c>
      <c r="I147" s="77">
        <v>1</v>
      </c>
      <c r="J147" s="78">
        <v>5.6</v>
      </c>
      <c r="K147" s="78">
        <f t="shared" si="2"/>
        <v>5.6</v>
      </c>
    </row>
    <row r="148" spans="4:11">
      <c r="D148" s="75">
        <v>46177</v>
      </c>
      <c r="E148" s="76">
        <v>1609110</v>
      </c>
      <c r="F148" s="76" t="s">
        <v>15</v>
      </c>
      <c r="G148" s="77">
        <v>20013716</v>
      </c>
      <c r="H148" s="76" t="s">
        <v>272</v>
      </c>
      <c r="I148" s="77">
        <v>1</v>
      </c>
      <c r="J148" s="78">
        <v>5.6</v>
      </c>
      <c r="K148" s="78">
        <f t="shared" si="2"/>
        <v>5.6</v>
      </c>
    </row>
    <row r="149" spans="4:11">
      <c r="D149" s="75">
        <v>46177</v>
      </c>
      <c r="E149" s="76">
        <v>1609110</v>
      </c>
      <c r="F149" s="76" t="s">
        <v>15</v>
      </c>
      <c r="G149" s="77">
        <v>20012133</v>
      </c>
      <c r="H149" s="76" t="s">
        <v>273</v>
      </c>
      <c r="I149" s="77">
        <v>1</v>
      </c>
      <c r="J149" s="78">
        <v>11.55</v>
      </c>
      <c r="K149" s="78">
        <f t="shared" si="2"/>
        <v>11.55</v>
      </c>
    </row>
    <row r="150" spans="4:11">
      <c r="D150" s="75">
        <v>46177</v>
      </c>
      <c r="E150" s="76">
        <v>1609110</v>
      </c>
      <c r="F150" s="76" t="s">
        <v>15</v>
      </c>
      <c r="G150" s="77">
        <v>20348324</v>
      </c>
      <c r="H150" s="76" t="s">
        <v>274</v>
      </c>
      <c r="I150" s="77">
        <v>57</v>
      </c>
      <c r="J150" s="78">
        <v>7.35</v>
      </c>
      <c r="K150" s="78">
        <f t="shared" si="2"/>
        <v>418.95</v>
      </c>
    </row>
    <row r="151" spans="4:11">
      <c r="D151" s="75">
        <v>46177</v>
      </c>
      <c r="E151" s="76">
        <v>1609110</v>
      </c>
      <c r="F151" s="76" t="s">
        <v>15</v>
      </c>
      <c r="G151" s="77">
        <v>20382365</v>
      </c>
      <c r="H151" s="76" t="s">
        <v>275</v>
      </c>
      <c r="I151" s="77">
        <v>1</v>
      </c>
      <c r="J151" s="78">
        <v>7.35</v>
      </c>
      <c r="K151" s="78">
        <f t="shared" si="2"/>
        <v>7.35</v>
      </c>
    </row>
    <row r="152" spans="4:11">
      <c r="D152" s="75">
        <v>46177</v>
      </c>
      <c r="E152" s="76">
        <v>1609110</v>
      </c>
      <c r="F152" s="76" t="s">
        <v>15</v>
      </c>
      <c r="G152" s="77">
        <v>20414410</v>
      </c>
      <c r="H152" s="76" t="s">
        <v>276</v>
      </c>
      <c r="I152" s="77">
        <v>3</v>
      </c>
      <c r="J152" s="78">
        <v>5.6</v>
      </c>
      <c r="K152" s="78">
        <f t="shared" si="2"/>
        <v>16.8</v>
      </c>
    </row>
    <row r="153" spans="4:11">
      <c r="D153" s="75">
        <v>46177</v>
      </c>
      <c r="E153" s="76">
        <v>1609110</v>
      </c>
      <c r="F153" s="76" t="s">
        <v>15</v>
      </c>
      <c r="G153" s="77">
        <v>20007626</v>
      </c>
      <c r="H153" s="76" t="s">
        <v>277</v>
      </c>
      <c r="I153" s="77">
        <v>2</v>
      </c>
      <c r="J153" s="78">
        <v>7.7</v>
      </c>
      <c r="K153" s="78">
        <f t="shared" si="2"/>
        <v>15.4</v>
      </c>
    </row>
    <row r="154" spans="4:11">
      <c r="D154" s="75">
        <v>46177</v>
      </c>
      <c r="E154" s="76">
        <v>1609110</v>
      </c>
      <c r="F154" s="76" t="s">
        <v>15</v>
      </c>
      <c r="G154" s="77">
        <v>20008598</v>
      </c>
      <c r="H154" s="76" t="s">
        <v>278</v>
      </c>
      <c r="I154" s="77">
        <v>2</v>
      </c>
      <c r="J154" s="78">
        <v>5.6</v>
      </c>
      <c r="K154" s="78">
        <f t="shared" si="2"/>
        <v>11.2</v>
      </c>
    </row>
    <row r="155" spans="4:11">
      <c r="D155" s="75">
        <v>46177</v>
      </c>
      <c r="E155" s="76">
        <v>1609110</v>
      </c>
      <c r="F155" s="76" t="s">
        <v>15</v>
      </c>
      <c r="G155" s="77">
        <v>20013461</v>
      </c>
      <c r="H155" s="76" t="s">
        <v>279</v>
      </c>
      <c r="I155" s="77">
        <v>2</v>
      </c>
      <c r="J155" s="78">
        <v>11.55</v>
      </c>
      <c r="K155" s="78">
        <f t="shared" si="2"/>
        <v>23.1</v>
      </c>
    </row>
    <row r="156" spans="4:11">
      <c r="D156" s="75">
        <v>46177</v>
      </c>
      <c r="E156" s="76">
        <v>1609110</v>
      </c>
      <c r="F156" s="76" t="s">
        <v>15</v>
      </c>
      <c r="G156" s="77">
        <v>20320714</v>
      </c>
      <c r="H156" s="76" t="s">
        <v>280</v>
      </c>
      <c r="I156" s="77">
        <v>1</v>
      </c>
      <c r="J156" s="78">
        <v>46.2</v>
      </c>
      <c r="K156" s="78">
        <f t="shared" si="2"/>
        <v>46.2</v>
      </c>
    </row>
    <row r="157" spans="4:11">
      <c r="D157" s="75">
        <v>46177</v>
      </c>
      <c r="E157" s="76">
        <v>1609110</v>
      </c>
      <c r="F157" s="76" t="s">
        <v>15</v>
      </c>
      <c r="G157" s="77">
        <v>20320716</v>
      </c>
      <c r="H157" s="76" t="s">
        <v>281</v>
      </c>
      <c r="I157" s="77">
        <v>1</v>
      </c>
      <c r="J157" s="78">
        <v>11.55</v>
      </c>
      <c r="K157" s="78">
        <f t="shared" si="2"/>
        <v>11.55</v>
      </c>
    </row>
    <row r="158" spans="4:11">
      <c r="D158" s="75">
        <v>46177</v>
      </c>
      <c r="E158" s="76">
        <v>1609110</v>
      </c>
      <c r="F158" s="76" t="s">
        <v>15</v>
      </c>
      <c r="G158" s="77">
        <v>20347033</v>
      </c>
      <c r="H158" s="76" t="s">
        <v>113</v>
      </c>
      <c r="I158" s="77">
        <v>1</v>
      </c>
      <c r="J158" s="78">
        <v>5.6</v>
      </c>
      <c r="K158" s="78">
        <f t="shared" si="2"/>
        <v>5.6</v>
      </c>
    </row>
    <row r="159" spans="4:11">
      <c r="D159" s="75">
        <v>46177</v>
      </c>
      <c r="E159" s="76">
        <v>1609110</v>
      </c>
      <c r="F159" s="76" t="s">
        <v>15</v>
      </c>
      <c r="G159" s="77">
        <v>20013900</v>
      </c>
      <c r="H159" s="76" t="s">
        <v>179</v>
      </c>
      <c r="I159" s="77">
        <v>1</v>
      </c>
      <c r="J159" s="78">
        <v>5.6</v>
      </c>
      <c r="K159" s="78">
        <f t="shared" si="2"/>
        <v>5.6</v>
      </c>
    </row>
    <row r="160" spans="4:11">
      <c r="D160" s="75">
        <v>46177</v>
      </c>
      <c r="E160" s="76">
        <v>1609110</v>
      </c>
      <c r="F160" s="76" t="s">
        <v>15</v>
      </c>
      <c r="G160" s="77">
        <v>20012859</v>
      </c>
      <c r="H160" s="76" t="s">
        <v>282</v>
      </c>
      <c r="I160" s="77">
        <v>4</v>
      </c>
      <c r="J160" s="78">
        <v>11.55</v>
      </c>
      <c r="K160" s="78">
        <f t="shared" si="2"/>
        <v>46.2</v>
      </c>
    </row>
    <row r="161" spans="4:11">
      <c r="D161" s="75">
        <v>46177</v>
      </c>
      <c r="E161" s="76">
        <v>1609110</v>
      </c>
      <c r="F161" s="76" t="s">
        <v>15</v>
      </c>
      <c r="G161" s="77">
        <v>20009280</v>
      </c>
      <c r="H161" s="76" t="s">
        <v>34</v>
      </c>
      <c r="I161" s="77">
        <v>1</v>
      </c>
      <c r="J161" s="78">
        <v>5.6</v>
      </c>
      <c r="K161" s="78">
        <f t="shared" si="2"/>
        <v>5.6</v>
      </c>
    </row>
    <row r="162" spans="4:11">
      <c r="D162" s="75">
        <v>46177</v>
      </c>
      <c r="E162" s="76">
        <v>1609110</v>
      </c>
      <c r="F162" s="76" t="s">
        <v>15</v>
      </c>
      <c r="G162" s="77">
        <v>20008747</v>
      </c>
      <c r="H162" s="76" t="s">
        <v>182</v>
      </c>
      <c r="I162" s="77">
        <v>1</v>
      </c>
      <c r="J162" s="78">
        <v>5.6</v>
      </c>
      <c r="K162" s="78">
        <f t="shared" si="2"/>
        <v>5.6</v>
      </c>
    </row>
    <row r="163" spans="4:11">
      <c r="D163" s="75">
        <v>46177</v>
      </c>
      <c r="E163" s="76">
        <v>1609110</v>
      </c>
      <c r="F163" s="76" t="s">
        <v>114</v>
      </c>
      <c r="G163" s="77">
        <v>20362791</v>
      </c>
      <c r="H163" s="76" t="s">
        <v>183</v>
      </c>
      <c r="I163" s="77">
        <v>1</v>
      </c>
      <c r="J163" s="78">
        <v>24.5</v>
      </c>
      <c r="K163" s="78">
        <f t="shared" si="2"/>
        <v>24.5</v>
      </c>
    </row>
    <row r="164" spans="4:11">
      <c r="D164" s="75">
        <v>46177</v>
      </c>
      <c r="E164" s="76">
        <v>1609121</v>
      </c>
      <c r="F164" s="76" t="s">
        <v>40</v>
      </c>
      <c r="G164" s="77">
        <v>20365916</v>
      </c>
      <c r="H164" s="76" t="s">
        <v>187</v>
      </c>
      <c r="I164" s="77">
        <v>1</v>
      </c>
      <c r="J164" s="78">
        <v>61.6</v>
      </c>
      <c r="K164" s="78">
        <f t="shared" si="2"/>
        <v>61.6</v>
      </c>
    </row>
    <row r="165" spans="4:11">
      <c r="D165" s="75">
        <v>46177</v>
      </c>
      <c r="E165" s="76">
        <v>1609121</v>
      </c>
      <c r="F165" s="76" t="s">
        <v>40</v>
      </c>
      <c r="G165" s="77">
        <v>20365405</v>
      </c>
      <c r="H165" s="76" t="s">
        <v>283</v>
      </c>
      <c r="I165" s="77">
        <v>1</v>
      </c>
      <c r="J165" s="78">
        <v>61.6</v>
      </c>
      <c r="K165" s="78">
        <f t="shared" si="2"/>
        <v>61.6</v>
      </c>
    </row>
    <row r="166" spans="4:11">
      <c r="D166" s="75">
        <v>46177</v>
      </c>
      <c r="E166" s="76">
        <v>1609121</v>
      </c>
      <c r="F166" s="76" t="s">
        <v>40</v>
      </c>
      <c r="G166" s="77">
        <v>20008623</v>
      </c>
      <c r="H166" s="76" t="s">
        <v>188</v>
      </c>
      <c r="I166" s="77">
        <v>2</v>
      </c>
      <c r="J166" s="78">
        <v>15.4</v>
      </c>
      <c r="K166" s="78">
        <f t="shared" si="2"/>
        <v>30.8</v>
      </c>
    </row>
    <row r="167" spans="4:11">
      <c r="D167" s="75">
        <v>46177</v>
      </c>
      <c r="E167" s="76">
        <v>1609121</v>
      </c>
      <c r="F167" s="76" t="s">
        <v>40</v>
      </c>
      <c r="G167" s="77">
        <v>20007633</v>
      </c>
      <c r="H167" s="76" t="s">
        <v>74</v>
      </c>
      <c r="I167" s="77">
        <v>2</v>
      </c>
      <c r="J167" s="78">
        <v>24.5</v>
      </c>
      <c r="K167" s="78">
        <f t="shared" si="2"/>
        <v>49</v>
      </c>
    </row>
    <row r="168" spans="4:11">
      <c r="D168" s="75">
        <v>46177</v>
      </c>
      <c r="E168" s="76">
        <v>1609121</v>
      </c>
      <c r="F168" s="76" t="s">
        <v>40</v>
      </c>
      <c r="G168" s="77">
        <v>20006853</v>
      </c>
      <c r="H168" s="76" t="s">
        <v>189</v>
      </c>
      <c r="I168" s="77">
        <v>3</v>
      </c>
      <c r="J168" s="78">
        <v>24.5</v>
      </c>
      <c r="K168" s="78">
        <f t="shared" si="2"/>
        <v>73.5</v>
      </c>
    </row>
    <row r="169" spans="4:11">
      <c r="D169" s="75">
        <v>46177</v>
      </c>
      <c r="E169" s="76">
        <v>1609121</v>
      </c>
      <c r="F169" s="76" t="s">
        <v>40</v>
      </c>
      <c r="G169" s="77">
        <v>20388302</v>
      </c>
      <c r="H169" s="76" t="s">
        <v>284</v>
      </c>
      <c r="I169" s="77">
        <v>1</v>
      </c>
      <c r="J169" s="78">
        <v>24.5</v>
      </c>
      <c r="K169" s="78">
        <f t="shared" si="2"/>
        <v>24.5</v>
      </c>
    </row>
    <row r="170" spans="4:11">
      <c r="D170" s="75">
        <v>46177</v>
      </c>
      <c r="E170" s="76">
        <v>1609121</v>
      </c>
      <c r="F170" s="76" t="s">
        <v>40</v>
      </c>
      <c r="G170" s="77">
        <v>20400917</v>
      </c>
      <c r="H170" s="76" t="s">
        <v>190</v>
      </c>
      <c r="I170" s="77">
        <v>2</v>
      </c>
      <c r="J170" s="78">
        <v>17.5</v>
      </c>
      <c r="K170" s="78">
        <f t="shared" si="2"/>
        <v>35</v>
      </c>
    </row>
    <row r="171" spans="4:11">
      <c r="D171" s="75">
        <v>46177</v>
      </c>
      <c r="E171" s="76">
        <v>1609121</v>
      </c>
      <c r="F171" s="76" t="s">
        <v>40</v>
      </c>
      <c r="G171" s="77">
        <v>20411341</v>
      </c>
      <c r="H171" s="76" t="s">
        <v>285</v>
      </c>
      <c r="I171" s="77">
        <v>1</v>
      </c>
      <c r="J171" s="78">
        <v>19.6</v>
      </c>
      <c r="K171" s="78">
        <f t="shared" si="2"/>
        <v>19.6</v>
      </c>
    </row>
    <row r="172" spans="4:11">
      <c r="D172" s="75">
        <v>46177</v>
      </c>
      <c r="E172" s="76">
        <v>1609121</v>
      </c>
      <c r="F172" s="76" t="s">
        <v>40</v>
      </c>
      <c r="G172" s="77">
        <v>20423694</v>
      </c>
      <c r="H172" s="76" t="s">
        <v>192</v>
      </c>
      <c r="I172" s="77">
        <v>1</v>
      </c>
      <c r="J172" s="78">
        <v>30.8</v>
      </c>
      <c r="K172" s="78">
        <f t="shared" si="2"/>
        <v>30.8</v>
      </c>
    </row>
    <row r="173" spans="4:11">
      <c r="D173" s="75">
        <v>46177</v>
      </c>
      <c r="E173" s="76">
        <v>1609121</v>
      </c>
      <c r="F173" s="76" t="s">
        <v>40</v>
      </c>
      <c r="G173" s="77">
        <v>20006863</v>
      </c>
      <c r="H173" s="76" t="s">
        <v>41</v>
      </c>
      <c r="I173" s="77">
        <v>2</v>
      </c>
      <c r="J173" s="78">
        <v>24.5</v>
      </c>
      <c r="K173" s="78">
        <f t="shared" si="2"/>
        <v>49</v>
      </c>
    </row>
    <row r="174" spans="4:11">
      <c r="D174" s="75">
        <v>46177</v>
      </c>
      <c r="E174" s="76">
        <v>1609121</v>
      </c>
      <c r="F174" s="76" t="s">
        <v>40</v>
      </c>
      <c r="G174" s="77">
        <v>20007639</v>
      </c>
      <c r="H174" s="76" t="s">
        <v>193</v>
      </c>
      <c r="I174" s="77">
        <v>4</v>
      </c>
      <c r="J174" s="78">
        <v>19.6</v>
      </c>
      <c r="K174" s="78">
        <f t="shared" si="2"/>
        <v>78.4</v>
      </c>
    </row>
    <row r="175" spans="4:11">
      <c r="D175" s="75">
        <v>46177</v>
      </c>
      <c r="E175" s="76">
        <v>1609121</v>
      </c>
      <c r="F175" s="76" t="s">
        <v>40</v>
      </c>
      <c r="G175" s="77">
        <v>20007638</v>
      </c>
      <c r="H175" s="76" t="s">
        <v>194</v>
      </c>
      <c r="I175" s="77">
        <v>2</v>
      </c>
      <c r="J175" s="78">
        <v>19.6</v>
      </c>
      <c r="K175" s="78">
        <f t="shared" si="2"/>
        <v>39.2</v>
      </c>
    </row>
    <row r="176" spans="4:11">
      <c r="D176" s="75">
        <v>46177</v>
      </c>
      <c r="E176" s="76">
        <v>1609121</v>
      </c>
      <c r="F176" s="76" t="s">
        <v>40</v>
      </c>
      <c r="G176" s="77">
        <v>20008639</v>
      </c>
      <c r="H176" s="76" t="s">
        <v>195</v>
      </c>
      <c r="I176" s="77">
        <v>2</v>
      </c>
      <c r="J176" s="78">
        <v>17.5</v>
      </c>
      <c r="K176" s="78">
        <f t="shared" si="2"/>
        <v>35</v>
      </c>
    </row>
    <row r="177" spans="4:11">
      <c r="D177" s="75">
        <v>46177</v>
      </c>
      <c r="E177" s="76">
        <v>1609121</v>
      </c>
      <c r="F177" s="76" t="s">
        <v>40</v>
      </c>
      <c r="G177" s="77">
        <v>20315373</v>
      </c>
      <c r="H177" s="76" t="s">
        <v>286</v>
      </c>
      <c r="I177" s="77">
        <v>1</v>
      </c>
      <c r="J177" s="78">
        <v>15.4</v>
      </c>
      <c r="K177" s="78">
        <f t="shared" si="2"/>
        <v>15.4</v>
      </c>
    </row>
    <row r="178" spans="4:11">
      <c r="D178" s="75">
        <v>46177</v>
      </c>
      <c r="E178" s="76">
        <v>1609121</v>
      </c>
      <c r="F178" s="76" t="s">
        <v>42</v>
      </c>
      <c r="G178" s="77">
        <v>20395507</v>
      </c>
      <c r="H178" s="76" t="s">
        <v>197</v>
      </c>
      <c r="I178" s="77">
        <v>2</v>
      </c>
      <c r="J178" s="78">
        <v>19.6</v>
      </c>
      <c r="K178" s="78">
        <f t="shared" si="2"/>
        <v>39.2</v>
      </c>
    </row>
    <row r="179" spans="4:11">
      <c r="D179" s="75">
        <v>46177</v>
      </c>
      <c r="E179" s="76">
        <v>1609121</v>
      </c>
      <c r="F179" s="76" t="s">
        <v>42</v>
      </c>
      <c r="G179" s="77">
        <v>20390423</v>
      </c>
      <c r="H179" s="76" t="s">
        <v>75</v>
      </c>
      <c r="I179" s="77">
        <v>1</v>
      </c>
      <c r="J179" s="78">
        <v>19.6</v>
      </c>
      <c r="K179" s="78">
        <f t="shared" si="2"/>
        <v>19.6</v>
      </c>
    </row>
    <row r="180" spans="4:11">
      <c r="D180" s="75">
        <v>46177</v>
      </c>
      <c r="E180" s="76">
        <v>1609121</v>
      </c>
      <c r="F180" s="76" t="s">
        <v>42</v>
      </c>
      <c r="G180" s="77">
        <v>20008376</v>
      </c>
      <c r="H180" s="76" t="s">
        <v>287</v>
      </c>
      <c r="I180" s="77">
        <v>1</v>
      </c>
      <c r="J180" s="78">
        <v>19.6</v>
      </c>
      <c r="K180" s="78">
        <f t="shared" si="2"/>
        <v>19.6</v>
      </c>
    </row>
    <row r="181" spans="4:11">
      <c r="D181" s="75">
        <v>46177</v>
      </c>
      <c r="E181" s="76">
        <v>1609237</v>
      </c>
      <c r="F181" s="76" t="s">
        <v>36</v>
      </c>
      <c r="G181" s="77">
        <v>20013592</v>
      </c>
      <c r="H181" s="76" t="s">
        <v>288</v>
      </c>
      <c r="I181" s="77">
        <v>1</v>
      </c>
      <c r="J181" s="78">
        <v>190.05</v>
      </c>
      <c r="K181" s="78">
        <f t="shared" si="2"/>
        <v>190.05</v>
      </c>
    </row>
    <row r="182" spans="4:11">
      <c r="D182" s="75">
        <v>46177</v>
      </c>
      <c r="E182" s="76">
        <v>1609237</v>
      </c>
      <c r="F182" s="76" t="s">
        <v>36</v>
      </c>
      <c r="G182" s="77">
        <v>20329313</v>
      </c>
      <c r="H182" s="76" t="s">
        <v>162</v>
      </c>
      <c r="I182" s="77">
        <v>1</v>
      </c>
      <c r="J182" s="78">
        <v>107.8</v>
      </c>
      <c r="K182" s="78">
        <f t="shared" si="2"/>
        <v>107.8</v>
      </c>
    </row>
    <row r="183" spans="4:11">
      <c r="D183" s="75">
        <v>46177</v>
      </c>
      <c r="E183" s="76">
        <v>1609237</v>
      </c>
      <c r="F183" s="76" t="s">
        <v>36</v>
      </c>
      <c r="G183" s="77">
        <v>20008341</v>
      </c>
      <c r="H183" s="76" t="s">
        <v>163</v>
      </c>
      <c r="I183" s="77">
        <v>1</v>
      </c>
      <c r="J183" s="78">
        <v>157.85</v>
      </c>
      <c r="K183" s="78">
        <f t="shared" si="2"/>
        <v>157.85</v>
      </c>
    </row>
    <row r="184" spans="4:11">
      <c r="D184" s="75">
        <v>46177</v>
      </c>
      <c r="E184" s="76">
        <v>1609237</v>
      </c>
      <c r="F184" s="76" t="s">
        <v>36</v>
      </c>
      <c r="G184" s="77">
        <v>20008128</v>
      </c>
      <c r="H184" s="76" t="s">
        <v>164</v>
      </c>
      <c r="I184" s="77">
        <v>1</v>
      </c>
      <c r="J184" s="78">
        <v>130.9</v>
      </c>
      <c r="K184" s="78">
        <f t="shared" si="2"/>
        <v>130.9</v>
      </c>
    </row>
    <row r="185" spans="4:11">
      <c r="D185" s="75">
        <v>46177</v>
      </c>
      <c r="E185" s="76">
        <v>1609237</v>
      </c>
      <c r="F185" s="76" t="s">
        <v>36</v>
      </c>
      <c r="G185" s="77">
        <v>20353489</v>
      </c>
      <c r="H185" s="76" t="s">
        <v>289</v>
      </c>
      <c r="I185" s="77">
        <v>1</v>
      </c>
      <c r="J185" s="78">
        <v>111.65</v>
      </c>
      <c r="K185" s="78">
        <f t="shared" si="2"/>
        <v>111.65</v>
      </c>
    </row>
    <row r="186" spans="4:11">
      <c r="D186" s="75">
        <v>46177</v>
      </c>
      <c r="E186" s="76">
        <v>1609237</v>
      </c>
      <c r="F186" s="76" t="s">
        <v>20</v>
      </c>
      <c r="G186" s="77">
        <v>20013667</v>
      </c>
      <c r="H186" s="76" t="s">
        <v>166</v>
      </c>
      <c r="I186" s="77">
        <v>1</v>
      </c>
      <c r="J186" s="78">
        <v>15.4</v>
      </c>
      <c r="K186" s="78">
        <f t="shared" si="2"/>
        <v>15.4</v>
      </c>
    </row>
    <row r="187" spans="4:11">
      <c r="D187" s="75">
        <v>46177</v>
      </c>
      <c r="E187" s="76">
        <v>1609237</v>
      </c>
      <c r="F187" s="76" t="s">
        <v>15</v>
      </c>
      <c r="G187" s="77">
        <v>20411498</v>
      </c>
      <c r="H187" s="76" t="s">
        <v>290</v>
      </c>
      <c r="I187" s="77">
        <v>1</v>
      </c>
      <c r="J187" s="78">
        <v>5.6</v>
      </c>
      <c r="K187" s="78">
        <f t="shared" si="2"/>
        <v>5.6</v>
      </c>
    </row>
    <row r="188" spans="4:11">
      <c r="D188" s="75">
        <v>46177</v>
      </c>
      <c r="E188" s="76">
        <v>1609237</v>
      </c>
      <c r="F188" s="76" t="s">
        <v>15</v>
      </c>
      <c r="G188" s="77">
        <v>20013515</v>
      </c>
      <c r="H188" s="76" t="s">
        <v>168</v>
      </c>
      <c r="I188" s="77">
        <v>1</v>
      </c>
      <c r="J188" s="78">
        <v>13.3</v>
      </c>
      <c r="K188" s="78">
        <f t="shared" si="2"/>
        <v>13.3</v>
      </c>
    </row>
    <row r="189" spans="4:11">
      <c r="D189" s="75">
        <v>46177</v>
      </c>
      <c r="E189" s="76">
        <v>1609237</v>
      </c>
      <c r="F189" s="76" t="s">
        <v>15</v>
      </c>
      <c r="G189" s="77">
        <v>20008153</v>
      </c>
      <c r="H189" s="76" t="s">
        <v>169</v>
      </c>
      <c r="I189" s="77">
        <v>1</v>
      </c>
      <c r="J189" s="78">
        <v>5.6</v>
      </c>
      <c r="K189" s="78">
        <f t="shared" si="2"/>
        <v>5.6</v>
      </c>
    </row>
    <row r="190" spans="4:11">
      <c r="D190" s="75">
        <v>46177</v>
      </c>
      <c r="E190" s="76">
        <v>1609237</v>
      </c>
      <c r="F190" s="76" t="s">
        <v>15</v>
      </c>
      <c r="G190" s="77">
        <v>20328787</v>
      </c>
      <c r="H190" s="76" t="s">
        <v>291</v>
      </c>
      <c r="I190" s="77">
        <v>2</v>
      </c>
      <c r="J190" s="78">
        <v>11.55</v>
      </c>
      <c r="K190" s="78">
        <f t="shared" si="2"/>
        <v>23.1</v>
      </c>
    </row>
    <row r="191" spans="4:11">
      <c r="D191" s="75">
        <v>46177</v>
      </c>
      <c r="E191" s="76">
        <v>1609237</v>
      </c>
      <c r="F191" s="76" t="s">
        <v>15</v>
      </c>
      <c r="G191" s="77">
        <v>20340574</v>
      </c>
      <c r="H191" s="76" t="s">
        <v>175</v>
      </c>
      <c r="I191" s="77">
        <v>1</v>
      </c>
      <c r="J191" s="78">
        <v>5.6</v>
      </c>
      <c r="K191" s="78">
        <f t="shared" si="2"/>
        <v>5.6</v>
      </c>
    </row>
    <row r="192" spans="4:11">
      <c r="D192" s="75">
        <v>46177</v>
      </c>
      <c r="E192" s="76">
        <v>1609237</v>
      </c>
      <c r="F192" s="76" t="s">
        <v>15</v>
      </c>
      <c r="G192" s="77">
        <v>20344015</v>
      </c>
      <c r="H192" s="76" t="s">
        <v>176</v>
      </c>
      <c r="I192" s="77">
        <v>1</v>
      </c>
      <c r="J192" s="78">
        <v>5.6</v>
      </c>
      <c r="K192" s="78">
        <f t="shared" si="2"/>
        <v>5.6</v>
      </c>
    </row>
    <row r="193" spans="4:11">
      <c r="D193" s="75">
        <v>46177</v>
      </c>
      <c r="E193" s="76">
        <v>1609237</v>
      </c>
      <c r="F193" s="76" t="s">
        <v>15</v>
      </c>
      <c r="G193" s="77">
        <v>20337516</v>
      </c>
      <c r="H193" s="76" t="s">
        <v>177</v>
      </c>
      <c r="I193" s="77">
        <v>1</v>
      </c>
      <c r="J193" s="78">
        <v>5.6</v>
      </c>
      <c r="K193" s="78">
        <f t="shared" si="2"/>
        <v>5.6</v>
      </c>
    </row>
    <row r="194" spans="4:11">
      <c r="D194" s="75">
        <v>46177</v>
      </c>
      <c r="E194" s="76">
        <v>1609237</v>
      </c>
      <c r="F194" s="76" t="s">
        <v>15</v>
      </c>
      <c r="G194" s="77">
        <v>20014209</v>
      </c>
      <c r="H194" s="76" t="s">
        <v>178</v>
      </c>
      <c r="I194" s="77">
        <v>1</v>
      </c>
      <c r="J194" s="78">
        <v>5.6</v>
      </c>
      <c r="K194" s="78">
        <f t="shared" si="2"/>
        <v>5.6</v>
      </c>
    </row>
    <row r="195" spans="4:11">
      <c r="D195" s="75">
        <v>46177</v>
      </c>
      <c r="E195" s="76">
        <v>1609237</v>
      </c>
      <c r="F195" s="76" t="s">
        <v>15</v>
      </c>
      <c r="G195" s="77">
        <v>20008204</v>
      </c>
      <c r="H195" s="76" t="s">
        <v>122</v>
      </c>
      <c r="I195" s="77">
        <v>1</v>
      </c>
      <c r="J195" s="78">
        <v>9.45</v>
      </c>
      <c r="K195" s="78">
        <f t="shared" si="2"/>
        <v>9.45</v>
      </c>
    </row>
    <row r="196" spans="4:11">
      <c r="D196" s="75">
        <v>46177</v>
      </c>
      <c r="E196" s="76">
        <v>1609237</v>
      </c>
      <c r="F196" s="76" t="s">
        <v>15</v>
      </c>
      <c r="G196" s="77">
        <v>20013900</v>
      </c>
      <c r="H196" s="76" t="s">
        <v>179</v>
      </c>
      <c r="I196" s="77">
        <v>1</v>
      </c>
      <c r="J196" s="78">
        <v>5.6</v>
      </c>
      <c r="K196" s="78">
        <f t="shared" si="2"/>
        <v>5.6</v>
      </c>
    </row>
    <row r="197" spans="4:11">
      <c r="D197" s="75">
        <v>46177</v>
      </c>
      <c r="E197" s="76">
        <v>1609237</v>
      </c>
      <c r="F197" s="76" t="s">
        <v>15</v>
      </c>
      <c r="G197" s="77">
        <v>20012488</v>
      </c>
      <c r="H197" s="76" t="s">
        <v>180</v>
      </c>
      <c r="I197" s="77">
        <v>1</v>
      </c>
      <c r="J197" s="78">
        <v>5.6</v>
      </c>
      <c r="K197" s="78">
        <f t="shared" si="2"/>
        <v>5.6</v>
      </c>
    </row>
    <row r="198" spans="4:11">
      <c r="D198" s="75">
        <v>46177</v>
      </c>
      <c r="E198" s="76">
        <v>1609237</v>
      </c>
      <c r="F198" s="76" t="s">
        <v>15</v>
      </c>
      <c r="G198" s="77">
        <v>20367135</v>
      </c>
      <c r="H198" s="76" t="s">
        <v>181</v>
      </c>
      <c r="I198" s="77">
        <v>1</v>
      </c>
      <c r="J198" s="78">
        <v>7.35</v>
      </c>
      <c r="K198" s="78">
        <f t="shared" ref="K198:K261" si="3">J198*I198</f>
        <v>7.35</v>
      </c>
    </row>
    <row r="199" ht="24.75" spans="4:11">
      <c r="D199" s="75">
        <v>46177</v>
      </c>
      <c r="E199" s="76">
        <v>1609237</v>
      </c>
      <c r="F199" s="76" t="s">
        <v>292</v>
      </c>
      <c r="G199" s="77">
        <v>20333154</v>
      </c>
      <c r="H199" s="76" t="s">
        <v>293</v>
      </c>
      <c r="I199" s="77">
        <v>1</v>
      </c>
      <c r="J199" s="78">
        <v>140</v>
      </c>
      <c r="K199" s="78">
        <f t="shared" si="3"/>
        <v>140</v>
      </c>
    </row>
    <row r="200" spans="4:11">
      <c r="D200" s="75">
        <v>46177</v>
      </c>
      <c r="E200" s="76">
        <v>1609237</v>
      </c>
      <c r="F200" s="76" t="s">
        <v>27</v>
      </c>
      <c r="G200" s="77">
        <v>20008214</v>
      </c>
      <c r="H200" s="76" t="s">
        <v>123</v>
      </c>
      <c r="I200" s="77">
        <v>2</v>
      </c>
      <c r="J200" s="78">
        <v>11.55</v>
      </c>
      <c r="K200" s="78">
        <f t="shared" si="3"/>
        <v>23.1</v>
      </c>
    </row>
    <row r="201" spans="4:11">
      <c r="D201" s="75">
        <v>46177</v>
      </c>
      <c r="E201" s="76">
        <v>1609237</v>
      </c>
      <c r="F201" s="76" t="s">
        <v>27</v>
      </c>
      <c r="G201" s="77">
        <v>20013952</v>
      </c>
      <c r="H201" s="76" t="s">
        <v>294</v>
      </c>
      <c r="I201" s="77">
        <v>1</v>
      </c>
      <c r="J201" s="78">
        <v>11.55</v>
      </c>
      <c r="K201" s="78">
        <f t="shared" si="3"/>
        <v>11.55</v>
      </c>
    </row>
    <row r="202" spans="4:11">
      <c r="D202" s="75">
        <v>46177</v>
      </c>
      <c r="E202" s="76">
        <v>1609237</v>
      </c>
      <c r="F202" s="76" t="s">
        <v>27</v>
      </c>
      <c r="G202" s="77">
        <v>20012460</v>
      </c>
      <c r="H202" s="76" t="s">
        <v>185</v>
      </c>
      <c r="I202" s="77">
        <v>1</v>
      </c>
      <c r="J202" s="78">
        <v>11.55</v>
      </c>
      <c r="K202" s="78">
        <f t="shared" si="3"/>
        <v>11.55</v>
      </c>
    </row>
    <row r="203" spans="4:11">
      <c r="D203" s="75">
        <v>46177</v>
      </c>
      <c r="E203" s="76">
        <v>1609237</v>
      </c>
      <c r="F203" s="76" t="s">
        <v>27</v>
      </c>
      <c r="G203" s="77">
        <v>20008345</v>
      </c>
      <c r="H203" s="76" t="s">
        <v>186</v>
      </c>
      <c r="I203" s="77">
        <v>2</v>
      </c>
      <c r="J203" s="78">
        <v>19.25</v>
      </c>
      <c r="K203" s="78">
        <f t="shared" si="3"/>
        <v>38.5</v>
      </c>
    </row>
    <row r="204" spans="4:11">
      <c r="D204" s="75">
        <v>46178</v>
      </c>
      <c r="E204" s="76">
        <v>1609442</v>
      </c>
      <c r="F204" s="76" t="s">
        <v>36</v>
      </c>
      <c r="G204" s="77">
        <v>20012915</v>
      </c>
      <c r="H204" s="76" t="s">
        <v>161</v>
      </c>
      <c r="I204" s="77">
        <v>1</v>
      </c>
      <c r="J204" s="78">
        <v>26.95</v>
      </c>
      <c r="K204" s="78">
        <f t="shared" si="3"/>
        <v>26.95</v>
      </c>
    </row>
    <row r="205" spans="4:11">
      <c r="D205" s="75">
        <v>46178</v>
      </c>
      <c r="E205" s="76">
        <v>1609442</v>
      </c>
      <c r="F205" s="76" t="s">
        <v>36</v>
      </c>
      <c r="G205" s="77">
        <v>20011908</v>
      </c>
      <c r="H205" s="76" t="s">
        <v>295</v>
      </c>
      <c r="I205" s="77">
        <v>1</v>
      </c>
      <c r="J205" s="78">
        <v>284.9</v>
      </c>
      <c r="K205" s="78">
        <f t="shared" si="3"/>
        <v>284.9</v>
      </c>
    </row>
    <row r="206" spans="4:11">
      <c r="D206" s="75">
        <v>46178</v>
      </c>
      <c r="E206" s="76">
        <v>1609442</v>
      </c>
      <c r="F206" s="76" t="s">
        <v>36</v>
      </c>
      <c r="G206" s="77">
        <v>20006867</v>
      </c>
      <c r="H206" s="76" t="s">
        <v>246</v>
      </c>
      <c r="I206" s="77">
        <v>2</v>
      </c>
      <c r="J206" s="78">
        <v>246.4</v>
      </c>
      <c r="K206" s="78">
        <f t="shared" si="3"/>
        <v>492.8</v>
      </c>
    </row>
    <row r="207" spans="4:11">
      <c r="D207" s="75">
        <v>46178</v>
      </c>
      <c r="E207" s="76">
        <v>1609442</v>
      </c>
      <c r="F207" s="76" t="s">
        <v>36</v>
      </c>
      <c r="G207" s="77">
        <v>20008128</v>
      </c>
      <c r="H207" s="76" t="s">
        <v>164</v>
      </c>
      <c r="I207" s="77">
        <v>5</v>
      </c>
      <c r="J207" s="78">
        <v>130.9</v>
      </c>
      <c r="K207" s="78">
        <f t="shared" si="3"/>
        <v>654.5</v>
      </c>
    </row>
    <row r="208" spans="4:11">
      <c r="D208" s="75">
        <v>46178</v>
      </c>
      <c r="E208" s="76">
        <v>1609442</v>
      </c>
      <c r="F208" s="76" t="s">
        <v>15</v>
      </c>
      <c r="G208" s="77">
        <v>20425822</v>
      </c>
      <c r="H208" s="76" t="s">
        <v>249</v>
      </c>
      <c r="I208" s="77">
        <v>1</v>
      </c>
      <c r="J208" s="78">
        <v>5.6</v>
      </c>
      <c r="K208" s="78">
        <f t="shared" si="3"/>
        <v>5.6</v>
      </c>
    </row>
    <row r="209" spans="4:11">
      <c r="D209" s="75">
        <v>46178</v>
      </c>
      <c r="E209" s="76">
        <v>1609442</v>
      </c>
      <c r="F209" s="76" t="s">
        <v>15</v>
      </c>
      <c r="G209" s="77">
        <v>20345685</v>
      </c>
      <c r="H209" s="76" t="s">
        <v>296</v>
      </c>
      <c r="I209" s="77">
        <v>2</v>
      </c>
      <c r="J209" s="78">
        <v>5.6</v>
      </c>
      <c r="K209" s="78">
        <f t="shared" si="3"/>
        <v>11.2</v>
      </c>
    </row>
    <row r="210" spans="4:11">
      <c r="D210" s="75">
        <v>46178</v>
      </c>
      <c r="E210" s="76">
        <v>1609442</v>
      </c>
      <c r="F210" s="76" t="s">
        <v>15</v>
      </c>
      <c r="G210" s="77">
        <v>20008322</v>
      </c>
      <c r="H210" s="76" t="s">
        <v>17</v>
      </c>
      <c r="I210" s="77">
        <v>1</v>
      </c>
      <c r="J210" s="78">
        <v>5.6</v>
      </c>
      <c r="K210" s="78">
        <f t="shared" si="3"/>
        <v>5.6</v>
      </c>
    </row>
    <row r="211" spans="4:11">
      <c r="D211" s="75">
        <v>46178</v>
      </c>
      <c r="E211" s="76">
        <v>1609442</v>
      </c>
      <c r="F211" s="76" t="s">
        <v>15</v>
      </c>
      <c r="G211" s="77">
        <v>20376042</v>
      </c>
      <c r="H211" s="76" t="s">
        <v>252</v>
      </c>
      <c r="I211" s="77">
        <v>2</v>
      </c>
      <c r="J211" s="78">
        <v>5.6</v>
      </c>
      <c r="K211" s="78">
        <f t="shared" si="3"/>
        <v>11.2</v>
      </c>
    </row>
    <row r="212" spans="4:11">
      <c r="D212" s="75">
        <v>46178</v>
      </c>
      <c r="E212" s="76">
        <v>1609442</v>
      </c>
      <c r="F212" s="76" t="s">
        <v>15</v>
      </c>
      <c r="G212" s="77">
        <v>20009483</v>
      </c>
      <c r="H212" s="76" t="s">
        <v>51</v>
      </c>
      <c r="I212" s="77">
        <v>2</v>
      </c>
      <c r="J212" s="78">
        <v>7.7</v>
      </c>
      <c r="K212" s="78">
        <f t="shared" si="3"/>
        <v>15.4</v>
      </c>
    </row>
    <row r="213" spans="4:11">
      <c r="D213" s="75">
        <v>46178</v>
      </c>
      <c r="E213" s="76">
        <v>1609442</v>
      </c>
      <c r="F213" s="76" t="s">
        <v>15</v>
      </c>
      <c r="G213" s="77">
        <v>20417765</v>
      </c>
      <c r="H213" s="76" t="s">
        <v>297</v>
      </c>
      <c r="I213" s="77">
        <v>2</v>
      </c>
      <c r="J213" s="78">
        <v>5.6</v>
      </c>
      <c r="K213" s="78">
        <f t="shared" si="3"/>
        <v>11.2</v>
      </c>
    </row>
    <row r="214" spans="4:11">
      <c r="D214" s="75">
        <v>46178</v>
      </c>
      <c r="E214" s="76">
        <v>1609442</v>
      </c>
      <c r="F214" s="76" t="s">
        <v>15</v>
      </c>
      <c r="G214" s="77">
        <v>20008491</v>
      </c>
      <c r="H214" s="76" t="s">
        <v>121</v>
      </c>
      <c r="I214" s="77">
        <v>3</v>
      </c>
      <c r="J214" s="78">
        <v>11.55</v>
      </c>
      <c r="K214" s="78">
        <f t="shared" si="3"/>
        <v>34.65</v>
      </c>
    </row>
    <row r="215" spans="4:11">
      <c r="D215" s="75">
        <v>46178</v>
      </c>
      <c r="E215" s="76">
        <v>1609442</v>
      </c>
      <c r="F215" s="76" t="s">
        <v>15</v>
      </c>
      <c r="G215" s="77">
        <v>20011138</v>
      </c>
      <c r="H215" s="76" t="s">
        <v>298</v>
      </c>
      <c r="I215" s="77">
        <v>2</v>
      </c>
      <c r="J215" s="78">
        <v>11.55</v>
      </c>
      <c r="K215" s="78">
        <f t="shared" si="3"/>
        <v>23.1</v>
      </c>
    </row>
    <row r="216" spans="4:11">
      <c r="D216" s="75">
        <v>46178</v>
      </c>
      <c r="E216" s="76">
        <v>1609442</v>
      </c>
      <c r="F216" s="76" t="s">
        <v>15</v>
      </c>
      <c r="G216" s="77">
        <v>20013461</v>
      </c>
      <c r="H216" s="76" t="s">
        <v>279</v>
      </c>
      <c r="I216" s="77">
        <v>1</v>
      </c>
      <c r="J216" s="78">
        <v>11.55</v>
      </c>
      <c r="K216" s="78">
        <f t="shared" si="3"/>
        <v>11.55</v>
      </c>
    </row>
    <row r="217" spans="4:11">
      <c r="D217" s="75">
        <v>46178</v>
      </c>
      <c r="E217" s="76">
        <v>1609442</v>
      </c>
      <c r="F217" s="76" t="s">
        <v>15</v>
      </c>
      <c r="G217" s="77">
        <v>20425054</v>
      </c>
      <c r="H217" s="76" t="s">
        <v>253</v>
      </c>
      <c r="I217" s="77">
        <v>2</v>
      </c>
      <c r="J217" s="78">
        <v>9.1</v>
      </c>
      <c r="K217" s="78">
        <f t="shared" si="3"/>
        <v>18.2</v>
      </c>
    </row>
    <row r="218" spans="4:11">
      <c r="D218" s="75">
        <v>46178</v>
      </c>
      <c r="E218" s="76">
        <v>1609442</v>
      </c>
      <c r="F218" s="76" t="s">
        <v>114</v>
      </c>
      <c r="G218" s="77">
        <v>20362791</v>
      </c>
      <c r="H218" s="76" t="s">
        <v>183</v>
      </c>
      <c r="I218" s="77">
        <v>1</v>
      </c>
      <c r="J218" s="78">
        <v>24.5</v>
      </c>
      <c r="K218" s="78">
        <f t="shared" si="3"/>
        <v>24.5</v>
      </c>
    </row>
    <row r="219" spans="4:11">
      <c r="D219" s="75">
        <v>46178</v>
      </c>
      <c r="E219" s="76">
        <v>1609442</v>
      </c>
      <c r="F219" s="76" t="s">
        <v>27</v>
      </c>
      <c r="G219" s="77">
        <v>20008214</v>
      </c>
      <c r="H219" s="76" t="s">
        <v>123</v>
      </c>
      <c r="I219" s="77">
        <v>5</v>
      </c>
      <c r="J219" s="78">
        <v>11.55</v>
      </c>
      <c r="K219" s="78">
        <f t="shared" si="3"/>
        <v>57.75</v>
      </c>
    </row>
    <row r="220" spans="4:11">
      <c r="D220" s="75">
        <v>46178</v>
      </c>
      <c r="E220" s="76">
        <v>1609442</v>
      </c>
      <c r="F220" s="76" t="s">
        <v>27</v>
      </c>
      <c r="G220" s="77">
        <v>20326293</v>
      </c>
      <c r="H220" s="76" t="s">
        <v>299</v>
      </c>
      <c r="I220" s="77">
        <v>1</v>
      </c>
      <c r="J220" s="78">
        <v>11.55</v>
      </c>
      <c r="K220" s="78">
        <f t="shared" si="3"/>
        <v>11.55</v>
      </c>
    </row>
    <row r="221" spans="4:11">
      <c r="D221" s="75">
        <v>46178</v>
      </c>
      <c r="E221" s="76">
        <v>1609442</v>
      </c>
      <c r="F221" s="76" t="s">
        <v>27</v>
      </c>
      <c r="G221" s="77">
        <v>20008345</v>
      </c>
      <c r="H221" s="76" t="s">
        <v>186</v>
      </c>
      <c r="I221" s="77">
        <v>4</v>
      </c>
      <c r="J221" s="78">
        <v>19.25</v>
      </c>
      <c r="K221" s="78">
        <f t="shared" si="3"/>
        <v>77</v>
      </c>
    </row>
    <row r="222" spans="4:11">
      <c r="D222" s="75">
        <v>46178</v>
      </c>
      <c r="E222" s="76">
        <v>1609500</v>
      </c>
      <c r="F222" s="76" t="s">
        <v>40</v>
      </c>
      <c r="G222" s="77">
        <v>20008397</v>
      </c>
      <c r="H222" s="76" t="s">
        <v>300</v>
      </c>
      <c r="I222" s="77">
        <v>1</v>
      </c>
      <c r="J222" s="78">
        <v>15.4</v>
      </c>
      <c r="K222" s="78">
        <f t="shared" si="3"/>
        <v>15.4</v>
      </c>
    </row>
    <row r="223" spans="4:11">
      <c r="D223" s="75">
        <v>46178</v>
      </c>
      <c r="E223" s="76">
        <v>1609500</v>
      </c>
      <c r="F223" s="76" t="s">
        <v>40</v>
      </c>
      <c r="G223" s="77">
        <v>20365916</v>
      </c>
      <c r="H223" s="76" t="s">
        <v>187</v>
      </c>
      <c r="I223" s="77">
        <v>1</v>
      </c>
      <c r="J223" s="78">
        <v>61.6</v>
      </c>
      <c r="K223" s="78">
        <f t="shared" si="3"/>
        <v>61.6</v>
      </c>
    </row>
    <row r="224" spans="4:11">
      <c r="D224" s="75">
        <v>46178</v>
      </c>
      <c r="E224" s="76">
        <v>1609500</v>
      </c>
      <c r="F224" s="76" t="s">
        <v>40</v>
      </c>
      <c r="G224" s="77">
        <v>20365405</v>
      </c>
      <c r="H224" s="76" t="s">
        <v>283</v>
      </c>
      <c r="I224" s="77">
        <v>1</v>
      </c>
      <c r="J224" s="78">
        <v>61.6</v>
      </c>
      <c r="K224" s="78">
        <f t="shared" si="3"/>
        <v>61.6</v>
      </c>
    </row>
    <row r="225" spans="4:11">
      <c r="D225" s="75">
        <v>46178</v>
      </c>
      <c r="E225" s="76">
        <v>1609500</v>
      </c>
      <c r="F225" s="76" t="s">
        <v>40</v>
      </c>
      <c r="G225" s="77">
        <v>20313974</v>
      </c>
      <c r="H225" s="76" t="s">
        <v>301</v>
      </c>
      <c r="I225" s="77">
        <v>1</v>
      </c>
      <c r="J225" s="78">
        <v>30.8</v>
      </c>
      <c r="K225" s="78">
        <f t="shared" si="3"/>
        <v>30.8</v>
      </c>
    </row>
    <row r="226" spans="4:11">
      <c r="D226" s="75">
        <v>46178</v>
      </c>
      <c r="E226" s="76">
        <v>1609500</v>
      </c>
      <c r="F226" s="76" t="s">
        <v>40</v>
      </c>
      <c r="G226" s="77">
        <v>20008623</v>
      </c>
      <c r="H226" s="76" t="s">
        <v>188</v>
      </c>
      <c r="I226" s="77">
        <v>4</v>
      </c>
      <c r="J226" s="78">
        <v>15.4</v>
      </c>
      <c r="K226" s="78">
        <f t="shared" si="3"/>
        <v>61.6</v>
      </c>
    </row>
    <row r="227" spans="4:11">
      <c r="D227" s="75">
        <v>46178</v>
      </c>
      <c r="E227" s="76">
        <v>1609500</v>
      </c>
      <c r="F227" s="76" t="s">
        <v>40</v>
      </c>
      <c r="G227" s="77">
        <v>20007633</v>
      </c>
      <c r="H227" s="76" t="s">
        <v>74</v>
      </c>
      <c r="I227" s="77">
        <v>2</v>
      </c>
      <c r="J227" s="78">
        <v>24.5</v>
      </c>
      <c r="K227" s="78">
        <f t="shared" si="3"/>
        <v>49</v>
      </c>
    </row>
    <row r="228" spans="4:11">
      <c r="D228" s="75">
        <v>46178</v>
      </c>
      <c r="E228" s="76">
        <v>1609500</v>
      </c>
      <c r="F228" s="76" t="s">
        <v>40</v>
      </c>
      <c r="G228" s="77">
        <v>20006853</v>
      </c>
      <c r="H228" s="76" t="s">
        <v>189</v>
      </c>
      <c r="I228" s="77">
        <v>2</v>
      </c>
      <c r="J228" s="78">
        <v>24.5</v>
      </c>
      <c r="K228" s="78">
        <f t="shared" si="3"/>
        <v>49</v>
      </c>
    </row>
    <row r="229" spans="4:11">
      <c r="D229" s="75">
        <v>46178</v>
      </c>
      <c r="E229" s="76">
        <v>1609500</v>
      </c>
      <c r="F229" s="76" t="s">
        <v>40</v>
      </c>
      <c r="G229" s="77">
        <v>20388302</v>
      </c>
      <c r="H229" s="76" t="s">
        <v>284</v>
      </c>
      <c r="I229" s="77">
        <v>2</v>
      </c>
      <c r="J229" s="78">
        <v>24.5</v>
      </c>
      <c r="K229" s="78">
        <f t="shared" si="3"/>
        <v>49</v>
      </c>
    </row>
    <row r="230" spans="4:11">
      <c r="D230" s="75">
        <v>46178</v>
      </c>
      <c r="E230" s="76">
        <v>1609500</v>
      </c>
      <c r="F230" s="76" t="s">
        <v>40</v>
      </c>
      <c r="G230" s="77">
        <v>20400917</v>
      </c>
      <c r="H230" s="76" t="s">
        <v>190</v>
      </c>
      <c r="I230" s="77">
        <v>1</v>
      </c>
      <c r="J230" s="78">
        <v>17.5</v>
      </c>
      <c r="K230" s="78">
        <f t="shared" si="3"/>
        <v>17.5</v>
      </c>
    </row>
    <row r="231" spans="4:11">
      <c r="D231" s="75">
        <v>46178</v>
      </c>
      <c r="E231" s="76">
        <v>1609500</v>
      </c>
      <c r="F231" s="76" t="s">
        <v>40</v>
      </c>
      <c r="G231" s="77">
        <v>20411341</v>
      </c>
      <c r="H231" s="76" t="s">
        <v>285</v>
      </c>
      <c r="I231" s="77">
        <v>2</v>
      </c>
      <c r="J231" s="78">
        <v>19.6</v>
      </c>
      <c r="K231" s="78">
        <f t="shared" si="3"/>
        <v>39.2</v>
      </c>
    </row>
    <row r="232" spans="4:11">
      <c r="D232" s="75">
        <v>46178</v>
      </c>
      <c r="E232" s="76">
        <v>1609500</v>
      </c>
      <c r="F232" s="76" t="s">
        <v>40</v>
      </c>
      <c r="G232" s="77">
        <v>20006890</v>
      </c>
      <c r="H232" s="76" t="s">
        <v>191</v>
      </c>
      <c r="I232" s="77">
        <v>1</v>
      </c>
      <c r="J232" s="78">
        <v>19.6</v>
      </c>
      <c r="K232" s="78">
        <f t="shared" si="3"/>
        <v>19.6</v>
      </c>
    </row>
    <row r="233" spans="4:11">
      <c r="D233" s="75">
        <v>46178</v>
      </c>
      <c r="E233" s="76">
        <v>1609500</v>
      </c>
      <c r="F233" s="76" t="s">
        <v>40</v>
      </c>
      <c r="G233" s="77">
        <v>20423694</v>
      </c>
      <c r="H233" s="76" t="s">
        <v>192</v>
      </c>
      <c r="I233" s="77">
        <v>1</v>
      </c>
      <c r="J233" s="78">
        <v>30.8</v>
      </c>
      <c r="K233" s="78">
        <f t="shared" si="3"/>
        <v>30.8</v>
      </c>
    </row>
    <row r="234" spans="4:11">
      <c r="D234" s="75">
        <v>46178</v>
      </c>
      <c r="E234" s="76">
        <v>1609500</v>
      </c>
      <c r="F234" s="76" t="s">
        <v>40</v>
      </c>
      <c r="G234" s="77">
        <v>20300196</v>
      </c>
      <c r="H234" s="76" t="s">
        <v>302</v>
      </c>
      <c r="I234" s="77">
        <v>1</v>
      </c>
      <c r="J234" s="78">
        <v>30.8</v>
      </c>
      <c r="K234" s="78">
        <f t="shared" si="3"/>
        <v>30.8</v>
      </c>
    </row>
    <row r="235" spans="4:11">
      <c r="D235" s="75">
        <v>46178</v>
      </c>
      <c r="E235" s="76">
        <v>1609500</v>
      </c>
      <c r="F235" s="76" t="s">
        <v>40</v>
      </c>
      <c r="G235" s="77">
        <v>20006863</v>
      </c>
      <c r="H235" s="76" t="s">
        <v>41</v>
      </c>
      <c r="I235" s="77">
        <v>2</v>
      </c>
      <c r="J235" s="78">
        <v>24.5</v>
      </c>
      <c r="K235" s="78">
        <f t="shared" si="3"/>
        <v>49</v>
      </c>
    </row>
    <row r="236" spans="4:11">
      <c r="D236" s="75">
        <v>46178</v>
      </c>
      <c r="E236" s="76">
        <v>1609500</v>
      </c>
      <c r="F236" s="76" t="s">
        <v>40</v>
      </c>
      <c r="G236" s="77">
        <v>20007639</v>
      </c>
      <c r="H236" s="76" t="s">
        <v>193</v>
      </c>
      <c r="I236" s="77">
        <v>2</v>
      </c>
      <c r="J236" s="78">
        <v>19.6</v>
      </c>
      <c r="K236" s="78">
        <f t="shared" si="3"/>
        <v>39.2</v>
      </c>
    </row>
    <row r="237" spans="4:11">
      <c r="D237" s="75">
        <v>46178</v>
      </c>
      <c r="E237" s="76">
        <v>1609500</v>
      </c>
      <c r="F237" s="76" t="s">
        <v>40</v>
      </c>
      <c r="G237" s="77">
        <v>20009272</v>
      </c>
      <c r="H237" s="76" t="s">
        <v>303</v>
      </c>
      <c r="I237" s="77">
        <v>1</v>
      </c>
      <c r="J237" s="78">
        <v>19.6</v>
      </c>
      <c r="K237" s="78">
        <f t="shared" si="3"/>
        <v>19.6</v>
      </c>
    </row>
    <row r="238" spans="4:11">
      <c r="D238" s="75">
        <v>46178</v>
      </c>
      <c r="E238" s="76">
        <v>1609500</v>
      </c>
      <c r="F238" s="76" t="s">
        <v>40</v>
      </c>
      <c r="G238" s="77">
        <v>20007638</v>
      </c>
      <c r="H238" s="76" t="s">
        <v>194</v>
      </c>
      <c r="I238" s="77">
        <v>2</v>
      </c>
      <c r="J238" s="78">
        <v>19.6</v>
      </c>
      <c r="K238" s="78">
        <f t="shared" si="3"/>
        <v>39.2</v>
      </c>
    </row>
    <row r="239" spans="4:11">
      <c r="D239" s="75">
        <v>46178</v>
      </c>
      <c r="E239" s="76">
        <v>1609500</v>
      </c>
      <c r="F239" s="76" t="s">
        <v>40</v>
      </c>
      <c r="G239" s="77">
        <v>20008639</v>
      </c>
      <c r="H239" s="76" t="s">
        <v>195</v>
      </c>
      <c r="I239" s="77">
        <v>2</v>
      </c>
      <c r="J239" s="78">
        <v>17.5</v>
      </c>
      <c r="K239" s="78">
        <f t="shared" si="3"/>
        <v>35</v>
      </c>
    </row>
    <row r="240" spans="4:11">
      <c r="D240" s="75">
        <v>46178</v>
      </c>
      <c r="E240" s="76">
        <v>1609500</v>
      </c>
      <c r="F240" s="76" t="s">
        <v>40</v>
      </c>
      <c r="G240" s="77">
        <v>20347869</v>
      </c>
      <c r="H240" s="76" t="s">
        <v>304</v>
      </c>
      <c r="I240" s="77">
        <v>10</v>
      </c>
      <c r="J240" s="78">
        <v>15.4</v>
      </c>
      <c r="K240" s="78">
        <f t="shared" si="3"/>
        <v>154</v>
      </c>
    </row>
    <row r="241" spans="4:11">
      <c r="D241" s="75">
        <v>46178</v>
      </c>
      <c r="E241" s="76">
        <v>1609500</v>
      </c>
      <c r="F241" s="76" t="s">
        <v>42</v>
      </c>
      <c r="G241" s="77">
        <v>20395507</v>
      </c>
      <c r="H241" s="76" t="s">
        <v>197</v>
      </c>
      <c r="I241" s="77">
        <v>1</v>
      </c>
      <c r="J241" s="78">
        <v>19.6</v>
      </c>
      <c r="K241" s="78">
        <f t="shared" si="3"/>
        <v>19.6</v>
      </c>
    </row>
    <row r="242" spans="4:11">
      <c r="D242" s="75">
        <v>46178</v>
      </c>
      <c r="E242" s="76">
        <v>1609500</v>
      </c>
      <c r="F242" s="76" t="s">
        <v>42</v>
      </c>
      <c r="G242" s="77">
        <v>20396267</v>
      </c>
      <c r="H242" s="76" t="s">
        <v>198</v>
      </c>
      <c r="I242" s="77">
        <v>1</v>
      </c>
      <c r="J242" s="78">
        <v>19.6</v>
      </c>
      <c r="K242" s="78">
        <f t="shared" si="3"/>
        <v>19.6</v>
      </c>
    </row>
    <row r="243" spans="4:11">
      <c r="D243" s="75">
        <v>46178</v>
      </c>
      <c r="E243" s="76">
        <v>1609500</v>
      </c>
      <c r="F243" s="76" t="s">
        <v>42</v>
      </c>
      <c r="G243" s="77">
        <v>20390423</v>
      </c>
      <c r="H243" s="76" t="s">
        <v>75</v>
      </c>
      <c r="I243" s="77">
        <v>1</v>
      </c>
      <c r="J243" s="78">
        <v>19.6</v>
      </c>
      <c r="K243" s="78">
        <f t="shared" si="3"/>
        <v>19.6</v>
      </c>
    </row>
    <row r="244" spans="4:11">
      <c r="D244" s="75">
        <v>46178</v>
      </c>
      <c r="E244" s="76">
        <v>1609500</v>
      </c>
      <c r="F244" s="76" t="s">
        <v>42</v>
      </c>
      <c r="G244" s="77">
        <v>20008376</v>
      </c>
      <c r="H244" s="76" t="s">
        <v>287</v>
      </c>
      <c r="I244" s="77">
        <v>1</v>
      </c>
      <c r="J244" s="78">
        <v>19.6</v>
      </c>
      <c r="K244" s="78">
        <f t="shared" si="3"/>
        <v>19.6</v>
      </c>
    </row>
    <row r="245" spans="4:11">
      <c r="D245" s="75">
        <v>46178</v>
      </c>
      <c r="E245" s="76">
        <v>1609806</v>
      </c>
      <c r="F245" s="76" t="s">
        <v>36</v>
      </c>
      <c r="G245" s="77">
        <v>20006867</v>
      </c>
      <c r="H245" s="76" t="s">
        <v>246</v>
      </c>
      <c r="I245" s="77">
        <v>1</v>
      </c>
      <c r="J245" s="78">
        <v>246.4</v>
      </c>
      <c r="K245" s="78">
        <f t="shared" si="3"/>
        <v>246.4</v>
      </c>
    </row>
    <row r="246" spans="4:11">
      <c r="D246" s="75">
        <v>46178</v>
      </c>
      <c r="E246" s="76">
        <v>1609806</v>
      </c>
      <c r="F246" s="76" t="s">
        <v>36</v>
      </c>
      <c r="G246" s="77">
        <v>20007715</v>
      </c>
      <c r="H246" s="76" t="s">
        <v>247</v>
      </c>
      <c r="I246" s="77">
        <v>2</v>
      </c>
      <c r="J246" s="78">
        <v>180.95</v>
      </c>
      <c r="K246" s="78">
        <f t="shared" si="3"/>
        <v>361.9</v>
      </c>
    </row>
    <row r="247" spans="4:11">
      <c r="D247" s="75">
        <v>46178</v>
      </c>
      <c r="E247" s="76">
        <v>1609806</v>
      </c>
      <c r="F247" s="76" t="s">
        <v>36</v>
      </c>
      <c r="G247" s="77">
        <v>20008128</v>
      </c>
      <c r="H247" s="76" t="s">
        <v>164</v>
      </c>
      <c r="I247" s="77">
        <v>2</v>
      </c>
      <c r="J247" s="78">
        <v>130.9</v>
      </c>
      <c r="K247" s="78">
        <f t="shared" si="3"/>
        <v>261.8</v>
      </c>
    </row>
    <row r="248" spans="4:11">
      <c r="D248" s="75">
        <v>46178</v>
      </c>
      <c r="E248" s="76">
        <v>1609806</v>
      </c>
      <c r="F248" s="76" t="s">
        <v>36</v>
      </c>
      <c r="G248" s="77">
        <v>20311037</v>
      </c>
      <c r="H248" s="76" t="s">
        <v>165</v>
      </c>
      <c r="I248" s="77">
        <v>1</v>
      </c>
      <c r="J248" s="78">
        <v>53.55</v>
      </c>
      <c r="K248" s="78">
        <f t="shared" si="3"/>
        <v>53.55</v>
      </c>
    </row>
    <row r="249" spans="4:11">
      <c r="D249" s="75">
        <v>46178</v>
      </c>
      <c r="E249" s="76">
        <v>1609806</v>
      </c>
      <c r="F249" s="76" t="s">
        <v>27</v>
      </c>
      <c r="G249" s="77">
        <v>20008214</v>
      </c>
      <c r="H249" s="76" t="s">
        <v>123</v>
      </c>
      <c r="I249" s="77">
        <v>5</v>
      </c>
      <c r="J249" s="78">
        <v>11.55</v>
      </c>
      <c r="K249" s="78">
        <f t="shared" si="3"/>
        <v>57.75</v>
      </c>
    </row>
    <row r="250" spans="4:11">
      <c r="D250" s="75">
        <v>46179</v>
      </c>
      <c r="E250" s="76">
        <v>1609820</v>
      </c>
      <c r="F250" s="76" t="s">
        <v>40</v>
      </c>
      <c r="G250" s="77">
        <v>20365916</v>
      </c>
      <c r="H250" s="76" t="s">
        <v>187</v>
      </c>
      <c r="I250" s="77">
        <v>1</v>
      </c>
      <c r="J250" s="78">
        <v>61.6</v>
      </c>
      <c r="K250" s="78">
        <f t="shared" si="3"/>
        <v>61.6</v>
      </c>
    </row>
    <row r="251" spans="4:11">
      <c r="D251" s="75">
        <v>46179</v>
      </c>
      <c r="E251" s="76">
        <v>1609820</v>
      </c>
      <c r="F251" s="76" t="s">
        <v>40</v>
      </c>
      <c r="G251" s="77">
        <v>20008885</v>
      </c>
      <c r="H251" s="76" t="s">
        <v>305</v>
      </c>
      <c r="I251" s="77">
        <v>1</v>
      </c>
      <c r="J251" s="78">
        <v>24.5</v>
      </c>
      <c r="K251" s="78">
        <f t="shared" si="3"/>
        <v>24.5</v>
      </c>
    </row>
    <row r="252" spans="4:11">
      <c r="D252" s="75">
        <v>46179</v>
      </c>
      <c r="E252" s="76">
        <v>1609820</v>
      </c>
      <c r="F252" s="76" t="s">
        <v>40</v>
      </c>
      <c r="G252" s="77">
        <v>20008623</v>
      </c>
      <c r="H252" s="76" t="s">
        <v>188</v>
      </c>
      <c r="I252" s="77">
        <v>2</v>
      </c>
      <c r="J252" s="78">
        <v>15.4</v>
      </c>
      <c r="K252" s="78">
        <f t="shared" si="3"/>
        <v>30.8</v>
      </c>
    </row>
    <row r="253" spans="4:11">
      <c r="D253" s="75">
        <v>46179</v>
      </c>
      <c r="E253" s="76">
        <v>1609820</v>
      </c>
      <c r="F253" s="76" t="s">
        <v>40</v>
      </c>
      <c r="G253" s="77">
        <v>20007633</v>
      </c>
      <c r="H253" s="76" t="s">
        <v>74</v>
      </c>
      <c r="I253" s="77">
        <v>1</v>
      </c>
      <c r="J253" s="78">
        <v>24.5</v>
      </c>
      <c r="K253" s="78">
        <f t="shared" si="3"/>
        <v>24.5</v>
      </c>
    </row>
    <row r="254" spans="4:11">
      <c r="D254" s="75">
        <v>46179</v>
      </c>
      <c r="E254" s="76">
        <v>1609820</v>
      </c>
      <c r="F254" s="76" t="s">
        <v>40</v>
      </c>
      <c r="G254" s="77">
        <v>20388302</v>
      </c>
      <c r="H254" s="76" t="s">
        <v>284</v>
      </c>
      <c r="I254" s="77">
        <v>1</v>
      </c>
      <c r="J254" s="78">
        <v>24.5</v>
      </c>
      <c r="K254" s="78">
        <f t="shared" si="3"/>
        <v>24.5</v>
      </c>
    </row>
    <row r="255" spans="4:11">
      <c r="D255" s="75">
        <v>46179</v>
      </c>
      <c r="E255" s="76">
        <v>1609820</v>
      </c>
      <c r="F255" s="76" t="s">
        <v>40</v>
      </c>
      <c r="G255" s="77">
        <v>20006863</v>
      </c>
      <c r="H255" s="76" t="s">
        <v>41</v>
      </c>
      <c r="I255" s="77">
        <v>1</v>
      </c>
      <c r="J255" s="78">
        <v>24.5</v>
      </c>
      <c r="K255" s="78">
        <f t="shared" si="3"/>
        <v>24.5</v>
      </c>
    </row>
    <row r="256" spans="4:11">
      <c r="D256" s="75">
        <v>46179</v>
      </c>
      <c r="E256" s="76">
        <v>1609820</v>
      </c>
      <c r="F256" s="76" t="s">
        <v>42</v>
      </c>
      <c r="G256" s="77">
        <v>20390423</v>
      </c>
      <c r="H256" s="76" t="s">
        <v>75</v>
      </c>
      <c r="I256" s="77">
        <v>1</v>
      </c>
      <c r="J256" s="78">
        <v>19.6</v>
      </c>
      <c r="K256" s="78">
        <f t="shared" si="3"/>
        <v>19.6</v>
      </c>
    </row>
    <row r="257" spans="4:11">
      <c r="D257" s="75">
        <v>46179</v>
      </c>
      <c r="E257" s="76">
        <v>1609891</v>
      </c>
      <c r="F257" s="76" t="s">
        <v>36</v>
      </c>
      <c r="G257" s="77">
        <v>20007715</v>
      </c>
      <c r="H257" s="76" t="s">
        <v>247</v>
      </c>
      <c r="I257" s="77">
        <v>1</v>
      </c>
      <c r="J257" s="78">
        <v>180.95</v>
      </c>
      <c r="K257" s="78">
        <f t="shared" si="3"/>
        <v>180.95</v>
      </c>
    </row>
    <row r="258" spans="4:11">
      <c r="D258" s="75">
        <v>46179</v>
      </c>
      <c r="E258" s="76">
        <v>1609891</v>
      </c>
      <c r="F258" s="76" t="s">
        <v>15</v>
      </c>
      <c r="G258" s="77">
        <v>20399752</v>
      </c>
      <c r="H258" s="76" t="s">
        <v>306</v>
      </c>
      <c r="I258" s="77">
        <v>1</v>
      </c>
      <c r="J258" s="78">
        <v>9.45</v>
      </c>
      <c r="K258" s="78">
        <f t="shared" si="3"/>
        <v>9.45</v>
      </c>
    </row>
    <row r="259" spans="4:11">
      <c r="D259" s="75">
        <v>46179</v>
      </c>
      <c r="E259" s="76">
        <v>1609891</v>
      </c>
      <c r="F259" s="76" t="s">
        <v>15</v>
      </c>
      <c r="G259" s="77">
        <v>20425822</v>
      </c>
      <c r="H259" s="76" t="s">
        <v>249</v>
      </c>
      <c r="I259" s="77">
        <v>1</v>
      </c>
      <c r="J259" s="78">
        <v>5.6</v>
      </c>
      <c r="K259" s="78">
        <f t="shared" si="3"/>
        <v>5.6</v>
      </c>
    </row>
    <row r="260" spans="4:11">
      <c r="D260" s="75">
        <v>46179</v>
      </c>
      <c r="E260" s="76">
        <v>1609891</v>
      </c>
      <c r="F260" s="76" t="s">
        <v>15</v>
      </c>
      <c r="G260" s="77">
        <v>20376042</v>
      </c>
      <c r="H260" s="76" t="s">
        <v>252</v>
      </c>
      <c r="I260" s="77">
        <v>2</v>
      </c>
      <c r="J260" s="78">
        <v>5.6</v>
      </c>
      <c r="K260" s="78">
        <f t="shared" si="3"/>
        <v>11.2</v>
      </c>
    </row>
    <row r="261" spans="4:11">
      <c r="D261" s="75">
        <v>46179</v>
      </c>
      <c r="E261" s="76">
        <v>1609891</v>
      </c>
      <c r="F261" s="76" t="s">
        <v>15</v>
      </c>
      <c r="G261" s="77">
        <v>20008887</v>
      </c>
      <c r="H261" s="76" t="s">
        <v>307</v>
      </c>
      <c r="I261" s="77">
        <v>1</v>
      </c>
      <c r="J261" s="78">
        <v>5.6</v>
      </c>
      <c r="K261" s="78">
        <f t="shared" si="3"/>
        <v>5.6</v>
      </c>
    </row>
    <row r="262" spans="4:11">
      <c r="D262" s="75">
        <v>46179</v>
      </c>
      <c r="E262" s="76">
        <v>1609891</v>
      </c>
      <c r="F262" s="76" t="s">
        <v>15</v>
      </c>
      <c r="G262" s="77">
        <v>20315578</v>
      </c>
      <c r="H262" s="76" t="s">
        <v>199</v>
      </c>
      <c r="I262" s="77">
        <v>2</v>
      </c>
      <c r="J262" s="78">
        <v>23.1</v>
      </c>
      <c r="K262" s="78">
        <f t="shared" ref="K262:K311" si="4">J262*I262</f>
        <v>46.2</v>
      </c>
    </row>
    <row r="263" spans="4:11">
      <c r="D263" s="75">
        <v>46179</v>
      </c>
      <c r="E263" s="76">
        <v>1609891</v>
      </c>
      <c r="F263" s="76" t="s">
        <v>15</v>
      </c>
      <c r="G263" s="77">
        <v>20008491</v>
      </c>
      <c r="H263" s="76" t="s">
        <v>121</v>
      </c>
      <c r="I263" s="77">
        <v>2</v>
      </c>
      <c r="J263" s="78">
        <v>11.55</v>
      </c>
      <c r="K263" s="78">
        <f t="shared" si="4"/>
        <v>23.1</v>
      </c>
    </row>
    <row r="264" spans="4:11">
      <c r="D264" s="75">
        <v>46179</v>
      </c>
      <c r="E264" s="76">
        <v>1609891</v>
      </c>
      <c r="F264" s="76" t="s">
        <v>15</v>
      </c>
      <c r="G264" s="77">
        <v>20008204</v>
      </c>
      <c r="H264" s="76" t="s">
        <v>122</v>
      </c>
      <c r="I264" s="77">
        <v>1</v>
      </c>
      <c r="J264" s="78">
        <v>9.45</v>
      </c>
      <c r="K264" s="78">
        <f t="shared" si="4"/>
        <v>9.45</v>
      </c>
    </row>
    <row r="265" spans="4:11">
      <c r="D265" s="75">
        <v>46179</v>
      </c>
      <c r="E265" s="76">
        <v>1609891</v>
      </c>
      <c r="F265" s="76" t="s">
        <v>15</v>
      </c>
      <c r="G265" s="77">
        <v>20425054</v>
      </c>
      <c r="H265" s="76" t="s">
        <v>253</v>
      </c>
      <c r="I265" s="77">
        <v>2</v>
      </c>
      <c r="J265" s="78">
        <v>9.1</v>
      </c>
      <c r="K265" s="78">
        <f t="shared" si="4"/>
        <v>18.2</v>
      </c>
    </row>
    <row r="266" spans="4:11">
      <c r="D266" s="75">
        <v>46179</v>
      </c>
      <c r="E266" s="76">
        <v>1609891</v>
      </c>
      <c r="F266" s="76" t="s">
        <v>15</v>
      </c>
      <c r="G266" s="77">
        <v>20008747</v>
      </c>
      <c r="H266" s="76" t="s">
        <v>182</v>
      </c>
      <c r="I266" s="77">
        <v>5</v>
      </c>
      <c r="J266" s="78">
        <v>5.6</v>
      </c>
      <c r="K266" s="78">
        <f t="shared" si="4"/>
        <v>28</v>
      </c>
    </row>
    <row r="267" spans="4:11">
      <c r="D267" s="75">
        <v>46179</v>
      </c>
      <c r="E267" s="76">
        <v>1609891</v>
      </c>
      <c r="F267" s="76" t="s">
        <v>114</v>
      </c>
      <c r="G267" s="77">
        <v>20362791</v>
      </c>
      <c r="H267" s="76" t="s">
        <v>183</v>
      </c>
      <c r="I267" s="77">
        <v>1</v>
      </c>
      <c r="J267" s="78">
        <v>24.5</v>
      </c>
      <c r="K267" s="78">
        <f t="shared" si="4"/>
        <v>24.5</v>
      </c>
    </row>
    <row r="268" spans="4:11">
      <c r="D268" s="75">
        <v>46179</v>
      </c>
      <c r="E268" s="76">
        <v>1609891</v>
      </c>
      <c r="F268" s="76" t="s">
        <v>27</v>
      </c>
      <c r="G268" s="77">
        <v>20008345</v>
      </c>
      <c r="H268" s="76" t="s">
        <v>186</v>
      </c>
      <c r="I268" s="77">
        <v>1</v>
      </c>
      <c r="J268" s="78">
        <v>19.25</v>
      </c>
      <c r="K268" s="78">
        <f t="shared" si="4"/>
        <v>19.25</v>
      </c>
    </row>
    <row r="269" spans="4:11">
      <c r="D269" s="75">
        <v>46181</v>
      </c>
      <c r="E269" s="76">
        <v>1610140</v>
      </c>
      <c r="F269" s="76" t="s">
        <v>40</v>
      </c>
      <c r="G269" s="77">
        <v>20365405</v>
      </c>
      <c r="H269" s="76" t="s">
        <v>283</v>
      </c>
      <c r="I269" s="77">
        <v>1</v>
      </c>
      <c r="J269" s="78">
        <v>61.6</v>
      </c>
      <c r="K269" s="78">
        <f t="shared" si="4"/>
        <v>61.6</v>
      </c>
    </row>
    <row r="270" spans="4:11">
      <c r="D270" s="75">
        <v>46181</v>
      </c>
      <c r="E270" s="76">
        <v>1610140</v>
      </c>
      <c r="F270" s="76" t="s">
        <v>40</v>
      </c>
      <c r="G270" s="77">
        <v>20008623</v>
      </c>
      <c r="H270" s="76" t="s">
        <v>188</v>
      </c>
      <c r="I270" s="77">
        <v>1</v>
      </c>
      <c r="J270" s="78">
        <v>15.4</v>
      </c>
      <c r="K270" s="78">
        <f t="shared" si="4"/>
        <v>15.4</v>
      </c>
    </row>
    <row r="271" spans="4:11">
      <c r="D271" s="75">
        <v>46181</v>
      </c>
      <c r="E271" s="76">
        <v>1610140</v>
      </c>
      <c r="F271" s="76" t="s">
        <v>40</v>
      </c>
      <c r="G271" s="77">
        <v>20007633</v>
      </c>
      <c r="H271" s="76" t="s">
        <v>74</v>
      </c>
      <c r="I271" s="77">
        <v>1</v>
      </c>
      <c r="J271" s="78">
        <v>24.5</v>
      </c>
      <c r="K271" s="78">
        <f t="shared" si="4"/>
        <v>24.5</v>
      </c>
    </row>
    <row r="272" spans="4:11">
      <c r="D272" s="75">
        <v>46181</v>
      </c>
      <c r="E272" s="76">
        <v>1610140</v>
      </c>
      <c r="F272" s="76" t="s">
        <v>40</v>
      </c>
      <c r="G272" s="77">
        <v>20006863</v>
      </c>
      <c r="H272" s="76" t="s">
        <v>41</v>
      </c>
      <c r="I272" s="77">
        <v>1</v>
      </c>
      <c r="J272" s="78">
        <v>24.5</v>
      </c>
      <c r="K272" s="78">
        <f t="shared" si="4"/>
        <v>24.5</v>
      </c>
    </row>
    <row r="273" spans="4:11">
      <c r="D273" s="75">
        <v>46181</v>
      </c>
      <c r="E273" s="76">
        <v>1610140</v>
      </c>
      <c r="F273" s="76" t="s">
        <v>42</v>
      </c>
      <c r="G273" s="77">
        <v>20008376</v>
      </c>
      <c r="H273" s="76" t="s">
        <v>287</v>
      </c>
      <c r="I273" s="77">
        <v>1</v>
      </c>
      <c r="J273" s="78">
        <v>19.6</v>
      </c>
      <c r="K273" s="78">
        <f t="shared" si="4"/>
        <v>19.6</v>
      </c>
    </row>
    <row r="274" spans="4:11">
      <c r="D274" s="75">
        <v>46182</v>
      </c>
      <c r="E274" s="76">
        <v>1610467</v>
      </c>
      <c r="F274" s="76" t="s">
        <v>40</v>
      </c>
      <c r="G274" s="77">
        <v>20323753</v>
      </c>
      <c r="H274" s="76" t="s">
        <v>308</v>
      </c>
      <c r="I274" s="77">
        <v>1</v>
      </c>
      <c r="J274" s="78">
        <v>24.5</v>
      </c>
      <c r="K274" s="78">
        <f t="shared" si="4"/>
        <v>24.5</v>
      </c>
    </row>
    <row r="275" spans="4:11">
      <c r="D275" s="75">
        <v>46182</v>
      </c>
      <c r="E275" s="76">
        <v>1610467</v>
      </c>
      <c r="F275" s="76" t="s">
        <v>40</v>
      </c>
      <c r="G275" s="77">
        <v>20015198</v>
      </c>
      <c r="H275" s="76" t="s">
        <v>309</v>
      </c>
      <c r="I275" s="77">
        <v>1</v>
      </c>
      <c r="J275" s="78">
        <v>24.5</v>
      </c>
      <c r="K275" s="78">
        <f t="shared" si="4"/>
        <v>24.5</v>
      </c>
    </row>
    <row r="276" spans="4:11">
      <c r="D276" s="75">
        <v>46182</v>
      </c>
      <c r="E276" s="76">
        <v>1610467</v>
      </c>
      <c r="F276" s="76" t="s">
        <v>40</v>
      </c>
      <c r="G276" s="77">
        <v>20365916</v>
      </c>
      <c r="H276" s="76" t="s">
        <v>187</v>
      </c>
      <c r="I276" s="77">
        <v>1</v>
      </c>
      <c r="J276" s="78">
        <v>61.6</v>
      </c>
      <c r="K276" s="78">
        <f t="shared" si="4"/>
        <v>61.6</v>
      </c>
    </row>
    <row r="277" spans="4:11">
      <c r="D277" s="75">
        <v>46182</v>
      </c>
      <c r="E277" s="76">
        <v>1610467</v>
      </c>
      <c r="F277" s="76" t="s">
        <v>40</v>
      </c>
      <c r="G277" s="77">
        <v>20365405</v>
      </c>
      <c r="H277" s="76" t="s">
        <v>283</v>
      </c>
      <c r="I277" s="77">
        <v>1</v>
      </c>
      <c r="J277" s="78">
        <v>61.6</v>
      </c>
      <c r="K277" s="78">
        <f t="shared" si="4"/>
        <v>61.6</v>
      </c>
    </row>
    <row r="278" spans="4:11">
      <c r="D278" s="75">
        <v>46182</v>
      </c>
      <c r="E278" s="76">
        <v>1610467</v>
      </c>
      <c r="F278" s="76" t="s">
        <v>40</v>
      </c>
      <c r="G278" s="77">
        <v>20013300</v>
      </c>
      <c r="H278" s="76" t="s">
        <v>310</v>
      </c>
      <c r="I278" s="77">
        <v>1</v>
      </c>
      <c r="J278" s="78">
        <v>24.5</v>
      </c>
      <c r="K278" s="78">
        <f t="shared" si="4"/>
        <v>24.5</v>
      </c>
    </row>
    <row r="279" spans="4:11">
      <c r="D279" s="75">
        <v>46182</v>
      </c>
      <c r="E279" s="76">
        <v>1610467</v>
      </c>
      <c r="F279" s="76" t="s">
        <v>40</v>
      </c>
      <c r="G279" s="77">
        <v>20008623</v>
      </c>
      <c r="H279" s="76" t="s">
        <v>188</v>
      </c>
      <c r="I279" s="77">
        <v>2</v>
      </c>
      <c r="J279" s="78">
        <v>15.4</v>
      </c>
      <c r="K279" s="78">
        <f t="shared" si="4"/>
        <v>30.8</v>
      </c>
    </row>
    <row r="280" spans="4:11">
      <c r="D280" s="75">
        <v>46182</v>
      </c>
      <c r="E280" s="76">
        <v>1610467</v>
      </c>
      <c r="F280" s="76" t="s">
        <v>40</v>
      </c>
      <c r="G280" s="77">
        <v>20007633</v>
      </c>
      <c r="H280" s="76" t="s">
        <v>74</v>
      </c>
      <c r="I280" s="77">
        <v>2</v>
      </c>
      <c r="J280" s="78">
        <v>24.5</v>
      </c>
      <c r="K280" s="78">
        <f t="shared" si="4"/>
        <v>49</v>
      </c>
    </row>
    <row r="281" spans="4:11">
      <c r="D281" s="75">
        <v>46182</v>
      </c>
      <c r="E281" s="76">
        <v>1610467</v>
      </c>
      <c r="F281" s="76" t="s">
        <v>40</v>
      </c>
      <c r="G281" s="77">
        <v>20013381</v>
      </c>
      <c r="H281" s="76" t="s">
        <v>311</v>
      </c>
      <c r="I281" s="77">
        <v>1</v>
      </c>
      <c r="J281" s="78">
        <v>24.5</v>
      </c>
      <c r="K281" s="78">
        <f t="shared" si="4"/>
        <v>24.5</v>
      </c>
    </row>
    <row r="282" spans="4:11">
      <c r="D282" s="75">
        <v>46182</v>
      </c>
      <c r="E282" s="76">
        <v>1610467</v>
      </c>
      <c r="F282" s="76" t="s">
        <v>40</v>
      </c>
      <c r="G282" s="77">
        <v>20006864</v>
      </c>
      <c r="H282" s="76" t="s">
        <v>312</v>
      </c>
      <c r="I282" s="77">
        <v>1</v>
      </c>
      <c r="J282" s="78">
        <v>19.6</v>
      </c>
      <c r="K282" s="78">
        <f t="shared" si="4"/>
        <v>19.6</v>
      </c>
    </row>
    <row r="283" spans="4:11">
      <c r="D283" s="75">
        <v>46182</v>
      </c>
      <c r="E283" s="76">
        <v>1610467</v>
      </c>
      <c r="F283" s="76" t="s">
        <v>40</v>
      </c>
      <c r="G283" s="77">
        <v>20008389</v>
      </c>
      <c r="H283" s="76" t="s">
        <v>313</v>
      </c>
      <c r="I283" s="77">
        <v>1</v>
      </c>
      <c r="J283" s="78">
        <v>17.5</v>
      </c>
      <c r="K283" s="78">
        <f t="shared" si="4"/>
        <v>17.5</v>
      </c>
    </row>
    <row r="284" spans="4:11">
      <c r="D284" s="75">
        <v>46182</v>
      </c>
      <c r="E284" s="76">
        <v>1610467</v>
      </c>
      <c r="F284" s="76" t="s">
        <v>40</v>
      </c>
      <c r="G284" s="77">
        <v>20348167</v>
      </c>
      <c r="H284" s="76" t="s">
        <v>314</v>
      </c>
      <c r="I284" s="77">
        <v>1</v>
      </c>
      <c r="J284" s="78">
        <v>61.6</v>
      </c>
      <c r="K284" s="78">
        <f t="shared" si="4"/>
        <v>61.6</v>
      </c>
    </row>
    <row r="285" spans="4:11">
      <c r="D285" s="75">
        <v>46182</v>
      </c>
      <c r="E285" s="76">
        <v>1610467</v>
      </c>
      <c r="F285" s="76" t="s">
        <v>40</v>
      </c>
      <c r="G285" s="77">
        <v>20006863</v>
      </c>
      <c r="H285" s="76" t="s">
        <v>41</v>
      </c>
      <c r="I285" s="77">
        <v>3</v>
      </c>
      <c r="J285" s="78">
        <v>24.5</v>
      </c>
      <c r="K285" s="78">
        <f t="shared" si="4"/>
        <v>73.5</v>
      </c>
    </row>
    <row r="286" spans="4:11">
      <c r="D286" s="75">
        <v>46182</v>
      </c>
      <c r="E286" s="76">
        <v>1610467</v>
      </c>
      <c r="F286" s="76" t="s">
        <v>40</v>
      </c>
      <c r="G286" s="77">
        <v>20377562</v>
      </c>
      <c r="H286" s="76" t="s">
        <v>217</v>
      </c>
      <c r="I286" s="77">
        <v>1</v>
      </c>
      <c r="J286" s="78">
        <v>15.4</v>
      </c>
      <c r="K286" s="78">
        <f t="shared" si="4"/>
        <v>15.4</v>
      </c>
    </row>
    <row r="287" spans="4:11">
      <c r="D287" s="75">
        <v>46182</v>
      </c>
      <c r="E287" s="76">
        <v>1610467</v>
      </c>
      <c r="F287" s="76" t="s">
        <v>42</v>
      </c>
      <c r="G287" s="77">
        <v>20390423</v>
      </c>
      <c r="H287" s="76" t="s">
        <v>75</v>
      </c>
      <c r="I287" s="77">
        <v>1</v>
      </c>
      <c r="J287" s="78">
        <v>19.6</v>
      </c>
      <c r="K287" s="78">
        <f t="shared" si="4"/>
        <v>19.6</v>
      </c>
    </row>
    <row r="288" spans="4:11">
      <c r="D288" s="75">
        <v>46182</v>
      </c>
      <c r="E288" s="76">
        <v>1610467</v>
      </c>
      <c r="F288" s="76" t="s">
        <v>42</v>
      </c>
      <c r="G288" s="77">
        <v>20008376</v>
      </c>
      <c r="H288" s="76" t="s">
        <v>287</v>
      </c>
      <c r="I288" s="77">
        <v>1</v>
      </c>
      <c r="J288" s="78">
        <v>19.6</v>
      </c>
      <c r="K288" s="78">
        <f t="shared" si="4"/>
        <v>19.6</v>
      </c>
    </row>
    <row r="289" spans="4:11">
      <c r="D289" s="75">
        <v>46182</v>
      </c>
      <c r="E289" s="76">
        <v>1610775</v>
      </c>
      <c r="F289" s="76" t="s">
        <v>36</v>
      </c>
      <c r="G289" s="77">
        <v>20011908</v>
      </c>
      <c r="H289" s="76" t="s">
        <v>295</v>
      </c>
      <c r="I289" s="77">
        <v>1</v>
      </c>
      <c r="J289" s="78">
        <v>284.9</v>
      </c>
      <c r="K289" s="78">
        <f t="shared" si="4"/>
        <v>284.9</v>
      </c>
    </row>
    <row r="290" spans="4:11">
      <c r="D290" s="75">
        <v>46182</v>
      </c>
      <c r="E290" s="76">
        <v>1610775</v>
      </c>
      <c r="F290" s="76" t="s">
        <v>36</v>
      </c>
      <c r="G290" s="77">
        <v>20007716</v>
      </c>
      <c r="H290" s="76" t="s">
        <v>315</v>
      </c>
      <c r="I290" s="77">
        <v>1</v>
      </c>
      <c r="J290" s="78">
        <v>284.9</v>
      </c>
      <c r="K290" s="78">
        <f t="shared" si="4"/>
        <v>284.9</v>
      </c>
    </row>
    <row r="291" spans="4:11">
      <c r="D291" s="75">
        <v>46182</v>
      </c>
      <c r="E291" s="76">
        <v>1610775</v>
      </c>
      <c r="F291" s="76" t="s">
        <v>15</v>
      </c>
      <c r="G291" s="77">
        <v>20008491</v>
      </c>
      <c r="H291" s="76" t="s">
        <v>121</v>
      </c>
      <c r="I291" s="77">
        <v>2</v>
      </c>
      <c r="J291" s="78">
        <v>11.55</v>
      </c>
      <c r="K291" s="78">
        <f t="shared" si="4"/>
        <v>23.1</v>
      </c>
    </row>
    <row r="292" spans="4:11">
      <c r="D292" s="75">
        <v>46182</v>
      </c>
      <c r="E292" s="76">
        <v>1610775</v>
      </c>
      <c r="F292" s="76" t="s">
        <v>15</v>
      </c>
      <c r="G292" s="77">
        <v>20008204</v>
      </c>
      <c r="H292" s="76" t="s">
        <v>122</v>
      </c>
      <c r="I292" s="77">
        <v>1</v>
      </c>
      <c r="J292" s="78">
        <v>9.45</v>
      </c>
      <c r="K292" s="78">
        <f t="shared" si="4"/>
        <v>9.45</v>
      </c>
    </row>
    <row r="293" spans="4:11">
      <c r="D293" s="75">
        <v>46182</v>
      </c>
      <c r="E293" s="76">
        <v>1610775</v>
      </c>
      <c r="F293" s="76" t="s">
        <v>15</v>
      </c>
      <c r="G293" s="77">
        <v>20011138</v>
      </c>
      <c r="H293" s="76" t="s">
        <v>298</v>
      </c>
      <c r="I293" s="77">
        <v>1</v>
      </c>
      <c r="J293" s="78">
        <v>11.55</v>
      </c>
      <c r="K293" s="78">
        <f t="shared" si="4"/>
        <v>11.55</v>
      </c>
    </row>
    <row r="294" spans="4:11">
      <c r="D294" s="75">
        <v>46182</v>
      </c>
      <c r="E294" s="76">
        <v>1610775</v>
      </c>
      <c r="F294" s="76" t="s">
        <v>27</v>
      </c>
      <c r="G294" s="77">
        <v>20008345</v>
      </c>
      <c r="H294" s="76" t="s">
        <v>186</v>
      </c>
      <c r="I294" s="77">
        <v>2</v>
      </c>
      <c r="J294" s="78">
        <v>19.25</v>
      </c>
      <c r="K294" s="78">
        <f t="shared" si="4"/>
        <v>38.5</v>
      </c>
    </row>
    <row r="295" spans="4:11">
      <c r="D295" s="75">
        <v>46182</v>
      </c>
      <c r="E295" s="76">
        <v>1610780</v>
      </c>
      <c r="F295" s="76" t="s">
        <v>36</v>
      </c>
      <c r="G295" s="77">
        <v>20012360</v>
      </c>
      <c r="H295" s="76" t="s">
        <v>203</v>
      </c>
      <c r="I295" s="77">
        <v>1</v>
      </c>
      <c r="J295" s="78">
        <v>107.8</v>
      </c>
      <c r="K295" s="78">
        <f t="shared" si="4"/>
        <v>107.8</v>
      </c>
    </row>
    <row r="296" spans="4:11">
      <c r="D296" s="75">
        <v>46182</v>
      </c>
      <c r="E296" s="76">
        <v>1610780</v>
      </c>
      <c r="F296" s="76" t="s">
        <v>36</v>
      </c>
      <c r="G296" s="77">
        <v>20014159</v>
      </c>
      <c r="H296" s="76" t="s">
        <v>316</v>
      </c>
      <c r="I296" s="77">
        <v>1</v>
      </c>
      <c r="J296" s="78">
        <v>69.3</v>
      </c>
      <c r="K296" s="78">
        <f t="shared" si="4"/>
        <v>69.3</v>
      </c>
    </row>
    <row r="297" spans="4:11">
      <c r="D297" s="75">
        <v>46182</v>
      </c>
      <c r="E297" s="76">
        <v>1610780</v>
      </c>
      <c r="F297" s="76" t="s">
        <v>36</v>
      </c>
      <c r="G297" s="77">
        <v>20013391</v>
      </c>
      <c r="H297" s="76" t="s">
        <v>317</v>
      </c>
      <c r="I297" s="77">
        <v>1</v>
      </c>
      <c r="J297" s="78">
        <v>34.65</v>
      </c>
      <c r="K297" s="78">
        <f t="shared" si="4"/>
        <v>34.65</v>
      </c>
    </row>
    <row r="298" spans="4:11">
      <c r="D298" s="75">
        <v>46182</v>
      </c>
      <c r="E298" s="76">
        <v>1610780</v>
      </c>
      <c r="F298" s="76" t="s">
        <v>36</v>
      </c>
      <c r="G298" s="77">
        <v>20007715</v>
      </c>
      <c r="H298" s="76" t="s">
        <v>247</v>
      </c>
      <c r="I298" s="77">
        <v>1</v>
      </c>
      <c r="J298" s="78">
        <v>180.95</v>
      </c>
      <c r="K298" s="78">
        <f t="shared" si="4"/>
        <v>180.95</v>
      </c>
    </row>
    <row r="299" spans="4:11">
      <c r="D299" s="75">
        <v>46182</v>
      </c>
      <c r="E299" s="76">
        <v>1610780</v>
      </c>
      <c r="F299" s="76" t="s">
        <v>36</v>
      </c>
      <c r="G299" s="77">
        <v>20012472</v>
      </c>
      <c r="H299" s="76" t="s">
        <v>248</v>
      </c>
      <c r="I299" s="77">
        <v>1</v>
      </c>
      <c r="J299" s="78">
        <v>119.35</v>
      </c>
      <c r="K299" s="78">
        <f t="shared" si="4"/>
        <v>119.35</v>
      </c>
    </row>
    <row r="300" spans="4:11">
      <c r="D300" s="75">
        <v>46182</v>
      </c>
      <c r="E300" s="76">
        <v>1610780</v>
      </c>
      <c r="F300" s="76" t="s">
        <v>36</v>
      </c>
      <c r="G300" s="77">
        <v>20008128</v>
      </c>
      <c r="H300" s="76" t="s">
        <v>164</v>
      </c>
      <c r="I300" s="77">
        <v>1</v>
      </c>
      <c r="J300" s="78">
        <v>130.9</v>
      </c>
      <c r="K300" s="78">
        <f t="shared" si="4"/>
        <v>130.9</v>
      </c>
    </row>
    <row r="301" spans="4:11">
      <c r="D301" s="75">
        <v>46182</v>
      </c>
      <c r="E301" s="76">
        <v>1610780</v>
      </c>
      <c r="F301" s="76" t="s">
        <v>36</v>
      </c>
      <c r="G301" s="77">
        <v>20311037</v>
      </c>
      <c r="H301" s="76" t="s">
        <v>165</v>
      </c>
      <c r="I301" s="77">
        <v>1</v>
      </c>
      <c r="J301" s="78">
        <v>53.55</v>
      </c>
      <c r="K301" s="78">
        <f t="shared" si="4"/>
        <v>53.55</v>
      </c>
    </row>
    <row r="302" spans="4:11">
      <c r="D302" s="75">
        <v>46182</v>
      </c>
      <c r="E302" s="76">
        <v>1610780</v>
      </c>
      <c r="F302" s="76" t="s">
        <v>36</v>
      </c>
      <c r="G302" s="77">
        <v>20314696</v>
      </c>
      <c r="H302" s="76" t="s">
        <v>318</v>
      </c>
      <c r="I302" s="77">
        <v>1</v>
      </c>
      <c r="J302" s="78">
        <v>173.25</v>
      </c>
      <c r="K302" s="78">
        <f t="shared" si="4"/>
        <v>173.25</v>
      </c>
    </row>
    <row r="303" spans="4:11">
      <c r="D303" s="75">
        <v>46182</v>
      </c>
      <c r="E303" s="76">
        <v>1610780</v>
      </c>
      <c r="F303" s="76" t="s">
        <v>36</v>
      </c>
      <c r="G303" s="77">
        <v>20013585</v>
      </c>
      <c r="H303" s="76" t="s">
        <v>319</v>
      </c>
      <c r="I303" s="77">
        <v>1</v>
      </c>
      <c r="J303" s="78">
        <v>217</v>
      </c>
      <c r="K303" s="78">
        <f t="shared" si="4"/>
        <v>217</v>
      </c>
    </row>
    <row r="304" spans="4:11">
      <c r="D304" s="75">
        <v>46182</v>
      </c>
      <c r="E304" s="76">
        <v>1610780</v>
      </c>
      <c r="F304" s="76" t="s">
        <v>20</v>
      </c>
      <c r="G304" s="77">
        <v>20013667</v>
      </c>
      <c r="H304" s="76" t="s">
        <v>166</v>
      </c>
      <c r="I304" s="77">
        <v>1</v>
      </c>
      <c r="J304" s="78">
        <v>15.4</v>
      </c>
      <c r="K304" s="78">
        <f t="shared" si="4"/>
        <v>15.4</v>
      </c>
    </row>
    <row r="305" spans="4:11">
      <c r="D305" s="75">
        <v>46182</v>
      </c>
      <c r="E305" s="76">
        <v>1610780</v>
      </c>
      <c r="F305" s="76" t="s">
        <v>25</v>
      </c>
      <c r="G305" s="77">
        <v>20322460</v>
      </c>
      <c r="H305" s="76" t="s">
        <v>320</v>
      </c>
      <c r="I305" s="77">
        <v>1</v>
      </c>
      <c r="J305" s="78">
        <v>92.4</v>
      </c>
      <c r="K305" s="78">
        <f t="shared" si="4"/>
        <v>92.4</v>
      </c>
    </row>
    <row r="306" spans="4:11">
      <c r="D306" s="75">
        <v>46182</v>
      </c>
      <c r="E306" s="76">
        <v>1610780</v>
      </c>
      <c r="F306" s="76" t="s">
        <v>27</v>
      </c>
      <c r="G306" s="77">
        <v>20009014</v>
      </c>
      <c r="H306" s="76" t="s">
        <v>321</v>
      </c>
      <c r="I306" s="77">
        <v>1</v>
      </c>
      <c r="J306" s="78">
        <v>11.55</v>
      </c>
      <c r="K306" s="78">
        <f t="shared" si="4"/>
        <v>11.55</v>
      </c>
    </row>
    <row r="307" spans="4:11">
      <c r="D307" s="75">
        <v>46182</v>
      </c>
      <c r="E307" s="76">
        <v>1610780</v>
      </c>
      <c r="F307" s="76" t="s">
        <v>27</v>
      </c>
      <c r="G307" s="77">
        <v>20013068</v>
      </c>
      <c r="H307" s="76" t="s">
        <v>322</v>
      </c>
      <c r="I307" s="77">
        <v>1</v>
      </c>
      <c r="J307" s="78">
        <v>11.55</v>
      </c>
      <c r="K307" s="78">
        <f t="shared" si="4"/>
        <v>11.55</v>
      </c>
    </row>
    <row r="308" spans="4:11">
      <c r="D308" s="75">
        <v>46182</v>
      </c>
      <c r="E308" s="76">
        <v>1610780</v>
      </c>
      <c r="F308" s="76" t="s">
        <v>27</v>
      </c>
      <c r="G308" s="77">
        <v>20330093</v>
      </c>
      <c r="H308" s="76" t="s">
        <v>323</v>
      </c>
      <c r="I308" s="77">
        <v>1</v>
      </c>
      <c r="J308" s="78">
        <v>11.55</v>
      </c>
      <c r="K308" s="78">
        <f t="shared" si="4"/>
        <v>11.55</v>
      </c>
    </row>
    <row r="309" spans="4:11">
      <c r="D309" s="75">
        <v>46182</v>
      </c>
      <c r="E309" s="76">
        <v>1610780</v>
      </c>
      <c r="F309" s="76" t="s">
        <v>27</v>
      </c>
      <c r="G309" s="77">
        <v>20009013</v>
      </c>
      <c r="H309" s="76" t="s">
        <v>324</v>
      </c>
      <c r="I309" s="77">
        <v>4</v>
      </c>
      <c r="J309" s="78">
        <v>11.55</v>
      </c>
      <c r="K309" s="78">
        <f t="shared" si="4"/>
        <v>46.2</v>
      </c>
    </row>
    <row r="310" spans="4:11">
      <c r="D310" s="75">
        <v>46182</v>
      </c>
      <c r="E310" s="76">
        <v>1610780</v>
      </c>
      <c r="F310" s="76" t="s">
        <v>27</v>
      </c>
      <c r="G310" s="77">
        <v>20008214</v>
      </c>
      <c r="H310" s="76" t="s">
        <v>123</v>
      </c>
      <c r="I310" s="77">
        <v>6</v>
      </c>
      <c r="J310" s="78">
        <v>11.55</v>
      </c>
      <c r="K310" s="78">
        <f t="shared" si="4"/>
        <v>69.3</v>
      </c>
    </row>
    <row r="311" spans="4:11">
      <c r="D311" s="75">
        <v>46182</v>
      </c>
      <c r="E311" s="76">
        <v>1610780</v>
      </c>
      <c r="F311" s="76" t="s">
        <v>27</v>
      </c>
      <c r="G311" s="77">
        <v>20008225</v>
      </c>
      <c r="H311" s="76" t="s">
        <v>325</v>
      </c>
      <c r="I311" s="77">
        <v>1</v>
      </c>
      <c r="J311" s="78">
        <v>11.55</v>
      </c>
      <c r="K311" s="78">
        <f t="shared" si="4"/>
        <v>11.55</v>
      </c>
    </row>
    <row r="312" spans="4:11">
      <c r="D312" s="75">
        <v>46182</v>
      </c>
      <c r="E312" s="76">
        <v>1610780</v>
      </c>
      <c r="F312" s="76" t="s">
        <v>27</v>
      </c>
      <c r="G312" s="77">
        <v>20012460</v>
      </c>
      <c r="H312" s="76" t="s">
        <v>185</v>
      </c>
      <c r="I312" s="77">
        <v>1</v>
      </c>
      <c r="J312" s="78">
        <v>11.55</v>
      </c>
      <c r="K312" s="78">
        <f t="shared" ref="K312:K375" si="5">J312*I312</f>
        <v>11.55</v>
      </c>
    </row>
    <row r="313" spans="4:11">
      <c r="D313" s="75">
        <v>46182</v>
      </c>
      <c r="E313" s="76">
        <v>1610780</v>
      </c>
      <c r="F313" s="76" t="s">
        <v>27</v>
      </c>
      <c r="G313" s="77">
        <v>20008345</v>
      </c>
      <c r="H313" s="76" t="s">
        <v>186</v>
      </c>
      <c r="I313" s="77">
        <v>1</v>
      </c>
      <c r="J313" s="78">
        <v>19.25</v>
      </c>
      <c r="K313" s="78">
        <f t="shared" si="5"/>
        <v>19.25</v>
      </c>
    </row>
    <row r="314" spans="4:11">
      <c r="D314" s="75">
        <v>46182</v>
      </c>
      <c r="E314" s="76">
        <v>1610781</v>
      </c>
      <c r="F314" s="76" t="s">
        <v>40</v>
      </c>
      <c r="G314" s="77">
        <v>20015198</v>
      </c>
      <c r="H314" s="76" t="s">
        <v>309</v>
      </c>
      <c r="I314" s="79">
        <v>1</v>
      </c>
      <c r="J314" s="78">
        <v>24.5</v>
      </c>
      <c r="K314" s="78">
        <f t="shared" si="5"/>
        <v>24.5</v>
      </c>
    </row>
    <row r="315" spans="4:11">
      <c r="D315" s="75">
        <v>46182</v>
      </c>
      <c r="E315" s="76">
        <v>1610781</v>
      </c>
      <c r="F315" s="76" t="s">
        <v>40</v>
      </c>
      <c r="G315" s="77">
        <v>20390607</v>
      </c>
      <c r="H315" s="76" t="s">
        <v>326</v>
      </c>
      <c r="I315" s="79">
        <v>1</v>
      </c>
      <c r="J315" s="78">
        <v>24.5</v>
      </c>
      <c r="K315" s="78">
        <f t="shared" si="5"/>
        <v>24.5</v>
      </c>
    </row>
    <row r="316" spans="4:11">
      <c r="D316" s="75">
        <v>46183</v>
      </c>
      <c r="E316" s="76">
        <v>1610862</v>
      </c>
      <c r="F316" s="76" t="s">
        <v>15</v>
      </c>
      <c r="G316" s="77">
        <v>20399752</v>
      </c>
      <c r="H316" s="76" t="s">
        <v>306</v>
      </c>
      <c r="I316" s="77">
        <v>1</v>
      </c>
      <c r="J316" s="78">
        <v>9.45</v>
      </c>
      <c r="K316" s="78">
        <f t="shared" si="5"/>
        <v>9.45</v>
      </c>
    </row>
    <row r="317" spans="4:11">
      <c r="D317" s="75">
        <v>46183</v>
      </c>
      <c r="E317" s="76">
        <v>1610862</v>
      </c>
      <c r="F317" s="76" t="s">
        <v>15</v>
      </c>
      <c r="G317" s="77">
        <v>20008180</v>
      </c>
      <c r="H317" s="76" t="s">
        <v>167</v>
      </c>
      <c r="I317" s="77">
        <v>1</v>
      </c>
      <c r="J317" s="78">
        <v>5.6</v>
      </c>
      <c r="K317" s="78">
        <f t="shared" si="5"/>
        <v>5.6</v>
      </c>
    </row>
    <row r="318" spans="4:11">
      <c r="D318" s="75">
        <v>46183</v>
      </c>
      <c r="E318" s="76">
        <v>1610862</v>
      </c>
      <c r="F318" s="76" t="s">
        <v>15</v>
      </c>
      <c r="G318" s="77">
        <v>20007623</v>
      </c>
      <c r="H318" s="76" t="s">
        <v>204</v>
      </c>
      <c r="I318" s="77">
        <v>1</v>
      </c>
      <c r="J318" s="78">
        <v>5.6</v>
      </c>
      <c r="K318" s="78">
        <f t="shared" si="5"/>
        <v>5.6</v>
      </c>
    </row>
    <row r="319" spans="4:11">
      <c r="D319" s="75">
        <v>46183</v>
      </c>
      <c r="E319" s="76">
        <v>1610862</v>
      </c>
      <c r="F319" s="76" t="s">
        <v>15</v>
      </c>
      <c r="G319" s="77">
        <v>20013515</v>
      </c>
      <c r="H319" s="76" t="s">
        <v>168</v>
      </c>
      <c r="I319" s="77">
        <v>1</v>
      </c>
      <c r="J319" s="78">
        <v>13.3</v>
      </c>
      <c r="K319" s="78">
        <f t="shared" si="5"/>
        <v>13.3</v>
      </c>
    </row>
    <row r="320" spans="4:11">
      <c r="D320" s="75">
        <v>46183</v>
      </c>
      <c r="E320" s="76">
        <v>1610862</v>
      </c>
      <c r="F320" s="76" t="s">
        <v>15</v>
      </c>
      <c r="G320" s="77">
        <v>20008153</v>
      </c>
      <c r="H320" s="76" t="s">
        <v>169</v>
      </c>
      <c r="I320" s="77">
        <v>1</v>
      </c>
      <c r="J320" s="78">
        <v>5.6</v>
      </c>
      <c r="K320" s="78">
        <f t="shared" si="5"/>
        <v>5.6</v>
      </c>
    </row>
    <row r="321" spans="4:11">
      <c r="D321" s="75">
        <v>46183</v>
      </c>
      <c r="E321" s="76">
        <v>1610862</v>
      </c>
      <c r="F321" s="76" t="s">
        <v>15</v>
      </c>
      <c r="G321" s="77">
        <v>20009534</v>
      </c>
      <c r="H321" s="76" t="s">
        <v>327</v>
      </c>
      <c r="I321" s="77">
        <v>1</v>
      </c>
      <c r="J321" s="78">
        <v>9.45</v>
      </c>
      <c r="K321" s="78">
        <f t="shared" si="5"/>
        <v>9.45</v>
      </c>
    </row>
    <row r="322" spans="4:11">
      <c r="D322" s="75">
        <v>46183</v>
      </c>
      <c r="E322" s="76">
        <v>1610862</v>
      </c>
      <c r="F322" s="76" t="s">
        <v>27</v>
      </c>
      <c r="G322" s="77">
        <v>20360382</v>
      </c>
      <c r="H322" s="76" t="s">
        <v>245</v>
      </c>
      <c r="I322" s="77">
        <v>1</v>
      </c>
      <c r="J322" s="78">
        <v>42.35</v>
      </c>
      <c r="K322" s="78">
        <f t="shared" si="5"/>
        <v>42.35</v>
      </c>
    </row>
    <row r="323" spans="4:11">
      <c r="D323" s="75">
        <v>46183</v>
      </c>
      <c r="E323" s="76">
        <v>1610872</v>
      </c>
      <c r="F323" s="76" t="s">
        <v>40</v>
      </c>
      <c r="G323" s="77">
        <v>20363422</v>
      </c>
      <c r="H323" s="76" t="s">
        <v>328</v>
      </c>
      <c r="I323" s="77">
        <v>1</v>
      </c>
      <c r="J323" s="78">
        <v>19.6</v>
      </c>
      <c r="K323" s="78">
        <f t="shared" si="5"/>
        <v>19.6</v>
      </c>
    </row>
    <row r="324" spans="4:11">
      <c r="D324" s="75">
        <v>46183</v>
      </c>
      <c r="E324" s="76">
        <v>1610872</v>
      </c>
      <c r="F324" s="76" t="s">
        <v>40</v>
      </c>
      <c r="G324" s="77">
        <v>20008202</v>
      </c>
      <c r="H324" s="76" t="s">
        <v>329</v>
      </c>
      <c r="I324" s="77">
        <v>1</v>
      </c>
      <c r="J324" s="78">
        <v>19.6</v>
      </c>
      <c r="K324" s="78">
        <f t="shared" si="5"/>
        <v>19.6</v>
      </c>
    </row>
    <row r="325" spans="4:11">
      <c r="D325" s="75">
        <v>46183</v>
      </c>
      <c r="E325" s="76">
        <v>1610872</v>
      </c>
      <c r="F325" s="76" t="s">
        <v>40</v>
      </c>
      <c r="G325" s="77">
        <v>20370992</v>
      </c>
      <c r="H325" s="76" t="s">
        <v>330</v>
      </c>
      <c r="I325" s="77">
        <v>1</v>
      </c>
      <c r="J325" s="78">
        <v>24.5</v>
      </c>
      <c r="K325" s="78">
        <f t="shared" si="5"/>
        <v>24.5</v>
      </c>
    </row>
    <row r="326" spans="4:11">
      <c r="D326" s="75">
        <v>46183</v>
      </c>
      <c r="E326" s="76">
        <v>1610872</v>
      </c>
      <c r="F326" s="76" t="s">
        <v>40</v>
      </c>
      <c r="G326" s="77">
        <v>20007567</v>
      </c>
      <c r="H326" s="76" t="s">
        <v>331</v>
      </c>
      <c r="I326" s="77">
        <v>1</v>
      </c>
      <c r="J326" s="78">
        <v>17.5</v>
      </c>
      <c r="K326" s="78">
        <f t="shared" si="5"/>
        <v>17.5</v>
      </c>
    </row>
    <row r="327" spans="4:11">
      <c r="D327" s="75">
        <v>46183</v>
      </c>
      <c r="E327" s="76">
        <v>1610872</v>
      </c>
      <c r="F327" s="76" t="s">
        <v>40</v>
      </c>
      <c r="G327" s="77">
        <v>20338493</v>
      </c>
      <c r="H327" s="76" t="s">
        <v>332</v>
      </c>
      <c r="I327" s="77">
        <v>1</v>
      </c>
      <c r="J327" s="78">
        <v>17.5</v>
      </c>
      <c r="K327" s="78">
        <f t="shared" si="5"/>
        <v>17.5</v>
      </c>
    </row>
    <row r="328" spans="4:11">
      <c r="D328" s="75">
        <v>46183</v>
      </c>
      <c r="E328" s="76">
        <v>1610872</v>
      </c>
      <c r="F328" s="76" t="s">
        <v>40</v>
      </c>
      <c r="G328" s="77">
        <v>20008885</v>
      </c>
      <c r="H328" s="76" t="s">
        <v>305</v>
      </c>
      <c r="I328" s="77">
        <v>3</v>
      </c>
      <c r="J328" s="78">
        <v>24.5</v>
      </c>
      <c r="K328" s="78">
        <f t="shared" si="5"/>
        <v>73.5</v>
      </c>
    </row>
    <row r="329" spans="4:11">
      <c r="D329" s="75">
        <v>46183</v>
      </c>
      <c r="E329" s="76">
        <v>1610872</v>
      </c>
      <c r="F329" s="76" t="s">
        <v>40</v>
      </c>
      <c r="G329" s="77">
        <v>20429160</v>
      </c>
      <c r="H329" s="76" t="s">
        <v>333</v>
      </c>
      <c r="I329" s="77">
        <v>3</v>
      </c>
      <c r="J329" s="78">
        <v>19.6</v>
      </c>
      <c r="K329" s="78">
        <f t="shared" si="5"/>
        <v>58.8</v>
      </c>
    </row>
    <row r="330" spans="4:11">
      <c r="D330" s="75">
        <v>46183</v>
      </c>
      <c r="E330" s="76">
        <v>1610872</v>
      </c>
      <c r="F330" s="76" t="s">
        <v>40</v>
      </c>
      <c r="G330" s="77">
        <v>20313974</v>
      </c>
      <c r="H330" s="76" t="s">
        <v>301</v>
      </c>
      <c r="I330" s="77">
        <v>2</v>
      </c>
      <c r="J330" s="78">
        <v>30.8</v>
      </c>
      <c r="K330" s="78">
        <f t="shared" si="5"/>
        <v>61.6</v>
      </c>
    </row>
    <row r="331" spans="4:11">
      <c r="D331" s="75">
        <v>46183</v>
      </c>
      <c r="E331" s="76">
        <v>1610872</v>
      </c>
      <c r="F331" s="76" t="s">
        <v>40</v>
      </c>
      <c r="G331" s="77">
        <v>20006853</v>
      </c>
      <c r="H331" s="76" t="s">
        <v>189</v>
      </c>
      <c r="I331" s="77">
        <v>3</v>
      </c>
      <c r="J331" s="78">
        <v>24.5</v>
      </c>
      <c r="K331" s="78">
        <f t="shared" si="5"/>
        <v>73.5</v>
      </c>
    </row>
    <row r="332" spans="4:11">
      <c r="D332" s="75">
        <v>46183</v>
      </c>
      <c r="E332" s="76">
        <v>1610872</v>
      </c>
      <c r="F332" s="76" t="s">
        <v>40</v>
      </c>
      <c r="G332" s="77">
        <v>20400917</v>
      </c>
      <c r="H332" s="76" t="s">
        <v>190</v>
      </c>
      <c r="I332" s="77">
        <v>1</v>
      </c>
      <c r="J332" s="78">
        <v>17.5</v>
      </c>
      <c r="K332" s="78">
        <f t="shared" si="5"/>
        <v>17.5</v>
      </c>
    </row>
    <row r="333" spans="4:11">
      <c r="D333" s="75">
        <v>46183</v>
      </c>
      <c r="E333" s="76">
        <v>1610872</v>
      </c>
      <c r="F333" s="76" t="s">
        <v>40</v>
      </c>
      <c r="G333" s="77">
        <v>20382022</v>
      </c>
      <c r="H333" s="76" t="s">
        <v>334</v>
      </c>
      <c r="I333" s="77">
        <v>1</v>
      </c>
      <c r="J333" s="78">
        <v>19.6</v>
      </c>
      <c r="K333" s="78">
        <f t="shared" si="5"/>
        <v>19.6</v>
      </c>
    </row>
    <row r="334" spans="4:11">
      <c r="D334" s="75">
        <v>46183</v>
      </c>
      <c r="E334" s="76">
        <v>1610872</v>
      </c>
      <c r="F334" s="76" t="s">
        <v>40</v>
      </c>
      <c r="G334" s="77">
        <v>20006864</v>
      </c>
      <c r="H334" s="76" t="s">
        <v>312</v>
      </c>
      <c r="I334" s="77">
        <v>1</v>
      </c>
      <c r="J334" s="78">
        <v>19.6</v>
      </c>
      <c r="K334" s="78">
        <f t="shared" si="5"/>
        <v>19.6</v>
      </c>
    </row>
    <row r="335" spans="4:11">
      <c r="D335" s="75">
        <v>46183</v>
      </c>
      <c r="E335" s="76">
        <v>1610872</v>
      </c>
      <c r="F335" s="76" t="s">
        <v>40</v>
      </c>
      <c r="G335" s="77">
        <v>20423694</v>
      </c>
      <c r="H335" s="76" t="s">
        <v>192</v>
      </c>
      <c r="I335" s="77">
        <v>2</v>
      </c>
      <c r="J335" s="78">
        <v>30.8</v>
      </c>
      <c r="K335" s="78">
        <f t="shared" si="5"/>
        <v>61.6</v>
      </c>
    </row>
    <row r="336" spans="4:11">
      <c r="D336" s="75">
        <v>46183</v>
      </c>
      <c r="E336" s="76">
        <v>1610872</v>
      </c>
      <c r="F336" s="76" t="s">
        <v>40</v>
      </c>
      <c r="G336" s="77">
        <v>20007639</v>
      </c>
      <c r="H336" s="76" t="s">
        <v>193</v>
      </c>
      <c r="I336" s="77">
        <v>3</v>
      </c>
      <c r="J336" s="78">
        <v>19.6</v>
      </c>
      <c r="K336" s="78">
        <f t="shared" si="5"/>
        <v>58.8</v>
      </c>
    </row>
    <row r="337" spans="4:11">
      <c r="D337" s="75">
        <v>46183</v>
      </c>
      <c r="E337" s="76">
        <v>1610872</v>
      </c>
      <c r="F337" s="76" t="s">
        <v>40</v>
      </c>
      <c r="G337" s="77">
        <v>20009272</v>
      </c>
      <c r="H337" s="76" t="s">
        <v>303</v>
      </c>
      <c r="I337" s="77">
        <v>3</v>
      </c>
      <c r="J337" s="78">
        <v>19.6</v>
      </c>
      <c r="K337" s="78">
        <f t="shared" si="5"/>
        <v>58.8</v>
      </c>
    </row>
    <row r="338" spans="4:11">
      <c r="D338" s="75">
        <v>46183</v>
      </c>
      <c r="E338" s="76">
        <v>1610872</v>
      </c>
      <c r="F338" s="76" t="s">
        <v>40</v>
      </c>
      <c r="G338" s="77">
        <v>20007638</v>
      </c>
      <c r="H338" s="76" t="s">
        <v>194</v>
      </c>
      <c r="I338" s="77">
        <v>3</v>
      </c>
      <c r="J338" s="78">
        <v>19.6</v>
      </c>
      <c r="K338" s="78">
        <f t="shared" si="5"/>
        <v>58.8</v>
      </c>
    </row>
    <row r="339" spans="4:11">
      <c r="D339" s="75">
        <v>46183</v>
      </c>
      <c r="E339" s="76">
        <v>1610872</v>
      </c>
      <c r="F339" s="76" t="s">
        <v>40</v>
      </c>
      <c r="G339" s="77">
        <v>20008639</v>
      </c>
      <c r="H339" s="76" t="s">
        <v>195</v>
      </c>
      <c r="I339" s="77">
        <v>2</v>
      </c>
      <c r="J339" s="78">
        <v>17.5</v>
      </c>
      <c r="K339" s="78">
        <f t="shared" si="5"/>
        <v>35</v>
      </c>
    </row>
    <row r="340" spans="4:11">
      <c r="D340" s="75">
        <v>46183</v>
      </c>
      <c r="E340" s="76">
        <v>1610872</v>
      </c>
      <c r="F340" s="76" t="s">
        <v>42</v>
      </c>
      <c r="G340" s="77">
        <v>20395507</v>
      </c>
      <c r="H340" s="76" t="s">
        <v>197</v>
      </c>
      <c r="I340" s="77">
        <v>2</v>
      </c>
      <c r="J340" s="78">
        <v>19.6</v>
      </c>
      <c r="K340" s="78">
        <f t="shared" si="5"/>
        <v>39.2</v>
      </c>
    </row>
    <row r="341" spans="4:11">
      <c r="D341" s="75">
        <v>46183</v>
      </c>
      <c r="E341" s="76">
        <v>1610872</v>
      </c>
      <c r="F341" s="76" t="s">
        <v>42</v>
      </c>
      <c r="G341" s="77">
        <v>20008395</v>
      </c>
      <c r="H341" s="76" t="s">
        <v>218</v>
      </c>
      <c r="I341" s="77">
        <v>1</v>
      </c>
      <c r="J341" s="78">
        <v>19.6</v>
      </c>
      <c r="K341" s="78">
        <f t="shared" si="5"/>
        <v>19.6</v>
      </c>
    </row>
    <row r="342" spans="4:11">
      <c r="D342" s="75">
        <v>46183</v>
      </c>
      <c r="E342" s="76">
        <v>1610873</v>
      </c>
      <c r="F342" s="76" t="s">
        <v>114</v>
      </c>
      <c r="G342" s="77">
        <v>20362791</v>
      </c>
      <c r="H342" s="76" t="s">
        <v>183</v>
      </c>
      <c r="I342" s="77">
        <v>1</v>
      </c>
      <c r="J342" s="78">
        <v>24.5</v>
      </c>
      <c r="K342" s="78">
        <f t="shared" si="5"/>
        <v>24.5</v>
      </c>
    </row>
    <row r="343" spans="4:11">
      <c r="D343" s="75">
        <v>46183</v>
      </c>
      <c r="E343" s="76">
        <v>1611111</v>
      </c>
      <c r="F343" s="76" t="s">
        <v>36</v>
      </c>
      <c r="G343" s="77">
        <v>20006867</v>
      </c>
      <c r="H343" s="76" t="s">
        <v>246</v>
      </c>
      <c r="I343" s="77">
        <v>1</v>
      </c>
      <c r="J343" s="78">
        <v>246.4</v>
      </c>
      <c r="K343" s="78">
        <f t="shared" si="5"/>
        <v>246.4</v>
      </c>
    </row>
    <row r="344" spans="4:11">
      <c r="D344" s="75">
        <v>46183</v>
      </c>
      <c r="E344" s="76">
        <v>1611111</v>
      </c>
      <c r="F344" s="76" t="s">
        <v>36</v>
      </c>
      <c r="G344" s="77">
        <v>20007715</v>
      </c>
      <c r="H344" s="76" t="s">
        <v>247</v>
      </c>
      <c r="I344" s="77">
        <v>4</v>
      </c>
      <c r="J344" s="78">
        <v>180.95</v>
      </c>
      <c r="K344" s="78">
        <f t="shared" si="5"/>
        <v>723.8</v>
      </c>
    </row>
    <row r="345" spans="4:11">
      <c r="D345" s="75">
        <v>46183</v>
      </c>
      <c r="E345" s="76">
        <v>1611111</v>
      </c>
      <c r="F345" s="76" t="s">
        <v>36</v>
      </c>
      <c r="G345" s="77">
        <v>20008128</v>
      </c>
      <c r="H345" s="76" t="s">
        <v>164</v>
      </c>
      <c r="I345" s="77">
        <v>6</v>
      </c>
      <c r="J345" s="78">
        <v>130.9</v>
      </c>
      <c r="K345" s="78">
        <f t="shared" si="5"/>
        <v>785.4</v>
      </c>
    </row>
    <row r="346" spans="4:11">
      <c r="D346" s="75">
        <v>46183</v>
      </c>
      <c r="E346" s="76">
        <v>1611111</v>
      </c>
      <c r="F346" s="76" t="s">
        <v>36</v>
      </c>
      <c r="G346" s="77">
        <v>20306232</v>
      </c>
      <c r="H346" s="76" t="s">
        <v>335</v>
      </c>
      <c r="I346" s="77">
        <v>1</v>
      </c>
      <c r="J346" s="78">
        <v>127.05</v>
      </c>
      <c r="K346" s="78">
        <f t="shared" si="5"/>
        <v>127.05</v>
      </c>
    </row>
    <row r="347" spans="4:11">
      <c r="D347" s="75">
        <v>46183</v>
      </c>
      <c r="E347" s="76">
        <v>1611111</v>
      </c>
      <c r="F347" s="76" t="s">
        <v>36</v>
      </c>
      <c r="G347" s="77">
        <v>20008129</v>
      </c>
      <c r="H347" s="76" t="s">
        <v>336</v>
      </c>
      <c r="I347" s="77">
        <v>1</v>
      </c>
      <c r="J347" s="78">
        <v>196.35</v>
      </c>
      <c r="K347" s="78">
        <f t="shared" si="5"/>
        <v>196.35</v>
      </c>
    </row>
    <row r="348" spans="4:11">
      <c r="D348" s="75">
        <v>46183</v>
      </c>
      <c r="E348" s="76">
        <v>1611111</v>
      </c>
      <c r="F348" s="76" t="s">
        <v>36</v>
      </c>
      <c r="G348" s="77">
        <v>20311037</v>
      </c>
      <c r="H348" s="76" t="s">
        <v>165</v>
      </c>
      <c r="I348" s="77">
        <v>1</v>
      </c>
      <c r="J348" s="78">
        <v>53.55</v>
      </c>
      <c r="K348" s="78">
        <f t="shared" si="5"/>
        <v>53.55</v>
      </c>
    </row>
    <row r="349" ht="24.75" spans="4:11">
      <c r="D349" s="75">
        <v>46183</v>
      </c>
      <c r="E349" s="76">
        <v>1611111</v>
      </c>
      <c r="F349" s="76" t="s">
        <v>238</v>
      </c>
      <c r="G349" s="77">
        <v>20367134</v>
      </c>
      <c r="H349" s="76" t="s">
        <v>335</v>
      </c>
      <c r="I349" s="77">
        <v>1</v>
      </c>
      <c r="J349" s="78">
        <v>207.9</v>
      </c>
      <c r="K349" s="78">
        <f t="shared" si="5"/>
        <v>207.9</v>
      </c>
    </row>
    <row r="350" spans="4:11">
      <c r="D350" s="75">
        <v>46183</v>
      </c>
      <c r="E350" s="76">
        <v>1611111</v>
      </c>
      <c r="F350" s="76" t="s">
        <v>27</v>
      </c>
      <c r="G350" s="77">
        <v>20013068</v>
      </c>
      <c r="H350" s="76" t="s">
        <v>322</v>
      </c>
      <c r="I350" s="77">
        <v>1</v>
      </c>
      <c r="J350" s="78">
        <v>11.55</v>
      </c>
      <c r="K350" s="78">
        <f t="shared" si="5"/>
        <v>11.55</v>
      </c>
    </row>
    <row r="351" spans="4:11">
      <c r="D351" s="75">
        <v>46183</v>
      </c>
      <c r="E351" s="76">
        <v>1611111</v>
      </c>
      <c r="F351" s="76" t="s">
        <v>27</v>
      </c>
      <c r="G351" s="77">
        <v>20330093</v>
      </c>
      <c r="H351" s="76" t="s">
        <v>323</v>
      </c>
      <c r="I351" s="77">
        <v>1</v>
      </c>
      <c r="J351" s="78">
        <v>11.55</v>
      </c>
      <c r="K351" s="78">
        <f t="shared" si="5"/>
        <v>11.55</v>
      </c>
    </row>
    <row r="352" spans="4:11">
      <c r="D352" s="75">
        <v>46183</v>
      </c>
      <c r="E352" s="76">
        <v>1611111</v>
      </c>
      <c r="F352" s="76" t="s">
        <v>27</v>
      </c>
      <c r="G352" s="77">
        <v>20008214</v>
      </c>
      <c r="H352" s="76" t="s">
        <v>123</v>
      </c>
      <c r="I352" s="77">
        <v>10</v>
      </c>
      <c r="J352" s="78">
        <v>11.55</v>
      </c>
      <c r="K352" s="78">
        <f t="shared" si="5"/>
        <v>115.5</v>
      </c>
    </row>
    <row r="353" spans="4:11">
      <c r="D353" s="75">
        <v>46183</v>
      </c>
      <c r="E353" s="76">
        <v>1611111</v>
      </c>
      <c r="F353" s="76" t="s">
        <v>27</v>
      </c>
      <c r="G353" s="77">
        <v>20008345</v>
      </c>
      <c r="H353" s="76" t="s">
        <v>186</v>
      </c>
      <c r="I353" s="77">
        <v>3</v>
      </c>
      <c r="J353" s="78">
        <v>19.25</v>
      </c>
      <c r="K353" s="78">
        <f t="shared" si="5"/>
        <v>57.75</v>
      </c>
    </row>
    <row r="354" spans="4:11">
      <c r="D354" s="75">
        <v>46184</v>
      </c>
      <c r="E354" s="76">
        <v>1611183</v>
      </c>
      <c r="F354" s="76" t="s">
        <v>36</v>
      </c>
      <c r="G354" s="77">
        <v>20007716</v>
      </c>
      <c r="H354" s="76" t="s">
        <v>315</v>
      </c>
      <c r="I354" s="77">
        <v>1</v>
      </c>
      <c r="J354" s="78">
        <v>284.9</v>
      </c>
      <c r="K354" s="78">
        <f t="shared" si="5"/>
        <v>284.9</v>
      </c>
    </row>
    <row r="355" spans="4:11">
      <c r="D355" s="75">
        <v>46184</v>
      </c>
      <c r="E355" s="76">
        <v>1611183</v>
      </c>
      <c r="F355" s="76" t="s">
        <v>15</v>
      </c>
      <c r="G355" s="77">
        <v>20399752</v>
      </c>
      <c r="H355" s="76" t="s">
        <v>306</v>
      </c>
      <c r="I355" s="77">
        <v>1</v>
      </c>
      <c r="J355" s="78">
        <v>9.45</v>
      </c>
      <c r="K355" s="78">
        <f t="shared" si="5"/>
        <v>9.45</v>
      </c>
    </row>
    <row r="356" spans="4:11">
      <c r="D356" s="75">
        <v>46184</v>
      </c>
      <c r="E356" s="76">
        <v>1611183</v>
      </c>
      <c r="F356" s="76" t="s">
        <v>15</v>
      </c>
      <c r="G356" s="77">
        <v>20011204</v>
      </c>
      <c r="H356" s="76" t="s">
        <v>16</v>
      </c>
      <c r="I356" s="77">
        <v>2</v>
      </c>
      <c r="J356" s="78">
        <v>5.6</v>
      </c>
      <c r="K356" s="78">
        <f t="shared" si="5"/>
        <v>11.2</v>
      </c>
    </row>
    <row r="357" spans="4:11">
      <c r="D357" s="75">
        <v>46184</v>
      </c>
      <c r="E357" s="76">
        <v>1611183</v>
      </c>
      <c r="F357" s="76" t="s">
        <v>15</v>
      </c>
      <c r="G357" s="77">
        <v>20012489</v>
      </c>
      <c r="H357" s="76" t="s">
        <v>81</v>
      </c>
      <c r="I357" s="77">
        <v>1</v>
      </c>
      <c r="J357" s="78">
        <v>5.6</v>
      </c>
      <c r="K357" s="78">
        <f t="shared" si="5"/>
        <v>5.6</v>
      </c>
    </row>
    <row r="358" spans="4:11">
      <c r="D358" s="75">
        <v>46184</v>
      </c>
      <c r="E358" s="76">
        <v>1611183</v>
      </c>
      <c r="F358" s="76" t="s">
        <v>15</v>
      </c>
      <c r="G358" s="77">
        <v>20425822</v>
      </c>
      <c r="H358" s="76" t="s">
        <v>249</v>
      </c>
      <c r="I358" s="77">
        <v>1</v>
      </c>
      <c r="J358" s="78">
        <v>5.6</v>
      </c>
      <c r="K358" s="78">
        <f t="shared" si="5"/>
        <v>5.6</v>
      </c>
    </row>
    <row r="359" spans="4:11">
      <c r="D359" s="75">
        <v>46184</v>
      </c>
      <c r="E359" s="76">
        <v>1611183</v>
      </c>
      <c r="F359" s="76" t="s">
        <v>15</v>
      </c>
      <c r="G359" s="77">
        <v>20342373</v>
      </c>
      <c r="H359" s="76" t="s">
        <v>337</v>
      </c>
      <c r="I359" s="77">
        <v>1</v>
      </c>
      <c r="J359" s="78">
        <v>7.7</v>
      </c>
      <c r="K359" s="78">
        <f t="shared" si="5"/>
        <v>7.7</v>
      </c>
    </row>
    <row r="360" spans="4:11">
      <c r="D360" s="75">
        <v>46184</v>
      </c>
      <c r="E360" s="76">
        <v>1611183</v>
      </c>
      <c r="F360" s="76" t="s">
        <v>15</v>
      </c>
      <c r="G360" s="77">
        <v>20413736</v>
      </c>
      <c r="H360" s="76" t="s">
        <v>338</v>
      </c>
      <c r="I360" s="77">
        <v>2</v>
      </c>
      <c r="J360" s="78">
        <v>5.6</v>
      </c>
      <c r="K360" s="78">
        <f t="shared" si="5"/>
        <v>11.2</v>
      </c>
    </row>
    <row r="361" spans="4:11">
      <c r="D361" s="75">
        <v>46184</v>
      </c>
      <c r="E361" s="76">
        <v>1611183</v>
      </c>
      <c r="F361" s="76" t="s">
        <v>15</v>
      </c>
      <c r="G361" s="77">
        <v>20008322</v>
      </c>
      <c r="H361" s="76" t="s">
        <v>17</v>
      </c>
      <c r="I361" s="77">
        <v>1</v>
      </c>
      <c r="J361" s="78">
        <v>5.6</v>
      </c>
      <c r="K361" s="78">
        <f t="shared" si="5"/>
        <v>5.6</v>
      </c>
    </row>
    <row r="362" spans="4:11">
      <c r="D362" s="75">
        <v>46184</v>
      </c>
      <c r="E362" s="76">
        <v>1611183</v>
      </c>
      <c r="F362" s="76" t="s">
        <v>15</v>
      </c>
      <c r="G362" s="77">
        <v>20405158</v>
      </c>
      <c r="H362" s="76" t="s">
        <v>339</v>
      </c>
      <c r="I362" s="77">
        <v>1</v>
      </c>
      <c r="J362" s="78">
        <v>7.7</v>
      </c>
      <c r="K362" s="78">
        <f t="shared" si="5"/>
        <v>7.7</v>
      </c>
    </row>
    <row r="363" spans="4:11">
      <c r="D363" s="75">
        <v>46184</v>
      </c>
      <c r="E363" s="76">
        <v>1611183</v>
      </c>
      <c r="F363" s="76" t="s">
        <v>15</v>
      </c>
      <c r="G363" s="77">
        <v>20421676</v>
      </c>
      <c r="H363" s="76" t="s">
        <v>340</v>
      </c>
      <c r="I363" s="77">
        <v>1</v>
      </c>
      <c r="J363" s="78">
        <v>9.1</v>
      </c>
      <c r="K363" s="78">
        <f t="shared" si="5"/>
        <v>9.1</v>
      </c>
    </row>
    <row r="364" spans="4:11">
      <c r="D364" s="75">
        <v>46184</v>
      </c>
      <c r="E364" s="76">
        <v>1611183</v>
      </c>
      <c r="F364" s="76" t="s">
        <v>15</v>
      </c>
      <c r="G364" s="77">
        <v>20421675</v>
      </c>
      <c r="H364" s="76" t="s">
        <v>341</v>
      </c>
      <c r="I364" s="77">
        <v>1</v>
      </c>
      <c r="J364" s="78">
        <v>9.1</v>
      </c>
      <c r="K364" s="78">
        <f t="shared" si="5"/>
        <v>9.1</v>
      </c>
    </row>
    <row r="365" spans="4:11">
      <c r="D365" s="75">
        <v>46184</v>
      </c>
      <c r="E365" s="76">
        <v>1611183</v>
      </c>
      <c r="F365" s="76" t="s">
        <v>15</v>
      </c>
      <c r="G365" s="77">
        <v>20413745</v>
      </c>
      <c r="H365" s="76" t="s">
        <v>342</v>
      </c>
      <c r="I365" s="77">
        <v>1</v>
      </c>
      <c r="J365" s="78">
        <v>5.6</v>
      </c>
      <c r="K365" s="78">
        <f t="shared" si="5"/>
        <v>5.6</v>
      </c>
    </row>
    <row r="366" spans="4:11">
      <c r="D366" s="75">
        <v>46184</v>
      </c>
      <c r="E366" s="76">
        <v>1611183</v>
      </c>
      <c r="F366" s="76" t="s">
        <v>15</v>
      </c>
      <c r="G366" s="77">
        <v>20008491</v>
      </c>
      <c r="H366" s="76" t="s">
        <v>121</v>
      </c>
      <c r="I366" s="77">
        <v>2</v>
      </c>
      <c r="J366" s="78">
        <v>11.55</v>
      </c>
      <c r="K366" s="78">
        <f t="shared" si="5"/>
        <v>23.1</v>
      </c>
    </row>
    <row r="367" spans="4:11">
      <c r="D367" s="75">
        <v>46184</v>
      </c>
      <c r="E367" s="76">
        <v>1611183</v>
      </c>
      <c r="F367" s="76" t="s">
        <v>15</v>
      </c>
      <c r="G367" s="77">
        <v>20011138</v>
      </c>
      <c r="H367" s="76" t="s">
        <v>298</v>
      </c>
      <c r="I367" s="77">
        <v>3</v>
      </c>
      <c r="J367" s="78">
        <v>11.55</v>
      </c>
      <c r="K367" s="78">
        <f t="shared" si="5"/>
        <v>34.65</v>
      </c>
    </row>
    <row r="368" spans="4:11">
      <c r="D368" s="75">
        <v>46184</v>
      </c>
      <c r="E368" s="76">
        <v>1611183</v>
      </c>
      <c r="F368" s="76" t="s">
        <v>15</v>
      </c>
      <c r="G368" s="77">
        <v>20425054</v>
      </c>
      <c r="H368" s="76" t="s">
        <v>253</v>
      </c>
      <c r="I368" s="77">
        <v>2</v>
      </c>
      <c r="J368" s="78">
        <v>9.1</v>
      </c>
      <c r="K368" s="78">
        <f t="shared" si="5"/>
        <v>18.2</v>
      </c>
    </row>
    <row r="369" spans="4:11">
      <c r="D369" s="75">
        <v>46184</v>
      </c>
      <c r="E369" s="76">
        <v>1611183</v>
      </c>
      <c r="F369" s="76" t="s">
        <v>15</v>
      </c>
      <c r="G369" s="77">
        <v>20008280</v>
      </c>
      <c r="H369" s="76" t="s">
        <v>200</v>
      </c>
      <c r="I369" s="77">
        <v>1</v>
      </c>
      <c r="J369" s="78">
        <v>11.55</v>
      </c>
      <c r="K369" s="78">
        <f t="shared" si="5"/>
        <v>11.55</v>
      </c>
    </row>
    <row r="370" spans="4:11">
      <c r="D370" s="75">
        <v>46184</v>
      </c>
      <c r="E370" s="76">
        <v>1611183</v>
      </c>
      <c r="F370" s="76" t="s">
        <v>114</v>
      </c>
      <c r="G370" s="77">
        <v>20362791</v>
      </c>
      <c r="H370" s="76" t="s">
        <v>183</v>
      </c>
      <c r="I370" s="77">
        <v>1</v>
      </c>
      <c r="J370" s="78">
        <v>24.5</v>
      </c>
      <c r="K370" s="78">
        <f t="shared" si="5"/>
        <v>24.5</v>
      </c>
    </row>
    <row r="371" spans="4:11">
      <c r="D371" s="75">
        <v>46184</v>
      </c>
      <c r="E371" s="76">
        <v>1611183</v>
      </c>
      <c r="F371" s="76" t="s">
        <v>27</v>
      </c>
      <c r="G371" s="77">
        <v>20009014</v>
      </c>
      <c r="H371" s="76" t="s">
        <v>321</v>
      </c>
      <c r="I371" s="77">
        <v>1</v>
      </c>
      <c r="J371" s="78">
        <v>11.55</v>
      </c>
      <c r="K371" s="78">
        <f t="shared" si="5"/>
        <v>11.55</v>
      </c>
    </row>
    <row r="372" spans="4:11">
      <c r="D372" s="75">
        <v>46184</v>
      </c>
      <c r="E372" s="76">
        <v>1611183</v>
      </c>
      <c r="F372" s="76" t="s">
        <v>27</v>
      </c>
      <c r="G372" s="77">
        <v>20376619</v>
      </c>
      <c r="H372" s="76" t="s">
        <v>343</v>
      </c>
      <c r="I372" s="77">
        <v>1</v>
      </c>
      <c r="J372" s="78">
        <v>11.55</v>
      </c>
      <c r="K372" s="78">
        <f t="shared" si="5"/>
        <v>11.55</v>
      </c>
    </row>
    <row r="373" spans="4:11">
      <c r="D373" s="75">
        <v>46184</v>
      </c>
      <c r="E373" s="76">
        <v>1611183</v>
      </c>
      <c r="F373" s="76" t="s">
        <v>27</v>
      </c>
      <c r="G373" s="77">
        <v>20009013</v>
      </c>
      <c r="H373" s="76" t="s">
        <v>324</v>
      </c>
      <c r="I373" s="77">
        <v>1</v>
      </c>
      <c r="J373" s="78">
        <v>11.55</v>
      </c>
      <c r="K373" s="78">
        <f t="shared" si="5"/>
        <v>11.55</v>
      </c>
    </row>
    <row r="374" spans="4:11">
      <c r="D374" s="75">
        <v>46184</v>
      </c>
      <c r="E374" s="76">
        <v>1611183</v>
      </c>
      <c r="F374" s="76" t="s">
        <v>27</v>
      </c>
      <c r="G374" s="77">
        <v>20008214</v>
      </c>
      <c r="H374" s="76" t="s">
        <v>123</v>
      </c>
      <c r="I374" s="77">
        <v>1</v>
      </c>
      <c r="J374" s="78">
        <v>11.55</v>
      </c>
      <c r="K374" s="78">
        <f t="shared" si="5"/>
        <v>11.55</v>
      </c>
    </row>
    <row r="375" spans="4:11">
      <c r="D375" s="75">
        <v>46184</v>
      </c>
      <c r="E375" s="76">
        <v>1611183</v>
      </c>
      <c r="F375" s="76" t="s">
        <v>27</v>
      </c>
      <c r="G375" s="77">
        <v>20008345</v>
      </c>
      <c r="H375" s="76" t="s">
        <v>186</v>
      </c>
      <c r="I375" s="77">
        <v>4</v>
      </c>
      <c r="J375" s="78">
        <v>19.25</v>
      </c>
      <c r="K375" s="78">
        <f t="shared" si="5"/>
        <v>77</v>
      </c>
    </row>
    <row r="376" spans="4:11">
      <c r="D376" s="75">
        <v>46184</v>
      </c>
      <c r="E376" s="76">
        <v>1611183</v>
      </c>
      <c r="F376" s="76" t="s">
        <v>52</v>
      </c>
      <c r="G376" s="77">
        <v>20419979</v>
      </c>
      <c r="H376" s="76" t="s">
        <v>344</v>
      </c>
      <c r="I376" s="77">
        <v>6</v>
      </c>
      <c r="J376" s="78">
        <v>1.75</v>
      </c>
      <c r="K376" s="78">
        <f t="shared" ref="K376:K439" si="6">J376*I376</f>
        <v>10.5</v>
      </c>
    </row>
    <row r="377" spans="4:11">
      <c r="D377" s="75">
        <v>46184</v>
      </c>
      <c r="E377" s="76">
        <v>1611209</v>
      </c>
      <c r="F377" s="76" t="s">
        <v>40</v>
      </c>
      <c r="G377" s="77">
        <v>20338493</v>
      </c>
      <c r="H377" s="76" t="s">
        <v>332</v>
      </c>
      <c r="I377" s="77">
        <v>2</v>
      </c>
      <c r="J377" s="78">
        <v>17.5</v>
      </c>
      <c r="K377" s="78">
        <f t="shared" si="6"/>
        <v>35</v>
      </c>
    </row>
    <row r="378" spans="4:11">
      <c r="D378" s="75">
        <v>46184</v>
      </c>
      <c r="E378" s="76">
        <v>1611209</v>
      </c>
      <c r="F378" s="76" t="s">
        <v>40</v>
      </c>
      <c r="G378" s="77">
        <v>20429160</v>
      </c>
      <c r="H378" s="76" t="s">
        <v>333</v>
      </c>
      <c r="I378" s="77">
        <v>1</v>
      </c>
      <c r="J378" s="78">
        <v>19.6</v>
      </c>
      <c r="K378" s="78">
        <f t="shared" si="6"/>
        <v>19.6</v>
      </c>
    </row>
    <row r="379" spans="4:11">
      <c r="D379" s="75">
        <v>46184</v>
      </c>
      <c r="E379" s="76">
        <v>1611209</v>
      </c>
      <c r="F379" s="76" t="s">
        <v>40</v>
      </c>
      <c r="G379" s="77">
        <v>20313974</v>
      </c>
      <c r="H379" s="76" t="s">
        <v>301</v>
      </c>
      <c r="I379" s="77">
        <v>1</v>
      </c>
      <c r="J379" s="78">
        <v>30.8</v>
      </c>
      <c r="K379" s="78">
        <f t="shared" si="6"/>
        <v>30.8</v>
      </c>
    </row>
    <row r="380" spans="4:11">
      <c r="D380" s="75">
        <v>46184</v>
      </c>
      <c r="E380" s="76">
        <v>1611209</v>
      </c>
      <c r="F380" s="76" t="s">
        <v>40</v>
      </c>
      <c r="G380" s="77">
        <v>20006853</v>
      </c>
      <c r="H380" s="76" t="s">
        <v>189</v>
      </c>
      <c r="I380" s="77">
        <v>1</v>
      </c>
      <c r="J380" s="78">
        <v>24.5</v>
      </c>
      <c r="K380" s="78">
        <f t="shared" si="6"/>
        <v>24.5</v>
      </c>
    </row>
    <row r="381" spans="4:11">
      <c r="D381" s="75">
        <v>46184</v>
      </c>
      <c r="E381" s="76">
        <v>1611209</v>
      </c>
      <c r="F381" s="76" t="s">
        <v>40</v>
      </c>
      <c r="G381" s="77">
        <v>20328214</v>
      </c>
      <c r="H381" s="76" t="s">
        <v>345</v>
      </c>
      <c r="I381" s="77">
        <v>1</v>
      </c>
      <c r="J381" s="78">
        <v>46.2</v>
      </c>
      <c r="K381" s="78">
        <f t="shared" si="6"/>
        <v>46.2</v>
      </c>
    </row>
    <row r="382" spans="4:11">
      <c r="D382" s="75">
        <v>46184</v>
      </c>
      <c r="E382" s="76">
        <v>1611209</v>
      </c>
      <c r="F382" s="76" t="s">
        <v>40</v>
      </c>
      <c r="G382" s="77">
        <v>20388302</v>
      </c>
      <c r="H382" s="76" t="s">
        <v>284</v>
      </c>
      <c r="I382" s="77">
        <v>1</v>
      </c>
      <c r="J382" s="78">
        <v>24.5</v>
      </c>
      <c r="K382" s="78">
        <f t="shared" si="6"/>
        <v>24.5</v>
      </c>
    </row>
    <row r="383" spans="4:11">
      <c r="D383" s="75">
        <v>46184</v>
      </c>
      <c r="E383" s="76">
        <v>1611209</v>
      </c>
      <c r="F383" s="76" t="s">
        <v>40</v>
      </c>
      <c r="G383" s="77">
        <v>20400917</v>
      </c>
      <c r="H383" s="76" t="s">
        <v>190</v>
      </c>
      <c r="I383" s="77">
        <v>1</v>
      </c>
      <c r="J383" s="78">
        <v>17.5</v>
      </c>
      <c r="K383" s="78">
        <f t="shared" si="6"/>
        <v>17.5</v>
      </c>
    </row>
    <row r="384" spans="4:11">
      <c r="D384" s="75">
        <v>46184</v>
      </c>
      <c r="E384" s="76">
        <v>1611209</v>
      </c>
      <c r="F384" s="76" t="s">
        <v>40</v>
      </c>
      <c r="G384" s="77">
        <v>20399832</v>
      </c>
      <c r="H384" s="76" t="s">
        <v>346</v>
      </c>
      <c r="I384" s="77">
        <v>2</v>
      </c>
      <c r="J384" s="78">
        <v>24.5</v>
      </c>
      <c r="K384" s="78">
        <f t="shared" si="6"/>
        <v>49</v>
      </c>
    </row>
    <row r="385" spans="4:11">
      <c r="D385" s="75">
        <v>46184</v>
      </c>
      <c r="E385" s="76">
        <v>1611209</v>
      </c>
      <c r="F385" s="76" t="s">
        <v>40</v>
      </c>
      <c r="G385" s="77">
        <v>20007639</v>
      </c>
      <c r="H385" s="76" t="s">
        <v>193</v>
      </c>
      <c r="I385" s="77">
        <v>1</v>
      </c>
      <c r="J385" s="78">
        <v>19.6</v>
      </c>
      <c r="K385" s="78">
        <f t="shared" si="6"/>
        <v>19.6</v>
      </c>
    </row>
    <row r="386" spans="4:11">
      <c r="D386" s="75">
        <v>46184</v>
      </c>
      <c r="E386" s="76">
        <v>1611209</v>
      </c>
      <c r="F386" s="76" t="s">
        <v>40</v>
      </c>
      <c r="G386" s="77">
        <v>20009272</v>
      </c>
      <c r="H386" s="76" t="s">
        <v>303</v>
      </c>
      <c r="I386" s="77">
        <v>2</v>
      </c>
      <c r="J386" s="78">
        <v>19.6</v>
      </c>
      <c r="K386" s="78">
        <f t="shared" si="6"/>
        <v>39.2</v>
      </c>
    </row>
    <row r="387" spans="4:11">
      <c r="D387" s="75">
        <v>46184</v>
      </c>
      <c r="E387" s="76">
        <v>1611209</v>
      </c>
      <c r="F387" s="76" t="s">
        <v>40</v>
      </c>
      <c r="G387" s="77">
        <v>20007638</v>
      </c>
      <c r="H387" s="76" t="s">
        <v>194</v>
      </c>
      <c r="I387" s="77">
        <v>1</v>
      </c>
      <c r="J387" s="78">
        <v>19.6</v>
      </c>
      <c r="K387" s="78">
        <f t="shared" si="6"/>
        <v>19.6</v>
      </c>
    </row>
    <row r="388" spans="4:11">
      <c r="D388" s="75">
        <v>46184</v>
      </c>
      <c r="E388" s="76">
        <v>1611209</v>
      </c>
      <c r="F388" s="76" t="s">
        <v>40</v>
      </c>
      <c r="G388" s="77">
        <v>20008639</v>
      </c>
      <c r="H388" s="76" t="s">
        <v>195</v>
      </c>
      <c r="I388" s="77">
        <v>1</v>
      </c>
      <c r="J388" s="78">
        <v>17.5</v>
      </c>
      <c r="K388" s="78">
        <f t="shared" si="6"/>
        <v>17.5</v>
      </c>
    </row>
    <row r="389" spans="4:11">
      <c r="D389" s="75">
        <v>46184</v>
      </c>
      <c r="E389" s="76">
        <v>1611209</v>
      </c>
      <c r="F389" s="76" t="s">
        <v>42</v>
      </c>
      <c r="G389" s="77">
        <v>20395507</v>
      </c>
      <c r="H389" s="76" t="s">
        <v>197</v>
      </c>
      <c r="I389" s="77">
        <v>1</v>
      </c>
      <c r="J389" s="78">
        <v>19.6</v>
      </c>
      <c r="K389" s="78">
        <f t="shared" si="6"/>
        <v>19.6</v>
      </c>
    </row>
    <row r="390" spans="4:11">
      <c r="D390" s="75">
        <v>46184</v>
      </c>
      <c r="E390" s="76">
        <v>1611209</v>
      </c>
      <c r="F390" s="76" t="s">
        <v>42</v>
      </c>
      <c r="G390" s="77">
        <v>20012907</v>
      </c>
      <c r="H390" s="76" t="s">
        <v>347</v>
      </c>
      <c r="I390" s="77">
        <v>1</v>
      </c>
      <c r="J390" s="78">
        <v>19.6</v>
      </c>
      <c r="K390" s="78">
        <f t="shared" si="6"/>
        <v>19.6</v>
      </c>
    </row>
    <row r="391" spans="4:11">
      <c r="D391" s="75">
        <v>46184</v>
      </c>
      <c r="E391" s="76">
        <v>1611209</v>
      </c>
      <c r="F391" s="76" t="s">
        <v>42</v>
      </c>
      <c r="G391" s="77">
        <v>20421830</v>
      </c>
      <c r="H391" s="76" t="s">
        <v>348</v>
      </c>
      <c r="I391" s="77">
        <v>1</v>
      </c>
      <c r="J391" s="78">
        <v>61.6</v>
      </c>
      <c r="K391" s="78">
        <f t="shared" si="6"/>
        <v>61.6</v>
      </c>
    </row>
    <row r="392" spans="4:11">
      <c r="D392" s="75">
        <v>46184</v>
      </c>
      <c r="E392" s="76">
        <v>1611311</v>
      </c>
      <c r="F392" s="76" t="s">
        <v>15</v>
      </c>
      <c r="G392" s="77">
        <v>20012799</v>
      </c>
      <c r="H392" s="76" t="s">
        <v>349</v>
      </c>
      <c r="I392" s="77">
        <v>1</v>
      </c>
      <c r="J392" s="78">
        <v>11.55</v>
      </c>
      <c r="K392" s="78">
        <f t="shared" si="6"/>
        <v>11.55</v>
      </c>
    </row>
    <row r="393" spans="4:11">
      <c r="D393" s="75">
        <v>46185</v>
      </c>
      <c r="E393" s="76">
        <v>1611612</v>
      </c>
      <c r="F393" s="76" t="s">
        <v>36</v>
      </c>
      <c r="G393" s="77">
        <v>20007716</v>
      </c>
      <c r="H393" s="76" t="s">
        <v>315</v>
      </c>
      <c r="I393" s="77">
        <v>1</v>
      </c>
      <c r="J393" s="78">
        <v>284.9</v>
      </c>
      <c r="K393" s="78">
        <f t="shared" si="6"/>
        <v>284.9</v>
      </c>
    </row>
    <row r="394" spans="4:11">
      <c r="D394" s="75">
        <v>46185</v>
      </c>
      <c r="E394" s="76">
        <v>1611612</v>
      </c>
      <c r="F394" s="76" t="s">
        <v>36</v>
      </c>
      <c r="G394" s="77">
        <v>20006867</v>
      </c>
      <c r="H394" s="76" t="s">
        <v>246</v>
      </c>
      <c r="I394" s="77">
        <v>2</v>
      </c>
      <c r="J394" s="78">
        <v>246.4</v>
      </c>
      <c r="K394" s="78">
        <f t="shared" si="6"/>
        <v>492.8</v>
      </c>
    </row>
    <row r="395" spans="4:11">
      <c r="D395" s="75">
        <v>46185</v>
      </c>
      <c r="E395" s="76">
        <v>1611612</v>
      </c>
      <c r="F395" s="76" t="s">
        <v>36</v>
      </c>
      <c r="G395" s="77">
        <v>20007715</v>
      </c>
      <c r="H395" s="76" t="s">
        <v>247</v>
      </c>
      <c r="I395" s="77">
        <v>1</v>
      </c>
      <c r="J395" s="78">
        <v>180.95</v>
      </c>
      <c r="K395" s="78">
        <f t="shared" si="6"/>
        <v>180.95</v>
      </c>
    </row>
    <row r="396" spans="4:11">
      <c r="D396" s="75">
        <v>46185</v>
      </c>
      <c r="E396" s="76">
        <v>1611612</v>
      </c>
      <c r="F396" s="76" t="s">
        <v>36</v>
      </c>
      <c r="G396" s="77">
        <v>20008129</v>
      </c>
      <c r="H396" s="76" t="s">
        <v>336</v>
      </c>
      <c r="I396" s="77">
        <v>2</v>
      </c>
      <c r="J396" s="78">
        <v>196.35</v>
      </c>
      <c r="K396" s="78">
        <f t="shared" si="6"/>
        <v>392.7</v>
      </c>
    </row>
    <row r="397" spans="4:11">
      <c r="D397" s="75">
        <v>46185</v>
      </c>
      <c r="E397" s="76">
        <v>1611612</v>
      </c>
      <c r="F397" s="76" t="s">
        <v>36</v>
      </c>
      <c r="G397" s="77">
        <v>20311037</v>
      </c>
      <c r="H397" s="76" t="s">
        <v>165</v>
      </c>
      <c r="I397" s="77">
        <v>2</v>
      </c>
      <c r="J397" s="78">
        <v>53.55</v>
      </c>
      <c r="K397" s="78">
        <f t="shared" si="6"/>
        <v>107.1</v>
      </c>
    </row>
    <row r="398" spans="4:11">
      <c r="D398" s="75">
        <v>46185</v>
      </c>
      <c r="E398" s="76">
        <v>1611612</v>
      </c>
      <c r="F398" s="76" t="s">
        <v>15</v>
      </c>
      <c r="G398" s="77">
        <v>20012489</v>
      </c>
      <c r="H398" s="76" t="s">
        <v>81</v>
      </c>
      <c r="I398" s="77">
        <v>2</v>
      </c>
      <c r="J398" s="78">
        <v>5.6</v>
      </c>
      <c r="K398" s="78">
        <f t="shared" si="6"/>
        <v>11.2</v>
      </c>
    </row>
    <row r="399" spans="4:11">
      <c r="D399" s="75">
        <v>46185</v>
      </c>
      <c r="E399" s="76">
        <v>1611612</v>
      </c>
      <c r="F399" s="76" t="s">
        <v>15</v>
      </c>
      <c r="G399" s="77">
        <v>20009534</v>
      </c>
      <c r="H399" s="76" t="s">
        <v>327</v>
      </c>
      <c r="I399" s="77">
        <v>1</v>
      </c>
      <c r="J399" s="78">
        <v>9.45</v>
      </c>
      <c r="K399" s="78">
        <f t="shared" si="6"/>
        <v>9.45</v>
      </c>
    </row>
    <row r="400" spans="4:11">
      <c r="D400" s="75">
        <v>46185</v>
      </c>
      <c r="E400" s="76">
        <v>1611612</v>
      </c>
      <c r="F400" s="76" t="s">
        <v>15</v>
      </c>
      <c r="G400" s="77">
        <v>20009483</v>
      </c>
      <c r="H400" s="76" t="s">
        <v>51</v>
      </c>
      <c r="I400" s="77">
        <v>1</v>
      </c>
      <c r="J400" s="78">
        <v>7.7</v>
      </c>
      <c r="K400" s="78">
        <f t="shared" si="6"/>
        <v>7.7</v>
      </c>
    </row>
    <row r="401" spans="4:11">
      <c r="D401" s="75">
        <v>46185</v>
      </c>
      <c r="E401" s="76">
        <v>1611612</v>
      </c>
      <c r="F401" s="76" t="s">
        <v>15</v>
      </c>
      <c r="G401" s="77">
        <v>20008491</v>
      </c>
      <c r="H401" s="76" t="s">
        <v>121</v>
      </c>
      <c r="I401" s="77">
        <v>2</v>
      </c>
      <c r="J401" s="78">
        <v>11.55</v>
      </c>
      <c r="K401" s="78">
        <f t="shared" si="6"/>
        <v>23.1</v>
      </c>
    </row>
    <row r="402" spans="4:11">
      <c r="D402" s="75">
        <v>46185</v>
      </c>
      <c r="E402" s="76">
        <v>1611612</v>
      </c>
      <c r="F402" s="76" t="s">
        <v>15</v>
      </c>
      <c r="G402" s="77">
        <v>20008204</v>
      </c>
      <c r="H402" s="76" t="s">
        <v>122</v>
      </c>
      <c r="I402" s="77">
        <v>1</v>
      </c>
      <c r="J402" s="78">
        <v>9.45</v>
      </c>
      <c r="K402" s="78">
        <f t="shared" si="6"/>
        <v>9.45</v>
      </c>
    </row>
    <row r="403" spans="4:11">
      <c r="D403" s="75">
        <v>46185</v>
      </c>
      <c r="E403" s="76">
        <v>1611612</v>
      </c>
      <c r="F403" s="76" t="s">
        <v>15</v>
      </c>
      <c r="G403" s="77">
        <v>20011138</v>
      </c>
      <c r="H403" s="76" t="s">
        <v>298</v>
      </c>
      <c r="I403" s="77">
        <v>1</v>
      </c>
      <c r="J403" s="78">
        <v>11.55</v>
      </c>
      <c r="K403" s="78">
        <f t="shared" si="6"/>
        <v>11.55</v>
      </c>
    </row>
    <row r="404" spans="4:11">
      <c r="D404" s="75">
        <v>46185</v>
      </c>
      <c r="E404" s="76">
        <v>1611612</v>
      </c>
      <c r="F404" s="76" t="s">
        <v>15</v>
      </c>
      <c r="G404" s="77">
        <v>20425054</v>
      </c>
      <c r="H404" s="76" t="s">
        <v>253</v>
      </c>
      <c r="I404" s="77">
        <v>2</v>
      </c>
      <c r="J404" s="78">
        <v>9.1</v>
      </c>
      <c r="K404" s="78">
        <f t="shared" si="6"/>
        <v>18.2</v>
      </c>
    </row>
    <row r="405" spans="4:11">
      <c r="D405" s="75">
        <v>46185</v>
      </c>
      <c r="E405" s="76">
        <v>1611612</v>
      </c>
      <c r="F405" s="76" t="s">
        <v>15</v>
      </c>
      <c r="G405" s="77">
        <v>20008280</v>
      </c>
      <c r="H405" s="76" t="s">
        <v>200</v>
      </c>
      <c r="I405" s="77">
        <v>1</v>
      </c>
      <c r="J405" s="78">
        <v>11.55</v>
      </c>
      <c r="K405" s="78">
        <f t="shared" si="6"/>
        <v>11.55</v>
      </c>
    </row>
    <row r="406" spans="4:11">
      <c r="D406" s="75">
        <v>46185</v>
      </c>
      <c r="E406" s="76">
        <v>1611612</v>
      </c>
      <c r="F406" s="76" t="s">
        <v>114</v>
      </c>
      <c r="G406" s="77">
        <v>20362791</v>
      </c>
      <c r="H406" s="76" t="s">
        <v>183</v>
      </c>
      <c r="I406" s="77">
        <v>1</v>
      </c>
      <c r="J406" s="78">
        <v>24.5</v>
      </c>
      <c r="K406" s="78">
        <f t="shared" si="6"/>
        <v>24.5</v>
      </c>
    </row>
    <row r="407" spans="4:11">
      <c r="D407" s="75">
        <v>46185</v>
      </c>
      <c r="E407" s="76">
        <v>1611612</v>
      </c>
      <c r="F407" s="76" t="s">
        <v>27</v>
      </c>
      <c r="G407" s="77">
        <v>20013068</v>
      </c>
      <c r="H407" s="76" t="s">
        <v>322</v>
      </c>
      <c r="I407" s="77">
        <v>1</v>
      </c>
      <c r="J407" s="78">
        <v>11.55</v>
      </c>
      <c r="K407" s="78">
        <f t="shared" si="6"/>
        <v>11.55</v>
      </c>
    </row>
    <row r="408" spans="4:11">
      <c r="D408" s="75">
        <v>46185</v>
      </c>
      <c r="E408" s="76">
        <v>1611612</v>
      </c>
      <c r="F408" s="76" t="s">
        <v>27</v>
      </c>
      <c r="G408" s="77">
        <v>20008214</v>
      </c>
      <c r="H408" s="76" t="s">
        <v>123</v>
      </c>
      <c r="I408" s="77">
        <v>8</v>
      </c>
      <c r="J408" s="78">
        <v>11.55</v>
      </c>
      <c r="K408" s="78">
        <f t="shared" si="6"/>
        <v>92.4</v>
      </c>
    </row>
    <row r="409" spans="4:11">
      <c r="D409" s="75">
        <v>46185</v>
      </c>
      <c r="E409" s="76">
        <v>1611612</v>
      </c>
      <c r="F409" s="76" t="s">
        <v>27</v>
      </c>
      <c r="G409" s="77">
        <v>20008345</v>
      </c>
      <c r="H409" s="76" t="s">
        <v>186</v>
      </c>
      <c r="I409" s="77">
        <v>4</v>
      </c>
      <c r="J409" s="78">
        <v>19.25</v>
      </c>
      <c r="K409" s="78">
        <f t="shared" si="6"/>
        <v>77</v>
      </c>
    </row>
    <row r="410" spans="4:11">
      <c r="D410" s="75">
        <v>46185</v>
      </c>
      <c r="E410" s="76">
        <v>1611612</v>
      </c>
      <c r="F410" s="76" t="s">
        <v>27</v>
      </c>
      <c r="G410" s="77">
        <v>20326347</v>
      </c>
      <c r="H410" s="76" t="s">
        <v>350</v>
      </c>
      <c r="I410" s="77">
        <v>1</v>
      </c>
      <c r="J410" s="78">
        <v>11.55</v>
      </c>
      <c r="K410" s="78">
        <f t="shared" si="6"/>
        <v>11.55</v>
      </c>
    </row>
    <row r="411" spans="4:11">
      <c r="D411" s="75">
        <v>46185</v>
      </c>
      <c r="E411" s="76">
        <v>1611625</v>
      </c>
      <c r="F411" s="76" t="s">
        <v>40</v>
      </c>
      <c r="G411" s="77">
        <v>20348232</v>
      </c>
      <c r="H411" s="76" t="s">
        <v>351</v>
      </c>
      <c r="I411" s="77">
        <v>1</v>
      </c>
      <c r="J411" s="78">
        <v>46.2</v>
      </c>
      <c r="K411" s="78">
        <f t="shared" si="6"/>
        <v>46.2</v>
      </c>
    </row>
    <row r="412" spans="4:11">
      <c r="D412" s="75">
        <v>46185</v>
      </c>
      <c r="E412" s="76">
        <v>1611625</v>
      </c>
      <c r="F412" s="76" t="s">
        <v>40</v>
      </c>
      <c r="G412" s="77">
        <v>20365916</v>
      </c>
      <c r="H412" s="76" t="s">
        <v>187</v>
      </c>
      <c r="I412" s="77">
        <v>1</v>
      </c>
      <c r="J412" s="78">
        <v>61.6</v>
      </c>
      <c r="K412" s="78">
        <f t="shared" si="6"/>
        <v>61.6</v>
      </c>
    </row>
    <row r="413" spans="4:11">
      <c r="D413" s="75">
        <v>46185</v>
      </c>
      <c r="E413" s="76">
        <v>1611625</v>
      </c>
      <c r="F413" s="76" t="s">
        <v>40</v>
      </c>
      <c r="G413" s="77">
        <v>20008885</v>
      </c>
      <c r="H413" s="76" t="s">
        <v>305</v>
      </c>
      <c r="I413" s="77">
        <v>5</v>
      </c>
      <c r="J413" s="78">
        <v>24.5</v>
      </c>
      <c r="K413" s="78">
        <f t="shared" si="6"/>
        <v>122.5</v>
      </c>
    </row>
    <row r="414" spans="4:11">
      <c r="D414" s="75">
        <v>46185</v>
      </c>
      <c r="E414" s="76">
        <v>1611625</v>
      </c>
      <c r="F414" s="76" t="s">
        <v>40</v>
      </c>
      <c r="G414" s="77">
        <v>20429160</v>
      </c>
      <c r="H414" s="76" t="s">
        <v>333</v>
      </c>
      <c r="I414" s="77">
        <v>1</v>
      </c>
      <c r="J414" s="78">
        <v>19.6</v>
      </c>
      <c r="K414" s="78">
        <f t="shared" si="6"/>
        <v>19.6</v>
      </c>
    </row>
    <row r="415" spans="4:11">
      <c r="D415" s="75">
        <v>46185</v>
      </c>
      <c r="E415" s="76">
        <v>1611625</v>
      </c>
      <c r="F415" s="76" t="s">
        <v>40</v>
      </c>
      <c r="G415" s="77">
        <v>20008623</v>
      </c>
      <c r="H415" s="76" t="s">
        <v>188</v>
      </c>
      <c r="I415" s="77">
        <v>1</v>
      </c>
      <c r="J415" s="78">
        <v>15.4</v>
      </c>
      <c r="K415" s="78">
        <f t="shared" si="6"/>
        <v>15.4</v>
      </c>
    </row>
    <row r="416" spans="4:11">
      <c r="D416" s="75">
        <v>46185</v>
      </c>
      <c r="E416" s="76">
        <v>1611625</v>
      </c>
      <c r="F416" s="76" t="s">
        <v>40</v>
      </c>
      <c r="G416" s="77">
        <v>20007633</v>
      </c>
      <c r="H416" s="76" t="s">
        <v>74</v>
      </c>
      <c r="I416" s="77">
        <v>1</v>
      </c>
      <c r="J416" s="78">
        <v>24.5</v>
      </c>
      <c r="K416" s="78">
        <f t="shared" si="6"/>
        <v>24.5</v>
      </c>
    </row>
    <row r="417" spans="4:11">
      <c r="D417" s="75">
        <v>46185</v>
      </c>
      <c r="E417" s="76">
        <v>1611625</v>
      </c>
      <c r="F417" s="76" t="s">
        <v>40</v>
      </c>
      <c r="G417" s="77">
        <v>20388302</v>
      </c>
      <c r="H417" s="76" t="s">
        <v>284</v>
      </c>
      <c r="I417" s="77">
        <v>3</v>
      </c>
      <c r="J417" s="78">
        <v>24.5</v>
      </c>
      <c r="K417" s="78">
        <f t="shared" si="6"/>
        <v>73.5</v>
      </c>
    </row>
    <row r="418" spans="4:11">
      <c r="D418" s="75">
        <v>46185</v>
      </c>
      <c r="E418" s="76">
        <v>1611625</v>
      </c>
      <c r="F418" s="76" t="s">
        <v>40</v>
      </c>
      <c r="G418" s="77">
        <v>20006863</v>
      </c>
      <c r="H418" s="76" t="s">
        <v>41</v>
      </c>
      <c r="I418" s="77">
        <v>1</v>
      </c>
      <c r="J418" s="78">
        <v>24.5</v>
      </c>
      <c r="K418" s="78">
        <f t="shared" si="6"/>
        <v>24.5</v>
      </c>
    </row>
    <row r="419" spans="4:11">
      <c r="D419" s="75">
        <v>46185</v>
      </c>
      <c r="E419" s="76">
        <v>1611625</v>
      </c>
      <c r="F419" s="76" t="s">
        <v>40</v>
      </c>
      <c r="G419" s="77">
        <v>20335399</v>
      </c>
      <c r="H419" s="76" t="s">
        <v>196</v>
      </c>
      <c r="I419" s="77">
        <v>1</v>
      </c>
      <c r="J419" s="78">
        <v>61.6</v>
      </c>
      <c r="K419" s="78">
        <f t="shared" si="6"/>
        <v>61.6</v>
      </c>
    </row>
    <row r="420" spans="4:11">
      <c r="D420" s="75">
        <v>46185</v>
      </c>
      <c r="E420" s="76">
        <v>1611625</v>
      </c>
      <c r="F420" s="76" t="s">
        <v>42</v>
      </c>
      <c r="G420" s="77">
        <v>20008378</v>
      </c>
      <c r="H420" s="76" t="s">
        <v>352</v>
      </c>
      <c r="I420" s="77">
        <v>1</v>
      </c>
      <c r="J420" s="78">
        <v>19.6</v>
      </c>
      <c r="K420" s="78">
        <f t="shared" si="6"/>
        <v>19.6</v>
      </c>
    </row>
    <row r="421" spans="4:11">
      <c r="D421" s="75">
        <v>46185</v>
      </c>
      <c r="E421" s="76">
        <v>1611625</v>
      </c>
      <c r="F421" s="76" t="s">
        <v>42</v>
      </c>
      <c r="G421" s="77">
        <v>20390423</v>
      </c>
      <c r="H421" s="76" t="s">
        <v>75</v>
      </c>
      <c r="I421" s="77">
        <v>1</v>
      </c>
      <c r="J421" s="78">
        <v>19.6</v>
      </c>
      <c r="K421" s="78">
        <f t="shared" si="6"/>
        <v>19.6</v>
      </c>
    </row>
    <row r="422" spans="4:11">
      <c r="D422" s="75">
        <v>46185</v>
      </c>
      <c r="E422" s="76">
        <v>1611625</v>
      </c>
      <c r="F422" s="76" t="s">
        <v>42</v>
      </c>
      <c r="G422" s="77">
        <v>20013036</v>
      </c>
      <c r="H422" s="76" t="s">
        <v>201</v>
      </c>
      <c r="I422" s="77">
        <v>1</v>
      </c>
      <c r="J422" s="78">
        <v>30.8</v>
      </c>
      <c r="K422" s="78">
        <f t="shared" si="6"/>
        <v>30.8</v>
      </c>
    </row>
    <row r="423" spans="4:11">
      <c r="D423" s="75">
        <v>46185</v>
      </c>
      <c r="E423" s="76">
        <v>1611705</v>
      </c>
      <c r="F423" s="76" t="s">
        <v>36</v>
      </c>
      <c r="G423" s="77">
        <v>20329313</v>
      </c>
      <c r="H423" s="76" t="s">
        <v>162</v>
      </c>
      <c r="I423" s="77">
        <v>1</v>
      </c>
      <c r="J423" s="78">
        <v>107.8</v>
      </c>
      <c r="K423" s="78">
        <f t="shared" si="6"/>
        <v>107.8</v>
      </c>
    </row>
    <row r="424" spans="4:11">
      <c r="D424" s="75">
        <v>46185</v>
      </c>
      <c r="E424" s="76">
        <v>1611705</v>
      </c>
      <c r="F424" s="76" t="s">
        <v>36</v>
      </c>
      <c r="G424" s="77">
        <v>20008341</v>
      </c>
      <c r="H424" s="76" t="s">
        <v>163</v>
      </c>
      <c r="I424" s="77">
        <v>1</v>
      </c>
      <c r="J424" s="78">
        <v>157.85</v>
      </c>
      <c r="K424" s="78">
        <f t="shared" si="6"/>
        <v>157.85</v>
      </c>
    </row>
    <row r="425" spans="4:11">
      <c r="D425" s="75">
        <v>46185</v>
      </c>
      <c r="E425" s="76">
        <v>1611705</v>
      </c>
      <c r="F425" s="76" t="s">
        <v>36</v>
      </c>
      <c r="G425" s="77">
        <v>20325851</v>
      </c>
      <c r="H425" s="76" t="s">
        <v>353</v>
      </c>
      <c r="I425" s="77">
        <v>1</v>
      </c>
      <c r="J425" s="78">
        <v>150.15</v>
      </c>
      <c r="K425" s="78">
        <f t="shared" si="6"/>
        <v>150.15</v>
      </c>
    </row>
    <row r="426" spans="4:11">
      <c r="D426" s="75">
        <v>46185</v>
      </c>
      <c r="E426" s="76">
        <v>1611705</v>
      </c>
      <c r="F426" s="76" t="s">
        <v>15</v>
      </c>
      <c r="G426" s="77">
        <v>20011204</v>
      </c>
      <c r="H426" s="76" t="s">
        <v>16</v>
      </c>
      <c r="I426" s="77">
        <v>1</v>
      </c>
      <c r="J426" s="78">
        <v>5.6</v>
      </c>
      <c r="K426" s="78">
        <f t="shared" si="6"/>
        <v>5.6</v>
      </c>
    </row>
    <row r="427" spans="4:11">
      <c r="D427" s="75">
        <v>46185</v>
      </c>
      <c r="E427" s="76">
        <v>1611705</v>
      </c>
      <c r="F427" s="76" t="s">
        <v>15</v>
      </c>
      <c r="G427" s="77">
        <v>20340574</v>
      </c>
      <c r="H427" s="76" t="s">
        <v>175</v>
      </c>
      <c r="I427" s="77">
        <v>1</v>
      </c>
      <c r="J427" s="78">
        <v>5.6</v>
      </c>
      <c r="K427" s="78">
        <f t="shared" si="6"/>
        <v>5.6</v>
      </c>
    </row>
    <row r="428" spans="4:11">
      <c r="D428" s="75">
        <v>46185</v>
      </c>
      <c r="E428" s="76">
        <v>1611705</v>
      </c>
      <c r="F428" s="76" t="s">
        <v>27</v>
      </c>
      <c r="G428" s="77">
        <v>20008214</v>
      </c>
      <c r="H428" s="76" t="s">
        <v>123</v>
      </c>
      <c r="I428" s="77">
        <v>2</v>
      </c>
      <c r="J428" s="78">
        <v>11.55</v>
      </c>
      <c r="K428" s="78">
        <f t="shared" si="6"/>
        <v>23.1</v>
      </c>
    </row>
    <row r="429" spans="4:11">
      <c r="D429" s="75">
        <v>46185</v>
      </c>
      <c r="E429" s="76">
        <v>1611705</v>
      </c>
      <c r="F429" s="76" t="s">
        <v>27</v>
      </c>
      <c r="G429" s="77">
        <v>20013952</v>
      </c>
      <c r="H429" s="76" t="s">
        <v>294</v>
      </c>
      <c r="I429" s="77">
        <v>1</v>
      </c>
      <c r="J429" s="78">
        <v>11.55</v>
      </c>
      <c r="K429" s="78">
        <f t="shared" si="6"/>
        <v>11.55</v>
      </c>
    </row>
    <row r="430" spans="4:11">
      <c r="D430" s="75">
        <v>46185</v>
      </c>
      <c r="E430" s="76">
        <v>1611705</v>
      </c>
      <c r="F430" s="76" t="s">
        <v>27</v>
      </c>
      <c r="G430" s="77">
        <v>20012460</v>
      </c>
      <c r="H430" s="76" t="s">
        <v>185</v>
      </c>
      <c r="I430" s="77">
        <v>1</v>
      </c>
      <c r="J430" s="78">
        <v>11.55</v>
      </c>
      <c r="K430" s="78">
        <f t="shared" si="6"/>
        <v>11.55</v>
      </c>
    </row>
    <row r="431" spans="4:11">
      <c r="D431" s="75">
        <v>46185</v>
      </c>
      <c r="E431" s="76">
        <v>1611705</v>
      </c>
      <c r="F431" s="76" t="s">
        <v>27</v>
      </c>
      <c r="G431" s="77">
        <v>20008345</v>
      </c>
      <c r="H431" s="76" t="s">
        <v>186</v>
      </c>
      <c r="I431" s="77">
        <v>1</v>
      </c>
      <c r="J431" s="78">
        <v>19.25</v>
      </c>
      <c r="K431" s="78">
        <f t="shared" si="6"/>
        <v>19.25</v>
      </c>
    </row>
    <row r="432" spans="4:11">
      <c r="D432" s="75">
        <v>46185</v>
      </c>
      <c r="E432" s="76">
        <v>1611705</v>
      </c>
      <c r="F432" s="76" t="s">
        <v>27</v>
      </c>
      <c r="G432" s="77">
        <v>20013916</v>
      </c>
      <c r="H432" s="76" t="s">
        <v>354</v>
      </c>
      <c r="I432" s="77">
        <v>1</v>
      </c>
      <c r="J432" s="78">
        <v>11.55</v>
      </c>
      <c r="K432" s="78">
        <f t="shared" si="6"/>
        <v>11.55</v>
      </c>
    </row>
    <row r="433" spans="4:11">
      <c r="D433" s="75">
        <v>46185</v>
      </c>
      <c r="E433" s="76">
        <v>1611885</v>
      </c>
      <c r="F433" s="76" t="s">
        <v>36</v>
      </c>
      <c r="G433" s="77">
        <v>20006867</v>
      </c>
      <c r="H433" s="76" t="s">
        <v>246</v>
      </c>
      <c r="I433" s="77">
        <v>2</v>
      </c>
      <c r="J433" s="78">
        <v>246.4</v>
      </c>
      <c r="K433" s="78">
        <f t="shared" si="6"/>
        <v>492.8</v>
      </c>
    </row>
    <row r="434" spans="4:11">
      <c r="D434" s="75">
        <v>46185</v>
      </c>
      <c r="E434" s="76">
        <v>1611885</v>
      </c>
      <c r="F434" s="76" t="s">
        <v>36</v>
      </c>
      <c r="G434" s="77">
        <v>20007715</v>
      </c>
      <c r="H434" s="76" t="s">
        <v>247</v>
      </c>
      <c r="I434" s="77">
        <v>2</v>
      </c>
      <c r="J434" s="78">
        <v>180.95</v>
      </c>
      <c r="K434" s="78">
        <f t="shared" si="6"/>
        <v>361.9</v>
      </c>
    </row>
    <row r="435" spans="4:11">
      <c r="D435" s="75">
        <v>46185</v>
      </c>
      <c r="E435" s="76">
        <v>1611885</v>
      </c>
      <c r="F435" s="76" t="s">
        <v>36</v>
      </c>
      <c r="G435" s="77">
        <v>20008128</v>
      </c>
      <c r="H435" s="76" t="s">
        <v>164</v>
      </c>
      <c r="I435" s="77">
        <v>2</v>
      </c>
      <c r="J435" s="78">
        <v>130.9</v>
      </c>
      <c r="K435" s="78">
        <f t="shared" si="6"/>
        <v>261.8</v>
      </c>
    </row>
    <row r="436" spans="4:11">
      <c r="D436" s="75">
        <v>46185</v>
      </c>
      <c r="E436" s="76">
        <v>1611885</v>
      </c>
      <c r="F436" s="76" t="s">
        <v>36</v>
      </c>
      <c r="G436" s="77">
        <v>20311037</v>
      </c>
      <c r="H436" s="76" t="s">
        <v>165</v>
      </c>
      <c r="I436" s="77">
        <v>1</v>
      </c>
      <c r="J436" s="78">
        <v>53.55</v>
      </c>
      <c r="K436" s="78">
        <f t="shared" si="6"/>
        <v>53.55</v>
      </c>
    </row>
    <row r="437" spans="4:11">
      <c r="D437" s="75">
        <v>46185</v>
      </c>
      <c r="E437" s="76">
        <v>1611885</v>
      </c>
      <c r="F437" s="76" t="s">
        <v>15</v>
      </c>
      <c r="G437" s="77">
        <v>20399752</v>
      </c>
      <c r="H437" s="76" t="s">
        <v>306</v>
      </c>
      <c r="I437" s="77">
        <v>1</v>
      </c>
      <c r="J437" s="78">
        <v>9.45</v>
      </c>
      <c r="K437" s="78">
        <f t="shared" si="6"/>
        <v>9.45</v>
      </c>
    </row>
    <row r="438" spans="4:11">
      <c r="D438" s="75">
        <v>46185</v>
      </c>
      <c r="E438" s="76">
        <v>1611885</v>
      </c>
      <c r="F438" s="76" t="s">
        <v>15</v>
      </c>
      <c r="G438" s="77">
        <v>20011204</v>
      </c>
      <c r="H438" s="76" t="s">
        <v>16</v>
      </c>
      <c r="I438" s="77">
        <v>1</v>
      </c>
      <c r="J438" s="78">
        <v>5.6</v>
      </c>
      <c r="K438" s="78">
        <f t="shared" si="6"/>
        <v>5.6</v>
      </c>
    </row>
    <row r="439" spans="4:11">
      <c r="D439" s="75">
        <v>46185</v>
      </c>
      <c r="E439" s="76">
        <v>1611885</v>
      </c>
      <c r="F439" s="76" t="s">
        <v>15</v>
      </c>
      <c r="G439" s="77">
        <v>20009534</v>
      </c>
      <c r="H439" s="76" t="s">
        <v>327</v>
      </c>
      <c r="I439" s="77">
        <v>1</v>
      </c>
      <c r="J439" s="78">
        <v>9.45</v>
      </c>
      <c r="K439" s="78">
        <f t="shared" si="6"/>
        <v>9.45</v>
      </c>
    </row>
    <row r="440" spans="4:11">
      <c r="D440" s="75">
        <v>46185</v>
      </c>
      <c r="E440" s="76">
        <v>1611885</v>
      </c>
      <c r="F440" s="76" t="s">
        <v>15</v>
      </c>
      <c r="G440" s="77">
        <v>20376042</v>
      </c>
      <c r="H440" s="76" t="s">
        <v>252</v>
      </c>
      <c r="I440" s="77">
        <v>2</v>
      </c>
      <c r="J440" s="78">
        <v>5.6</v>
      </c>
      <c r="K440" s="78">
        <f t="shared" ref="K440:K503" si="7">J440*I440</f>
        <v>11.2</v>
      </c>
    </row>
    <row r="441" spans="4:11">
      <c r="D441" s="75">
        <v>46185</v>
      </c>
      <c r="E441" s="76">
        <v>1611885</v>
      </c>
      <c r="F441" s="76" t="s">
        <v>15</v>
      </c>
      <c r="G441" s="77">
        <v>20425056</v>
      </c>
      <c r="H441" s="76" t="s">
        <v>355</v>
      </c>
      <c r="I441" s="77">
        <v>1</v>
      </c>
      <c r="J441" s="78">
        <v>7.7</v>
      </c>
      <c r="K441" s="78">
        <f t="shared" si="7"/>
        <v>7.7</v>
      </c>
    </row>
    <row r="442" spans="4:11">
      <c r="D442" s="75">
        <v>46185</v>
      </c>
      <c r="E442" s="76">
        <v>1611885</v>
      </c>
      <c r="F442" s="76" t="s">
        <v>15</v>
      </c>
      <c r="G442" s="77">
        <v>20417765</v>
      </c>
      <c r="H442" s="76" t="s">
        <v>297</v>
      </c>
      <c r="I442" s="77">
        <v>1</v>
      </c>
      <c r="J442" s="78">
        <v>5.6</v>
      </c>
      <c r="K442" s="78">
        <f t="shared" si="7"/>
        <v>5.6</v>
      </c>
    </row>
    <row r="443" spans="4:11">
      <c r="D443" s="75">
        <v>46185</v>
      </c>
      <c r="E443" s="76">
        <v>1611885</v>
      </c>
      <c r="F443" s="76" t="s">
        <v>15</v>
      </c>
      <c r="G443" s="77">
        <v>20008491</v>
      </c>
      <c r="H443" s="76" t="s">
        <v>121</v>
      </c>
      <c r="I443" s="77">
        <v>1</v>
      </c>
      <c r="J443" s="78">
        <v>11.55</v>
      </c>
      <c r="K443" s="78">
        <f t="shared" si="7"/>
        <v>11.55</v>
      </c>
    </row>
    <row r="444" spans="4:11">
      <c r="D444" s="75">
        <v>46185</v>
      </c>
      <c r="E444" s="76">
        <v>1611885</v>
      </c>
      <c r="F444" s="76" t="s">
        <v>15</v>
      </c>
      <c r="G444" s="77">
        <v>20413904</v>
      </c>
      <c r="H444" s="76" t="s">
        <v>356</v>
      </c>
      <c r="I444" s="77">
        <v>3</v>
      </c>
      <c r="J444" s="78">
        <v>11.55</v>
      </c>
      <c r="K444" s="78">
        <f t="shared" si="7"/>
        <v>34.65</v>
      </c>
    </row>
    <row r="445" spans="4:11">
      <c r="D445" s="75">
        <v>46185</v>
      </c>
      <c r="E445" s="76">
        <v>1611885</v>
      </c>
      <c r="F445" s="76" t="s">
        <v>15</v>
      </c>
      <c r="G445" s="77">
        <v>20425054</v>
      </c>
      <c r="H445" s="76" t="s">
        <v>253</v>
      </c>
      <c r="I445" s="77">
        <v>2</v>
      </c>
      <c r="J445" s="78">
        <v>9.1</v>
      </c>
      <c r="K445" s="78">
        <f t="shared" si="7"/>
        <v>18.2</v>
      </c>
    </row>
    <row r="446" spans="4:11">
      <c r="D446" s="75">
        <v>46185</v>
      </c>
      <c r="E446" s="76">
        <v>1611885</v>
      </c>
      <c r="F446" s="76" t="s">
        <v>114</v>
      </c>
      <c r="G446" s="77">
        <v>20362791</v>
      </c>
      <c r="H446" s="76" t="s">
        <v>183</v>
      </c>
      <c r="I446" s="77">
        <v>1</v>
      </c>
      <c r="J446" s="78">
        <v>24.5</v>
      </c>
      <c r="K446" s="78">
        <f t="shared" si="7"/>
        <v>24.5</v>
      </c>
    </row>
    <row r="447" spans="4:11">
      <c r="D447" s="75">
        <v>46185</v>
      </c>
      <c r="E447" s="76">
        <v>1611885</v>
      </c>
      <c r="F447" s="76" t="s">
        <v>27</v>
      </c>
      <c r="G447" s="77">
        <v>20008214</v>
      </c>
      <c r="H447" s="76" t="s">
        <v>123</v>
      </c>
      <c r="I447" s="77">
        <v>2</v>
      </c>
      <c r="J447" s="78">
        <v>11.55</v>
      </c>
      <c r="K447" s="78">
        <f t="shared" si="7"/>
        <v>23.1</v>
      </c>
    </row>
    <row r="448" spans="4:11">
      <c r="D448" s="75">
        <v>46185</v>
      </c>
      <c r="E448" s="76">
        <v>1611885</v>
      </c>
      <c r="F448" s="76" t="s">
        <v>27</v>
      </c>
      <c r="G448" s="77">
        <v>20008345</v>
      </c>
      <c r="H448" s="76" t="s">
        <v>186</v>
      </c>
      <c r="I448" s="77">
        <v>3</v>
      </c>
      <c r="J448" s="78">
        <v>19.25</v>
      </c>
      <c r="K448" s="78">
        <f t="shared" si="7"/>
        <v>57.75</v>
      </c>
    </row>
    <row r="449" spans="4:11">
      <c r="D449" s="75">
        <v>46185</v>
      </c>
      <c r="E449" s="76">
        <v>1611899</v>
      </c>
      <c r="F449" s="76" t="s">
        <v>27</v>
      </c>
      <c r="G449" s="77">
        <v>20008214</v>
      </c>
      <c r="H449" s="76" t="s">
        <v>123</v>
      </c>
      <c r="I449" s="77">
        <v>2</v>
      </c>
      <c r="J449" s="78">
        <v>11.55</v>
      </c>
      <c r="K449" s="78">
        <f t="shared" si="7"/>
        <v>23.1</v>
      </c>
    </row>
    <row r="450" spans="4:11">
      <c r="D450" s="75">
        <v>46185</v>
      </c>
      <c r="E450" s="76">
        <v>1611920</v>
      </c>
      <c r="F450" s="76" t="s">
        <v>15</v>
      </c>
      <c r="G450" s="77">
        <v>20393771</v>
      </c>
      <c r="H450" s="76" t="s">
        <v>357</v>
      </c>
      <c r="I450" s="77">
        <v>1</v>
      </c>
      <c r="J450" s="78">
        <v>7.7</v>
      </c>
      <c r="K450" s="78">
        <f t="shared" si="7"/>
        <v>7.7</v>
      </c>
    </row>
    <row r="451" spans="4:11">
      <c r="D451" s="75">
        <v>46185</v>
      </c>
      <c r="E451" s="76">
        <v>1611936</v>
      </c>
      <c r="F451" s="76" t="s">
        <v>40</v>
      </c>
      <c r="G451" s="77">
        <v>20322516</v>
      </c>
      <c r="H451" s="76" t="s">
        <v>358</v>
      </c>
      <c r="I451" s="77">
        <v>1</v>
      </c>
      <c r="J451" s="78">
        <v>30.8</v>
      </c>
      <c r="K451" s="78">
        <f t="shared" si="7"/>
        <v>30.8</v>
      </c>
    </row>
    <row r="452" spans="4:11">
      <c r="D452" s="75">
        <v>46185</v>
      </c>
      <c r="E452" s="76">
        <v>1611936</v>
      </c>
      <c r="F452" s="76" t="s">
        <v>40</v>
      </c>
      <c r="G452" s="77">
        <v>20403403</v>
      </c>
      <c r="H452" s="76" t="s">
        <v>359</v>
      </c>
      <c r="I452" s="77">
        <v>1</v>
      </c>
      <c r="J452" s="78">
        <v>61.6</v>
      </c>
      <c r="K452" s="78">
        <f t="shared" si="7"/>
        <v>61.6</v>
      </c>
    </row>
    <row r="453" spans="4:11">
      <c r="D453" s="75">
        <v>46185</v>
      </c>
      <c r="E453" s="76">
        <v>1611936</v>
      </c>
      <c r="F453" s="76" t="s">
        <v>40</v>
      </c>
      <c r="G453" s="77">
        <v>20370992</v>
      </c>
      <c r="H453" s="76" t="s">
        <v>330</v>
      </c>
      <c r="I453" s="77">
        <v>1</v>
      </c>
      <c r="J453" s="78">
        <v>24.5</v>
      </c>
      <c r="K453" s="78">
        <f t="shared" si="7"/>
        <v>24.5</v>
      </c>
    </row>
    <row r="454" spans="4:11">
      <c r="D454" s="75">
        <v>46185</v>
      </c>
      <c r="E454" s="76">
        <v>1611936</v>
      </c>
      <c r="F454" s="76" t="s">
        <v>40</v>
      </c>
      <c r="G454" s="77">
        <v>20007567</v>
      </c>
      <c r="H454" s="76" t="s">
        <v>331</v>
      </c>
      <c r="I454" s="77">
        <v>2</v>
      </c>
      <c r="J454" s="78">
        <v>17.5</v>
      </c>
      <c r="K454" s="78">
        <f t="shared" si="7"/>
        <v>35</v>
      </c>
    </row>
    <row r="455" spans="4:11">
      <c r="D455" s="75">
        <v>46185</v>
      </c>
      <c r="E455" s="76">
        <v>1611936</v>
      </c>
      <c r="F455" s="76" t="s">
        <v>40</v>
      </c>
      <c r="G455" s="77">
        <v>20338493</v>
      </c>
      <c r="H455" s="76" t="s">
        <v>332</v>
      </c>
      <c r="I455" s="77">
        <v>3</v>
      </c>
      <c r="J455" s="78">
        <v>17.5</v>
      </c>
      <c r="K455" s="78">
        <f t="shared" si="7"/>
        <v>52.5</v>
      </c>
    </row>
    <row r="456" spans="4:11">
      <c r="D456" s="75">
        <v>46185</v>
      </c>
      <c r="E456" s="76">
        <v>1611936</v>
      </c>
      <c r="F456" s="76" t="s">
        <v>40</v>
      </c>
      <c r="G456" s="77">
        <v>20313974</v>
      </c>
      <c r="H456" s="76" t="s">
        <v>301</v>
      </c>
      <c r="I456" s="77">
        <v>2</v>
      </c>
      <c r="J456" s="78">
        <v>30.8</v>
      </c>
      <c r="K456" s="78">
        <f t="shared" si="7"/>
        <v>61.6</v>
      </c>
    </row>
    <row r="457" spans="4:11">
      <c r="D457" s="75">
        <v>46185</v>
      </c>
      <c r="E457" s="76">
        <v>1611936</v>
      </c>
      <c r="F457" s="76" t="s">
        <v>40</v>
      </c>
      <c r="G457" s="77">
        <v>20006853</v>
      </c>
      <c r="H457" s="76" t="s">
        <v>189</v>
      </c>
      <c r="I457" s="77">
        <v>2</v>
      </c>
      <c r="J457" s="78">
        <v>24.5</v>
      </c>
      <c r="K457" s="78">
        <f t="shared" si="7"/>
        <v>49</v>
      </c>
    </row>
    <row r="458" spans="4:11">
      <c r="D458" s="75">
        <v>46185</v>
      </c>
      <c r="E458" s="76">
        <v>1611936</v>
      </c>
      <c r="F458" s="76" t="s">
        <v>40</v>
      </c>
      <c r="G458" s="77">
        <v>20388302</v>
      </c>
      <c r="H458" s="76" t="s">
        <v>284</v>
      </c>
      <c r="I458" s="77">
        <v>2</v>
      </c>
      <c r="J458" s="78">
        <v>24.5</v>
      </c>
      <c r="K458" s="78">
        <f t="shared" si="7"/>
        <v>49</v>
      </c>
    </row>
    <row r="459" spans="4:11">
      <c r="D459" s="75">
        <v>46185</v>
      </c>
      <c r="E459" s="76">
        <v>1611936</v>
      </c>
      <c r="F459" s="76" t="s">
        <v>40</v>
      </c>
      <c r="G459" s="77">
        <v>20400917</v>
      </c>
      <c r="H459" s="76" t="s">
        <v>190</v>
      </c>
      <c r="I459" s="77">
        <v>2</v>
      </c>
      <c r="J459" s="78">
        <v>17.5</v>
      </c>
      <c r="K459" s="78">
        <f t="shared" si="7"/>
        <v>35</v>
      </c>
    </row>
    <row r="460" spans="4:11">
      <c r="D460" s="75">
        <v>46185</v>
      </c>
      <c r="E460" s="76">
        <v>1611936</v>
      </c>
      <c r="F460" s="76" t="s">
        <v>40</v>
      </c>
      <c r="G460" s="77">
        <v>20012182</v>
      </c>
      <c r="H460" s="76" t="s">
        <v>213</v>
      </c>
      <c r="I460" s="77">
        <v>5</v>
      </c>
      <c r="J460" s="78">
        <v>19.6</v>
      </c>
      <c r="K460" s="78">
        <f t="shared" si="7"/>
        <v>98</v>
      </c>
    </row>
    <row r="461" spans="4:11">
      <c r="D461" s="75">
        <v>46185</v>
      </c>
      <c r="E461" s="76">
        <v>1611936</v>
      </c>
      <c r="F461" s="76" t="s">
        <v>40</v>
      </c>
      <c r="G461" s="77">
        <v>20008203</v>
      </c>
      <c r="H461" s="76" t="s">
        <v>360</v>
      </c>
      <c r="I461" s="77">
        <v>1</v>
      </c>
      <c r="J461" s="78">
        <v>19.6</v>
      </c>
      <c r="K461" s="78">
        <f t="shared" si="7"/>
        <v>19.6</v>
      </c>
    </row>
    <row r="462" spans="4:11">
      <c r="D462" s="75">
        <v>46185</v>
      </c>
      <c r="E462" s="76">
        <v>1611936</v>
      </c>
      <c r="F462" s="76" t="s">
        <v>40</v>
      </c>
      <c r="G462" s="77">
        <v>20348167</v>
      </c>
      <c r="H462" s="76" t="s">
        <v>314</v>
      </c>
      <c r="I462" s="77">
        <v>1</v>
      </c>
      <c r="J462" s="78">
        <v>61.6</v>
      </c>
      <c r="K462" s="78">
        <f t="shared" si="7"/>
        <v>61.6</v>
      </c>
    </row>
    <row r="463" spans="4:11">
      <c r="D463" s="75">
        <v>46185</v>
      </c>
      <c r="E463" s="76">
        <v>1611936</v>
      </c>
      <c r="F463" s="76" t="s">
        <v>40</v>
      </c>
      <c r="G463" s="77">
        <v>20300196</v>
      </c>
      <c r="H463" s="76" t="s">
        <v>302</v>
      </c>
      <c r="I463" s="77">
        <v>1</v>
      </c>
      <c r="J463" s="78">
        <v>30.8</v>
      </c>
      <c r="K463" s="78">
        <f t="shared" si="7"/>
        <v>30.8</v>
      </c>
    </row>
    <row r="464" spans="4:11">
      <c r="D464" s="75">
        <v>46185</v>
      </c>
      <c r="E464" s="76">
        <v>1611936</v>
      </c>
      <c r="F464" s="76" t="s">
        <v>40</v>
      </c>
      <c r="G464" s="77">
        <v>20007639</v>
      </c>
      <c r="H464" s="76" t="s">
        <v>193</v>
      </c>
      <c r="I464" s="77">
        <v>3</v>
      </c>
      <c r="J464" s="78">
        <v>19.6</v>
      </c>
      <c r="K464" s="78">
        <f t="shared" si="7"/>
        <v>58.8</v>
      </c>
    </row>
    <row r="465" spans="4:11">
      <c r="D465" s="75">
        <v>46185</v>
      </c>
      <c r="E465" s="76">
        <v>1611936</v>
      </c>
      <c r="F465" s="76" t="s">
        <v>40</v>
      </c>
      <c r="G465" s="77">
        <v>20009272</v>
      </c>
      <c r="H465" s="76" t="s">
        <v>303</v>
      </c>
      <c r="I465" s="77">
        <v>2</v>
      </c>
      <c r="J465" s="78">
        <v>19.6</v>
      </c>
      <c r="K465" s="78">
        <f t="shared" si="7"/>
        <v>39.2</v>
      </c>
    </row>
    <row r="466" spans="4:11">
      <c r="D466" s="75">
        <v>46185</v>
      </c>
      <c r="E466" s="76">
        <v>1611936</v>
      </c>
      <c r="F466" s="76" t="s">
        <v>40</v>
      </c>
      <c r="G466" s="77">
        <v>20007638</v>
      </c>
      <c r="H466" s="76" t="s">
        <v>194</v>
      </c>
      <c r="I466" s="77">
        <v>2</v>
      </c>
      <c r="J466" s="78">
        <v>19.6</v>
      </c>
      <c r="K466" s="78">
        <f t="shared" si="7"/>
        <v>39.2</v>
      </c>
    </row>
    <row r="467" spans="4:11">
      <c r="D467" s="75">
        <v>46185</v>
      </c>
      <c r="E467" s="76">
        <v>1611936</v>
      </c>
      <c r="F467" s="76" t="s">
        <v>40</v>
      </c>
      <c r="G467" s="77">
        <v>20008639</v>
      </c>
      <c r="H467" s="76" t="s">
        <v>195</v>
      </c>
      <c r="I467" s="77">
        <v>2</v>
      </c>
      <c r="J467" s="78">
        <v>17.5</v>
      </c>
      <c r="K467" s="78">
        <f t="shared" si="7"/>
        <v>35</v>
      </c>
    </row>
    <row r="468" spans="4:11">
      <c r="D468" s="75">
        <v>46185</v>
      </c>
      <c r="E468" s="76">
        <v>1611936</v>
      </c>
      <c r="F468" s="76" t="s">
        <v>40</v>
      </c>
      <c r="G468" s="77">
        <v>20008383</v>
      </c>
      <c r="H468" s="76" t="s">
        <v>361</v>
      </c>
      <c r="I468" s="77">
        <v>1</v>
      </c>
      <c r="J468" s="78">
        <v>61.6</v>
      </c>
      <c r="K468" s="78">
        <f t="shared" si="7"/>
        <v>61.6</v>
      </c>
    </row>
    <row r="469" spans="4:11">
      <c r="D469" s="75">
        <v>46185</v>
      </c>
      <c r="E469" s="76">
        <v>1611936</v>
      </c>
      <c r="F469" s="76" t="s">
        <v>42</v>
      </c>
      <c r="G469" s="77">
        <v>20395507</v>
      </c>
      <c r="H469" s="76" t="s">
        <v>197</v>
      </c>
      <c r="I469" s="77">
        <v>2</v>
      </c>
      <c r="J469" s="78">
        <v>19.6</v>
      </c>
      <c r="K469" s="78">
        <f t="shared" si="7"/>
        <v>39.2</v>
      </c>
    </row>
    <row r="470" spans="4:11">
      <c r="D470" s="75">
        <v>46185</v>
      </c>
      <c r="E470" s="76">
        <v>1611936</v>
      </c>
      <c r="F470" s="76" t="s">
        <v>42</v>
      </c>
      <c r="G470" s="77">
        <v>20012368</v>
      </c>
      <c r="H470" s="76" t="s">
        <v>362</v>
      </c>
      <c r="I470" s="77">
        <v>1</v>
      </c>
      <c r="J470" s="78">
        <v>19.6</v>
      </c>
      <c r="K470" s="78">
        <f t="shared" si="7"/>
        <v>19.6</v>
      </c>
    </row>
    <row r="471" spans="4:11">
      <c r="D471" s="75">
        <v>46187</v>
      </c>
      <c r="E471" s="76">
        <v>1612082</v>
      </c>
      <c r="F471" s="76" t="s">
        <v>36</v>
      </c>
      <c r="G471" s="77">
        <v>20008128</v>
      </c>
      <c r="H471" s="76" t="s">
        <v>164</v>
      </c>
      <c r="I471" s="77">
        <v>2</v>
      </c>
      <c r="J471" s="78">
        <v>130.9</v>
      </c>
      <c r="K471" s="78">
        <f t="shared" si="7"/>
        <v>261.8</v>
      </c>
    </row>
    <row r="472" spans="4:11">
      <c r="D472" s="75">
        <v>46187</v>
      </c>
      <c r="E472" s="76">
        <v>1612082</v>
      </c>
      <c r="F472" s="76" t="s">
        <v>36</v>
      </c>
      <c r="G472" s="77">
        <v>20353489</v>
      </c>
      <c r="H472" s="76" t="s">
        <v>289</v>
      </c>
      <c r="I472" s="77">
        <v>1</v>
      </c>
      <c r="J472" s="78">
        <v>111.65</v>
      </c>
      <c r="K472" s="78">
        <f t="shared" si="7"/>
        <v>111.65</v>
      </c>
    </row>
    <row r="473" spans="4:11">
      <c r="D473" s="75">
        <v>46187</v>
      </c>
      <c r="E473" s="76">
        <v>1612082</v>
      </c>
      <c r="F473" s="76" t="s">
        <v>36</v>
      </c>
      <c r="G473" s="77">
        <v>20311037</v>
      </c>
      <c r="H473" s="76" t="s">
        <v>165</v>
      </c>
      <c r="I473" s="77">
        <v>1</v>
      </c>
      <c r="J473" s="78">
        <v>53.55</v>
      </c>
      <c r="K473" s="78">
        <f t="shared" si="7"/>
        <v>53.55</v>
      </c>
    </row>
    <row r="474" spans="4:11">
      <c r="D474" s="75">
        <v>46187</v>
      </c>
      <c r="E474" s="76">
        <v>1612082</v>
      </c>
      <c r="F474" s="76" t="s">
        <v>15</v>
      </c>
      <c r="G474" s="77">
        <v>20008196</v>
      </c>
      <c r="H474" s="76" t="s">
        <v>363</v>
      </c>
      <c r="I474" s="77">
        <v>1</v>
      </c>
      <c r="J474" s="78">
        <v>7.7</v>
      </c>
      <c r="K474" s="78">
        <f t="shared" si="7"/>
        <v>7.7</v>
      </c>
    </row>
    <row r="475" spans="4:11">
      <c r="D475" s="75">
        <v>46187</v>
      </c>
      <c r="E475" s="76">
        <v>1612082</v>
      </c>
      <c r="F475" s="76" t="s">
        <v>15</v>
      </c>
      <c r="G475" s="77">
        <v>20429633</v>
      </c>
      <c r="H475" s="76" t="s">
        <v>364</v>
      </c>
      <c r="I475" s="77">
        <v>3</v>
      </c>
      <c r="J475" s="78">
        <v>5.6</v>
      </c>
      <c r="K475" s="78">
        <f t="shared" si="7"/>
        <v>16.8</v>
      </c>
    </row>
    <row r="476" spans="4:11">
      <c r="D476" s="75">
        <v>46187</v>
      </c>
      <c r="E476" s="76">
        <v>1612082</v>
      </c>
      <c r="F476" s="76" t="s">
        <v>15</v>
      </c>
      <c r="G476" s="77">
        <v>20008204</v>
      </c>
      <c r="H476" s="76" t="s">
        <v>122</v>
      </c>
      <c r="I476" s="77">
        <v>1</v>
      </c>
      <c r="J476" s="78">
        <v>9.45</v>
      </c>
      <c r="K476" s="78">
        <f t="shared" si="7"/>
        <v>9.45</v>
      </c>
    </row>
    <row r="477" ht="24.75" spans="4:11">
      <c r="D477" s="75">
        <v>46187</v>
      </c>
      <c r="E477" s="76">
        <v>1612082</v>
      </c>
      <c r="F477" s="76" t="s">
        <v>292</v>
      </c>
      <c r="G477" s="77">
        <v>20333154</v>
      </c>
      <c r="H477" s="76" t="s">
        <v>293</v>
      </c>
      <c r="I477" s="77">
        <v>1</v>
      </c>
      <c r="J477" s="78">
        <v>140</v>
      </c>
      <c r="K477" s="78">
        <f t="shared" si="7"/>
        <v>140</v>
      </c>
    </row>
    <row r="478" spans="4:11">
      <c r="D478" s="75">
        <v>46187</v>
      </c>
      <c r="E478" s="76">
        <v>1612082</v>
      </c>
      <c r="F478" s="76" t="s">
        <v>27</v>
      </c>
      <c r="G478" s="77">
        <v>20008214</v>
      </c>
      <c r="H478" s="76" t="s">
        <v>123</v>
      </c>
      <c r="I478" s="77">
        <v>2</v>
      </c>
      <c r="J478" s="78">
        <v>11.55</v>
      </c>
      <c r="K478" s="78">
        <f t="shared" si="7"/>
        <v>23.1</v>
      </c>
    </row>
    <row r="479" spans="4:11">
      <c r="D479" s="75">
        <v>46187</v>
      </c>
      <c r="E479" s="76">
        <v>1612082</v>
      </c>
      <c r="F479" s="76" t="s">
        <v>27</v>
      </c>
      <c r="G479" s="77">
        <v>20014802</v>
      </c>
      <c r="H479" s="76" t="s">
        <v>365</v>
      </c>
      <c r="I479" s="77">
        <v>1</v>
      </c>
      <c r="J479" s="78">
        <v>11.55</v>
      </c>
      <c r="K479" s="78">
        <f t="shared" si="7"/>
        <v>11.55</v>
      </c>
    </row>
    <row r="480" spans="4:11">
      <c r="D480" s="75">
        <v>46187</v>
      </c>
      <c r="E480" s="76">
        <v>1612082</v>
      </c>
      <c r="F480" s="76" t="s">
        <v>27</v>
      </c>
      <c r="G480" s="77">
        <v>20008345</v>
      </c>
      <c r="H480" s="76" t="s">
        <v>186</v>
      </c>
      <c r="I480" s="77">
        <v>1</v>
      </c>
      <c r="J480" s="78">
        <v>19.25</v>
      </c>
      <c r="K480" s="78">
        <f t="shared" si="7"/>
        <v>19.25</v>
      </c>
    </row>
    <row r="481" spans="4:11">
      <c r="D481" s="75">
        <v>46187</v>
      </c>
      <c r="E481" s="76">
        <v>1612082</v>
      </c>
      <c r="F481" s="76" t="s">
        <v>27</v>
      </c>
      <c r="G481" s="77">
        <v>20013916</v>
      </c>
      <c r="H481" s="76" t="s">
        <v>354</v>
      </c>
      <c r="I481" s="77">
        <v>1</v>
      </c>
      <c r="J481" s="78">
        <v>11.55</v>
      </c>
      <c r="K481" s="78">
        <f t="shared" si="7"/>
        <v>11.55</v>
      </c>
    </row>
    <row r="482" spans="4:11">
      <c r="D482" s="75">
        <v>46187</v>
      </c>
      <c r="E482" s="76">
        <v>1612104</v>
      </c>
      <c r="F482" s="76" t="s">
        <v>40</v>
      </c>
      <c r="G482" s="77">
        <v>20338493</v>
      </c>
      <c r="H482" s="76" t="s">
        <v>332</v>
      </c>
      <c r="I482" s="77">
        <v>3</v>
      </c>
      <c r="J482" s="78">
        <v>17.5</v>
      </c>
      <c r="K482" s="78">
        <f t="shared" si="7"/>
        <v>52.5</v>
      </c>
    </row>
    <row r="483" spans="4:11">
      <c r="D483" s="75">
        <v>46187</v>
      </c>
      <c r="E483" s="76">
        <v>1612104</v>
      </c>
      <c r="F483" s="76" t="s">
        <v>40</v>
      </c>
      <c r="G483" s="77">
        <v>20313974</v>
      </c>
      <c r="H483" s="76" t="s">
        <v>301</v>
      </c>
      <c r="I483" s="77">
        <v>1</v>
      </c>
      <c r="J483" s="78">
        <v>30.8</v>
      </c>
      <c r="K483" s="78">
        <f t="shared" si="7"/>
        <v>30.8</v>
      </c>
    </row>
    <row r="484" spans="4:11">
      <c r="D484" s="75">
        <v>46187</v>
      </c>
      <c r="E484" s="76">
        <v>1612104</v>
      </c>
      <c r="F484" s="76" t="s">
        <v>40</v>
      </c>
      <c r="G484" s="77">
        <v>20006853</v>
      </c>
      <c r="H484" s="76" t="s">
        <v>189</v>
      </c>
      <c r="I484" s="77">
        <v>1</v>
      </c>
      <c r="J484" s="78">
        <v>24.5</v>
      </c>
      <c r="K484" s="78">
        <f t="shared" si="7"/>
        <v>24.5</v>
      </c>
    </row>
    <row r="485" spans="4:11">
      <c r="D485" s="75">
        <v>46187</v>
      </c>
      <c r="E485" s="76">
        <v>1612104</v>
      </c>
      <c r="F485" s="76" t="s">
        <v>40</v>
      </c>
      <c r="G485" s="77">
        <v>20006864</v>
      </c>
      <c r="H485" s="76" t="s">
        <v>312</v>
      </c>
      <c r="I485" s="77">
        <v>1</v>
      </c>
      <c r="J485" s="78">
        <v>19.6</v>
      </c>
      <c r="K485" s="78">
        <f t="shared" si="7"/>
        <v>19.6</v>
      </c>
    </row>
    <row r="486" spans="4:11">
      <c r="D486" s="75">
        <v>46187</v>
      </c>
      <c r="E486" s="76">
        <v>1612104</v>
      </c>
      <c r="F486" s="76" t="s">
        <v>40</v>
      </c>
      <c r="G486" s="77">
        <v>20007639</v>
      </c>
      <c r="H486" s="76" t="s">
        <v>193</v>
      </c>
      <c r="I486" s="77">
        <v>1</v>
      </c>
      <c r="J486" s="78">
        <v>19.6</v>
      </c>
      <c r="K486" s="78">
        <f t="shared" si="7"/>
        <v>19.6</v>
      </c>
    </row>
    <row r="487" spans="4:11">
      <c r="D487" s="75">
        <v>46187</v>
      </c>
      <c r="E487" s="76">
        <v>1612104</v>
      </c>
      <c r="F487" s="76" t="s">
        <v>40</v>
      </c>
      <c r="G487" s="77">
        <v>20009272</v>
      </c>
      <c r="H487" s="76" t="s">
        <v>303</v>
      </c>
      <c r="I487" s="77">
        <v>1</v>
      </c>
      <c r="J487" s="78">
        <v>19.6</v>
      </c>
      <c r="K487" s="78">
        <f t="shared" si="7"/>
        <v>19.6</v>
      </c>
    </row>
    <row r="488" spans="4:11">
      <c r="D488" s="75">
        <v>46187</v>
      </c>
      <c r="E488" s="76">
        <v>1612104</v>
      </c>
      <c r="F488" s="76" t="s">
        <v>40</v>
      </c>
      <c r="G488" s="77">
        <v>20007638</v>
      </c>
      <c r="H488" s="76" t="s">
        <v>194</v>
      </c>
      <c r="I488" s="77">
        <v>1</v>
      </c>
      <c r="J488" s="78">
        <v>19.6</v>
      </c>
      <c r="K488" s="78">
        <f t="shared" si="7"/>
        <v>19.6</v>
      </c>
    </row>
    <row r="489" spans="4:11">
      <c r="D489" s="75">
        <v>46187</v>
      </c>
      <c r="E489" s="76">
        <v>1612104</v>
      </c>
      <c r="F489" s="76" t="s">
        <v>40</v>
      </c>
      <c r="G489" s="77">
        <v>20008639</v>
      </c>
      <c r="H489" s="76" t="s">
        <v>195</v>
      </c>
      <c r="I489" s="77">
        <v>1</v>
      </c>
      <c r="J489" s="78">
        <v>17.5</v>
      </c>
      <c r="K489" s="78">
        <f t="shared" si="7"/>
        <v>17.5</v>
      </c>
    </row>
    <row r="490" spans="4:11">
      <c r="D490" s="75">
        <v>46187</v>
      </c>
      <c r="E490" s="76">
        <v>1612104</v>
      </c>
      <c r="F490" s="76" t="s">
        <v>40</v>
      </c>
      <c r="G490" s="77">
        <v>20397472</v>
      </c>
      <c r="H490" s="76" t="s">
        <v>366</v>
      </c>
      <c r="I490" s="77">
        <v>1</v>
      </c>
      <c r="J490" s="78">
        <v>15.4</v>
      </c>
      <c r="K490" s="78">
        <f t="shared" si="7"/>
        <v>15.4</v>
      </c>
    </row>
    <row r="491" spans="4:11">
      <c r="D491" s="75">
        <v>46187</v>
      </c>
      <c r="E491" s="76">
        <v>1612104</v>
      </c>
      <c r="F491" s="76" t="s">
        <v>42</v>
      </c>
      <c r="G491" s="77">
        <v>20395507</v>
      </c>
      <c r="H491" s="76" t="s">
        <v>197</v>
      </c>
      <c r="I491" s="77">
        <v>1</v>
      </c>
      <c r="J491" s="78">
        <v>19.6</v>
      </c>
      <c r="K491" s="78">
        <f t="shared" si="7"/>
        <v>19.6</v>
      </c>
    </row>
    <row r="492" spans="4:11">
      <c r="D492" s="75">
        <v>46189</v>
      </c>
      <c r="E492" s="76">
        <v>1612440</v>
      </c>
      <c r="F492" s="76" t="s">
        <v>36</v>
      </c>
      <c r="G492" s="77">
        <v>20011908</v>
      </c>
      <c r="H492" s="76" t="s">
        <v>295</v>
      </c>
      <c r="I492" s="77">
        <v>1</v>
      </c>
      <c r="J492" s="78">
        <v>284.9</v>
      </c>
      <c r="K492" s="78">
        <f t="shared" si="7"/>
        <v>284.9</v>
      </c>
    </row>
    <row r="493" spans="4:11">
      <c r="D493" s="75">
        <v>46189</v>
      </c>
      <c r="E493" s="76">
        <v>1612440</v>
      </c>
      <c r="F493" s="76" t="s">
        <v>36</v>
      </c>
      <c r="G493" s="77">
        <v>20007715</v>
      </c>
      <c r="H493" s="76" t="s">
        <v>247</v>
      </c>
      <c r="I493" s="77">
        <v>2</v>
      </c>
      <c r="J493" s="78">
        <v>180.95</v>
      </c>
      <c r="K493" s="78">
        <f t="shared" si="7"/>
        <v>361.9</v>
      </c>
    </row>
    <row r="494" spans="4:11">
      <c r="D494" s="75">
        <v>46189</v>
      </c>
      <c r="E494" s="76">
        <v>1612440</v>
      </c>
      <c r="F494" s="76" t="s">
        <v>36</v>
      </c>
      <c r="G494" s="77">
        <v>20008128</v>
      </c>
      <c r="H494" s="76" t="s">
        <v>164</v>
      </c>
      <c r="I494" s="77">
        <v>1</v>
      </c>
      <c r="J494" s="78">
        <v>130.9</v>
      </c>
      <c r="K494" s="78">
        <f t="shared" si="7"/>
        <v>130.9</v>
      </c>
    </row>
    <row r="495" spans="4:11">
      <c r="D495" s="75">
        <v>46189</v>
      </c>
      <c r="E495" s="76">
        <v>1612440</v>
      </c>
      <c r="F495" s="76" t="s">
        <v>15</v>
      </c>
      <c r="G495" s="77">
        <v>20009534</v>
      </c>
      <c r="H495" s="76" t="s">
        <v>327</v>
      </c>
      <c r="I495" s="77">
        <v>1</v>
      </c>
      <c r="J495" s="78">
        <v>9.45</v>
      </c>
      <c r="K495" s="78">
        <f t="shared" si="7"/>
        <v>9.45</v>
      </c>
    </row>
    <row r="496" spans="4:11">
      <c r="D496" s="75">
        <v>46189</v>
      </c>
      <c r="E496" s="76">
        <v>1612440</v>
      </c>
      <c r="F496" s="76" t="s">
        <v>15</v>
      </c>
      <c r="G496" s="77">
        <v>20425056</v>
      </c>
      <c r="H496" s="76" t="s">
        <v>355</v>
      </c>
      <c r="I496" s="77">
        <v>1</v>
      </c>
      <c r="J496" s="78">
        <v>7.7</v>
      </c>
      <c r="K496" s="78">
        <f t="shared" si="7"/>
        <v>7.7</v>
      </c>
    </row>
    <row r="497" spans="4:11">
      <c r="D497" s="75">
        <v>46189</v>
      </c>
      <c r="E497" s="76">
        <v>1612440</v>
      </c>
      <c r="F497" s="76" t="s">
        <v>15</v>
      </c>
      <c r="G497" s="77">
        <v>20393771</v>
      </c>
      <c r="H497" s="76" t="s">
        <v>357</v>
      </c>
      <c r="I497" s="77">
        <v>1</v>
      </c>
      <c r="J497" s="78">
        <v>7.7</v>
      </c>
      <c r="K497" s="78">
        <f t="shared" si="7"/>
        <v>7.7</v>
      </c>
    </row>
    <row r="498" spans="4:11">
      <c r="D498" s="75">
        <v>46189</v>
      </c>
      <c r="E498" s="76">
        <v>1612440</v>
      </c>
      <c r="F498" s="76" t="s">
        <v>15</v>
      </c>
      <c r="G498" s="77">
        <v>20008491</v>
      </c>
      <c r="H498" s="76" t="s">
        <v>121</v>
      </c>
      <c r="I498" s="77">
        <v>1</v>
      </c>
      <c r="J498" s="78">
        <v>11.55</v>
      </c>
      <c r="K498" s="78">
        <f t="shared" si="7"/>
        <v>11.55</v>
      </c>
    </row>
    <row r="499" spans="4:11">
      <c r="D499" s="75">
        <v>46189</v>
      </c>
      <c r="E499" s="76">
        <v>1612440</v>
      </c>
      <c r="F499" s="76" t="s">
        <v>114</v>
      </c>
      <c r="G499" s="77">
        <v>20362791</v>
      </c>
      <c r="H499" s="76" t="s">
        <v>183</v>
      </c>
      <c r="I499" s="77">
        <v>1</v>
      </c>
      <c r="J499" s="78">
        <v>24.5</v>
      </c>
      <c r="K499" s="78">
        <f t="shared" si="7"/>
        <v>24.5</v>
      </c>
    </row>
    <row r="500" spans="4:11">
      <c r="D500" s="75">
        <v>46189</v>
      </c>
      <c r="E500" s="76">
        <v>1612440</v>
      </c>
      <c r="F500" s="76" t="s">
        <v>27</v>
      </c>
      <c r="G500" s="77">
        <v>20009014</v>
      </c>
      <c r="H500" s="76" t="s">
        <v>321</v>
      </c>
      <c r="I500" s="77">
        <v>1</v>
      </c>
      <c r="J500" s="78">
        <v>11.55</v>
      </c>
      <c r="K500" s="78">
        <f t="shared" si="7"/>
        <v>11.55</v>
      </c>
    </row>
    <row r="501" spans="4:11">
      <c r="D501" s="75">
        <v>46189</v>
      </c>
      <c r="E501" s="76">
        <v>1612440</v>
      </c>
      <c r="F501" s="76" t="s">
        <v>27</v>
      </c>
      <c r="G501" s="77">
        <v>20013068</v>
      </c>
      <c r="H501" s="76" t="s">
        <v>322</v>
      </c>
      <c r="I501" s="77">
        <v>1</v>
      </c>
      <c r="J501" s="78">
        <v>11.55</v>
      </c>
      <c r="K501" s="78">
        <f t="shared" si="7"/>
        <v>11.55</v>
      </c>
    </row>
    <row r="502" spans="4:11">
      <c r="D502" s="75">
        <v>46189</v>
      </c>
      <c r="E502" s="76">
        <v>1612440</v>
      </c>
      <c r="F502" s="76" t="s">
        <v>27</v>
      </c>
      <c r="G502" s="77">
        <v>20009013</v>
      </c>
      <c r="H502" s="76" t="s">
        <v>324</v>
      </c>
      <c r="I502" s="77">
        <v>1</v>
      </c>
      <c r="J502" s="78">
        <v>11.55</v>
      </c>
      <c r="K502" s="78">
        <f t="shared" si="7"/>
        <v>11.55</v>
      </c>
    </row>
    <row r="503" spans="4:11">
      <c r="D503" s="75">
        <v>46189</v>
      </c>
      <c r="E503" s="76">
        <v>1612440</v>
      </c>
      <c r="F503" s="76" t="s">
        <v>27</v>
      </c>
      <c r="G503" s="77">
        <v>20008214</v>
      </c>
      <c r="H503" s="76" t="s">
        <v>123</v>
      </c>
      <c r="I503" s="77">
        <v>4</v>
      </c>
      <c r="J503" s="78">
        <v>11.55</v>
      </c>
      <c r="K503" s="78">
        <f t="shared" si="7"/>
        <v>46.2</v>
      </c>
    </row>
    <row r="504" spans="4:11">
      <c r="D504" s="75">
        <v>46189</v>
      </c>
      <c r="E504" s="76">
        <v>1612440</v>
      </c>
      <c r="F504" s="76" t="s">
        <v>27</v>
      </c>
      <c r="G504" s="77">
        <v>20008345</v>
      </c>
      <c r="H504" s="76" t="s">
        <v>186</v>
      </c>
      <c r="I504" s="77">
        <v>2</v>
      </c>
      <c r="J504" s="78">
        <v>19.25</v>
      </c>
      <c r="K504" s="78">
        <f t="shared" ref="K504:K567" si="8">J504*I504</f>
        <v>38.5</v>
      </c>
    </row>
    <row r="505" spans="4:11">
      <c r="D505" s="75">
        <v>46189</v>
      </c>
      <c r="E505" s="76">
        <v>1612461</v>
      </c>
      <c r="F505" s="76" t="s">
        <v>40</v>
      </c>
      <c r="G505" s="77">
        <v>20370992</v>
      </c>
      <c r="H505" s="76" t="s">
        <v>330</v>
      </c>
      <c r="I505" s="77">
        <v>1</v>
      </c>
      <c r="J505" s="78">
        <v>24.5</v>
      </c>
      <c r="K505" s="78">
        <f t="shared" si="8"/>
        <v>24.5</v>
      </c>
    </row>
    <row r="506" spans="4:11">
      <c r="D506" s="75">
        <v>46189</v>
      </c>
      <c r="E506" s="76">
        <v>1612461</v>
      </c>
      <c r="F506" s="76" t="s">
        <v>40</v>
      </c>
      <c r="G506" s="77">
        <v>20012912</v>
      </c>
      <c r="H506" s="76" t="s">
        <v>367</v>
      </c>
      <c r="I506" s="77">
        <v>4</v>
      </c>
      <c r="J506" s="78">
        <v>77</v>
      </c>
      <c r="K506" s="78">
        <f t="shared" si="8"/>
        <v>308</v>
      </c>
    </row>
    <row r="507" spans="4:11">
      <c r="D507" s="75">
        <v>46189</v>
      </c>
      <c r="E507" s="76">
        <v>1612461</v>
      </c>
      <c r="F507" s="76" t="s">
        <v>40</v>
      </c>
      <c r="G507" s="77">
        <v>20008885</v>
      </c>
      <c r="H507" s="76" t="s">
        <v>305</v>
      </c>
      <c r="I507" s="77">
        <v>1</v>
      </c>
      <c r="J507" s="78">
        <v>24.5</v>
      </c>
      <c r="K507" s="78">
        <f t="shared" si="8"/>
        <v>24.5</v>
      </c>
    </row>
    <row r="508" spans="4:11">
      <c r="D508" s="75">
        <v>46189</v>
      </c>
      <c r="E508" s="76">
        <v>1612461</v>
      </c>
      <c r="F508" s="76" t="s">
        <v>40</v>
      </c>
      <c r="G508" s="77">
        <v>20313974</v>
      </c>
      <c r="H508" s="76" t="s">
        <v>301</v>
      </c>
      <c r="I508" s="77">
        <v>1</v>
      </c>
      <c r="J508" s="78">
        <v>30.8</v>
      </c>
      <c r="K508" s="78">
        <f t="shared" si="8"/>
        <v>30.8</v>
      </c>
    </row>
    <row r="509" spans="4:11">
      <c r="D509" s="75">
        <v>46189</v>
      </c>
      <c r="E509" s="76">
        <v>1612461</v>
      </c>
      <c r="F509" s="76" t="s">
        <v>40</v>
      </c>
      <c r="G509" s="77">
        <v>20006853</v>
      </c>
      <c r="H509" s="76" t="s">
        <v>189</v>
      </c>
      <c r="I509" s="77">
        <v>1</v>
      </c>
      <c r="J509" s="78">
        <v>24.5</v>
      </c>
      <c r="K509" s="78">
        <f t="shared" si="8"/>
        <v>24.5</v>
      </c>
    </row>
    <row r="510" spans="4:11">
      <c r="D510" s="75">
        <v>46189</v>
      </c>
      <c r="E510" s="76">
        <v>1612461</v>
      </c>
      <c r="F510" s="76" t="s">
        <v>40</v>
      </c>
      <c r="G510" s="77">
        <v>20400917</v>
      </c>
      <c r="H510" s="76" t="s">
        <v>190</v>
      </c>
      <c r="I510" s="77">
        <v>1</v>
      </c>
      <c r="J510" s="78">
        <v>17.5</v>
      </c>
      <c r="K510" s="78">
        <f t="shared" si="8"/>
        <v>17.5</v>
      </c>
    </row>
    <row r="511" spans="4:11">
      <c r="D511" s="75">
        <v>46189</v>
      </c>
      <c r="E511" s="76">
        <v>1612461</v>
      </c>
      <c r="F511" s="76" t="s">
        <v>40</v>
      </c>
      <c r="G511" s="77">
        <v>20007639</v>
      </c>
      <c r="H511" s="76" t="s">
        <v>193</v>
      </c>
      <c r="I511" s="77">
        <v>1</v>
      </c>
      <c r="J511" s="78">
        <v>19.6</v>
      </c>
      <c r="K511" s="78">
        <f t="shared" si="8"/>
        <v>19.6</v>
      </c>
    </row>
    <row r="512" spans="4:11">
      <c r="D512" s="75">
        <v>46189</v>
      </c>
      <c r="E512" s="76">
        <v>1612461</v>
      </c>
      <c r="F512" s="76" t="s">
        <v>40</v>
      </c>
      <c r="G512" s="77">
        <v>20007638</v>
      </c>
      <c r="H512" s="76" t="s">
        <v>194</v>
      </c>
      <c r="I512" s="77">
        <v>1</v>
      </c>
      <c r="J512" s="78">
        <v>19.6</v>
      </c>
      <c r="K512" s="78">
        <f t="shared" si="8"/>
        <v>19.6</v>
      </c>
    </row>
    <row r="513" spans="4:11">
      <c r="D513" s="75">
        <v>46189</v>
      </c>
      <c r="E513" s="76">
        <v>1612461</v>
      </c>
      <c r="F513" s="76" t="s">
        <v>40</v>
      </c>
      <c r="G513" s="77">
        <v>20008639</v>
      </c>
      <c r="H513" s="76" t="s">
        <v>195</v>
      </c>
      <c r="I513" s="77">
        <v>1</v>
      </c>
      <c r="J513" s="78">
        <v>17.5</v>
      </c>
      <c r="K513" s="78">
        <f t="shared" si="8"/>
        <v>17.5</v>
      </c>
    </row>
    <row r="514" spans="4:11">
      <c r="D514" s="75">
        <v>46189</v>
      </c>
      <c r="E514" s="76">
        <v>1612461</v>
      </c>
      <c r="F514" s="76" t="s">
        <v>42</v>
      </c>
      <c r="G514" s="77">
        <v>20395507</v>
      </c>
      <c r="H514" s="76" t="s">
        <v>197</v>
      </c>
      <c r="I514" s="77">
        <v>1</v>
      </c>
      <c r="J514" s="78">
        <v>19.6</v>
      </c>
      <c r="K514" s="78">
        <f t="shared" si="8"/>
        <v>19.6</v>
      </c>
    </row>
    <row r="515" spans="4:11">
      <c r="D515" s="75">
        <v>46189</v>
      </c>
      <c r="E515" s="76">
        <v>1612608</v>
      </c>
      <c r="F515" s="76" t="s">
        <v>36</v>
      </c>
      <c r="G515" s="77">
        <v>20013592</v>
      </c>
      <c r="H515" s="76" t="s">
        <v>288</v>
      </c>
      <c r="I515" s="77">
        <v>1</v>
      </c>
      <c r="J515" s="78">
        <v>190.05</v>
      </c>
      <c r="K515" s="78">
        <f t="shared" si="8"/>
        <v>190.05</v>
      </c>
    </row>
    <row r="516" spans="4:11">
      <c r="D516" s="75">
        <v>46189</v>
      </c>
      <c r="E516" s="76">
        <v>1612608</v>
      </c>
      <c r="F516" s="76" t="s">
        <v>36</v>
      </c>
      <c r="G516" s="77">
        <v>20007716</v>
      </c>
      <c r="H516" s="76" t="s">
        <v>315</v>
      </c>
      <c r="I516" s="77">
        <v>1</v>
      </c>
      <c r="J516" s="78">
        <v>284.9</v>
      </c>
      <c r="K516" s="78">
        <f t="shared" si="8"/>
        <v>284.9</v>
      </c>
    </row>
    <row r="517" spans="4:11">
      <c r="D517" s="75">
        <v>46189</v>
      </c>
      <c r="E517" s="76">
        <v>1612608</v>
      </c>
      <c r="F517" s="76" t="s">
        <v>36</v>
      </c>
      <c r="G517" s="77">
        <v>20007715</v>
      </c>
      <c r="H517" s="76" t="s">
        <v>247</v>
      </c>
      <c r="I517" s="77">
        <v>1</v>
      </c>
      <c r="J517" s="78">
        <v>180.95</v>
      </c>
      <c r="K517" s="78">
        <f t="shared" si="8"/>
        <v>180.95</v>
      </c>
    </row>
    <row r="518" spans="4:11">
      <c r="D518" s="75">
        <v>46189</v>
      </c>
      <c r="E518" s="76">
        <v>1612608</v>
      </c>
      <c r="F518" s="76" t="s">
        <v>36</v>
      </c>
      <c r="G518" s="77">
        <v>20353489</v>
      </c>
      <c r="H518" s="76" t="s">
        <v>289</v>
      </c>
      <c r="I518" s="77">
        <v>1</v>
      </c>
      <c r="J518" s="78">
        <v>111.65</v>
      </c>
      <c r="K518" s="78">
        <f t="shared" si="8"/>
        <v>111.65</v>
      </c>
    </row>
    <row r="519" spans="4:11">
      <c r="D519" s="75">
        <v>46189</v>
      </c>
      <c r="E519" s="76">
        <v>1612608</v>
      </c>
      <c r="F519" s="76" t="s">
        <v>15</v>
      </c>
      <c r="G519" s="77">
        <v>20012311</v>
      </c>
      <c r="H519" s="76" t="s">
        <v>174</v>
      </c>
      <c r="I519" s="77">
        <v>1</v>
      </c>
      <c r="J519" s="78">
        <v>7.7</v>
      </c>
      <c r="K519" s="78">
        <f t="shared" si="8"/>
        <v>7.7</v>
      </c>
    </row>
    <row r="520" spans="4:11">
      <c r="D520" s="75">
        <v>46189</v>
      </c>
      <c r="E520" s="76">
        <v>1612608</v>
      </c>
      <c r="F520" s="76" t="s">
        <v>15</v>
      </c>
      <c r="G520" s="77">
        <v>20008196</v>
      </c>
      <c r="H520" s="76" t="s">
        <v>363</v>
      </c>
      <c r="I520" s="77">
        <v>1</v>
      </c>
      <c r="J520" s="78">
        <v>7.7</v>
      </c>
      <c r="K520" s="78">
        <f t="shared" si="8"/>
        <v>7.7</v>
      </c>
    </row>
    <row r="521" spans="4:11">
      <c r="D521" s="75">
        <v>46189</v>
      </c>
      <c r="E521" s="76">
        <v>1612608</v>
      </c>
      <c r="F521" s="76" t="s">
        <v>15</v>
      </c>
      <c r="G521" s="77">
        <v>20009534</v>
      </c>
      <c r="H521" s="76" t="s">
        <v>327</v>
      </c>
      <c r="I521" s="77">
        <v>1</v>
      </c>
      <c r="J521" s="78">
        <v>9.45</v>
      </c>
      <c r="K521" s="78">
        <f t="shared" si="8"/>
        <v>9.45</v>
      </c>
    </row>
    <row r="522" spans="4:11">
      <c r="D522" s="75">
        <v>46189</v>
      </c>
      <c r="E522" s="76">
        <v>1612608</v>
      </c>
      <c r="F522" s="76" t="s">
        <v>15</v>
      </c>
      <c r="G522" s="77">
        <v>20429633</v>
      </c>
      <c r="H522" s="76" t="s">
        <v>364</v>
      </c>
      <c r="I522" s="77">
        <v>2</v>
      </c>
      <c r="J522" s="78">
        <v>5.6</v>
      </c>
      <c r="K522" s="78">
        <f t="shared" si="8"/>
        <v>11.2</v>
      </c>
    </row>
    <row r="523" ht="24.75" spans="4:11">
      <c r="D523" s="75">
        <v>46189</v>
      </c>
      <c r="E523" s="76">
        <v>1612608</v>
      </c>
      <c r="F523" s="76" t="s">
        <v>292</v>
      </c>
      <c r="G523" s="77">
        <v>20333154</v>
      </c>
      <c r="H523" s="76" t="s">
        <v>293</v>
      </c>
      <c r="I523" s="77">
        <v>1</v>
      </c>
      <c r="J523" s="78">
        <v>140</v>
      </c>
      <c r="K523" s="78">
        <f t="shared" si="8"/>
        <v>140</v>
      </c>
    </row>
    <row r="524" spans="4:11">
      <c r="D524" s="75">
        <v>46189</v>
      </c>
      <c r="E524" s="76">
        <v>1612608</v>
      </c>
      <c r="F524" s="76" t="s">
        <v>27</v>
      </c>
      <c r="G524" s="77">
        <v>20009014</v>
      </c>
      <c r="H524" s="76" t="s">
        <v>321</v>
      </c>
      <c r="I524" s="77">
        <v>1</v>
      </c>
      <c r="J524" s="78">
        <v>11.55</v>
      </c>
      <c r="K524" s="78">
        <f t="shared" si="8"/>
        <v>11.55</v>
      </c>
    </row>
    <row r="525" spans="4:11">
      <c r="D525" s="75">
        <v>46189</v>
      </c>
      <c r="E525" s="76">
        <v>1612608</v>
      </c>
      <c r="F525" s="76" t="s">
        <v>27</v>
      </c>
      <c r="G525" s="77">
        <v>20013068</v>
      </c>
      <c r="H525" s="76" t="s">
        <v>322</v>
      </c>
      <c r="I525" s="77">
        <v>1</v>
      </c>
      <c r="J525" s="78">
        <v>11.55</v>
      </c>
      <c r="K525" s="78">
        <f t="shared" si="8"/>
        <v>11.55</v>
      </c>
    </row>
    <row r="526" spans="4:11">
      <c r="D526" s="75">
        <v>46189</v>
      </c>
      <c r="E526" s="76">
        <v>1612608</v>
      </c>
      <c r="F526" s="76" t="s">
        <v>27</v>
      </c>
      <c r="G526" s="77">
        <v>20009013</v>
      </c>
      <c r="H526" s="76" t="s">
        <v>324</v>
      </c>
      <c r="I526" s="77">
        <v>2</v>
      </c>
      <c r="J526" s="78">
        <v>11.55</v>
      </c>
      <c r="K526" s="78">
        <f t="shared" si="8"/>
        <v>23.1</v>
      </c>
    </row>
    <row r="527" spans="4:11">
      <c r="D527" s="75">
        <v>46189</v>
      </c>
      <c r="E527" s="76">
        <v>1612608</v>
      </c>
      <c r="F527" s="76" t="s">
        <v>27</v>
      </c>
      <c r="G527" s="77">
        <v>20008214</v>
      </c>
      <c r="H527" s="76" t="s">
        <v>123</v>
      </c>
      <c r="I527" s="77">
        <v>2</v>
      </c>
      <c r="J527" s="78">
        <v>11.55</v>
      </c>
      <c r="K527" s="78">
        <f t="shared" si="8"/>
        <v>23.1</v>
      </c>
    </row>
    <row r="528" spans="4:11">
      <c r="D528" s="75">
        <v>46189</v>
      </c>
      <c r="E528" s="76">
        <v>1612608</v>
      </c>
      <c r="F528" s="76" t="s">
        <v>27</v>
      </c>
      <c r="G528" s="77">
        <v>20007644</v>
      </c>
      <c r="H528" s="76" t="s">
        <v>368</v>
      </c>
      <c r="I528" s="77">
        <v>1</v>
      </c>
      <c r="J528" s="78">
        <v>11.55</v>
      </c>
      <c r="K528" s="78">
        <f t="shared" si="8"/>
        <v>11.55</v>
      </c>
    </row>
    <row r="529" spans="4:11">
      <c r="D529" s="75">
        <v>46189</v>
      </c>
      <c r="E529" s="76">
        <v>1612608</v>
      </c>
      <c r="F529" s="76" t="s">
        <v>27</v>
      </c>
      <c r="G529" s="77">
        <v>20326053</v>
      </c>
      <c r="H529" s="76" t="s">
        <v>258</v>
      </c>
      <c r="I529" s="77">
        <v>2</v>
      </c>
      <c r="J529" s="78">
        <v>11.55</v>
      </c>
      <c r="K529" s="78">
        <f t="shared" si="8"/>
        <v>23.1</v>
      </c>
    </row>
    <row r="530" spans="4:11">
      <c r="D530" s="75">
        <v>46189</v>
      </c>
      <c r="E530" s="76">
        <v>1612608</v>
      </c>
      <c r="F530" s="76" t="s">
        <v>27</v>
      </c>
      <c r="G530" s="77">
        <v>20014802</v>
      </c>
      <c r="H530" s="76" t="s">
        <v>365</v>
      </c>
      <c r="I530" s="77">
        <v>1</v>
      </c>
      <c r="J530" s="78">
        <v>11.55</v>
      </c>
      <c r="K530" s="78">
        <f t="shared" si="8"/>
        <v>11.55</v>
      </c>
    </row>
    <row r="531" spans="4:11">
      <c r="D531" s="75">
        <v>46189</v>
      </c>
      <c r="E531" s="76">
        <v>1612608</v>
      </c>
      <c r="F531" s="76" t="s">
        <v>27</v>
      </c>
      <c r="G531" s="77">
        <v>20008345</v>
      </c>
      <c r="H531" s="76" t="s">
        <v>186</v>
      </c>
      <c r="I531" s="77">
        <v>4</v>
      </c>
      <c r="J531" s="78">
        <v>19.25</v>
      </c>
      <c r="K531" s="78">
        <f t="shared" si="8"/>
        <v>77</v>
      </c>
    </row>
    <row r="532" spans="4:11">
      <c r="D532" s="75">
        <v>46189</v>
      </c>
      <c r="E532" s="76">
        <v>1612608</v>
      </c>
      <c r="F532" s="76" t="s">
        <v>27</v>
      </c>
      <c r="G532" s="77">
        <v>20013916</v>
      </c>
      <c r="H532" s="76" t="s">
        <v>354</v>
      </c>
      <c r="I532" s="77">
        <v>1</v>
      </c>
      <c r="J532" s="78">
        <v>11.55</v>
      </c>
      <c r="K532" s="78">
        <f t="shared" si="8"/>
        <v>11.55</v>
      </c>
    </row>
    <row r="533" spans="4:11">
      <c r="D533" s="75">
        <v>46189</v>
      </c>
      <c r="E533" s="76">
        <v>1612744</v>
      </c>
      <c r="F533" s="76" t="s">
        <v>114</v>
      </c>
      <c r="G533" s="77">
        <v>20362791</v>
      </c>
      <c r="H533" s="76" t="s">
        <v>183</v>
      </c>
      <c r="I533" s="77">
        <v>1</v>
      </c>
      <c r="J533" s="78">
        <v>24.5</v>
      </c>
      <c r="K533" s="78">
        <f t="shared" si="8"/>
        <v>24.5</v>
      </c>
    </row>
    <row r="534" spans="4:11">
      <c r="D534" s="75">
        <v>46189</v>
      </c>
      <c r="E534" s="76">
        <v>1612745</v>
      </c>
      <c r="F534" s="76" t="s">
        <v>40</v>
      </c>
      <c r="G534" s="77">
        <v>20015198</v>
      </c>
      <c r="H534" s="76" t="s">
        <v>309</v>
      </c>
      <c r="I534" s="77">
        <v>3</v>
      </c>
      <c r="J534" s="78">
        <v>24.5</v>
      </c>
      <c r="K534" s="78">
        <f t="shared" si="8"/>
        <v>73.5</v>
      </c>
    </row>
    <row r="535" spans="4:11">
      <c r="D535" s="75">
        <v>46189</v>
      </c>
      <c r="E535" s="76">
        <v>1612745</v>
      </c>
      <c r="F535" s="76" t="s">
        <v>40</v>
      </c>
      <c r="G535" s="77">
        <v>20013381</v>
      </c>
      <c r="H535" s="76" t="s">
        <v>311</v>
      </c>
      <c r="I535" s="77">
        <v>3</v>
      </c>
      <c r="J535" s="78">
        <v>24.5</v>
      </c>
      <c r="K535" s="78">
        <f t="shared" si="8"/>
        <v>73.5</v>
      </c>
    </row>
    <row r="536" spans="4:11">
      <c r="D536" s="75">
        <v>46190</v>
      </c>
      <c r="E536" s="76">
        <v>1612768</v>
      </c>
      <c r="F536" s="76" t="s">
        <v>36</v>
      </c>
      <c r="G536" s="77">
        <v>20007715</v>
      </c>
      <c r="H536" s="76" t="s">
        <v>247</v>
      </c>
      <c r="I536" s="77">
        <v>2</v>
      </c>
      <c r="J536" s="78">
        <v>180.95</v>
      </c>
      <c r="K536" s="78">
        <f t="shared" si="8"/>
        <v>361.9</v>
      </c>
    </row>
    <row r="537" spans="4:11">
      <c r="D537" s="75">
        <v>46190</v>
      </c>
      <c r="E537" s="76">
        <v>1612768</v>
      </c>
      <c r="F537" s="76" t="s">
        <v>36</v>
      </c>
      <c r="G537" s="77">
        <v>20311037</v>
      </c>
      <c r="H537" s="76" t="s">
        <v>165</v>
      </c>
      <c r="I537" s="77">
        <v>2</v>
      </c>
      <c r="J537" s="78">
        <v>53.55</v>
      </c>
      <c r="K537" s="78">
        <f t="shared" si="8"/>
        <v>107.1</v>
      </c>
    </row>
    <row r="538" spans="4:11">
      <c r="D538" s="75">
        <v>46190</v>
      </c>
      <c r="E538" s="76">
        <v>1612768</v>
      </c>
      <c r="F538" s="76" t="s">
        <v>15</v>
      </c>
      <c r="G538" s="77">
        <v>20008280</v>
      </c>
      <c r="H538" s="76" t="s">
        <v>200</v>
      </c>
      <c r="I538" s="77">
        <v>1</v>
      </c>
      <c r="J538" s="78">
        <v>11.55</v>
      </c>
      <c r="K538" s="78">
        <f t="shared" si="8"/>
        <v>11.55</v>
      </c>
    </row>
    <row r="539" spans="4:11">
      <c r="D539" s="75">
        <v>46190</v>
      </c>
      <c r="E539" s="76">
        <v>1612805</v>
      </c>
      <c r="F539" s="76" t="s">
        <v>27</v>
      </c>
      <c r="G539" s="77">
        <v>20008214</v>
      </c>
      <c r="H539" s="76" t="s">
        <v>123</v>
      </c>
      <c r="I539" s="77">
        <v>3</v>
      </c>
      <c r="J539" s="78">
        <v>11.55</v>
      </c>
      <c r="K539" s="78">
        <f t="shared" si="8"/>
        <v>34.65</v>
      </c>
    </row>
    <row r="540" spans="4:11">
      <c r="D540" s="75">
        <v>46190</v>
      </c>
      <c r="E540" s="76">
        <v>1612805</v>
      </c>
      <c r="F540" s="76" t="s">
        <v>27</v>
      </c>
      <c r="G540" s="77">
        <v>20008345</v>
      </c>
      <c r="H540" s="76" t="s">
        <v>186</v>
      </c>
      <c r="I540" s="77">
        <v>2</v>
      </c>
      <c r="J540" s="78">
        <v>19.25</v>
      </c>
      <c r="K540" s="78">
        <f t="shared" si="8"/>
        <v>38.5</v>
      </c>
    </row>
    <row r="541" spans="4:11">
      <c r="D541" s="75">
        <v>46190</v>
      </c>
      <c r="E541" s="76">
        <v>1612852</v>
      </c>
      <c r="F541" s="76" t="s">
        <v>40</v>
      </c>
      <c r="G541" s="77">
        <v>20370992</v>
      </c>
      <c r="H541" s="76" t="s">
        <v>330</v>
      </c>
      <c r="I541" s="77">
        <v>1</v>
      </c>
      <c r="J541" s="78">
        <v>24.5</v>
      </c>
      <c r="K541" s="78">
        <f t="shared" si="8"/>
        <v>24.5</v>
      </c>
    </row>
    <row r="542" spans="4:11">
      <c r="D542" s="75">
        <v>46190</v>
      </c>
      <c r="E542" s="76">
        <v>1612852</v>
      </c>
      <c r="F542" s="76" t="s">
        <v>40</v>
      </c>
      <c r="G542" s="77">
        <v>20013300</v>
      </c>
      <c r="H542" s="76" t="s">
        <v>310</v>
      </c>
      <c r="I542" s="77">
        <v>1</v>
      </c>
      <c r="J542" s="78">
        <v>24.5</v>
      </c>
      <c r="K542" s="78">
        <f t="shared" si="8"/>
        <v>24.5</v>
      </c>
    </row>
    <row r="543" spans="4:11">
      <c r="D543" s="75">
        <v>46190</v>
      </c>
      <c r="E543" s="76">
        <v>1612852</v>
      </c>
      <c r="F543" s="76" t="s">
        <v>40</v>
      </c>
      <c r="G543" s="77">
        <v>20008885</v>
      </c>
      <c r="H543" s="76" t="s">
        <v>305</v>
      </c>
      <c r="I543" s="77">
        <v>2</v>
      </c>
      <c r="J543" s="78">
        <v>24.5</v>
      </c>
      <c r="K543" s="78">
        <f t="shared" si="8"/>
        <v>49</v>
      </c>
    </row>
    <row r="544" spans="4:11">
      <c r="D544" s="75">
        <v>46190</v>
      </c>
      <c r="E544" s="76">
        <v>1612852</v>
      </c>
      <c r="F544" s="76" t="s">
        <v>40</v>
      </c>
      <c r="G544" s="77">
        <v>20390607</v>
      </c>
      <c r="H544" s="76" t="s">
        <v>326</v>
      </c>
      <c r="I544" s="77">
        <v>1</v>
      </c>
      <c r="J544" s="78">
        <v>24.5</v>
      </c>
      <c r="K544" s="78">
        <f t="shared" si="8"/>
        <v>24.5</v>
      </c>
    </row>
    <row r="545" spans="4:11">
      <c r="D545" s="75">
        <v>46190</v>
      </c>
      <c r="E545" s="76">
        <v>1612852</v>
      </c>
      <c r="F545" s="76" t="s">
        <v>40</v>
      </c>
      <c r="G545" s="77">
        <v>20008389</v>
      </c>
      <c r="H545" s="76" t="s">
        <v>313</v>
      </c>
      <c r="I545" s="77">
        <v>1</v>
      </c>
      <c r="J545" s="78">
        <v>17.5</v>
      </c>
      <c r="K545" s="78">
        <f t="shared" si="8"/>
        <v>17.5</v>
      </c>
    </row>
    <row r="546" spans="4:11">
      <c r="D546" s="75">
        <v>46190</v>
      </c>
      <c r="E546" s="76">
        <v>1612852</v>
      </c>
      <c r="F546" s="76" t="s">
        <v>40</v>
      </c>
      <c r="G546" s="77">
        <v>20006863</v>
      </c>
      <c r="H546" s="76" t="s">
        <v>41</v>
      </c>
      <c r="I546" s="77">
        <v>1</v>
      </c>
      <c r="J546" s="78">
        <v>24.5</v>
      </c>
      <c r="K546" s="78">
        <f t="shared" si="8"/>
        <v>24.5</v>
      </c>
    </row>
    <row r="547" spans="4:11">
      <c r="D547" s="75">
        <v>46190</v>
      </c>
      <c r="E547" s="76">
        <v>1612852</v>
      </c>
      <c r="F547" s="76" t="s">
        <v>40</v>
      </c>
      <c r="G547" s="77">
        <v>20377562</v>
      </c>
      <c r="H547" s="76" t="s">
        <v>217</v>
      </c>
      <c r="I547" s="77">
        <v>1</v>
      </c>
      <c r="J547" s="78">
        <v>15.4</v>
      </c>
      <c r="K547" s="78">
        <f t="shared" si="8"/>
        <v>15.4</v>
      </c>
    </row>
    <row r="548" spans="4:11">
      <c r="D548" s="75">
        <v>46190</v>
      </c>
      <c r="E548" s="76">
        <v>1612852</v>
      </c>
      <c r="F548" s="76" t="s">
        <v>42</v>
      </c>
      <c r="G548" s="77">
        <v>20013036</v>
      </c>
      <c r="H548" s="76" t="s">
        <v>201</v>
      </c>
      <c r="I548" s="77">
        <v>1</v>
      </c>
      <c r="J548" s="78">
        <v>30.8</v>
      </c>
      <c r="K548" s="78">
        <f t="shared" si="8"/>
        <v>30.8</v>
      </c>
    </row>
    <row r="549" spans="4:11">
      <c r="D549" s="75">
        <v>46190</v>
      </c>
      <c r="E549" s="76">
        <v>1612984</v>
      </c>
      <c r="F549" s="76" t="s">
        <v>36</v>
      </c>
      <c r="G549" s="77">
        <v>20007716</v>
      </c>
      <c r="H549" s="76" t="s">
        <v>315</v>
      </c>
      <c r="I549" s="77">
        <v>1</v>
      </c>
      <c r="J549" s="78">
        <v>284.9</v>
      </c>
      <c r="K549" s="78">
        <f t="shared" si="8"/>
        <v>284.9</v>
      </c>
    </row>
    <row r="550" spans="4:11">
      <c r="D550" s="75">
        <v>46190</v>
      </c>
      <c r="E550" s="76">
        <v>1612984</v>
      </c>
      <c r="F550" s="76" t="s">
        <v>36</v>
      </c>
      <c r="G550" s="77">
        <v>20008128</v>
      </c>
      <c r="H550" s="76" t="s">
        <v>164</v>
      </c>
      <c r="I550" s="77">
        <v>2</v>
      </c>
      <c r="J550" s="78">
        <v>130.9</v>
      </c>
      <c r="K550" s="78">
        <f t="shared" si="8"/>
        <v>261.8</v>
      </c>
    </row>
    <row r="551" spans="4:11">
      <c r="D551" s="75">
        <v>46190</v>
      </c>
      <c r="E551" s="76">
        <v>1612984</v>
      </c>
      <c r="F551" s="76" t="s">
        <v>36</v>
      </c>
      <c r="G551" s="77">
        <v>20009533</v>
      </c>
      <c r="H551" s="76" t="s">
        <v>369</v>
      </c>
      <c r="I551" s="77">
        <v>1</v>
      </c>
      <c r="J551" s="78">
        <v>177.1</v>
      </c>
      <c r="K551" s="78">
        <f t="shared" si="8"/>
        <v>177.1</v>
      </c>
    </row>
    <row r="552" spans="4:11">
      <c r="D552" s="75">
        <v>46190</v>
      </c>
      <c r="E552" s="76">
        <v>1612984</v>
      </c>
      <c r="F552" s="76" t="s">
        <v>15</v>
      </c>
      <c r="G552" s="77">
        <v>20413736</v>
      </c>
      <c r="H552" s="76" t="s">
        <v>338</v>
      </c>
      <c r="I552" s="77">
        <v>1</v>
      </c>
      <c r="J552" s="78">
        <v>5.6</v>
      </c>
      <c r="K552" s="78">
        <f t="shared" si="8"/>
        <v>5.6</v>
      </c>
    </row>
    <row r="553" spans="4:11">
      <c r="D553" s="75">
        <v>46190</v>
      </c>
      <c r="E553" s="76">
        <v>1612984</v>
      </c>
      <c r="F553" s="76" t="s">
        <v>15</v>
      </c>
      <c r="G553" s="77">
        <v>20006845</v>
      </c>
      <c r="H553" s="76" t="s">
        <v>118</v>
      </c>
      <c r="I553" s="77">
        <v>1</v>
      </c>
      <c r="J553" s="78">
        <v>11.55</v>
      </c>
      <c r="K553" s="78">
        <f t="shared" si="8"/>
        <v>11.55</v>
      </c>
    </row>
    <row r="554" spans="4:11">
      <c r="D554" s="75">
        <v>46190</v>
      </c>
      <c r="E554" s="76">
        <v>1612984</v>
      </c>
      <c r="F554" s="76" t="s">
        <v>15</v>
      </c>
      <c r="G554" s="77">
        <v>20405158</v>
      </c>
      <c r="H554" s="76" t="s">
        <v>339</v>
      </c>
      <c r="I554" s="77">
        <v>1</v>
      </c>
      <c r="J554" s="78">
        <v>7.7</v>
      </c>
      <c r="K554" s="78">
        <f t="shared" si="8"/>
        <v>7.7</v>
      </c>
    </row>
    <row r="555" spans="4:11">
      <c r="D555" s="75">
        <v>46190</v>
      </c>
      <c r="E555" s="76">
        <v>1612984</v>
      </c>
      <c r="F555" s="76" t="s">
        <v>15</v>
      </c>
      <c r="G555" s="77">
        <v>20008491</v>
      </c>
      <c r="H555" s="76" t="s">
        <v>121</v>
      </c>
      <c r="I555" s="77">
        <v>1</v>
      </c>
      <c r="J555" s="78">
        <v>11.55</v>
      </c>
      <c r="K555" s="78">
        <f t="shared" si="8"/>
        <v>11.55</v>
      </c>
    </row>
    <row r="556" spans="4:11">
      <c r="D556" s="75">
        <v>46190</v>
      </c>
      <c r="E556" s="76">
        <v>1612984</v>
      </c>
      <c r="F556" s="76" t="s">
        <v>40</v>
      </c>
      <c r="G556" s="77">
        <v>20338493</v>
      </c>
      <c r="H556" s="76" t="s">
        <v>332</v>
      </c>
      <c r="I556" s="77">
        <v>2</v>
      </c>
      <c r="J556" s="78">
        <v>17.5</v>
      </c>
      <c r="K556" s="78">
        <f t="shared" si="8"/>
        <v>35</v>
      </c>
    </row>
    <row r="557" spans="4:11">
      <c r="D557" s="75">
        <v>46190</v>
      </c>
      <c r="E557" s="76">
        <v>1612984</v>
      </c>
      <c r="F557" s="76" t="s">
        <v>40</v>
      </c>
      <c r="G557" s="77">
        <v>20346587</v>
      </c>
      <c r="H557" s="76" t="s">
        <v>370</v>
      </c>
      <c r="I557" s="77">
        <v>1</v>
      </c>
      <c r="J557" s="78">
        <v>24.5</v>
      </c>
      <c r="K557" s="78">
        <f t="shared" si="8"/>
        <v>24.5</v>
      </c>
    </row>
    <row r="558" spans="4:11">
      <c r="D558" s="75">
        <v>46190</v>
      </c>
      <c r="E558" s="76">
        <v>1612984</v>
      </c>
      <c r="F558" s="76" t="s">
        <v>40</v>
      </c>
      <c r="G558" s="77">
        <v>20008885</v>
      </c>
      <c r="H558" s="76" t="s">
        <v>305</v>
      </c>
      <c r="I558" s="77">
        <v>2</v>
      </c>
      <c r="J558" s="78">
        <v>24.5</v>
      </c>
      <c r="K558" s="78">
        <f t="shared" si="8"/>
        <v>49</v>
      </c>
    </row>
    <row r="559" spans="4:11">
      <c r="D559" s="75">
        <v>46190</v>
      </c>
      <c r="E559" s="76">
        <v>1612984</v>
      </c>
      <c r="F559" s="76" t="s">
        <v>40</v>
      </c>
      <c r="G559" s="77">
        <v>20008635</v>
      </c>
      <c r="H559" s="76" t="s">
        <v>371</v>
      </c>
      <c r="I559" s="77">
        <v>1</v>
      </c>
      <c r="J559" s="78">
        <v>15.4</v>
      </c>
      <c r="K559" s="78">
        <f t="shared" si="8"/>
        <v>15.4</v>
      </c>
    </row>
    <row r="560" spans="4:11">
      <c r="D560" s="75">
        <v>46190</v>
      </c>
      <c r="E560" s="76">
        <v>1612984</v>
      </c>
      <c r="F560" s="76" t="s">
        <v>40</v>
      </c>
      <c r="G560" s="77">
        <v>20006853</v>
      </c>
      <c r="H560" s="76" t="s">
        <v>189</v>
      </c>
      <c r="I560" s="77">
        <v>1</v>
      </c>
      <c r="J560" s="78">
        <v>24.5</v>
      </c>
      <c r="K560" s="78">
        <f t="shared" si="8"/>
        <v>24.5</v>
      </c>
    </row>
    <row r="561" spans="4:11">
      <c r="D561" s="75">
        <v>46190</v>
      </c>
      <c r="E561" s="76">
        <v>1612984</v>
      </c>
      <c r="F561" s="76" t="s">
        <v>40</v>
      </c>
      <c r="G561" s="77">
        <v>20400917</v>
      </c>
      <c r="H561" s="76" t="s">
        <v>190</v>
      </c>
      <c r="I561" s="77">
        <v>1</v>
      </c>
      <c r="J561" s="78">
        <v>17.5</v>
      </c>
      <c r="K561" s="78">
        <f t="shared" si="8"/>
        <v>17.5</v>
      </c>
    </row>
    <row r="562" spans="4:11">
      <c r="D562" s="75">
        <v>46190</v>
      </c>
      <c r="E562" s="76">
        <v>1612984</v>
      </c>
      <c r="F562" s="76" t="s">
        <v>40</v>
      </c>
      <c r="G562" s="77">
        <v>20423694</v>
      </c>
      <c r="H562" s="76" t="s">
        <v>192</v>
      </c>
      <c r="I562" s="77">
        <v>1</v>
      </c>
      <c r="J562" s="78">
        <v>30.8</v>
      </c>
      <c r="K562" s="78">
        <f t="shared" si="8"/>
        <v>30.8</v>
      </c>
    </row>
    <row r="563" spans="4:11">
      <c r="D563" s="75">
        <v>46190</v>
      </c>
      <c r="E563" s="76">
        <v>1612984</v>
      </c>
      <c r="F563" s="76" t="s">
        <v>40</v>
      </c>
      <c r="G563" s="77">
        <v>20007639</v>
      </c>
      <c r="H563" s="76" t="s">
        <v>193</v>
      </c>
      <c r="I563" s="77">
        <v>1</v>
      </c>
      <c r="J563" s="78">
        <v>19.6</v>
      </c>
      <c r="K563" s="78">
        <f t="shared" si="8"/>
        <v>19.6</v>
      </c>
    </row>
    <row r="564" spans="4:11">
      <c r="D564" s="75">
        <v>46190</v>
      </c>
      <c r="E564" s="76">
        <v>1612984</v>
      </c>
      <c r="F564" s="76" t="s">
        <v>40</v>
      </c>
      <c r="G564" s="77">
        <v>20009272</v>
      </c>
      <c r="H564" s="76" t="s">
        <v>303</v>
      </c>
      <c r="I564" s="77">
        <v>1</v>
      </c>
      <c r="J564" s="78">
        <v>19.6</v>
      </c>
      <c r="K564" s="78">
        <f t="shared" si="8"/>
        <v>19.6</v>
      </c>
    </row>
    <row r="565" spans="4:11">
      <c r="D565" s="75">
        <v>46190</v>
      </c>
      <c r="E565" s="76">
        <v>1612984</v>
      </c>
      <c r="F565" s="76" t="s">
        <v>40</v>
      </c>
      <c r="G565" s="77">
        <v>20007638</v>
      </c>
      <c r="H565" s="76" t="s">
        <v>194</v>
      </c>
      <c r="I565" s="77">
        <v>1</v>
      </c>
      <c r="J565" s="78">
        <v>19.6</v>
      </c>
      <c r="K565" s="78">
        <f t="shared" si="8"/>
        <v>19.6</v>
      </c>
    </row>
    <row r="566" spans="4:11">
      <c r="D566" s="75">
        <v>46190</v>
      </c>
      <c r="E566" s="76">
        <v>1612984</v>
      </c>
      <c r="F566" s="76" t="s">
        <v>40</v>
      </c>
      <c r="G566" s="77">
        <v>20008639</v>
      </c>
      <c r="H566" s="76" t="s">
        <v>195</v>
      </c>
      <c r="I566" s="77">
        <v>1</v>
      </c>
      <c r="J566" s="78">
        <v>17.5</v>
      </c>
      <c r="K566" s="78">
        <f t="shared" si="8"/>
        <v>17.5</v>
      </c>
    </row>
    <row r="567" spans="4:11">
      <c r="D567" s="75">
        <v>46190</v>
      </c>
      <c r="E567" s="76">
        <v>1612984</v>
      </c>
      <c r="F567" s="76" t="s">
        <v>42</v>
      </c>
      <c r="G567" s="77">
        <v>20395507</v>
      </c>
      <c r="H567" s="76" t="s">
        <v>197</v>
      </c>
      <c r="I567" s="77">
        <v>1</v>
      </c>
      <c r="J567" s="78">
        <v>19.6</v>
      </c>
      <c r="K567" s="78">
        <f t="shared" si="8"/>
        <v>19.6</v>
      </c>
    </row>
    <row r="568" spans="4:11">
      <c r="D568" s="75">
        <v>46190</v>
      </c>
      <c r="E568" s="76">
        <v>1612984</v>
      </c>
      <c r="F568" s="76" t="s">
        <v>27</v>
      </c>
      <c r="G568" s="77">
        <v>20009014</v>
      </c>
      <c r="H568" s="76" t="s">
        <v>321</v>
      </c>
      <c r="I568" s="77">
        <v>1</v>
      </c>
      <c r="J568" s="78">
        <v>11.55</v>
      </c>
      <c r="K568" s="78">
        <f t="shared" ref="K568:K622" si="9">J568*I568</f>
        <v>11.55</v>
      </c>
    </row>
    <row r="569" spans="4:11">
      <c r="D569" s="75">
        <v>46190</v>
      </c>
      <c r="E569" s="76">
        <v>1612984</v>
      </c>
      <c r="F569" s="76" t="s">
        <v>27</v>
      </c>
      <c r="G569" s="77">
        <v>20330093</v>
      </c>
      <c r="H569" s="76" t="s">
        <v>323</v>
      </c>
      <c r="I569" s="77">
        <v>1</v>
      </c>
      <c r="J569" s="78">
        <v>11.55</v>
      </c>
      <c r="K569" s="78">
        <f t="shared" si="9"/>
        <v>11.55</v>
      </c>
    </row>
    <row r="570" spans="4:11">
      <c r="D570" s="75">
        <v>46190</v>
      </c>
      <c r="E570" s="76">
        <v>1612984</v>
      </c>
      <c r="F570" s="76" t="s">
        <v>27</v>
      </c>
      <c r="G570" s="77">
        <v>20009013</v>
      </c>
      <c r="H570" s="76" t="s">
        <v>324</v>
      </c>
      <c r="I570" s="77">
        <v>1</v>
      </c>
      <c r="J570" s="78">
        <v>11.55</v>
      </c>
      <c r="K570" s="78">
        <f t="shared" si="9"/>
        <v>11.55</v>
      </c>
    </row>
    <row r="571" spans="4:11">
      <c r="D571" s="75">
        <v>46190</v>
      </c>
      <c r="E571" s="76">
        <v>1612984</v>
      </c>
      <c r="F571" s="76" t="s">
        <v>27</v>
      </c>
      <c r="G571" s="77">
        <v>20008214</v>
      </c>
      <c r="H571" s="76" t="s">
        <v>123</v>
      </c>
      <c r="I571" s="77">
        <v>4</v>
      </c>
      <c r="J571" s="78">
        <v>11.55</v>
      </c>
      <c r="K571" s="78">
        <f t="shared" si="9"/>
        <v>46.2</v>
      </c>
    </row>
    <row r="572" spans="4:11">
      <c r="D572" s="75">
        <v>46190</v>
      </c>
      <c r="E572" s="76">
        <v>1612984</v>
      </c>
      <c r="F572" s="76" t="s">
        <v>27</v>
      </c>
      <c r="G572" s="77">
        <v>20008345</v>
      </c>
      <c r="H572" s="76" t="s">
        <v>186</v>
      </c>
      <c r="I572" s="77">
        <v>1</v>
      </c>
      <c r="J572" s="78">
        <v>19.25</v>
      </c>
      <c r="K572" s="78">
        <f t="shared" si="9"/>
        <v>19.25</v>
      </c>
    </row>
    <row r="573" spans="4:11">
      <c r="D573" s="75">
        <v>46190</v>
      </c>
      <c r="E573" s="76">
        <v>1613137</v>
      </c>
      <c r="F573" s="76" t="s">
        <v>114</v>
      </c>
      <c r="G573" s="77">
        <v>20362791</v>
      </c>
      <c r="H573" s="76" t="s">
        <v>183</v>
      </c>
      <c r="I573" s="77">
        <v>1</v>
      </c>
      <c r="J573" s="78">
        <v>24.5</v>
      </c>
      <c r="K573" s="78">
        <f t="shared" si="9"/>
        <v>24.5</v>
      </c>
    </row>
    <row r="574" spans="4:11">
      <c r="D574" s="75">
        <v>46190</v>
      </c>
      <c r="E574" s="76">
        <v>1613137</v>
      </c>
      <c r="F574" s="76" t="s">
        <v>52</v>
      </c>
      <c r="G574" s="77">
        <v>20419979</v>
      </c>
      <c r="H574" s="76" t="s">
        <v>344</v>
      </c>
      <c r="I574" s="77">
        <v>5</v>
      </c>
      <c r="J574" s="78">
        <v>1.75</v>
      </c>
      <c r="K574" s="78">
        <f t="shared" si="9"/>
        <v>8.75</v>
      </c>
    </row>
    <row r="575" spans="4:11">
      <c r="D575" s="75">
        <v>46190</v>
      </c>
      <c r="E575" s="76">
        <v>1613139</v>
      </c>
      <c r="F575" s="76" t="s">
        <v>36</v>
      </c>
      <c r="G575" s="77">
        <v>20421828</v>
      </c>
      <c r="H575" s="76" t="s">
        <v>372</v>
      </c>
      <c r="I575" s="77">
        <v>1</v>
      </c>
      <c r="J575" s="78">
        <v>53.9</v>
      </c>
      <c r="K575" s="78">
        <f t="shared" si="9"/>
        <v>53.9</v>
      </c>
    </row>
    <row r="576" spans="4:11">
      <c r="D576" s="75">
        <v>46190</v>
      </c>
      <c r="E576" s="76">
        <v>1613139</v>
      </c>
      <c r="F576" s="76" t="s">
        <v>27</v>
      </c>
      <c r="G576" s="77">
        <v>20008214</v>
      </c>
      <c r="H576" s="76" t="s">
        <v>123</v>
      </c>
      <c r="I576" s="77">
        <v>2</v>
      </c>
      <c r="J576" s="78">
        <v>11.55</v>
      </c>
      <c r="K576" s="78">
        <f t="shared" si="9"/>
        <v>23.1</v>
      </c>
    </row>
    <row r="577" spans="4:11">
      <c r="D577" s="75">
        <v>46191</v>
      </c>
      <c r="E577" s="76">
        <v>1613227</v>
      </c>
      <c r="F577" s="76" t="s">
        <v>36</v>
      </c>
      <c r="G577" s="77">
        <v>20007716</v>
      </c>
      <c r="H577" s="76" t="s">
        <v>315</v>
      </c>
      <c r="I577" s="77">
        <v>1</v>
      </c>
      <c r="J577" s="78">
        <v>284.9</v>
      </c>
      <c r="K577" s="78">
        <f t="shared" si="9"/>
        <v>284.9</v>
      </c>
    </row>
    <row r="578" spans="4:11">
      <c r="D578" s="75">
        <v>46191</v>
      </c>
      <c r="E578" s="76">
        <v>1613227</v>
      </c>
      <c r="F578" s="76" t="s">
        <v>36</v>
      </c>
      <c r="G578" s="77">
        <v>20006867</v>
      </c>
      <c r="H578" s="76" t="s">
        <v>246</v>
      </c>
      <c r="I578" s="77">
        <v>2</v>
      </c>
      <c r="J578" s="78">
        <v>246.4</v>
      </c>
      <c r="K578" s="78">
        <f t="shared" si="9"/>
        <v>492.8</v>
      </c>
    </row>
    <row r="579" spans="4:11">
      <c r="D579" s="75">
        <v>46191</v>
      </c>
      <c r="E579" s="76">
        <v>1613227</v>
      </c>
      <c r="F579" s="76" t="s">
        <v>36</v>
      </c>
      <c r="G579" s="77">
        <v>20007715</v>
      </c>
      <c r="H579" s="76" t="s">
        <v>247</v>
      </c>
      <c r="I579" s="77">
        <v>4</v>
      </c>
      <c r="J579" s="78">
        <v>180.95</v>
      </c>
      <c r="K579" s="78">
        <f t="shared" si="9"/>
        <v>723.8</v>
      </c>
    </row>
    <row r="580" spans="4:11">
      <c r="D580" s="75">
        <v>46191</v>
      </c>
      <c r="E580" s="76">
        <v>1613227</v>
      </c>
      <c r="F580" s="76" t="s">
        <v>36</v>
      </c>
      <c r="G580" s="77">
        <v>20008128</v>
      </c>
      <c r="H580" s="76" t="s">
        <v>164</v>
      </c>
      <c r="I580" s="77">
        <v>4</v>
      </c>
      <c r="J580" s="78">
        <v>130.9</v>
      </c>
      <c r="K580" s="78">
        <f t="shared" si="9"/>
        <v>523.6</v>
      </c>
    </row>
    <row r="581" spans="4:11">
      <c r="D581" s="75">
        <v>46191</v>
      </c>
      <c r="E581" s="76">
        <v>1613227</v>
      </c>
      <c r="F581" s="76" t="s">
        <v>15</v>
      </c>
      <c r="G581" s="77">
        <v>20013515</v>
      </c>
      <c r="H581" s="76" t="s">
        <v>168</v>
      </c>
      <c r="I581" s="77">
        <v>1</v>
      </c>
      <c r="J581" s="78">
        <v>13.3</v>
      </c>
      <c r="K581" s="78">
        <f t="shared" si="9"/>
        <v>13.3</v>
      </c>
    </row>
    <row r="582" spans="4:11">
      <c r="D582" s="75">
        <v>46191</v>
      </c>
      <c r="E582" s="76">
        <v>1613227</v>
      </c>
      <c r="F582" s="76" t="s">
        <v>15</v>
      </c>
      <c r="G582" s="77">
        <v>20345685</v>
      </c>
      <c r="H582" s="76" t="s">
        <v>296</v>
      </c>
      <c r="I582" s="77">
        <v>2</v>
      </c>
      <c r="J582" s="78">
        <v>5.6</v>
      </c>
      <c r="K582" s="78">
        <f t="shared" si="9"/>
        <v>11.2</v>
      </c>
    </row>
    <row r="583" spans="4:11">
      <c r="D583" s="75">
        <v>46191</v>
      </c>
      <c r="E583" s="76">
        <v>1613227</v>
      </c>
      <c r="F583" s="76" t="s">
        <v>15</v>
      </c>
      <c r="G583" s="77">
        <v>20413736</v>
      </c>
      <c r="H583" s="76" t="s">
        <v>338</v>
      </c>
      <c r="I583" s="77">
        <v>2</v>
      </c>
      <c r="J583" s="78">
        <v>5.6</v>
      </c>
      <c r="K583" s="78">
        <f t="shared" si="9"/>
        <v>11.2</v>
      </c>
    </row>
    <row r="584" spans="4:11">
      <c r="D584" s="75">
        <v>46191</v>
      </c>
      <c r="E584" s="76">
        <v>1613227</v>
      </c>
      <c r="F584" s="76" t="s">
        <v>15</v>
      </c>
      <c r="G584" s="77">
        <v>20008322</v>
      </c>
      <c r="H584" s="76" t="s">
        <v>17</v>
      </c>
      <c r="I584" s="77">
        <v>1</v>
      </c>
      <c r="J584" s="78">
        <v>5.6</v>
      </c>
      <c r="K584" s="78">
        <f t="shared" si="9"/>
        <v>5.6</v>
      </c>
    </row>
    <row r="585" spans="4:11">
      <c r="D585" s="75">
        <v>46191</v>
      </c>
      <c r="E585" s="76">
        <v>1613227</v>
      </c>
      <c r="F585" s="76" t="s">
        <v>15</v>
      </c>
      <c r="G585" s="77">
        <v>20427367</v>
      </c>
      <c r="H585" s="76" t="s">
        <v>373</v>
      </c>
      <c r="I585" s="77">
        <v>1</v>
      </c>
      <c r="J585" s="78">
        <v>5.6</v>
      </c>
      <c r="K585" s="78">
        <f t="shared" si="9"/>
        <v>5.6</v>
      </c>
    </row>
    <row r="586" spans="4:11">
      <c r="D586" s="75">
        <v>46191</v>
      </c>
      <c r="E586" s="76">
        <v>1613227</v>
      </c>
      <c r="F586" s="76" t="s">
        <v>15</v>
      </c>
      <c r="G586" s="77">
        <v>20393771</v>
      </c>
      <c r="H586" s="76" t="s">
        <v>357</v>
      </c>
      <c r="I586" s="77">
        <v>1</v>
      </c>
      <c r="J586" s="78">
        <v>7.7</v>
      </c>
      <c r="K586" s="78">
        <f t="shared" si="9"/>
        <v>7.7</v>
      </c>
    </row>
    <row r="587" spans="4:11">
      <c r="D587" s="75">
        <v>46191</v>
      </c>
      <c r="E587" s="76">
        <v>1613227</v>
      </c>
      <c r="F587" s="76" t="s">
        <v>15</v>
      </c>
      <c r="G587" s="77">
        <v>20413745</v>
      </c>
      <c r="H587" s="76" t="s">
        <v>342</v>
      </c>
      <c r="I587" s="77">
        <v>3</v>
      </c>
      <c r="J587" s="78">
        <v>5.6</v>
      </c>
      <c r="K587" s="78">
        <f t="shared" si="9"/>
        <v>16.8</v>
      </c>
    </row>
    <row r="588" spans="4:11">
      <c r="D588" s="75">
        <v>46191</v>
      </c>
      <c r="E588" s="76">
        <v>1613227</v>
      </c>
      <c r="F588" s="76" t="s">
        <v>15</v>
      </c>
      <c r="G588" s="77">
        <v>20012133</v>
      </c>
      <c r="H588" s="76" t="s">
        <v>273</v>
      </c>
      <c r="I588" s="77">
        <v>1</v>
      </c>
      <c r="J588" s="78">
        <v>11.55</v>
      </c>
      <c r="K588" s="78">
        <f t="shared" si="9"/>
        <v>11.55</v>
      </c>
    </row>
    <row r="589" spans="4:11">
      <c r="D589" s="75">
        <v>46191</v>
      </c>
      <c r="E589" s="76">
        <v>1613227</v>
      </c>
      <c r="F589" s="76" t="s">
        <v>15</v>
      </c>
      <c r="G589" s="77">
        <v>20008491</v>
      </c>
      <c r="H589" s="76" t="s">
        <v>121</v>
      </c>
      <c r="I589" s="77">
        <v>4</v>
      </c>
      <c r="J589" s="78">
        <v>11.55</v>
      </c>
      <c r="K589" s="78">
        <f t="shared" si="9"/>
        <v>46.2</v>
      </c>
    </row>
    <row r="590" spans="4:11">
      <c r="D590" s="75">
        <v>46191</v>
      </c>
      <c r="E590" s="76">
        <v>1613227</v>
      </c>
      <c r="F590" s="76" t="s">
        <v>15</v>
      </c>
      <c r="G590" s="77">
        <v>20011138</v>
      </c>
      <c r="H590" s="76" t="s">
        <v>298</v>
      </c>
      <c r="I590" s="77">
        <v>3</v>
      </c>
      <c r="J590" s="78">
        <v>11.55</v>
      </c>
      <c r="K590" s="78">
        <f t="shared" si="9"/>
        <v>34.65</v>
      </c>
    </row>
    <row r="591" spans="4:11">
      <c r="D591" s="75">
        <v>46191</v>
      </c>
      <c r="E591" s="76">
        <v>1613227</v>
      </c>
      <c r="F591" s="76" t="s">
        <v>15</v>
      </c>
      <c r="G591" s="77">
        <v>20009280</v>
      </c>
      <c r="H591" s="76" t="s">
        <v>34</v>
      </c>
      <c r="I591" s="77">
        <v>2</v>
      </c>
      <c r="J591" s="78">
        <v>5.6</v>
      </c>
      <c r="K591" s="78">
        <f t="shared" si="9"/>
        <v>11.2</v>
      </c>
    </row>
    <row r="592" spans="4:11">
      <c r="D592" s="75">
        <v>46191</v>
      </c>
      <c r="E592" s="76">
        <v>1613227</v>
      </c>
      <c r="F592" s="76" t="s">
        <v>27</v>
      </c>
      <c r="G592" s="77">
        <v>20009014</v>
      </c>
      <c r="H592" s="76" t="s">
        <v>321</v>
      </c>
      <c r="I592" s="77">
        <v>1</v>
      </c>
      <c r="J592" s="78">
        <v>11.55</v>
      </c>
      <c r="K592" s="78">
        <f t="shared" si="9"/>
        <v>11.55</v>
      </c>
    </row>
    <row r="593" spans="4:11">
      <c r="D593" s="75">
        <v>46191</v>
      </c>
      <c r="E593" s="76">
        <v>1613227</v>
      </c>
      <c r="F593" s="76" t="s">
        <v>27</v>
      </c>
      <c r="G593" s="77">
        <v>20013068</v>
      </c>
      <c r="H593" s="76" t="s">
        <v>322</v>
      </c>
      <c r="I593" s="77">
        <v>1</v>
      </c>
      <c r="J593" s="78">
        <v>11.55</v>
      </c>
      <c r="K593" s="78">
        <f t="shared" si="9"/>
        <v>11.55</v>
      </c>
    </row>
    <row r="594" spans="4:11">
      <c r="D594" s="75">
        <v>46191</v>
      </c>
      <c r="E594" s="76">
        <v>1613227</v>
      </c>
      <c r="F594" s="76" t="s">
        <v>27</v>
      </c>
      <c r="G594" s="77">
        <v>20008214</v>
      </c>
      <c r="H594" s="76" t="s">
        <v>123</v>
      </c>
      <c r="I594" s="77">
        <v>5</v>
      </c>
      <c r="J594" s="78">
        <v>11.55</v>
      </c>
      <c r="K594" s="78">
        <f t="shared" si="9"/>
        <v>57.75</v>
      </c>
    </row>
    <row r="595" spans="4:11">
      <c r="D595" s="75">
        <v>46191</v>
      </c>
      <c r="E595" s="76">
        <v>1613227</v>
      </c>
      <c r="F595" s="76" t="s">
        <v>27</v>
      </c>
      <c r="G595" s="77">
        <v>20008225</v>
      </c>
      <c r="H595" s="76" t="s">
        <v>325</v>
      </c>
      <c r="I595" s="77">
        <v>1</v>
      </c>
      <c r="J595" s="78">
        <v>11.55</v>
      </c>
      <c r="K595" s="78">
        <f t="shared" si="9"/>
        <v>11.55</v>
      </c>
    </row>
    <row r="596" spans="4:11">
      <c r="D596" s="75">
        <v>46191</v>
      </c>
      <c r="E596" s="76">
        <v>1613227</v>
      </c>
      <c r="F596" s="76" t="s">
        <v>27</v>
      </c>
      <c r="G596" s="77">
        <v>20326293</v>
      </c>
      <c r="H596" s="76" t="s">
        <v>299</v>
      </c>
      <c r="I596" s="77">
        <v>1</v>
      </c>
      <c r="J596" s="78">
        <v>11.55</v>
      </c>
      <c r="K596" s="78">
        <f t="shared" si="9"/>
        <v>11.55</v>
      </c>
    </row>
    <row r="597" spans="4:11">
      <c r="D597" s="75">
        <v>46191</v>
      </c>
      <c r="E597" s="76">
        <v>1613227</v>
      </c>
      <c r="F597" s="76" t="s">
        <v>27</v>
      </c>
      <c r="G597" s="77">
        <v>20012460</v>
      </c>
      <c r="H597" s="76" t="s">
        <v>185</v>
      </c>
      <c r="I597" s="77">
        <v>1</v>
      </c>
      <c r="J597" s="78">
        <v>11.55</v>
      </c>
      <c r="K597" s="78">
        <f t="shared" si="9"/>
        <v>11.55</v>
      </c>
    </row>
    <row r="598" spans="4:11">
      <c r="D598" s="75">
        <v>46191</v>
      </c>
      <c r="E598" s="76">
        <v>1613227</v>
      </c>
      <c r="F598" s="76" t="s">
        <v>27</v>
      </c>
      <c r="G598" s="77">
        <v>20008345</v>
      </c>
      <c r="H598" s="76" t="s">
        <v>186</v>
      </c>
      <c r="I598" s="77">
        <v>5</v>
      </c>
      <c r="J598" s="78">
        <v>19.25</v>
      </c>
      <c r="K598" s="78">
        <f t="shared" si="9"/>
        <v>96.25</v>
      </c>
    </row>
    <row r="599" spans="4:11">
      <c r="D599" s="75">
        <v>46191</v>
      </c>
      <c r="E599" s="76">
        <v>1613227</v>
      </c>
      <c r="F599" s="76" t="s">
        <v>27</v>
      </c>
      <c r="G599" s="77">
        <v>20008152</v>
      </c>
      <c r="H599" s="76" t="s">
        <v>374</v>
      </c>
      <c r="I599" s="77">
        <v>1</v>
      </c>
      <c r="J599" s="78">
        <v>19.25</v>
      </c>
      <c r="K599" s="78">
        <f t="shared" si="9"/>
        <v>19.25</v>
      </c>
    </row>
    <row r="600" spans="4:11">
      <c r="D600" s="75">
        <v>46191</v>
      </c>
      <c r="E600" s="76">
        <v>1613254</v>
      </c>
      <c r="F600" s="76" t="s">
        <v>40</v>
      </c>
      <c r="G600" s="77">
        <v>20008885</v>
      </c>
      <c r="H600" s="76" t="s">
        <v>305</v>
      </c>
      <c r="I600" s="77">
        <v>2</v>
      </c>
      <c r="J600" s="78">
        <v>24.5</v>
      </c>
      <c r="K600" s="78">
        <f t="shared" si="9"/>
        <v>49</v>
      </c>
    </row>
    <row r="601" spans="4:11">
      <c r="D601" s="75">
        <v>46191</v>
      </c>
      <c r="E601" s="76">
        <v>1613254</v>
      </c>
      <c r="F601" s="76" t="s">
        <v>40</v>
      </c>
      <c r="G601" s="77">
        <v>20313974</v>
      </c>
      <c r="H601" s="76" t="s">
        <v>301</v>
      </c>
      <c r="I601" s="77">
        <v>1</v>
      </c>
      <c r="J601" s="78">
        <v>30.8</v>
      </c>
      <c r="K601" s="78">
        <f t="shared" si="9"/>
        <v>30.8</v>
      </c>
    </row>
    <row r="602" spans="4:11">
      <c r="D602" s="75">
        <v>46191</v>
      </c>
      <c r="E602" s="76">
        <v>1613254</v>
      </c>
      <c r="F602" s="76" t="s">
        <v>40</v>
      </c>
      <c r="G602" s="77">
        <v>20006853</v>
      </c>
      <c r="H602" s="76" t="s">
        <v>189</v>
      </c>
      <c r="I602" s="77">
        <v>1</v>
      </c>
      <c r="J602" s="78">
        <v>24.5</v>
      </c>
      <c r="K602" s="78">
        <f t="shared" si="9"/>
        <v>24.5</v>
      </c>
    </row>
    <row r="603" spans="4:11">
      <c r="D603" s="75">
        <v>46191</v>
      </c>
      <c r="E603" s="76">
        <v>1613254</v>
      </c>
      <c r="F603" s="76" t="s">
        <v>40</v>
      </c>
      <c r="G603" s="77">
        <v>20328214</v>
      </c>
      <c r="H603" s="76" t="s">
        <v>345</v>
      </c>
      <c r="I603" s="77">
        <v>1</v>
      </c>
      <c r="J603" s="78">
        <v>46.2</v>
      </c>
      <c r="K603" s="78">
        <f t="shared" si="9"/>
        <v>46.2</v>
      </c>
    </row>
    <row r="604" spans="4:11">
      <c r="D604" s="75">
        <v>46191</v>
      </c>
      <c r="E604" s="76">
        <v>1613254</v>
      </c>
      <c r="F604" s="76" t="s">
        <v>40</v>
      </c>
      <c r="G604" s="77">
        <v>20388302</v>
      </c>
      <c r="H604" s="76" t="s">
        <v>284</v>
      </c>
      <c r="I604" s="77">
        <v>2</v>
      </c>
      <c r="J604" s="78">
        <v>24.5</v>
      </c>
      <c r="K604" s="78">
        <f t="shared" si="9"/>
        <v>49</v>
      </c>
    </row>
    <row r="605" spans="4:11">
      <c r="D605" s="75">
        <v>46191</v>
      </c>
      <c r="E605" s="76">
        <v>1613254</v>
      </c>
      <c r="F605" s="76" t="s">
        <v>40</v>
      </c>
      <c r="G605" s="77">
        <v>20400917</v>
      </c>
      <c r="H605" s="76" t="s">
        <v>190</v>
      </c>
      <c r="I605" s="77">
        <v>1</v>
      </c>
      <c r="J605" s="78">
        <v>17.5</v>
      </c>
      <c r="K605" s="78">
        <f t="shared" si="9"/>
        <v>17.5</v>
      </c>
    </row>
    <row r="606" spans="4:11">
      <c r="D606" s="75">
        <v>46191</v>
      </c>
      <c r="E606" s="76">
        <v>1613254</v>
      </c>
      <c r="F606" s="76" t="s">
        <v>40</v>
      </c>
      <c r="G606" s="77">
        <v>20399832</v>
      </c>
      <c r="H606" s="76" t="s">
        <v>346</v>
      </c>
      <c r="I606" s="77">
        <v>1</v>
      </c>
      <c r="J606" s="78">
        <v>24.5</v>
      </c>
      <c r="K606" s="78">
        <f t="shared" si="9"/>
        <v>24.5</v>
      </c>
    </row>
    <row r="607" spans="4:11">
      <c r="D607" s="75">
        <v>46191</v>
      </c>
      <c r="E607" s="76">
        <v>1613254</v>
      </c>
      <c r="F607" s="76" t="s">
        <v>40</v>
      </c>
      <c r="G607" s="77">
        <v>20411341</v>
      </c>
      <c r="H607" s="76" t="s">
        <v>285</v>
      </c>
      <c r="I607" s="77">
        <v>1</v>
      </c>
      <c r="J607" s="78">
        <v>19.6</v>
      </c>
      <c r="K607" s="78">
        <f t="shared" si="9"/>
        <v>19.6</v>
      </c>
    </row>
    <row r="608" spans="4:11">
      <c r="D608" s="75">
        <v>46191</v>
      </c>
      <c r="E608" s="76">
        <v>1613254</v>
      </c>
      <c r="F608" s="76" t="s">
        <v>40</v>
      </c>
      <c r="G608" s="77">
        <v>20006890</v>
      </c>
      <c r="H608" s="76" t="s">
        <v>191</v>
      </c>
      <c r="I608" s="77">
        <v>1</v>
      </c>
      <c r="J608" s="78">
        <v>19.6</v>
      </c>
      <c r="K608" s="78">
        <f t="shared" si="9"/>
        <v>19.6</v>
      </c>
    </row>
    <row r="609" spans="4:11">
      <c r="D609" s="75">
        <v>46191</v>
      </c>
      <c r="E609" s="76">
        <v>1613254</v>
      </c>
      <c r="F609" s="76" t="s">
        <v>40</v>
      </c>
      <c r="G609" s="77">
        <v>20007639</v>
      </c>
      <c r="H609" s="76" t="s">
        <v>193</v>
      </c>
      <c r="I609" s="77">
        <v>1</v>
      </c>
      <c r="J609" s="78">
        <v>19.6</v>
      </c>
      <c r="K609" s="78">
        <f t="shared" si="9"/>
        <v>19.6</v>
      </c>
    </row>
    <row r="610" spans="4:11">
      <c r="D610" s="75">
        <v>46191</v>
      </c>
      <c r="E610" s="76">
        <v>1613254</v>
      </c>
      <c r="F610" s="76" t="s">
        <v>40</v>
      </c>
      <c r="G610" s="77">
        <v>20009272</v>
      </c>
      <c r="H610" s="76" t="s">
        <v>303</v>
      </c>
      <c r="I610" s="77">
        <v>1</v>
      </c>
      <c r="J610" s="78">
        <v>19.6</v>
      </c>
      <c r="K610" s="78">
        <f t="shared" si="9"/>
        <v>19.6</v>
      </c>
    </row>
    <row r="611" spans="4:11">
      <c r="D611" s="75">
        <v>46191</v>
      </c>
      <c r="E611" s="76">
        <v>1613254</v>
      </c>
      <c r="F611" s="76" t="s">
        <v>40</v>
      </c>
      <c r="G611" s="77">
        <v>20007638</v>
      </c>
      <c r="H611" s="76" t="s">
        <v>194</v>
      </c>
      <c r="I611" s="77">
        <v>1</v>
      </c>
      <c r="J611" s="78">
        <v>19.6</v>
      </c>
      <c r="K611" s="78">
        <f t="shared" si="9"/>
        <v>19.6</v>
      </c>
    </row>
    <row r="612" spans="4:11">
      <c r="D612" s="75">
        <v>46191</v>
      </c>
      <c r="E612" s="76">
        <v>1613254</v>
      </c>
      <c r="F612" s="76" t="s">
        <v>40</v>
      </c>
      <c r="G612" s="77">
        <v>20008639</v>
      </c>
      <c r="H612" s="76" t="s">
        <v>195</v>
      </c>
      <c r="I612" s="77">
        <v>1</v>
      </c>
      <c r="J612" s="78">
        <v>17.5</v>
      </c>
      <c r="K612" s="78">
        <f t="shared" si="9"/>
        <v>17.5</v>
      </c>
    </row>
    <row r="613" spans="4:11">
      <c r="D613" s="75">
        <v>46191</v>
      </c>
      <c r="E613" s="76">
        <v>1613254</v>
      </c>
      <c r="F613" s="76" t="s">
        <v>42</v>
      </c>
      <c r="G613" s="77">
        <v>20395507</v>
      </c>
      <c r="H613" s="76" t="s">
        <v>197</v>
      </c>
      <c r="I613" s="77">
        <v>1</v>
      </c>
      <c r="J613" s="78">
        <v>19.6</v>
      </c>
      <c r="K613" s="78">
        <f t="shared" si="9"/>
        <v>19.6</v>
      </c>
    </row>
    <row r="614" spans="4:11">
      <c r="D614" s="75">
        <v>46191</v>
      </c>
      <c r="E614" s="76">
        <v>1613254</v>
      </c>
      <c r="F614" s="76" t="s">
        <v>42</v>
      </c>
      <c r="G614" s="77">
        <v>20012907</v>
      </c>
      <c r="H614" s="76" t="s">
        <v>347</v>
      </c>
      <c r="I614" s="77">
        <v>1</v>
      </c>
      <c r="J614" s="78">
        <v>19.6</v>
      </c>
      <c r="K614" s="78">
        <f t="shared" si="9"/>
        <v>19.6</v>
      </c>
    </row>
    <row r="615" spans="4:11">
      <c r="D615" s="75">
        <v>46191</v>
      </c>
      <c r="E615" s="76">
        <v>1613254</v>
      </c>
      <c r="F615" s="76" t="s">
        <v>42</v>
      </c>
      <c r="G615" s="77">
        <v>20421830</v>
      </c>
      <c r="H615" s="76" t="s">
        <v>348</v>
      </c>
      <c r="I615" s="77">
        <v>1</v>
      </c>
      <c r="J615" s="78">
        <v>61.6</v>
      </c>
      <c r="K615" s="78">
        <f t="shared" si="9"/>
        <v>61.6</v>
      </c>
    </row>
    <row r="616" spans="4:11">
      <c r="D616" s="75">
        <v>46191</v>
      </c>
      <c r="E616" s="76">
        <v>1613509</v>
      </c>
      <c r="F616" s="76" t="s">
        <v>40</v>
      </c>
      <c r="G616" s="77">
        <v>20429160</v>
      </c>
      <c r="H616" s="76" t="s">
        <v>333</v>
      </c>
      <c r="I616" s="77">
        <v>3</v>
      </c>
      <c r="J616" s="78">
        <v>19.6</v>
      </c>
      <c r="K616" s="78">
        <f t="shared" si="9"/>
        <v>58.8</v>
      </c>
    </row>
    <row r="617" spans="4:11">
      <c r="D617" s="75">
        <v>46192</v>
      </c>
      <c r="E617" s="76">
        <v>1613575</v>
      </c>
      <c r="F617" s="76" t="s">
        <v>36</v>
      </c>
      <c r="G617" s="77">
        <v>20011908</v>
      </c>
      <c r="H617" s="76" t="s">
        <v>295</v>
      </c>
      <c r="I617" s="77">
        <v>1</v>
      </c>
      <c r="J617" s="78">
        <v>284.9</v>
      </c>
      <c r="K617" s="78">
        <f t="shared" si="9"/>
        <v>284.9</v>
      </c>
    </row>
    <row r="618" spans="4:11">
      <c r="D618" s="75">
        <v>46192</v>
      </c>
      <c r="E618" s="76">
        <v>1613575</v>
      </c>
      <c r="F618" s="76" t="s">
        <v>36</v>
      </c>
      <c r="G618" s="77">
        <v>20006867</v>
      </c>
      <c r="H618" s="76" t="s">
        <v>246</v>
      </c>
      <c r="I618" s="77">
        <v>1</v>
      </c>
      <c r="J618" s="78">
        <v>246.4</v>
      </c>
      <c r="K618" s="78">
        <f t="shared" si="9"/>
        <v>246.4</v>
      </c>
    </row>
    <row r="619" spans="4:11">
      <c r="D619" s="75">
        <v>46192</v>
      </c>
      <c r="E619" s="76">
        <v>1613575</v>
      </c>
      <c r="F619" s="76" t="s">
        <v>15</v>
      </c>
      <c r="G619" s="77">
        <v>20012489</v>
      </c>
      <c r="H619" s="76" t="s">
        <v>81</v>
      </c>
      <c r="I619" s="77">
        <v>1</v>
      </c>
      <c r="J619" s="78">
        <v>5.6</v>
      </c>
      <c r="K619" s="78">
        <f t="shared" si="9"/>
        <v>5.6</v>
      </c>
    </row>
    <row r="620" spans="4:11">
      <c r="D620" s="75">
        <v>46192</v>
      </c>
      <c r="E620" s="76">
        <v>1613575</v>
      </c>
      <c r="F620" s="76" t="s">
        <v>15</v>
      </c>
      <c r="G620" s="77">
        <v>20425822</v>
      </c>
      <c r="H620" s="76" t="s">
        <v>249</v>
      </c>
      <c r="I620" s="77">
        <v>1</v>
      </c>
      <c r="J620" s="78">
        <v>5.6</v>
      </c>
      <c r="K620" s="78">
        <f t="shared" si="9"/>
        <v>5.6</v>
      </c>
    </row>
    <row r="621" spans="4:11">
      <c r="D621" s="75">
        <v>46192</v>
      </c>
      <c r="E621" s="76">
        <v>1613575</v>
      </c>
      <c r="F621" s="76" t="s">
        <v>15</v>
      </c>
      <c r="G621" s="77">
        <v>20007714</v>
      </c>
      <c r="H621" s="76" t="s">
        <v>375</v>
      </c>
      <c r="I621" s="77">
        <v>2</v>
      </c>
      <c r="J621" s="78">
        <v>11.55</v>
      </c>
      <c r="K621" s="78">
        <f t="shared" si="9"/>
        <v>23.1</v>
      </c>
    </row>
    <row r="622" spans="4:11">
      <c r="D622" s="75">
        <v>46192</v>
      </c>
      <c r="E622" s="76">
        <v>1613575</v>
      </c>
      <c r="F622" s="76" t="s">
        <v>15</v>
      </c>
      <c r="G622" s="77">
        <v>20425054</v>
      </c>
      <c r="H622" s="76" t="s">
        <v>253</v>
      </c>
      <c r="I622" s="77">
        <v>2</v>
      </c>
      <c r="J622" s="78">
        <v>9.1</v>
      </c>
      <c r="K622" s="78">
        <f t="shared" si="9"/>
        <v>18.2</v>
      </c>
    </row>
    <row r="623" spans="4:11">
      <c r="D623" s="75">
        <v>46192</v>
      </c>
      <c r="E623" s="76">
        <v>1613575</v>
      </c>
      <c r="F623" s="76" t="s">
        <v>114</v>
      </c>
      <c r="G623" s="77">
        <v>20362791</v>
      </c>
      <c r="H623" s="76" t="s">
        <v>183</v>
      </c>
      <c r="I623" s="77">
        <v>1</v>
      </c>
      <c r="J623" s="78">
        <v>24.5</v>
      </c>
      <c r="K623" s="78">
        <f t="shared" ref="K623:K680" si="10">J623*I623</f>
        <v>24.5</v>
      </c>
    </row>
    <row r="624" spans="4:11">
      <c r="D624" s="75">
        <v>46192</v>
      </c>
      <c r="E624" s="76">
        <v>1613575</v>
      </c>
      <c r="F624" s="76" t="s">
        <v>27</v>
      </c>
      <c r="G624" s="77">
        <v>20008214</v>
      </c>
      <c r="H624" s="76" t="s">
        <v>123</v>
      </c>
      <c r="I624" s="77">
        <v>4</v>
      </c>
      <c r="J624" s="78">
        <v>11.55</v>
      </c>
      <c r="K624" s="78">
        <f t="shared" si="10"/>
        <v>46.2</v>
      </c>
    </row>
    <row r="625" spans="4:11">
      <c r="D625" s="75">
        <v>46192</v>
      </c>
      <c r="E625" s="76">
        <v>1613575</v>
      </c>
      <c r="F625" s="76" t="s">
        <v>27</v>
      </c>
      <c r="G625" s="77">
        <v>20008345</v>
      </c>
      <c r="H625" s="76" t="s">
        <v>186</v>
      </c>
      <c r="I625" s="77">
        <v>2</v>
      </c>
      <c r="J625" s="78">
        <v>19.25</v>
      </c>
      <c r="K625" s="78">
        <f t="shared" si="10"/>
        <v>38.5</v>
      </c>
    </row>
    <row r="626" spans="4:11">
      <c r="D626" s="75">
        <v>46192</v>
      </c>
      <c r="E626" s="76">
        <v>1613727</v>
      </c>
      <c r="F626" s="76" t="s">
        <v>40</v>
      </c>
      <c r="G626" s="77">
        <v>20383988</v>
      </c>
      <c r="H626" s="76" t="s">
        <v>376</v>
      </c>
      <c r="I626" s="77">
        <v>1</v>
      </c>
      <c r="J626" s="78">
        <v>61.6</v>
      </c>
      <c r="K626" s="78">
        <f t="shared" si="10"/>
        <v>61.6</v>
      </c>
    </row>
    <row r="627" spans="4:11">
      <c r="D627" s="75">
        <v>46192</v>
      </c>
      <c r="E627" s="76">
        <v>1613727</v>
      </c>
      <c r="F627" s="76" t="s">
        <v>40</v>
      </c>
      <c r="G627" s="77">
        <v>20365405</v>
      </c>
      <c r="H627" s="76" t="s">
        <v>283</v>
      </c>
      <c r="I627" s="77">
        <v>1</v>
      </c>
      <c r="J627" s="78">
        <v>61.6</v>
      </c>
      <c r="K627" s="78">
        <f t="shared" si="10"/>
        <v>61.6</v>
      </c>
    </row>
    <row r="628" spans="4:11">
      <c r="D628" s="75">
        <v>46192</v>
      </c>
      <c r="E628" s="76">
        <v>1613727</v>
      </c>
      <c r="F628" s="76" t="s">
        <v>40</v>
      </c>
      <c r="G628" s="77">
        <v>20007633</v>
      </c>
      <c r="H628" s="76" t="s">
        <v>74</v>
      </c>
      <c r="I628" s="77">
        <v>1</v>
      </c>
      <c r="J628" s="78">
        <v>24.5</v>
      </c>
      <c r="K628" s="78">
        <f t="shared" si="10"/>
        <v>24.5</v>
      </c>
    </row>
    <row r="629" spans="4:11">
      <c r="D629" s="75">
        <v>46192</v>
      </c>
      <c r="E629" s="76">
        <v>1613727</v>
      </c>
      <c r="F629" s="76" t="s">
        <v>40</v>
      </c>
      <c r="G629" s="77">
        <v>20012362</v>
      </c>
      <c r="H629" s="76" t="s">
        <v>377</v>
      </c>
      <c r="I629" s="77">
        <v>1</v>
      </c>
      <c r="J629" s="78">
        <v>30.8</v>
      </c>
      <c r="K629" s="78">
        <f t="shared" si="10"/>
        <v>30.8</v>
      </c>
    </row>
    <row r="630" spans="4:11">
      <c r="D630" s="75">
        <v>46192</v>
      </c>
      <c r="E630" s="76">
        <v>1613727</v>
      </c>
      <c r="F630" s="76" t="s">
        <v>40</v>
      </c>
      <c r="G630" s="77">
        <v>20348167</v>
      </c>
      <c r="H630" s="76" t="s">
        <v>314</v>
      </c>
      <c r="I630" s="77">
        <v>1</v>
      </c>
      <c r="J630" s="78">
        <v>61.6</v>
      </c>
      <c r="K630" s="78">
        <f t="shared" si="10"/>
        <v>61.6</v>
      </c>
    </row>
    <row r="631" spans="4:11">
      <c r="D631" s="75">
        <v>46192</v>
      </c>
      <c r="E631" s="76">
        <v>1613727</v>
      </c>
      <c r="F631" s="76" t="s">
        <v>40</v>
      </c>
      <c r="G631" s="77">
        <v>20335398</v>
      </c>
      <c r="H631" s="76" t="s">
        <v>378</v>
      </c>
      <c r="I631" s="77">
        <v>1</v>
      </c>
      <c r="J631" s="78">
        <v>61.6</v>
      </c>
      <c r="K631" s="78">
        <f t="shared" si="10"/>
        <v>61.6</v>
      </c>
    </row>
    <row r="632" spans="4:11">
      <c r="D632" s="75">
        <v>46192</v>
      </c>
      <c r="E632" s="76">
        <v>1613727</v>
      </c>
      <c r="F632" s="76" t="s">
        <v>42</v>
      </c>
      <c r="G632" s="77">
        <v>20008376</v>
      </c>
      <c r="H632" s="76" t="s">
        <v>287</v>
      </c>
      <c r="I632" s="77">
        <v>1</v>
      </c>
      <c r="J632" s="78">
        <v>19.6</v>
      </c>
      <c r="K632" s="78">
        <f t="shared" si="10"/>
        <v>19.6</v>
      </c>
    </row>
    <row r="633" spans="4:11">
      <c r="D633" s="75">
        <v>46192</v>
      </c>
      <c r="E633" s="76">
        <v>1613727</v>
      </c>
      <c r="F633" s="76" t="s">
        <v>42</v>
      </c>
      <c r="G633" s="77">
        <v>20012368</v>
      </c>
      <c r="H633" s="76" t="s">
        <v>362</v>
      </c>
      <c r="I633" s="77">
        <v>1</v>
      </c>
      <c r="J633" s="78">
        <v>19.6</v>
      </c>
      <c r="K633" s="78">
        <f t="shared" si="10"/>
        <v>19.6</v>
      </c>
    </row>
    <row r="634" spans="4:11">
      <c r="D634" s="75">
        <v>46194</v>
      </c>
      <c r="E634" s="76">
        <v>1613838</v>
      </c>
      <c r="F634" s="76" t="s">
        <v>36</v>
      </c>
      <c r="G634" s="77">
        <v>20329313</v>
      </c>
      <c r="H634" s="76" t="s">
        <v>162</v>
      </c>
      <c r="I634" s="77">
        <v>1</v>
      </c>
      <c r="J634" s="78">
        <v>107.8</v>
      </c>
      <c r="K634" s="78">
        <f t="shared" si="10"/>
        <v>107.8</v>
      </c>
    </row>
    <row r="635" spans="4:11">
      <c r="D635" s="75">
        <v>46194</v>
      </c>
      <c r="E635" s="76">
        <v>1613838</v>
      </c>
      <c r="F635" s="76" t="s">
        <v>36</v>
      </c>
      <c r="G635" s="77">
        <v>20008341</v>
      </c>
      <c r="H635" s="76" t="s">
        <v>163</v>
      </c>
      <c r="I635" s="77">
        <v>1</v>
      </c>
      <c r="J635" s="78">
        <v>157.85</v>
      </c>
      <c r="K635" s="78">
        <f t="shared" si="10"/>
        <v>157.85</v>
      </c>
    </row>
    <row r="636" spans="4:11">
      <c r="D636" s="75">
        <v>46194</v>
      </c>
      <c r="E636" s="76">
        <v>1613838</v>
      </c>
      <c r="F636" s="76" t="s">
        <v>36</v>
      </c>
      <c r="G636" s="77">
        <v>20311037</v>
      </c>
      <c r="H636" s="76" t="s">
        <v>165</v>
      </c>
      <c r="I636" s="77">
        <v>2</v>
      </c>
      <c r="J636" s="78">
        <v>53.55</v>
      </c>
      <c r="K636" s="78">
        <f t="shared" si="10"/>
        <v>107.1</v>
      </c>
    </row>
    <row r="637" spans="4:11">
      <c r="D637" s="75">
        <v>46194</v>
      </c>
      <c r="E637" s="76">
        <v>1613838</v>
      </c>
      <c r="F637" s="76" t="s">
        <v>20</v>
      </c>
      <c r="G637" s="77">
        <v>20013667</v>
      </c>
      <c r="H637" s="76" t="s">
        <v>166</v>
      </c>
      <c r="I637" s="77">
        <v>1</v>
      </c>
      <c r="J637" s="78">
        <v>15.4</v>
      </c>
      <c r="K637" s="78">
        <f t="shared" si="10"/>
        <v>15.4</v>
      </c>
    </row>
    <row r="638" spans="4:11">
      <c r="D638" s="75">
        <v>46194</v>
      </c>
      <c r="E638" s="76">
        <v>1613838</v>
      </c>
      <c r="F638" s="76" t="s">
        <v>15</v>
      </c>
      <c r="G638" s="77">
        <v>20387875</v>
      </c>
      <c r="H638" s="76" t="s">
        <v>379</v>
      </c>
      <c r="I638" s="77">
        <v>1</v>
      </c>
      <c r="J638" s="78">
        <v>5.6</v>
      </c>
      <c r="K638" s="78">
        <f t="shared" si="10"/>
        <v>5.6</v>
      </c>
    </row>
    <row r="639" spans="4:11">
      <c r="D639" s="75">
        <v>46194</v>
      </c>
      <c r="E639" s="76">
        <v>1613838</v>
      </c>
      <c r="F639" s="76" t="s">
        <v>15</v>
      </c>
      <c r="G639" s="77">
        <v>20014230</v>
      </c>
      <c r="H639" s="76" t="s">
        <v>380</v>
      </c>
      <c r="I639" s="77">
        <v>1</v>
      </c>
      <c r="J639" s="78">
        <v>5.6</v>
      </c>
      <c r="K639" s="78">
        <f t="shared" si="10"/>
        <v>5.6</v>
      </c>
    </row>
    <row r="640" spans="4:11">
      <c r="D640" s="75">
        <v>46194</v>
      </c>
      <c r="E640" s="76">
        <v>1613838</v>
      </c>
      <c r="F640" s="76" t="s">
        <v>27</v>
      </c>
      <c r="G640" s="77">
        <v>20008214</v>
      </c>
      <c r="H640" s="76" t="s">
        <v>123</v>
      </c>
      <c r="I640" s="77">
        <v>2</v>
      </c>
      <c r="J640" s="78">
        <v>11.55</v>
      </c>
      <c r="K640" s="78">
        <f t="shared" si="10"/>
        <v>23.1</v>
      </c>
    </row>
    <row r="641" spans="4:11">
      <c r="D641" s="75">
        <v>46194</v>
      </c>
      <c r="E641" s="76">
        <v>1613838</v>
      </c>
      <c r="F641" s="76" t="s">
        <v>27</v>
      </c>
      <c r="G641" s="77">
        <v>20012460</v>
      </c>
      <c r="H641" s="76" t="s">
        <v>185</v>
      </c>
      <c r="I641" s="77">
        <v>1</v>
      </c>
      <c r="J641" s="78">
        <v>11.55</v>
      </c>
      <c r="K641" s="78">
        <f t="shared" si="10"/>
        <v>11.55</v>
      </c>
    </row>
    <row r="642" spans="4:11">
      <c r="D642" s="75">
        <v>46194</v>
      </c>
      <c r="E642" s="76">
        <v>1613838</v>
      </c>
      <c r="F642" s="76" t="s">
        <v>27</v>
      </c>
      <c r="G642" s="77">
        <v>20008345</v>
      </c>
      <c r="H642" s="76" t="s">
        <v>186</v>
      </c>
      <c r="I642" s="77">
        <v>2</v>
      </c>
      <c r="J642" s="78">
        <v>19.25</v>
      </c>
      <c r="K642" s="78">
        <f t="shared" si="10"/>
        <v>38.5</v>
      </c>
    </row>
    <row r="643" spans="4:11">
      <c r="D643" s="75">
        <v>46195</v>
      </c>
      <c r="E643" s="76">
        <v>1614173</v>
      </c>
      <c r="F643" s="76" t="s">
        <v>36</v>
      </c>
      <c r="G643" s="77">
        <v>20008128</v>
      </c>
      <c r="H643" s="76" t="s">
        <v>164</v>
      </c>
      <c r="I643" s="77">
        <v>1</v>
      </c>
      <c r="J643" s="78">
        <v>130.9</v>
      </c>
      <c r="K643" s="78">
        <f t="shared" si="10"/>
        <v>130.9</v>
      </c>
    </row>
    <row r="644" spans="4:11">
      <c r="D644" s="75">
        <v>46195</v>
      </c>
      <c r="E644" s="76">
        <v>1614173</v>
      </c>
      <c r="F644" s="76" t="s">
        <v>36</v>
      </c>
      <c r="G644" s="77">
        <v>20325851</v>
      </c>
      <c r="H644" s="76" t="s">
        <v>353</v>
      </c>
      <c r="I644" s="77">
        <v>1</v>
      </c>
      <c r="J644" s="78">
        <v>150.15</v>
      </c>
      <c r="K644" s="78">
        <f t="shared" si="10"/>
        <v>150.15</v>
      </c>
    </row>
    <row r="645" spans="4:11">
      <c r="D645" s="75">
        <v>46195</v>
      </c>
      <c r="E645" s="76">
        <v>1614173</v>
      </c>
      <c r="F645" s="76" t="s">
        <v>15</v>
      </c>
      <c r="G645" s="77">
        <v>20011138</v>
      </c>
      <c r="H645" s="76" t="s">
        <v>298</v>
      </c>
      <c r="I645" s="77">
        <v>1</v>
      </c>
      <c r="J645" s="78">
        <v>11.55</v>
      </c>
      <c r="K645" s="78">
        <f t="shared" si="10"/>
        <v>11.55</v>
      </c>
    </row>
    <row r="646" spans="4:11">
      <c r="D646" s="75">
        <v>46195</v>
      </c>
      <c r="E646" s="76">
        <v>1614173</v>
      </c>
      <c r="F646" s="76" t="s">
        <v>114</v>
      </c>
      <c r="G646" s="77">
        <v>20362791</v>
      </c>
      <c r="H646" s="76" t="s">
        <v>183</v>
      </c>
      <c r="I646" s="77">
        <v>1</v>
      </c>
      <c r="J646" s="78">
        <v>24.5</v>
      </c>
      <c r="K646" s="78">
        <f t="shared" si="10"/>
        <v>24.5</v>
      </c>
    </row>
    <row r="647" spans="4:11">
      <c r="D647" s="75">
        <v>46195</v>
      </c>
      <c r="E647" s="76">
        <v>1614173</v>
      </c>
      <c r="F647" s="76" t="s">
        <v>25</v>
      </c>
      <c r="G647" s="77">
        <v>20006861</v>
      </c>
      <c r="H647" s="76" t="s">
        <v>381</v>
      </c>
      <c r="I647" s="77">
        <v>1</v>
      </c>
      <c r="J647" s="78">
        <v>46.2</v>
      </c>
      <c r="K647" s="78">
        <f t="shared" si="10"/>
        <v>46.2</v>
      </c>
    </row>
    <row r="648" spans="4:11">
      <c r="D648" s="75">
        <v>46195</v>
      </c>
      <c r="E648" s="76">
        <v>1614173</v>
      </c>
      <c r="F648" s="76" t="s">
        <v>27</v>
      </c>
      <c r="G648" s="77">
        <v>20008214</v>
      </c>
      <c r="H648" s="76" t="s">
        <v>123</v>
      </c>
      <c r="I648" s="77">
        <v>1</v>
      </c>
      <c r="J648" s="78">
        <v>11.55</v>
      </c>
      <c r="K648" s="78">
        <f t="shared" si="10"/>
        <v>11.55</v>
      </c>
    </row>
    <row r="649" spans="4:11">
      <c r="D649" s="75">
        <v>46196</v>
      </c>
      <c r="E649" s="76">
        <v>1614224</v>
      </c>
      <c r="F649" s="76" t="s">
        <v>40</v>
      </c>
      <c r="G649" s="77">
        <v>20429160</v>
      </c>
      <c r="H649" s="76" t="s">
        <v>333</v>
      </c>
      <c r="I649" s="77">
        <v>1</v>
      </c>
      <c r="J649" s="78">
        <v>19.6</v>
      </c>
      <c r="K649" s="78">
        <f t="shared" si="10"/>
        <v>19.6</v>
      </c>
    </row>
    <row r="650" spans="4:11">
      <c r="D650" s="75">
        <v>46196</v>
      </c>
      <c r="E650" s="76">
        <v>1614224</v>
      </c>
      <c r="F650" s="76" t="s">
        <v>40</v>
      </c>
      <c r="G650" s="77">
        <v>20012182</v>
      </c>
      <c r="H650" s="76" t="s">
        <v>213</v>
      </c>
      <c r="I650" s="77">
        <v>10</v>
      </c>
      <c r="J650" s="78">
        <v>19.6</v>
      </c>
      <c r="K650" s="78">
        <f t="shared" si="10"/>
        <v>196</v>
      </c>
    </row>
    <row r="651" spans="4:11">
      <c r="D651" s="75">
        <v>46197</v>
      </c>
      <c r="E651" s="76">
        <v>1614541</v>
      </c>
      <c r="F651" s="76" t="s">
        <v>36</v>
      </c>
      <c r="G651" s="77">
        <v>20006867</v>
      </c>
      <c r="H651" s="76" t="s">
        <v>246</v>
      </c>
      <c r="I651" s="77">
        <v>1</v>
      </c>
      <c r="J651" s="78">
        <v>246.4</v>
      </c>
      <c r="K651" s="78">
        <f t="shared" si="10"/>
        <v>246.4</v>
      </c>
    </row>
    <row r="652" spans="4:11">
      <c r="D652" s="75">
        <v>46197</v>
      </c>
      <c r="E652" s="76">
        <v>1614541</v>
      </c>
      <c r="F652" s="76" t="s">
        <v>36</v>
      </c>
      <c r="G652" s="77">
        <v>20007715</v>
      </c>
      <c r="H652" s="76" t="s">
        <v>247</v>
      </c>
      <c r="I652" s="77">
        <v>3</v>
      </c>
      <c r="J652" s="78">
        <v>180.95</v>
      </c>
      <c r="K652" s="78">
        <f t="shared" si="10"/>
        <v>542.85</v>
      </c>
    </row>
    <row r="653" spans="4:11">
      <c r="D653" s="75">
        <v>46197</v>
      </c>
      <c r="E653" s="76">
        <v>1614541</v>
      </c>
      <c r="F653" s="76" t="s">
        <v>36</v>
      </c>
      <c r="G653" s="77">
        <v>20008128</v>
      </c>
      <c r="H653" s="76" t="s">
        <v>164</v>
      </c>
      <c r="I653" s="77">
        <v>4</v>
      </c>
      <c r="J653" s="78">
        <v>130.9</v>
      </c>
      <c r="K653" s="78">
        <f t="shared" si="10"/>
        <v>523.6</v>
      </c>
    </row>
    <row r="654" spans="4:11">
      <c r="D654" s="75">
        <v>46197</v>
      </c>
      <c r="E654" s="76">
        <v>1614541</v>
      </c>
      <c r="F654" s="76" t="s">
        <v>36</v>
      </c>
      <c r="G654" s="77">
        <v>20009715</v>
      </c>
      <c r="H654" s="76" t="s">
        <v>382</v>
      </c>
      <c r="I654" s="77">
        <v>1</v>
      </c>
      <c r="J654" s="78">
        <v>69.3</v>
      </c>
      <c r="K654" s="78">
        <f t="shared" si="10"/>
        <v>69.3</v>
      </c>
    </row>
    <row r="655" spans="4:11">
      <c r="D655" s="75">
        <v>46197</v>
      </c>
      <c r="E655" s="76">
        <v>1614541</v>
      </c>
      <c r="F655" s="76" t="s">
        <v>15</v>
      </c>
      <c r="G655" s="77">
        <v>20012489</v>
      </c>
      <c r="H655" s="76" t="s">
        <v>81</v>
      </c>
      <c r="I655" s="77">
        <v>1</v>
      </c>
      <c r="J655" s="78">
        <v>5.6</v>
      </c>
      <c r="K655" s="78">
        <f t="shared" si="10"/>
        <v>5.6</v>
      </c>
    </row>
    <row r="656" spans="4:11">
      <c r="D656" s="75">
        <v>46197</v>
      </c>
      <c r="E656" s="76">
        <v>1614541</v>
      </c>
      <c r="F656" s="76" t="s">
        <v>15</v>
      </c>
      <c r="G656" s="77">
        <v>20009534</v>
      </c>
      <c r="H656" s="76" t="s">
        <v>327</v>
      </c>
      <c r="I656" s="77">
        <v>1</v>
      </c>
      <c r="J656" s="78">
        <v>9.45</v>
      </c>
      <c r="K656" s="78">
        <f t="shared" si="10"/>
        <v>9.45</v>
      </c>
    </row>
    <row r="657" spans="4:11">
      <c r="D657" s="75">
        <v>46197</v>
      </c>
      <c r="E657" s="76">
        <v>1614541</v>
      </c>
      <c r="F657" s="76" t="s">
        <v>15</v>
      </c>
      <c r="G657" s="77">
        <v>20008491</v>
      </c>
      <c r="H657" s="76" t="s">
        <v>121</v>
      </c>
      <c r="I657" s="77">
        <v>1</v>
      </c>
      <c r="J657" s="78">
        <v>11.55</v>
      </c>
      <c r="K657" s="78">
        <f t="shared" si="10"/>
        <v>11.55</v>
      </c>
    </row>
    <row r="658" spans="4:11">
      <c r="D658" s="75">
        <v>46197</v>
      </c>
      <c r="E658" s="76">
        <v>1614541</v>
      </c>
      <c r="F658" s="76" t="s">
        <v>15</v>
      </c>
      <c r="G658" s="77">
        <v>20011138</v>
      </c>
      <c r="H658" s="76" t="s">
        <v>298</v>
      </c>
      <c r="I658" s="77">
        <v>2</v>
      </c>
      <c r="J658" s="78">
        <v>11.55</v>
      </c>
      <c r="K658" s="78">
        <f t="shared" si="10"/>
        <v>23.1</v>
      </c>
    </row>
    <row r="659" spans="4:11">
      <c r="D659" s="75">
        <v>46197</v>
      </c>
      <c r="E659" s="76">
        <v>1614541</v>
      </c>
      <c r="F659" s="76" t="s">
        <v>15</v>
      </c>
      <c r="G659" s="77">
        <v>20347033</v>
      </c>
      <c r="H659" s="76" t="s">
        <v>113</v>
      </c>
      <c r="I659" s="77">
        <v>1</v>
      </c>
      <c r="J659" s="78">
        <v>5.6</v>
      </c>
      <c r="K659" s="78">
        <f t="shared" si="10"/>
        <v>5.6</v>
      </c>
    </row>
    <row r="660" ht="24.75" spans="4:11">
      <c r="D660" s="75">
        <v>46197</v>
      </c>
      <c r="E660" s="76">
        <v>1614541</v>
      </c>
      <c r="F660" s="76" t="s">
        <v>238</v>
      </c>
      <c r="G660" s="77">
        <v>20367134</v>
      </c>
      <c r="H660" s="76" t="s">
        <v>335</v>
      </c>
      <c r="I660" s="77">
        <v>1</v>
      </c>
      <c r="J660" s="78">
        <v>207.9</v>
      </c>
      <c r="K660" s="78">
        <f t="shared" si="10"/>
        <v>207.9</v>
      </c>
    </row>
    <row r="661" spans="4:11">
      <c r="D661" s="75">
        <v>46197</v>
      </c>
      <c r="E661" s="76">
        <v>1614541</v>
      </c>
      <c r="F661" s="76" t="s">
        <v>27</v>
      </c>
      <c r="G661" s="77">
        <v>20008214</v>
      </c>
      <c r="H661" s="76" t="s">
        <v>123</v>
      </c>
      <c r="I661" s="77">
        <v>5</v>
      </c>
      <c r="J661" s="78">
        <v>11.55</v>
      </c>
      <c r="K661" s="78">
        <f t="shared" si="10"/>
        <v>57.75</v>
      </c>
    </row>
    <row r="662" spans="4:11">
      <c r="D662" s="75">
        <v>46197</v>
      </c>
      <c r="E662" s="76">
        <v>1614541</v>
      </c>
      <c r="F662" s="76" t="s">
        <v>27</v>
      </c>
      <c r="G662" s="77">
        <v>20015105</v>
      </c>
      <c r="H662" s="76" t="s">
        <v>205</v>
      </c>
      <c r="I662" s="77">
        <v>1</v>
      </c>
      <c r="J662" s="78">
        <v>11.55</v>
      </c>
      <c r="K662" s="78">
        <f t="shared" si="10"/>
        <v>11.55</v>
      </c>
    </row>
    <row r="663" spans="4:11">
      <c r="D663" s="75">
        <v>46197</v>
      </c>
      <c r="E663" s="76">
        <v>1614541</v>
      </c>
      <c r="F663" s="76" t="s">
        <v>27</v>
      </c>
      <c r="G663" s="77">
        <v>20014802</v>
      </c>
      <c r="H663" s="76" t="s">
        <v>365</v>
      </c>
      <c r="I663" s="77">
        <v>1</v>
      </c>
      <c r="J663" s="78">
        <v>11.55</v>
      </c>
      <c r="K663" s="78">
        <f t="shared" si="10"/>
        <v>11.55</v>
      </c>
    </row>
    <row r="664" spans="4:11">
      <c r="D664" s="75">
        <v>46197</v>
      </c>
      <c r="E664" s="76">
        <v>1614541</v>
      </c>
      <c r="F664" s="76" t="s">
        <v>27</v>
      </c>
      <c r="G664" s="77">
        <v>20013952</v>
      </c>
      <c r="H664" s="76" t="s">
        <v>294</v>
      </c>
      <c r="I664" s="77">
        <v>1</v>
      </c>
      <c r="J664" s="78">
        <v>11.55</v>
      </c>
      <c r="K664" s="78">
        <f t="shared" si="10"/>
        <v>11.55</v>
      </c>
    </row>
    <row r="665" spans="4:11">
      <c r="D665" s="75">
        <v>46197</v>
      </c>
      <c r="E665" s="76">
        <v>1614541</v>
      </c>
      <c r="F665" s="76" t="s">
        <v>27</v>
      </c>
      <c r="G665" s="77">
        <v>20008345</v>
      </c>
      <c r="H665" s="76" t="s">
        <v>186</v>
      </c>
      <c r="I665" s="77">
        <v>3</v>
      </c>
      <c r="J665" s="78">
        <v>19.25</v>
      </c>
      <c r="K665" s="78">
        <f t="shared" si="10"/>
        <v>57.75</v>
      </c>
    </row>
    <row r="666" spans="4:11">
      <c r="D666" s="75">
        <v>46197</v>
      </c>
      <c r="E666" s="76">
        <v>1614585</v>
      </c>
      <c r="F666" s="76" t="s">
        <v>15</v>
      </c>
      <c r="G666" s="77">
        <v>20008180</v>
      </c>
      <c r="H666" s="76" t="s">
        <v>167</v>
      </c>
      <c r="I666" s="77">
        <v>2</v>
      </c>
      <c r="J666" s="78">
        <v>5.6</v>
      </c>
      <c r="K666" s="78">
        <f t="shared" si="10"/>
        <v>11.2</v>
      </c>
    </row>
    <row r="667" spans="4:11">
      <c r="D667" s="75">
        <v>46197</v>
      </c>
      <c r="E667" s="76">
        <v>1614585</v>
      </c>
      <c r="F667" s="76" t="s">
        <v>15</v>
      </c>
      <c r="G667" s="77">
        <v>20012311</v>
      </c>
      <c r="H667" s="76" t="s">
        <v>174</v>
      </c>
      <c r="I667" s="77">
        <v>1</v>
      </c>
      <c r="J667" s="78">
        <v>7.7</v>
      </c>
      <c r="K667" s="78">
        <f t="shared" si="10"/>
        <v>7.7</v>
      </c>
    </row>
    <row r="668" spans="4:11">
      <c r="D668" s="75">
        <v>46197</v>
      </c>
      <c r="E668" s="76">
        <v>1614585</v>
      </c>
      <c r="F668" s="76" t="s">
        <v>15</v>
      </c>
      <c r="G668" s="77">
        <v>20008196</v>
      </c>
      <c r="H668" s="76" t="s">
        <v>363</v>
      </c>
      <c r="I668" s="77">
        <v>1</v>
      </c>
      <c r="J668" s="78">
        <v>7.7</v>
      </c>
      <c r="K668" s="78">
        <f t="shared" si="10"/>
        <v>7.7</v>
      </c>
    </row>
    <row r="669" spans="4:11">
      <c r="D669" s="75">
        <v>46197</v>
      </c>
      <c r="E669" s="76">
        <v>1614585</v>
      </c>
      <c r="F669" s="76" t="s">
        <v>15</v>
      </c>
      <c r="G669" s="77">
        <v>20345685</v>
      </c>
      <c r="H669" s="76" t="s">
        <v>296</v>
      </c>
      <c r="I669" s="77">
        <v>2</v>
      </c>
      <c r="J669" s="78">
        <v>5.6</v>
      </c>
      <c r="K669" s="78">
        <f t="shared" si="10"/>
        <v>11.2</v>
      </c>
    </row>
    <row r="670" spans="4:11">
      <c r="D670" s="75">
        <v>46197</v>
      </c>
      <c r="E670" s="76">
        <v>1614585</v>
      </c>
      <c r="F670" s="76" t="s">
        <v>15</v>
      </c>
      <c r="G670" s="77">
        <v>20008204</v>
      </c>
      <c r="H670" s="76" t="s">
        <v>122</v>
      </c>
      <c r="I670" s="77">
        <v>2</v>
      </c>
      <c r="J670" s="78">
        <v>9.45</v>
      </c>
      <c r="K670" s="78">
        <f t="shared" si="10"/>
        <v>18.9</v>
      </c>
    </row>
    <row r="671" spans="4:11">
      <c r="D671" s="75">
        <v>46197</v>
      </c>
      <c r="E671" s="76">
        <v>1614585</v>
      </c>
      <c r="F671" s="76" t="s">
        <v>15</v>
      </c>
      <c r="G671" s="77">
        <v>20013461</v>
      </c>
      <c r="H671" s="76" t="s">
        <v>279</v>
      </c>
      <c r="I671" s="77">
        <v>1</v>
      </c>
      <c r="J671" s="78">
        <v>11.55</v>
      </c>
      <c r="K671" s="78">
        <f t="shared" si="10"/>
        <v>11.55</v>
      </c>
    </row>
    <row r="672" spans="4:11">
      <c r="D672" s="75">
        <v>46197</v>
      </c>
      <c r="E672" s="76">
        <v>1614585</v>
      </c>
      <c r="F672" s="76" t="s">
        <v>114</v>
      </c>
      <c r="G672" s="77">
        <v>20362791</v>
      </c>
      <c r="H672" s="76" t="s">
        <v>183</v>
      </c>
      <c r="I672" s="77">
        <v>1</v>
      </c>
      <c r="J672" s="78">
        <v>24.5</v>
      </c>
      <c r="K672" s="78">
        <f t="shared" si="10"/>
        <v>24.5</v>
      </c>
    </row>
    <row r="673" spans="4:11">
      <c r="D673" s="75">
        <v>46197</v>
      </c>
      <c r="E673" s="76">
        <v>1614585</v>
      </c>
      <c r="F673" s="76" t="s">
        <v>27</v>
      </c>
      <c r="G673" s="77">
        <v>20008214</v>
      </c>
      <c r="H673" s="76" t="s">
        <v>123</v>
      </c>
      <c r="I673" s="77">
        <v>2</v>
      </c>
      <c r="J673" s="78">
        <v>11.55</v>
      </c>
      <c r="K673" s="78">
        <f t="shared" si="10"/>
        <v>23.1</v>
      </c>
    </row>
    <row r="674" spans="4:11">
      <c r="D674" s="75">
        <v>46197</v>
      </c>
      <c r="E674" s="76">
        <v>1614585</v>
      </c>
      <c r="F674" s="76" t="s">
        <v>27</v>
      </c>
      <c r="G674" s="77">
        <v>20007644</v>
      </c>
      <c r="H674" s="76" t="s">
        <v>368</v>
      </c>
      <c r="I674" s="77">
        <v>1</v>
      </c>
      <c r="J674" s="78">
        <v>11.55</v>
      </c>
      <c r="K674" s="78">
        <f t="shared" si="10"/>
        <v>11.55</v>
      </c>
    </row>
    <row r="675" spans="4:11">
      <c r="D675" s="75">
        <v>46197</v>
      </c>
      <c r="E675" s="76">
        <v>1614585</v>
      </c>
      <c r="F675" s="76" t="s">
        <v>27</v>
      </c>
      <c r="G675" s="77">
        <v>20013916</v>
      </c>
      <c r="H675" s="76" t="s">
        <v>354</v>
      </c>
      <c r="I675" s="77">
        <v>1</v>
      </c>
      <c r="J675" s="78">
        <v>11.55</v>
      </c>
      <c r="K675" s="78">
        <f t="shared" si="10"/>
        <v>11.55</v>
      </c>
    </row>
    <row r="676" spans="4:11">
      <c r="D676" s="75">
        <v>46197</v>
      </c>
      <c r="E676" s="76">
        <v>1614605</v>
      </c>
      <c r="F676" s="76" t="s">
        <v>40</v>
      </c>
      <c r="G676" s="77">
        <v>20369608</v>
      </c>
      <c r="H676" s="76" t="s">
        <v>383</v>
      </c>
      <c r="I676" s="77">
        <v>3</v>
      </c>
      <c r="J676" s="78">
        <v>15.4</v>
      </c>
      <c r="K676" s="78">
        <f t="shared" si="10"/>
        <v>46.2</v>
      </c>
    </row>
    <row r="677" spans="4:11">
      <c r="D677" s="75">
        <v>46197</v>
      </c>
      <c r="E677" s="76">
        <v>1614605</v>
      </c>
      <c r="F677" s="76" t="s">
        <v>40</v>
      </c>
      <c r="G677" s="77">
        <v>20008885</v>
      </c>
      <c r="H677" s="76" t="s">
        <v>305</v>
      </c>
      <c r="I677" s="77">
        <v>1</v>
      </c>
      <c r="J677" s="78">
        <v>24.5</v>
      </c>
      <c r="K677" s="78">
        <f t="shared" si="10"/>
        <v>24.5</v>
      </c>
    </row>
    <row r="678" spans="4:11">
      <c r="D678" s="75">
        <v>46197</v>
      </c>
      <c r="E678" s="76">
        <v>1614605</v>
      </c>
      <c r="F678" s="76" t="s">
        <v>40</v>
      </c>
      <c r="G678" s="77">
        <v>20429160</v>
      </c>
      <c r="H678" s="76" t="s">
        <v>333</v>
      </c>
      <c r="I678" s="77">
        <v>3</v>
      </c>
      <c r="J678" s="78">
        <v>19.6</v>
      </c>
      <c r="K678" s="78">
        <f t="shared" si="10"/>
        <v>58.8</v>
      </c>
    </row>
    <row r="679" spans="4:11">
      <c r="D679" s="75">
        <v>46197</v>
      </c>
      <c r="E679" s="76">
        <v>1614605</v>
      </c>
      <c r="F679" s="76" t="s">
        <v>40</v>
      </c>
      <c r="G679" s="77">
        <v>20429155</v>
      </c>
      <c r="H679" s="76" t="s">
        <v>384</v>
      </c>
      <c r="I679" s="77">
        <v>3</v>
      </c>
      <c r="J679" s="78">
        <v>30.8</v>
      </c>
      <c r="K679" s="78">
        <f t="shared" si="10"/>
        <v>92.4</v>
      </c>
    </row>
    <row r="680" spans="4:11">
      <c r="D680" s="75">
        <v>46197</v>
      </c>
      <c r="E680" s="76">
        <v>1614605</v>
      </c>
      <c r="F680" s="76" t="s">
        <v>40</v>
      </c>
      <c r="G680" s="77">
        <v>20012182</v>
      </c>
      <c r="H680" s="76" t="s">
        <v>213</v>
      </c>
      <c r="I680" s="77">
        <v>10</v>
      </c>
      <c r="J680" s="78">
        <v>19.6</v>
      </c>
      <c r="K680" s="78">
        <f t="shared" si="10"/>
        <v>196</v>
      </c>
    </row>
    <row r="681" spans="4:11">
      <c r="D681" s="75">
        <v>46197</v>
      </c>
      <c r="E681" s="76">
        <v>1614880</v>
      </c>
      <c r="F681" s="76" t="s">
        <v>40</v>
      </c>
      <c r="G681" s="77">
        <v>20431048</v>
      </c>
      <c r="H681" s="76" t="s">
        <v>385</v>
      </c>
      <c r="I681" s="77">
        <v>1</v>
      </c>
      <c r="J681" s="78">
        <v>30.8</v>
      </c>
      <c r="K681" s="78">
        <f t="shared" ref="K681:K717" si="11">J681*I681</f>
        <v>30.8</v>
      </c>
    </row>
    <row r="682" spans="4:11">
      <c r="D682" s="75">
        <v>46198</v>
      </c>
      <c r="E682" s="76">
        <v>1614955</v>
      </c>
      <c r="F682" s="76" t="s">
        <v>36</v>
      </c>
      <c r="G682" s="77">
        <v>20007716</v>
      </c>
      <c r="H682" s="76" t="s">
        <v>315</v>
      </c>
      <c r="I682" s="77">
        <v>1</v>
      </c>
      <c r="J682" s="78">
        <v>284.9</v>
      </c>
      <c r="K682" s="78">
        <f t="shared" si="11"/>
        <v>284.9</v>
      </c>
    </row>
    <row r="683" spans="4:11">
      <c r="D683" s="75">
        <v>46198</v>
      </c>
      <c r="E683" s="76">
        <v>1614955</v>
      </c>
      <c r="F683" s="76" t="s">
        <v>36</v>
      </c>
      <c r="G683" s="77">
        <v>20006867</v>
      </c>
      <c r="H683" s="76" t="s">
        <v>246</v>
      </c>
      <c r="I683" s="77">
        <v>1</v>
      </c>
      <c r="J683" s="78">
        <v>246.4</v>
      </c>
      <c r="K683" s="78">
        <f t="shared" si="11"/>
        <v>246.4</v>
      </c>
    </row>
    <row r="684" spans="4:11">
      <c r="D684" s="75">
        <v>46198</v>
      </c>
      <c r="E684" s="76">
        <v>1614955</v>
      </c>
      <c r="F684" s="76" t="s">
        <v>36</v>
      </c>
      <c r="G684" s="77">
        <v>20421827</v>
      </c>
      <c r="H684" s="76" t="s">
        <v>386</v>
      </c>
      <c r="I684" s="77">
        <v>1</v>
      </c>
      <c r="J684" s="78">
        <v>53.9</v>
      </c>
      <c r="K684" s="78">
        <f t="shared" si="11"/>
        <v>53.9</v>
      </c>
    </row>
    <row r="685" spans="4:11">
      <c r="D685" s="75">
        <v>46198</v>
      </c>
      <c r="E685" s="76">
        <v>1614955</v>
      </c>
      <c r="F685" s="76" t="s">
        <v>36</v>
      </c>
      <c r="G685" s="77">
        <v>20007715</v>
      </c>
      <c r="H685" s="76" t="s">
        <v>247</v>
      </c>
      <c r="I685" s="77">
        <v>1</v>
      </c>
      <c r="J685" s="78">
        <v>180.95</v>
      </c>
      <c r="K685" s="78">
        <f t="shared" si="11"/>
        <v>180.95</v>
      </c>
    </row>
    <row r="686" spans="4:11">
      <c r="D686" s="75">
        <v>46198</v>
      </c>
      <c r="E686" s="76">
        <v>1614955</v>
      </c>
      <c r="F686" s="76" t="s">
        <v>36</v>
      </c>
      <c r="G686" s="77">
        <v>20008128</v>
      </c>
      <c r="H686" s="76" t="s">
        <v>164</v>
      </c>
      <c r="I686" s="77">
        <v>6</v>
      </c>
      <c r="J686" s="78">
        <v>130.9</v>
      </c>
      <c r="K686" s="78">
        <f t="shared" si="11"/>
        <v>785.4</v>
      </c>
    </row>
    <row r="687" spans="4:11">
      <c r="D687" s="75">
        <v>46198</v>
      </c>
      <c r="E687" s="76">
        <v>1614955</v>
      </c>
      <c r="F687" s="76" t="s">
        <v>36</v>
      </c>
      <c r="G687" s="77">
        <v>20421828</v>
      </c>
      <c r="H687" s="76" t="s">
        <v>372</v>
      </c>
      <c r="I687" s="77">
        <v>1</v>
      </c>
      <c r="J687" s="78">
        <v>53.9</v>
      </c>
      <c r="K687" s="78">
        <f t="shared" si="11"/>
        <v>53.9</v>
      </c>
    </row>
    <row r="688" spans="4:11">
      <c r="D688" s="75">
        <v>46198</v>
      </c>
      <c r="E688" s="76">
        <v>1614955</v>
      </c>
      <c r="F688" s="76" t="s">
        <v>36</v>
      </c>
      <c r="G688" s="77">
        <v>20311037</v>
      </c>
      <c r="H688" s="76" t="s">
        <v>165</v>
      </c>
      <c r="I688" s="77">
        <v>1</v>
      </c>
      <c r="J688" s="78">
        <v>53.55</v>
      </c>
      <c r="K688" s="78">
        <f t="shared" si="11"/>
        <v>53.55</v>
      </c>
    </row>
    <row r="689" spans="4:11">
      <c r="D689" s="75">
        <v>46198</v>
      </c>
      <c r="E689" s="76">
        <v>1614955</v>
      </c>
      <c r="F689" s="76" t="s">
        <v>15</v>
      </c>
      <c r="G689" s="77">
        <v>20413736</v>
      </c>
      <c r="H689" s="76" t="s">
        <v>338</v>
      </c>
      <c r="I689" s="77">
        <v>2</v>
      </c>
      <c r="J689" s="78">
        <v>5.6</v>
      </c>
      <c r="K689" s="78">
        <f t="shared" si="11"/>
        <v>11.2</v>
      </c>
    </row>
    <row r="690" spans="4:11">
      <c r="D690" s="75">
        <v>46198</v>
      </c>
      <c r="E690" s="76">
        <v>1614955</v>
      </c>
      <c r="F690" s="76" t="s">
        <v>15</v>
      </c>
      <c r="G690" s="77">
        <v>20006845</v>
      </c>
      <c r="H690" s="76" t="s">
        <v>118</v>
      </c>
      <c r="I690" s="77">
        <v>1</v>
      </c>
      <c r="J690" s="78">
        <v>11.55</v>
      </c>
      <c r="K690" s="78">
        <f t="shared" si="11"/>
        <v>11.55</v>
      </c>
    </row>
    <row r="691" spans="4:11">
      <c r="D691" s="75">
        <v>46198</v>
      </c>
      <c r="E691" s="76">
        <v>1614955</v>
      </c>
      <c r="F691" s="76" t="s">
        <v>15</v>
      </c>
      <c r="G691" s="77">
        <v>20376042</v>
      </c>
      <c r="H691" s="76" t="s">
        <v>252</v>
      </c>
      <c r="I691" s="77">
        <v>1</v>
      </c>
      <c r="J691" s="78">
        <v>5.6</v>
      </c>
      <c r="K691" s="78">
        <f t="shared" si="11"/>
        <v>5.6</v>
      </c>
    </row>
    <row r="692" spans="4:11">
      <c r="D692" s="75">
        <v>46198</v>
      </c>
      <c r="E692" s="76">
        <v>1614955</v>
      </c>
      <c r="F692" s="76" t="s">
        <v>15</v>
      </c>
      <c r="G692" s="77">
        <v>20405158</v>
      </c>
      <c r="H692" s="76" t="s">
        <v>339</v>
      </c>
      <c r="I692" s="77">
        <v>2</v>
      </c>
      <c r="J692" s="78">
        <v>7.7</v>
      </c>
      <c r="K692" s="78">
        <f t="shared" si="11"/>
        <v>15.4</v>
      </c>
    </row>
    <row r="693" spans="4:11">
      <c r="D693" s="75">
        <v>46198</v>
      </c>
      <c r="E693" s="76">
        <v>1614955</v>
      </c>
      <c r="F693" s="76" t="s">
        <v>15</v>
      </c>
      <c r="G693" s="77">
        <v>20413745</v>
      </c>
      <c r="H693" s="76" t="s">
        <v>342</v>
      </c>
      <c r="I693" s="77">
        <v>2</v>
      </c>
      <c r="J693" s="78">
        <v>5.6</v>
      </c>
      <c r="K693" s="78">
        <f t="shared" si="11"/>
        <v>11.2</v>
      </c>
    </row>
    <row r="694" spans="4:11">
      <c r="D694" s="75">
        <v>46198</v>
      </c>
      <c r="E694" s="76">
        <v>1614955</v>
      </c>
      <c r="F694" s="76" t="s">
        <v>15</v>
      </c>
      <c r="G694" s="77">
        <v>20417765</v>
      </c>
      <c r="H694" s="76" t="s">
        <v>297</v>
      </c>
      <c r="I694" s="77">
        <v>1</v>
      </c>
      <c r="J694" s="78">
        <v>5.6</v>
      </c>
      <c r="K694" s="78">
        <f t="shared" si="11"/>
        <v>5.6</v>
      </c>
    </row>
    <row r="695" spans="4:11">
      <c r="D695" s="75">
        <v>46198</v>
      </c>
      <c r="E695" s="76">
        <v>1614955</v>
      </c>
      <c r="F695" s="76" t="s">
        <v>15</v>
      </c>
      <c r="G695" s="77">
        <v>20008491</v>
      </c>
      <c r="H695" s="76" t="s">
        <v>121</v>
      </c>
      <c r="I695" s="77">
        <v>1</v>
      </c>
      <c r="J695" s="78">
        <v>11.55</v>
      </c>
      <c r="K695" s="78">
        <f t="shared" si="11"/>
        <v>11.55</v>
      </c>
    </row>
    <row r="696" spans="4:11">
      <c r="D696" s="75">
        <v>46198</v>
      </c>
      <c r="E696" s="76">
        <v>1614955</v>
      </c>
      <c r="F696" s="76" t="s">
        <v>114</v>
      </c>
      <c r="G696" s="77">
        <v>20362791</v>
      </c>
      <c r="H696" s="76" t="s">
        <v>183</v>
      </c>
      <c r="I696" s="77">
        <v>1</v>
      </c>
      <c r="J696" s="78">
        <v>24.5</v>
      </c>
      <c r="K696" s="78">
        <f t="shared" si="11"/>
        <v>24.5</v>
      </c>
    </row>
    <row r="697" spans="4:11">
      <c r="D697" s="75">
        <v>46198</v>
      </c>
      <c r="E697" s="76">
        <v>1614955</v>
      </c>
      <c r="F697" s="76" t="s">
        <v>27</v>
      </c>
      <c r="G697" s="77">
        <v>20009014</v>
      </c>
      <c r="H697" s="76" t="s">
        <v>321</v>
      </c>
      <c r="I697" s="77">
        <v>1</v>
      </c>
      <c r="J697" s="78">
        <v>11.55</v>
      </c>
      <c r="K697" s="78">
        <f t="shared" si="11"/>
        <v>11.55</v>
      </c>
    </row>
    <row r="698" spans="4:11">
      <c r="D698" s="75">
        <v>46198</v>
      </c>
      <c r="E698" s="76">
        <v>1614955</v>
      </c>
      <c r="F698" s="76" t="s">
        <v>27</v>
      </c>
      <c r="G698" s="77">
        <v>20009013</v>
      </c>
      <c r="H698" s="76" t="s">
        <v>324</v>
      </c>
      <c r="I698" s="77">
        <v>2</v>
      </c>
      <c r="J698" s="78">
        <v>11.55</v>
      </c>
      <c r="K698" s="78">
        <f t="shared" si="11"/>
        <v>23.1</v>
      </c>
    </row>
    <row r="699" spans="4:11">
      <c r="D699" s="75">
        <v>46198</v>
      </c>
      <c r="E699" s="76">
        <v>1614955</v>
      </c>
      <c r="F699" s="76" t="s">
        <v>27</v>
      </c>
      <c r="G699" s="77">
        <v>20008214</v>
      </c>
      <c r="H699" s="76" t="s">
        <v>123</v>
      </c>
      <c r="I699" s="77">
        <v>9</v>
      </c>
      <c r="J699" s="78">
        <v>11.55</v>
      </c>
      <c r="K699" s="78">
        <f t="shared" si="11"/>
        <v>103.95</v>
      </c>
    </row>
    <row r="700" spans="4:11">
      <c r="D700" s="75">
        <v>46198</v>
      </c>
      <c r="E700" s="76">
        <v>1614955</v>
      </c>
      <c r="F700" s="76" t="s">
        <v>27</v>
      </c>
      <c r="G700" s="77">
        <v>20014802</v>
      </c>
      <c r="H700" s="76" t="s">
        <v>365</v>
      </c>
      <c r="I700" s="77">
        <v>1</v>
      </c>
      <c r="J700" s="78">
        <v>11.55</v>
      </c>
      <c r="K700" s="78">
        <f t="shared" si="11"/>
        <v>11.55</v>
      </c>
    </row>
    <row r="701" spans="4:11">
      <c r="D701" s="75">
        <v>46198</v>
      </c>
      <c r="E701" s="76">
        <v>1614955</v>
      </c>
      <c r="F701" s="76" t="s">
        <v>27</v>
      </c>
      <c r="G701" s="77">
        <v>20008345</v>
      </c>
      <c r="H701" s="76" t="s">
        <v>186</v>
      </c>
      <c r="I701" s="77">
        <v>8</v>
      </c>
      <c r="J701" s="78">
        <v>19.25</v>
      </c>
      <c r="K701" s="78">
        <f t="shared" si="11"/>
        <v>154</v>
      </c>
    </row>
    <row r="702" spans="4:11">
      <c r="D702" s="75">
        <v>46198</v>
      </c>
      <c r="E702" s="76">
        <v>1615052</v>
      </c>
      <c r="F702" s="76" t="s">
        <v>40</v>
      </c>
      <c r="G702" s="77">
        <v>20365916</v>
      </c>
      <c r="H702" s="76" t="s">
        <v>187</v>
      </c>
      <c r="I702" s="77">
        <v>1</v>
      </c>
      <c r="J702" s="78">
        <v>61.6</v>
      </c>
      <c r="K702" s="78">
        <f t="shared" si="11"/>
        <v>61.6</v>
      </c>
    </row>
    <row r="703" spans="4:11">
      <c r="D703" s="75">
        <v>46198</v>
      </c>
      <c r="E703" s="76">
        <v>1615052</v>
      </c>
      <c r="F703" s="76" t="s">
        <v>40</v>
      </c>
      <c r="G703" s="77">
        <v>20008623</v>
      </c>
      <c r="H703" s="76" t="s">
        <v>188</v>
      </c>
      <c r="I703" s="77">
        <v>1</v>
      </c>
      <c r="J703" s="78">
        <v>15.4</v>
      </c>
      <c r="K703" s="78">
        <f t="shared" si="11"/>
        <v>15.4</v>
      </c>
    </row>
    <row r="704" spans="4:11">
      <c r="D704" s="75">
        <v>46198</v>
      </c>
      <c r="E704" s="76">
        <v>1615052</v>
      </c>
      <c r="F704" s="76" t="s">
        <v>40</v>
      </c>
      <c r="G704" s="77">
        <v>20007633</v>
      </c>
      <c r="H704" s="76" t="s">
        <v>74</v>
      </c>
      <c r="I704" s="77">
        <v>1</v>
      </c>
      <c r="J704" s="78">
        <v>24.5</v>
      </c>
      <c r="K704" s="78">
        <f t="shared" si="11"/>
        <v>24.5</v>
      </c>
    </row>
    <row r="705" spans="4:11">
      <c r="D705" s="75">
        <v>46198</v>
      </c>
      <c r="E705" s="76">
        <v>1615052</v>
      </c>
      <c r="F705" s="76" t="s">
        <v>40</v>
      </c>
      <c r="G705" s="77">
        <v>20006863</v>
      </c>
      <c r="H705" s="76" t="s">
        <v>41</v>
      </c>
      <c r="I705" s="77">
        <v>1</v>
      </c>
      <c r="J705" s="78">
        <v>24.5</v>
      </c>
      <c r="K705" s="78">
        <f t="shared" si="11"/>
        <v>24.5</v>
      </c>
    </row>
    <row r="706" spans="4:11">
      <c r="D706" s="75">
        <v>46198</v>
      </c>
      <c r="E706" s="76">
        <v>1615052</v>
      </c>
      <c r="F706" s="76" t="s">
        <v>40</v>
      </c>
      <c r="G706" s="77">
        <v>20315373</v>
      </c>
      <c r="H706" s="76" t="s">
        <v>286</v>
      </c>
      <c r="I706" s="77">
        <v>1</v>
      </c>
      <c r="J706" s="78">
        <v>15.4</v>
      </c>
      <c r="K706" s="78">
        <f t="shared" si="11"/>
        <v>15.4</v>
      </c>
    </row>
    <row r="707" spans="4:11">
      <c r="D707" s="75">
        <v>46198</v>
      </c>
      <c r="E707" s="76">
        <v>1615052</v>
      </c>
      <c r="F707" s="76" t="s">
        <v>42</v>
      </c>
      <c r="G707" s="77">
        <v>20390423</v>
      </c>
      <c r="H707" s="76" t="s">
        <v>75</v>
      </c>
      <c r="I707" s="77">
        <v>1</v>
      </c>
      <c r="J707" s="78">
        <v>19.6</v>
      </c>
      <c r="K707" s="78">
        <f t="shared" si="11"/>
        <v>19.6</v>
      </c>
    </row>
    <row r="708" spans="4:11">
      <c r="D708" s="75">
        <v>46199</v>
      </c>
      <c r="E708" s="76">
        <v>1615325</v>
      </c>
      <c r="F708" s="76" t="s">
        <v>36</v>
      </c>
      <c r="G708" s="77">
        <v>20006867</v>
      </c>
      <c r="H708" s="76" t="s">
        <v>246</v>
      </c>
      <c r="I708" s="77">
        <v>1</v>
      </c>
      <c r="J708" s="78">
        <v>246.4</v>
      </c>
      <c r="K708" s="78">
        <f t="shared" si="11"/>
        <v>246.4</v>
      </c>
    </row>
    <row r="709" spans="4:11">
      <c r="D709" s="75">
        <v>46199</v>
      </c>
      <c r="E709" s="76">
        <v>1615325</v>
      </c>
      <c r="F709" s="76" t="s">
        <v>36</v>
      </c>
      <c r="G709" s="77">
        <v>20007715</v>
      </c>
      <c r="H709" s="76" t="s">
        <v>247</v>
      </c>
      <c r="I709" s="77">
        <v>2</v>
      </c>
      <c r="J709" s="78">
        <v>180.95</v>
      </c>
      <c r="K709" s="78">
        <f t="shared" si="11"/>
        <v>361.9</v>
      </c>
    </row>
    <row r="710" spans="4:11">
      <c r="D710" s="75">
        <v>46199</v>
      </c>
      <c r="E710" s="76">
        <v>1615325</v>
      </c>
      <c r="F710" s="76" t="s">
        <v>36</v>
      </c>
      <c r="G710" s="77">
        <v>20008128</v>
      </c>
      <c r="H710" s="76" t="s">
        <v>164</v>
      </c>
      <c r="I710" s="77">
        <v>4</v>
      </c>
      <c r="J710" s="78">
        <v>130.9</v>
      </c>
      <c r="K710" s="78">
        <f t="shared" si="11"/>
        <v>523.6</v>
      </c>
    </row>
    <row r="711" spans="4:11">
      <c r="D711" s="75">
        <v>46199</v>
      </c>
      <c r="E711" s="76">
        <v>1615325</v>
      </c>
      <c r="F711" s="76" t="s">
        <v>36</v>
      </c>
      <c r="G711" s="77">
        <v>20325851</v>
      </c>
      <c r="H711" s="76" t="s">
        <v>353</v>
      </c>
      <c r="I711" s="77">
        <v>1</v>
      </c>
      <c r="J711" s="78">
        <v>150.15</v>
      </c>
      <c r="K711" s="78">
        <f t="shared" si="11"/>
        <v>150.15</v>
      </c>
    </row>
    <row r="712" spans="4:11">
      <c r="D712" s="75">
        <v>46199</v>
      </c>
      <c r="E712" s="76">
        <v>1615325</v>
      </c>
      <c r="F712" s="76" t="s">
        <v>36</v>
      </c>
      <c r="G712" s="77">
        <v>20311037</v>
      </c>
      <c r="H712" s="76" t="s">
        <v>165</v>
      </c>
      <c r="I712" s="77">
        <v>2</v>
      </c>
      <c r="J712" s="78">
        <v>53.55</v>
      </c>
      <c r="K712" s="78">
        <f t="shared" si="11"/>
        <v>107.1</v>
      </c>
    </row>
    <row r="713" spans="4:11">
      <c r="D713" s="75">
        <v>46199</v>
      </c>
      <c r="E713" s="76">
        <v>1615325</v>
      </c>
      <c r="F713" s="76" t="s">
        <v>15</v>
      </c>
      <c r="G713" s="77">
        <v>20382364</v>
      </c>
      <c r="H713" s="76" t="s">
        <v>387</v>
      </c>
      <c r="I713" s="77">
        <v>6</v>
      </c>
      <c r="J713" s="78">
        <v>7.35</v>
      </c>
      <c r="K713" s="78">
        <f t="shared" si="11"/>
        <v>44.1</v>
      </c>
    </row>
    <row r="714" spans="4:11">
      <c r="D714" s="75">
        <v>46199</v>
      </c>
      <c r="E714" s="76">
        <v>1615325</v>
      </c>
      <c r="F714" s="76" t="s">
        <v>15</v>
      </c>
      <c r="G714" s="77">
        <v>20011204</v>
      </c>
      <c r="H714" s="76" t="s">
        <v>16</v>
      </c>
      <c r="I714" s="77">
        <v>1</v>
      </c>
      <c r="J714" s="78">
        <v>5.6</v>
      </c>
      <c r="K714" s="78">
        <f t="shared" si="11"/>
        <v>5.6</v>
      </c>
    </row>
    <row r="715" spans="4:11">
      <c r="D715" s="75">
        <v>46199</v>
      </c>
      <c r="E715" s="76">
        <v>1615325</v>
      </c>
      <c r="F715" s="76" t="s">
        <v>15</v>
      </c>
      <c r="G715" s="77">
        <v>20425822</v>
      </c>
      <c r="H715" s="76" t="s">
        <v>249</v>
      </c>
      <c r="I715" s="77">
        <v>1</v>
      </c>
      <c r="J715" s="78">
        <v>5.6</v>
      </c>
      <c r="K715" s="78">
        <f t="shared" si="11"/>
        <v>5.6</v>
      </c>
    </row>
    <row r="716" spans="4:11">
      <c r="D716" s="75">
        <v>46199</v>
      </c>
      <c r="E716" s="76">
        <v>1615325</v>
      </c>
      <c r="F716" s="76" t="s">
        <v>15</v>
      </c>
      <c r="G716" s="77">
        <v>20316841</v>
      </c>
      <c r="H716" s="76" t="s">
        <v>250</v>
      </c>
      <c r="I716" s="77">
        <v>2</v>
      </c>
      <c r="J716" s="78">
        <v>7.35</v>
      </c>
      <c r="K716" s="78">
        <f t="shared" si="11"/>
        <v>14.7</v>
      </c>
    </row>
    <row r="717" spans="4:11">
      <c r="D717" s="75">
        <v>46199</v>
      </c>
      <c r="E717" s="76">
        <v>1615325</v>
      </c>
      <c r="F717" s="76" t="s">
        <v>15</v>
      </c>
      <c r="G717" s="77">
        <v>20345685</v>
      </c>
      <c r="H717" s="76" t="s">
        <v>296</v>
      </c>
      <c r="I717" s="77">
        <v>2</v>
      </c>
      <c r="J717" s="78">
        <v>5.6</v>
      </c>
      <c r="K717" s="78">
        <f t="shared" si="11"/>
        <v>11.2</v>
      </c>
    </row>
    <row r="718" spans="4:11">
      <c r="D718" s="75">
        <v>46199</v>
      </c>
      <c r="E718" s="76">
        <v>1615325</v>
      </c>
      <c r="F718" s="76" t="s">
        <v>15</v>
      </c>
      <c r="G718" s="77">
        <v>20393771</v>
      </c>
      <c r="H718" s="76" t="s">
        <v>357</v>
      </c>
      <c r="I718" s="77">
        <v>1</v>
      </c>
      <c r="J718" s="78">
        <v>7.7</v>
      </c>
      <c r="K718" s="78">
        <f t="shared" ref="K718:K781" si="12">J718*I718</f>
        <v>7.7</v>
      </c>
    </row>
    <row r="719" spans="4:11">
      <c r="D719" s="75">
        <v>46199</v>
      </c>
      <c r="E719" s="76">
        <v>1615325</v>
      </c>
      <c r="F719" s="76" t="s">
        <v>15</v>
      </c>
      <c r="G719" s="77">
        <v>20315578</v>
      </c>
      <c r="H719" s="76" t="s">
        <v>199</v>
      </c>
      <c r="I719" s="77">
        <v>1</v>
      </c>
      <c r="J719" s="78">
        <v>23.1</v>
      </c>
      <c r="K719" s="78">
        <f t="shared" si="12"/>
        <v>23.1</v>
      </c>
    </row>
    <row r="720" spans="4:11">
      <c r="D720" s="75">
        <v>46199</v>
      </c>
      <c r="E720" s="76">
        <v>1615325</v>
      </c>
      <c r="F720" s="76" t="s">
        <v>15</v>
      </c>
      <c r="G720" s="77">
        <v>20008491</v>
      </c>
      <c r="H720" s="76" t="s">
        <v>121</v>
      </c>
      <c r="I720" s="77">
        <v>2</v>
      </c>
      <c r="J720" s="78">
        <v>11.55</v>
      </c>
      <c r="K720" s="78">
        <f t="shared" si="12"/>
        <v>23.1</v>
      </c>
    </row>
    <row r="721" spans="4:11">
      <c r="D721" s="75">
        <v>46199</v>
      </c>
      <c r="E721" s="76">
        <v>1615325</v>
      </c>
      <c r="F721" s="76" t="s">
        <v>15</v>
      </c>
      <c r="G721" s="77">
        <v>20013461</v>
      </c>
      <c r="H721" s="76" t="s">
        <v>279</v>
      </c>
      <c r="I721" s="77">
        <v>1</v>
      </c>
      <c r="J721" s="78">
        <v>11.55</v>
      </c>
      <c r="K721" s="78">
        <f t="shared" si="12"/>
        <v>11.55</v>
      </c>
    </row>
    <row r="722" spans="4:11">
      <c r="D722" s="75">
        <v>46199</v>
      </c>
      <c r="E722" s="76">
        <v>1615325</v>
      </c>
      <c r="F722" s="76" t="s">
        <v>15</v>
      </c>
      <c r="G722" s="77">
        <v>20425054</v>
      </c>
      <c r="H722" s="76" t="s">
        <v>253</v>
      </c>
      <c r="I722" s="77">
        <v>2</v>
      </c>
      <c r="J722" s="78">
        <v>9.1</v>
      </c>
      <c r="K722" s="78">
        <f t="shared" si="12"/>
        <v>18.2</v>
      </c>
    </row>
    <row r="723" spans="4:11">
      <c r="D723" s="75">
        <v>46199</v>
      </c>
      <c r="E723" s="76">
        <v>1615325</v>
      </c>
      <c r="F723" s="76" t="s">
        <v>15</v>
      </c>
      <c r="G723" s="77">
        <v>20347033</v>
      </c>
      <c r="H723" s="76" t="s">
        <v>113</v>
      </c>
      <c r="I723" s="77">
        <v>1</v>
      </c>
      <c r="J723" s="78">
        <v>5.6</v>
      </c>
      <c r="K723" s="78">
        <f t="shared" si="12"/>
        <v>5.6</v>
      </c>
    </row>
    <row r="724" spans="4:11">
      <c r="D724" s="75">
        <v>46199</v>
      </c>
      <c r="E724" s="76">
        <v>1615325</v>
      </c>
      <c r="F724" s="76" t="s">
        <v>114</v>
      </c>
      <c r="G724" s="77">
        <v>20362791</v>
      </c>
      <c r="H724" s="76" t="s">
        <v>183</v>
      </c>
      <c r="I724" s="77">
        <v>1</v>
      </c>
      <c r="J724" s="78">
        <v>24.5</v>
      </c>
      <c r="K724" s="78">
        <f t="shared" si="12"/>
        <v>24.5</v>
      </c>
    </row>
    <row r="725" spans="4:11">
      <c r="D725" s="75">
        <v>46199</v>
      </c>
      <c r="E725" s="76">
        <v>1615325</v>
      </c>
      <c r="F725" s="76" t="s">
        <v>27</v>
      </c>
      <c r="G725" s="77">
        <v>20008214</v>
      </c>
      <c r="H725" s="76" t="s">
        <v>123</v>
      </c>
      <c r="I725" s="77">
        <v>9</v>
      </c>
      <c r="J725" s="78">
        <v>11.55</v>
      </c>
      <c r="K725" s="78">
        <f t="shared" si="12"/>
        <v>103.95</v>
      </c>
    </row>
    <row r="726" spans="4:11">
      <c r="D726" s="75">
        <v>46199</v>
      </c>
      <c r="E726" s="76">
        <v>1615325</v>
      </c>
      <c r="F726" s="76" t="s">
        <v>27</v>
      </c>
      <c r="G726" s="77">
        <v>20015105</v>
      </c>
      <c r="H726" s="76" t="s">
        <v>205</v>
      </c>
      <c r="I726" s="77">
        <v>1</v>
      </c>
      <c r="J726" s="78">
        <v>11.55</v>
      </c>
      <c r="K726" s="78">
        <f t="shared" si="12"/>
        <v>11.55</v>
      </c>
    </row>
    <row r="727" spans="4:11">
      <c r="D727" s="75">
        <v>46199</v>
      </c>
      <c r="E727" s="76">
        <v>1615325</v>
      </c>
      <c r="F727" s="76" t="s">
        <v>27</v>
      </c>
      <c r="G727" s="77">
        <v>20326293</v>
      </c>
      <c r="H727" s="76" t="s">
        <v>299</v>
      </c>
      <c r="I727" s="77">
        <v>1</v>
      </c>
      <c r="J727" s="78">
        <v>11.55</v>
      </c>
      <c r="K727" s="78">
        <f t="shared" si="12"/>
        <v>11.55</v>
      </c>
    </row>
    <row r="728" spans="4:11">
      <c r="D728" s="75">
        <v>46199</v>
      </c>
      <c r="E728" s="76">
        <v>1615325</v>
      </c>
      <c r="F728" s="76" t="s">
        <v>27</v>
      </c>
      <c r="G728" s="77">
        <v>20008345</v>
      </c>
      <c r="H728" s="76" t="s">
        <v>186</v>
      </c>
      <c r="I728" s="77">
        <v>9</v>
      </c>
      <c r="J728" s="78">
        <v>19.25</v>
      </c>
      <c r="K728" s="78">
        <f t="shared" si="12"/>
        <v>173.25</v>
      </c>
    </row>
    <row r="729" spans="4:11">
      <c r="D729" s="75">
        <v>46199</v>
      </c>
      <c r="E729" s="76">
        <v>1615325</v>
      </c>
      <c r="F729" s="76" t="s">
        <v>52</v>
      </c>
      <c r="G729" s="77">
        <v>20419979</v>
      </c>
      <c r="H729" s="76" t="s">
        <v>344</v>
      </c>
      <c r="I729" s="77">
        <v>5</v>
      </c>
      <c r="J729" s="78">
        <v>1.75</v>
      </c>
      <c r="K729" s="78">
        <f t="shared" si="12"/>
        <v>8.75</v>
      </c>
    </row>
    <row r="730" spans="4:11">
      <c r="D730" s="75">
        <v>46199</v>
      </c>
      <c r="E730" s="76">
        <v>1615345</v>
      </c>
      <c r="F730" s="76" t="s">
        <v>40</v>
      </c>
      <c r="G730" s="77">
        <v>20007567</v>
      </c>
      <c r="H730" s="76" t="s">
        <v>331</v>
      </c>
      <c r="I730" s="77">
        <v>1</v>
      </c>
      <c r="J730" s="78">
        <v>17.5</v>
      </c>
      <c r="K730" s="78">
        <f t="shared" si="12"/>
        <v>17.5</v>
      </c>
    </row>
    <row r="731" spans="4:11">
      <c r="D731" s="75">
        <v>46199</v>
      </c>
      <c r="E731" s="76">
        <v>1615345</v>
      </c>
      <c r="F731" s="76" t="s">
        <v>40</v>
      </c>
      <c r="G731" s="77">
        <v>20313346</v>
      </c>
      <c r="H731" s="76" t="s">
        <v>388</v>
      </c>
      <c r="I731" s="77">
        <v>1</v>
      </c>
      <c r="J731" s="78">
        <v>21</v>
      </c>
      <c r="K731" s="78">
        <f t="shared" si="12"/>
        <v>21</v>
      </c>
    </row>
    <row r="732" spans="4:11">
      <c r="D732" s="75">
        <v>46199</v>
      </c>
      <c r="E732" s="76">
        <v>1615345</v>
      </c>
      <c r="F732" s="76" t="s">
        <v>40</v>
      </c>
      <c r="G732" s="77">
        <v>20008397</v>
      </c>
      <c r="H732" s="76" t="s">
        <v>300</v>
      </c>
      <c r="I732" s="77">
        <v>1</v>
      </c>
      <c r="J732" s="78">
        <v>15.4</v>
      </c>
      <c r="K732" s="78">
        <f t="shared" si="12"/>
        <v>15.4</v>
      </c>
    </row>
    <row r="733" spans="4:11">
      <c r="D733" s="75">
        <v>46199</v>
      </c>
      <c r="E733" s="76">
        <v>1615345</v>
      </c>
      <c r="F733" s="76" t="s">
        <v>40</v>
      </c>
      <c r="G733" s="77">
        <v>20365405</v>
      </c>
      <c r="H733" s="76" t="s">
        <v>283</v>
      </c>
      <c r="I733" s="77">
        <v>2</v>
      </c>
      <c r="J733" s="78">
        <v>61.6</v>
      </c>
      <c r="K733" s="78">
        <f t="shared" si="12"/>
        <v>123.2</v>
      </c>
    </row>
    <row r="734" spans="4:11">
      <c r="D734" s="75">
        <v>46199</v>
      </c>
      <c r="E734" s="76">
        <v>1615345</v>
      </c>
      <c r="F734" s="76" t="s">
        <v>40</v>
      </c>
      <c r="G734" s="77">
        <v>20008885</v>
      </c>
      <c r="H734" s="76" t="s">
        <v>305</v>
      </c>
      <c r="I734" s="77">
        <v>2</v>
      </c>
      <c r="J734" s="78">
        <v>24.5</v>
      </c>
      <c r="K734" s="78">
        <f t="shared" si="12"/>
        <v>49</v>
      </c>
    </row>
    <row r="735" spans="4:11">
      <c r="D735" s="75">
        <v>46199</v>
      </c>
      <c r="E735" s="76">
        <v>1615345</v>
      </c>
      <c r="F735" s="76" t="s">
        <v>40</v>
      </c>
      <c r="G735" s="77">
        <v>20313974</v>
      </c>
      <c r="H735" s="76" t="s">
        <v>301</v>
      </c>
      <c r="I735" s="77">
        <v>2</v>
      </c>
      <c r="J735" s="78">
        <v>30.8</v>
      </c>
      <c r="K735" s="78">
        <f t="shared" si="12"/>
        <v>61.6</v>
      </c>
    </row>
    <row r="736" spans="4:11">
      <c r="D736" s="75">
        <v>46199</v>
      </c>
      <c r="E736" s="76">
        <v>1615345</v>
      </c>
      <c r="F736" s="76" t="s">
        <v>40</v>
      </c>
      <c r="G736" s="77">
        <v>20008623</v>
      </c>
      <c r="H736" s="76" t="s">
        <v>188</v>
      </c>
      <c r="I736" s="77">
        <v>3</v>
      </c>
      <c r="J736" s="78">
        <v>15.4</v>
      </c>
      <c r="K736" s="78">
        <f t="shared" si="12"/>
        <v>46.2</v>
      </c>
    </row>
    <row r="737" spans="4:11">
      <c r="D737" s="75">
        <v>46199</v>
      </c>
      <c r="E737" s="76">
        <v>1615345</v>
      </c>
      <c r="F737" s="76" t="s">
        <v>40</v>
      </c>
      <c r="G737" s="77">
        <v>20007633</v>
      </c>
      <c r="H737" s="76" t="s">
        <v>74</v>
      </c>
      <c r="I737" s="77">
        <v>2</v>
      </c>
      <c r="J737" s="78">
        <v>24.5</v>
      </c>
      <c r="K737" s="78">
        <f t="shared" si="12"/>
        <v>49</v>
      </c>
    </row>
    <row r="738" spans="4:11">
      <c r="D738" s="75">
        <v>46199</v>
      </c>
      <c r="E738" s="76">
        <v>1615345</v>
      </c>
      <c r="F738" s="76" t="s">
        <v>40</v>
      </c>
      <c r="G738" s="77">
        <v>20006853</v>
      </c>
      <c r="H738" s="76" t="s">
        <v>189</v>
      </c>
      <c r="I738" s="77">
        <v>2</v>
      </c>
      <c r="J738" s="78">
        <v>24.5</v>
      </c>
      <c r="K738" s="78">
        <f t="shared" si="12"/>
        <v>49</v>
      </c>
    </row>
    <row r="739" spans="4:11">
      <c r="D739" s="75">
        <v>46199</v>
      </c>
      <c r="E739" s="76">
        <v>1615345</v>
      </c>
      <c r="F739" s="76" t="s">
        <v>40</v>
      </c>
      <c r="G739" s="77">
        <v>20337911</v>
      </c>
      <c r="H739" s="76" t="s">
        <v>389</v>
      </c>
      <c r="I739" s="77">
        <v>1</v>
      </c>
      <c r="J739" s="78">
        <v>24.5</v>
      </c>
      <c r="K739" s="78">
        <f t="shared" si="12"/>
        <v>24.5</v>
      </c>
    </row>
    <row r="740" spans="4:11">
      <c r="D740" s="75">
        <v>46199</v>
      </c>
      <c r="E740" s="76">
        <v>1615345</v>
      </c>
      <c r="F740" s="76" t="s">
        <v>40</v>
      </c>
      <c r="G740" s="77">
        <v>20400917</v>
      </c>
      <c r="H740" s="76" t="s">
        <v>190</v>
      </c>
      <c r="I740" s="77">
        <v>2</v>
      </c>
      <c r="J740" s="78">
        <v>17.5</v>
      </c>
      <c r="K740" s="78">
        <f t="shared" si="12"/>
        <v>35</v>
      </c>
    </row>
    <row r="741" spans="4:11">
      <c r="D741" s="75">
        <v>46199</v>
      </c>
      <c r="E741" s="76">
        <v>1615345</v>
      </c>
      <c r="F741" s="76" t="s">
        <v>40</v>
      </c>
      <c r="G741" s="77">
        <v>20411341</v>
      </c>
      <c r="H741" s="76" t="s">
        <v>285</v>
      </c>
      <c r="I741" s="77">
        <v>1</v>
      </c>
      <c r="J741" s="78">
        <v>19.6</v>
      </c>
      <c r="K741" s="78">
        <f t="shared" si="12"/>
        <v>19.6</v>
      </c>
    </row>
    <row r="742" spans="4:11">
      <c r="D742" s="75">
        <v>46199</v>
      </c>
      <c r="E742" s="76">
        <v>1615345</v>
      </c>
      <c r="F742" s="76" t="s">
        <v>40</v>
      </c>
      <c r="G742" s="77">
        <v>20006890</v>
      </c>
      <c r="H742" s="76" t="s">
        <v>191</v>
      </c>
      <c r="I742" s="77">
        <v>2</v>
      </c>
      <c r="J742" s="78">
        <v>19.6</v>
      </c>
      <c r="K742" s="78">
        <f t="shared" si="12"/>
        <v>39.2</v>
      </c>
    </row>
    <row r="743" spans="4:11">
      <c r="D743" s="75">
        <v>46199</v>
      </c>
      <c r="E743" s="76">
        <v>1615345</v>
      </c>
      <c r="F743" s="76" t="s">
        <v>40</v>
      </c>
      <c r="G743" s="77">
        <v>20365404</v>
      </c>
      <c r="H743" s="76" t="s">
        <v>390</v>
      </c>
      <c r="I743" s="77">
        <v>1</v>
      </c>
      <c r="J743" s="78">
        <v>61.6</v>
      </c>
      <c r="K743" s="78">
        <f t="shared" si="12"/>
        <v>61.6</v>
      </c>
    </row>
    <row r="744" spans="4:11">
      <c r="D744" s="75">
        <v>46199</v>
      </c>
      <c r="E744" s="76">
        <v>1615345</v>
      </c>
      <c r="F744" s="76" t="s">
        <v>40</v>
      </c>
      <c r="G744" s="77">
        <v>20300196</v>
      </c>
      <c r="H744" s="76" t="s">
        <v>302</v>
      </c>
      <c r="I744" s="77">
        <v>1</v>
      </c>
      <c r="J744" s="78">
        <v>30.8</v>
      </c>
      <c r="K744" s="78">
        <f t="shared" si="12"/>
        <v>30.8</v>
      </c>
    </row>
    <row r="745" spans="4:11">
      <c r="D745" s="75">
        <v>46199</v>
      </c>
      <c r="E745" s="76">
        <v>1615345</v>
      </c>
      <c r="F745" s="76" t="s">
        <v>40</v>
      </c>
      <c r="G745" s="77">
        <v>20006863</v>
      </c>
      <c r="H745" s="76" t="s">
        <v>41</v>
      </c>
      <c r="I745" s="77">
        <v>3</v>
      </c>
      <c r="J745" s="78">
        <v>24.5</v>
      </c>
      <c r="K745" s="78">
        <f t="shared" si="12"/>
        <v>73.5</v>
      </c>
    </row>
    <row r="746" spans="4:11">
      <c r="D746" s="75">
        <v>46199</v>
      </c>
      <c r="E746" s="76">
        <v>1615345</v>
      </c>
      <c r="F746" s="76" t="s">
        <v>40</v>
      </c>
      <c r="G746" s="77">
        <v>20007639</v>
      </c>
      <c r="H746" s="76" t="s">
        <v>193</v>
      </c>
      <c r="I746" s="77">
        <v>4</v>
      </c>
      <c r="J746" s="78">
        <v>19.6</v>
      </c>
      <c r="K746" s="78">
        <f t="shared" si="12"/>
        <v>78.4</v>
      </c>
    </row>
    <row r="747" spans="4:11">
      <c r="D747" s="75">
        <v>46199</v>
      </c>
      <c r="E747" s="76">
        <v>1615345</v>
      </c>
      <c r="F747" s="76" t="s">
        <v>40</v>
      </c>
      <c r="G747" s="77">
        <v>20007638</v>
      </c>
      <c r="H747" s="76" t="s">
        <v>194</v>
      </c>
      <c r="I747" s="77">
        <v>2</v>
      </c>
      <c r="J747" s="78">
        <v>19.6</v>
      </c>
      <c r="K747" s="78">
        <f t="shared" si="12"/>
        <v>39.2</v>
      </c>
    </row>
    <row r="748" spans="4:11">
      <c r="D748" s="75">
        <v>46199</v>
      </c>
      <c r="E748" s="76">
        <v>1615345</v>
      </c>
      <c r="F748" s="76" t="s">
        <v>40</v>
      </c>
      <c r="G748" s="77">
        <v>20008639</v>
      </c>
      <c r="H748" s="76" t="s">
        <v>195</v>
      </c>
      <c r="I748" s="77">
        <v>3</v>
      </c>
      <c r="J748" s="78">
        <v>17.5</v>
      </c>
      <c r="K748" s="78">
        <f t="shared" si="12"/>
        <v>52.5</v>
      </c>
    </row>
    <row r="749" spans="4:11">
      <c r="D749" s="75">
        <v>46199</v>
      </c>
      <c r="E749" s="76">
        <v>1615345</v>
      </c>
      <c r="F749" s="76" t="s">
        <v>40</v>
      </c>
      <c r="G749" s="77">
        <v>20008383</v>
      </c>
      <c r="H749" s="76" t="s">
        <v>361</v>
      </c>
      <c r="I749" s="77">
        <v>1</v>
      </c>
      <c r="J749" s="78">
        <v>61.6</v>
      </c>
      <c r="K749" s="78">
        <f t="shared" si="12"/>
        <v>61.6</v>
      </c>
    </row>
    <row r="750" spans="4:11">
      <c r="D750" s="75">
        <v>46199</v>
      </c>
      <c r="E750" s="76">
        <v>1615345</v>
      </c>
      <c r="F750" s="76" t="s">
        <v>42</v>
      </c>
      <c r="G750" s="77">
        <v>20395507</v>
      </c>
      <c r="H750" s="76" t="s">
        <v>197</v>
      </c>
      <c r="I750" s="77">
        <v>2</v>
      </c>
      <c r="J750" s="78">
        <v>19.6</v>
      </c>
      <c r="K750" s="78">
        <f t="shared" si="12"/>
        <v>39.2</v>
      </c>
    </row>
    <row r="751" spans="4:11">
      <c r="D751" s="75">
        <v>46199</v>
      </c>
      <c r="E751" s="76">
        <v>1615345</v>
      </c>
      <c r="F751" s="76" t="s">
        <v>42</v>
      </c>
      <c r="G751" s="77">
        <v>20390423</v>
      </c>
      <c r="H751" s="76" t="s">
        <v>75</v>
      </c>
      <c r="I751" s="77">
        <v>1</v>
      </c>
      <c r="J751" s="78">
        <v>19.6</v>
      </c>
      <c r="K751" s="78">
        <f t="shared" si="12"/>
        <v>19.6</v>
      </c>
    </row>
    <row r="752" spans="4:11">
      <c r="D752" s="75">
        <v>46199</v>
      </c>
      <c r="E752" s="76">
        <v>1615345</v>
      </c>
      <c r="F752" s="76" t="s">
        <v>42</v>
      </c>
      <c r="G752" s="77">
        <v>20008376</v>
      </c>
      <c r="H752" s="76" t="s">
        <v>287</v>
      </c>
      <c r="I752" s="77">
        <v>1</v>
      </c>
      <c r="J752" s="78">
        <v>19.6</v>
      </c>
      <c r="K752" s="78">
        <f t="shared" si="12"/>
        <v>19.6</v>
      </c>
    </row>
    <row r="753" spans="4:11">
      <c r="D753" s="75">
        <v>46199</v>
      </c>
      <c r="E753" s="76">
        <v>1615345</v>
      </c>
      <c r="F753" s="76" t="s">
        <v>42</v>
      </c>
      <c r="G753" s="77">
        <v>20012368</v>
      </c>
      <c r="H753" s="76" t="s">
        <v>362</v>
      </c>
      <c r="I753" s="77">
        <v>1</v>
      </c>
      <c r="J753" s="78">
        <v>19.6</v>
      </c>
      <c r="K753" s="78">
        <f t="shared" si="12"/>
        <v>19.6</v>
      </c>
    </row>
    <row r="754" spans="4:11">
      <c r="D754" s="75">
        <v>46199</v>
      </c>
      <c r="E754" s="76">
        <v>1615345</v>
      </c>
      <c r="F754" s="76" t="s">
        <v>42</v>
      </c>
      <c r="G754" s="77">
        <v>20013036</v>
      </c>
      <c r="H754" s="76" t="s">
        <v>201</v>
      </c>
      <c r="I754" s="77">
        <v>1</v>
      </c>
      <c r="J754" s="78">
        <v>30.8</v>
      </c>
      <c r="K754" s="78">
        <f t="shared" si="12"/>
        <v>30.8</v>
      </c>
    </row>
    <row r="755" spans="4:11">
      <c r="D755" s="75">
        <v>46199</v>
      </c>
      <c r="E755" s="76">
        <v>1615592</v>
      </c>
      <c r="F755" s="76" t="s">
        <v>36</v>
      </c>
      <c r="G755" s="77">
        <v>20012495</v>
      </c>
      <c r="H755" s="76" t="s">
        <v>391</v>
      </c>
      <c r="I755" s="77">
        <v>1</v>
      </c>
      <c r="J755" s="78">
        <v>77</v>
      </c>
      <c r="K755" s="78">
        <f t="shared" si="12"/>
        <v>77</v>
      </c>
    </row>
    <row r="756" spans="4:11">
      <c r="D756" s="75">
        <v>46199</v>
      </c>
      <c r="E756" s="76">
        <v>1615592</v>
      </c>
      <c r="F756" s="76" t="s">
        <v>36</v>
      </c>
      <c r="G756" s="77">
        <v>20006867</v>
      </c>
      <c r="H756" s="76" t="s">
        <v>246</v>
      </c>
      <c r="I756" s="77">
        <v>2</v>
      </c>
      <c r="J756" s="78">
        <v>246.4</v>
      </c>
      <c r="K756" s="78">
        <f t="shared" si="12"/>
        <v>492.8</v>
      </c>
    </row>
    <row r="757" spans="4:11">
      <c r="D757" s="75">
        <v>46199</v>
      </c>
      <c r="E757" s="76">
        <v>1615592</v>
      </c>
      <c r="F757" s="76" t="s">
        <v>36</v>
      </c>
      <c r="G757" s="77">
        <v>20012283</v>
      </c>
      <c r="H757" s="76" t="s">
        <v>392</v>
      </c>
      <c r="I757" s="77">
        <v>2</v>
      </c>
      <c r="J757" s="78">
        <v>42.35</v>
      </c>
      <c r="K757" s="78">
        <f t="shared" si="12"/>
        <v>84.7</v>
      </c>
    </row>
    <row r="758" spans="4:11">
      <c r="D758" s="75">
        <v>46199</v>
      </c>
      <c r="E758" s="76">
        <v>1615592</v>
      </c>
      <c r="F758" s="76" t="s">
        <v>36</v>
      </c>
      <c r="G758" s="77">
        <v>20008128</v>
      </c>
      <c r="H758" s="76" t="s">
        <v>164</v>
      </c>
      <c r="I758" s="77">
        <v>2</v>
      </c>
      <c r="J758" s="78">
        <v>130.9</v>
      </c>
      <c r="K758" s="78">
        <f t="shared" si="12"/>
        <v>261.8</v>
      </c>
    </row>
    <row r="759" spans="4:11">
      <c r="D759" s="75">
        <v>46199</v>
      </c>
      <c r="E759" s="76">
        <v>1615592</v>
      </c>
      <c r="F759" s="76" t="s">
        <v>36</v>
      </c>
      <c r="G759" s="77">
        <v>20012282</v>
      </c>
      <c r="H759" s="76" t="s">
        <v>393</v>
      </c>
      <c r="I759" s="77">
        <v>1</v>
      </c>
      <c r="J759" s="78">
        <v>84.7</v>
      </c>
      <c r="K759" s="78">
        <f t="shared" si="12"/>
        <v>84.7</v>
      </c>
    </row>
    <row r="760" spans="4:11">
      <c r="D760" s="75">
        <v>46199</v>
      </c>
      <c r="E760" s="76">
        <v>1615592</v>
      </c>
      <c r="F760" s="76" t="s">
        <v>15</v>
      </c>
      <c r="G760" s="77">
        <v>20008196</v>
      </c>
      <c r="H760" s="76" t="s">
        <v>363</v>
      </c>
      <c r="I760" s="77">
        <v>1</v>
      </c>
      <c r="J760" s="78">
        <v>7.7</v>
      </c>
      <c r="K760" s="78">
        <f t="shared" si="12"/>
        <v>7.7</v>
      </c>
    </row>
    <row r="761" spans="4:11">
      <c r="D761" s="75">
        <v>46199</v>
      </c>
      <c r="E761" s="76">
        <v>1615592</v>
      </c>
      <c r="F761" s="76" t="s">
        <v>15</v>
      </c>
      <c r="G761" s="77">
        <v>20008491</v>
      </c>
      <c r="H761" s="76" t="s">
        <v>121</v>
      </c>
      <c r="I761" s="77">
        <v>2</v>
      </c>
      <c r="J761" s="78">
        <v>11.55</v>
      </c>
      <c r="K761" s="78">
        <f t="shared" si="12"/>
        <v>23.1</v>
      </c>
    </row>
    <row r="762" spans="4:11">
      <c r="D762" s="75">
        <v>46199</v>
      </c>
      <c r="E762" s="76">
        <v>1615592</v>
      </c>
      <c r="F762" s="76" t="s">
        <v>15</v>
      </c>
      <c r="G762" s="77">
        <v>20008204</v>
      </c>
      <c r="H762" s="76" t="s">
        <v>122</v>
      </c>
      <c r="I762" s="77">
        <v>2</v>
      </c>
      <c r="J762" s="78">
        <v>9.45</v>
      </c>
      <c r="K762" s="78">
        <f t="shared" si="12"/>
        <v>18.9</v>
      </c>
    </row>
    <row r="763" spans="4:11">
      <c r="D763" s="75">
        <v>46199</v>
      </c>
      <c r="E763" s="76">
        <v>1615592</v>
      </c>
      <c r="F763" s="76" t="s">
        <v>15</v>
      </c>
      <c r="G763" s="77">
        <v>20011138</v>
      </c>
      <c r="H763" s="76" t="s">
        <v>298</v>
      </c>
      <c r="I763" s="77">
        <v>2</v>
      </c>
      <c r="J763" s="78">
        <v>11.55</v>
      </c>
      <c r="K763" s="78">
        <f t="shared" si="12"/>
        <v>23.1</v>
      </c>
    </row>
    <row r="764" spans="4:11">
      <c r="D764" s="75">
        <v>46199</v>
      </c>
      <c r="E764" s="76">
        <v>1615592</v>
      </c>
      <c r="F764" s="76" t="s">
        <v>114</v>
      </c>
      <c r="G764" s="77">
        <v>20362791</v>
      </c>
      <c r="H764" s="76" t="s">
        <v>183</v>
      </c>
      <c r="I764" s="77">
        <v>1</v>
      </c>
      <c r="J764" s="78">
        <v>24.5</v>
      </c>
      <c r="K764" s="78">
        <f t="shared" si="12"/>
        <v>24.5</v>
      </c>
    </row>
    <row r="765" spans="4:11">
      <c r="D765" s="75">
        <v>46199</v>
      </c>
      <c r="E765" s="76">
        <v>1615592</v>
      </c>
      <c r="F765" s="76" t="s">
        <v>27</v>
      </c>
      <c r="G765" s="77">
        <v>20008214</v>
      </c>
      <c r="H765" s="76" t="s">
        <v>123</v>
      </c>
      <c r="I765" s="77">
        <v>2</v>
      </c>
      <c r="J765" s="78">
        <v>11.55</v>
      </c>
      <c r="K765" s="78">
        <f t="shared" si="12"/>
        <v>23.1</v>
      </c>
    </row>
    <row r="766" spans="4:11">
      <c r="D766" s="75">
        <v>46199</v>
      </c>
      <c r="E766" s="76">
        <v>1615592</v>
      </c>
      <c r="F766" s="76" t="s">
        <v>27</v>
      </c>
      <c r="G766" s="77">
        <v>20014802</v>
      </c>
      <c r="H766" s="76" t="s">
        <v>365</v>
      </c>
      <c r="I766" s="77">
        <v>1</v>
      </c>
      <c r="J766" s="78">
        <v>11.55</v>
      </c>
      <c r="K766" s="78">
        <f t="shared" si="12"/>
        <v>11.55</v>
      </c>
    </row>
    <row r="767" spans="4:11">
      <c r="D767" s="75">
        <v>46199</v>
      </c>
      <c r="E767" s="76">
        <v>1615592</v>
      </c>
      <c r="F767" s="76" t="s">
        <v>27</v>
      </c>
      <c r="G767" s="77">
        <v>20008345</v>
      </c>
      <c r="H767" s="76" t="s">
        <v>186</v>
      </c>
      <c r="I767" s="77">
        <v>2</v>
      </c>
      <c r="J767" s="78">
        <v>19.25</v>
      </c>
      <c r="K767" s="78">
        <f t="shared" si="12"/>
        <v>38.5</v>
      </c>
    </row>
    <row r="768" spans="4:11">
      <c r="D768" s="75">
        <v>46199</v>
      </c>
      <c r="E768" s="76">
        <v>1615592</v>
      </c>
      <c r="F768" s="76" t="s">
        <v>27</v>
      </c>
      <c r="G768" s="77">
        <v>20013916</v>
      </c>
      <c r="H768" s="76" t="s">
        <v>354</v>
      </c>
      <c r="I768" s="77">
        <v>1</v>
      </c>
      <c r="J768" s="78">
        <v>11.55</v>
      </c>
      <c r="K768" s="78">
        <f t="shared" si="12"/>
        <v>11.55</v>
      </c>
    </row>
    <row r="769" spans="4:11">
      <c r="D769" s="75">
        <v>46200</v>
      </c>
      <c r="E769" s="76">
        <v>1615634</v>
      </c>
      <c r="F769" s="76" t="s">
        <v>40</v>
      </c>
      <c r="G769" s="77">
        <v>20365916</v>
      </c>
      <c r="H769" s="76" t="s">
        <v>187</v>
      </c>
      <c r="I769" s="77">
        <v>1</v>
      </c>
      <c r="J769" s="78">
        <v>61.6</v>
      </c>
      <c r="K769" s="78">
        <f t="shared" si="12"/>
        <v>61.6</v>
      </c>
    </row>
    <row r="770" spans="4:11">
      <c r="D770" s="75">
        <v>46200</v>
      </c>
      <c r="E770" s="76">
        <v>1615634</v>
      </c>
      <c r="F770" s="76" t="s">
        <v>40</v>
      </c>
      <c r="G770" s="77">
        <v>20388302</v>
      </c>
      <c r="H770" s="76" t="s">
        <v>284</v>
      </c>
      <c r="I770" s="77">
        <v>2</v>
      </c>
      <c r="J770" s="78">
        <v>24.5</v>
      </c>
      <c r="K770" s="78">
        <f t="shared" si="12"/>
        <v>49</v>
      </c>
    </row>
    <row r="771" spans="4:11">
      <c r="D771" s="75">
        <v>46200</v>
      </c>
      <c r="E771" s="76">
        <v>1615634</v>
      </c>
      <c r="F771" s="76" t="s">
        <v>40</v>
      </c>
      <c r="G771" s="77">
        <v>20348167</v>
      </c>
      <c r="H771" s="76" t="s">
        <v>314</v>
      </c>
      <c r="I771" s="77">
        <v>1</v>
      </c>
      <c r="J771" s="78">
        <v>61.6</v>
      </c>
      <c r="K771" s="78">
        <f t="shared" si="12"/>
        <v>61.6</v>
      </c>
    </row>
    <row r="772" spans="4:11">
      <c r="D772" s="75">
        <v>46201</v>
      </c>
      <c r="E772" s="76">
        <v>1615807</v>
      </c>
      <c r="F772" s="76" t="s">
        <v>36</v>
      </c>
      <c r="G772" s="77">
        <v>20008128</v>
      </c>
      <c r="H772" s="76" t="s">
        <v>164</v>
      </c>
      <c r="I772" s="77">
        <v>1</v>
      </c>
      <c r="J772" s="78">
        <v>130.9</v>
      </c>
      <c r="K772" s="78">
        <f t="shared" si="12"/>
        <v>130.9</v>
      </c>
    </row>
    <row r="773" spans="4:11">
      <c r="D773" s="75">
        <v>46201</v>
      </c>
      <c r="E773" s="76">
        <v>1615807</v>
      </c>
      <c r="F773" s="76" t="s">
        <v>36</v>
      </c>
      <c r="G773" s="77">
        <v>20353489</v>
      </c>
      <c r="H773" s="76" t="s">
        <v>289</v>
      </c>
      <c r="I773" s="77">
        <v>1</v>
      </c>
      <c r="J773" s="78">
        <v>111.65</v>
      </c>
      <c r="K773" s="78">
        <f t="shared" si="12"/>
        <v>111.65</v>
      </c>
    </row>
    <row r="774" spans="4:11">
      <c r="D774" s="75">
        <v>46201</v>
      </c>
      <c r="E774" s="76">
        <v>1615807</v>
      </c>
      <c r="F774" s="76" t="s">
        <v>15</v>
      </c>
      <c r="G774" s="77">
        <v>20012311</v>
      </c>
      <c r="H774" s="76" t="s">
        <v>174</v>
      </c>
      <c r="I774" s="77">
        <v>1</v>
      </c>
      <c r="J774" s="78">
        <v>7.7</v>
      </c>
      <c r="K774" s="78">
        <f t="shared" si="12"/>
        <v>7.7</v>
      </c>
    </row>
    <row r="775" spans="4:11">
      <c r="D775" s="75">
        <v>46201</v>
      </c>
      <c r="E775" s="76">
        <v>1615807</v>
      </c>
      <c r="F775" s="76" t="s">
        <v>15</v>
      </c>
      <c r="G775" s="77">
        <v>20425055</v>
      </c>
      <c r="H775" s="76" t="s">
        <v>394</v>
      </c>
      <c r="I775" s="77">
        <v>1</v>
      </c>
      <c r="J775" s="78">
        <v>7.7</v>
      </c>
      <c r="K775" s="78">
        <f t="shared" si="12"/>
        <v>7.7</v>
      </c>
    </row>
    <row r="776" spans="4:11">
      <c r="D776" s="75">
        <v>46201</v>
      </c>
      <c r="E776" s="76">
        <v>1615807</v>
      </c>
      <c r="F776" s="76" t="s">
        <v>15</v>
      </c>
      <c r="G776" s="77">
        <v>20425057</v>
      </c>
      <c r="H776" s="76" t="s">
        <v>395</v>
      </c>
      <c r="I776" s="77">
        <v>1</v>
      </c>
      <c r="J776" s="78">
        <v>7.7</v>
      </c>
      <c r="K776" s="78">
        <f t="shared" si="12"/>
        <v>7.7</v>
      </c>
    </row>
    <row r="777" spans="4:11">
      <c r="D777" s="75">
        <v>46201</v>
      </c>
      <c r="E777" s="76">
        <v>1615807</v>
      </c>
      <c r="F777" s="76" t="s">
        <v>15</v>
      </c>
      <c r="G777" s="77">
        <v>20425056</v>
      </c>
      <c r="H777" s="76" t="s">
        <v>355</v>
      </c>
      <c r="I777" s="77">
        <v>1</v>
      </c>
      <c r="J777" s="78">
        <v>7.7</v>
      </c>
      <c r="K777" s="78">
        <f t="shared" si="12"/>
        <v>7.7</v>
      </c>
    </row>
    <row r="778" spans="4:11">
      <c r="D778" s="75">
        <v>46201</v>
      </c>
      <c r="E778" s="76">
        <v>1615807</v>
      </c>
      <c r="F778" s="76" t="s">
        <v>27</v>
      </c>
      <c r="G778" s="77">
        <v>20008214</v>
      </c>
      <c r="H778" s="76" t="s">
        <v>123</v>
      </c>
      <c r="I778" s="77">
        <v>1</v>
      </c>
      <c r="J778" s="78">
        <v>11.55</v>
      </c>
      <c r="K778" s="78">
        <f t="shared" si="12"/>
        <v>11.55</v>
      </c>
    </row>
    <row r="779" spans="4:11">
      <c r="D779" s="75">
        <v>46201</v>
      </c>
      <c r="E779" s="76">
        <v>1615807</v>
      </c>
      <c r="F779" s="76" t="s">
        <v>27</v>
      </c>
      <c r="G779" s="77">
        <v>20013952</v>
      </c>
      <c r="H779" s="76" t="s">
        <v>294</v>
      </c>
      <c r="I779" s="77">
        <v>1</v>
      </c>
      <c r="J779" s="78">
        <v>11.55</v>
      </c>
      <c r="K779" s="78">
        <f t="shared" si="12"/>
        <v>11.55</v>
      </c>
    </row>
    <row r="780" spans="4:11">
      <c r="D780" s="75">
        <v>46201</v>
      </c>
      <c r="E780" s="76">
        <v>1615807</v>
      </c>
      <c r="F780" s="76" t="s">
        <v>27</v>
      </c>
      <c r="G780" s="77">
        <v>20008345</v>
      </c>
      <c r="H780" s="76" t="s">
        <v>186</v>
      </c>
      <c r="I780" s="77">
        <v>1</v>
      </c>
      <c r="J780" s="78">
        <v>19.25</v>
      </c>
      <c r="K780" s="78">
        <f t="shared" si="12"/>
        <v>19.25</v>
      </c>
    </row>
    <row r="781" spans="4:11">
      <c r="D781" s="75">
        <v>46201</v>
      </c>
      <c r="E781" s="76">
        <v>1615822</v>
      </c>
      <c r="F781" s="76" t="s">
        <v>40</v>
      </c>
      <c r="G781" s="77">
        <v>20008391</v>
      </c>
      <c r="H781" s="76" t="s">
        <v>396</v>
      </c>
      <c r="I781" s="77">
        <v>1</v>
      </c>
      <c r="J781" s="78">
        <v>46.2</v>
      </c>
      <c r="K781" s="78">
        <f t="shared" si="12"/>
        <v>46.2</v>
      </c>
    </row>
    <row r="782" spans="4:11">
      <c r="D782" s="75">
        <v>46201</v>
      </c>
      <c r="E782" s="76">
        <v>1615830</v>
      </c>
      <c r="F782" s="76" t="s">
        <v>15</v>
      </c>
      <c r="G782" s="77">
        <v>20398426</v>
      </c>
      <c r="H782" s="76" t="s">
        <v>251</v>
      </c>
      <c r="I782" s="77">
        <v>1</v>
      </c>
      <c r="J782" s="78">
        <v>7.35</v>
      </c>
      <c r="K782" s="78">
        <f t="shared" ref="K782:K836" si="13">J782*I782</f>
        <v>7.35</v>
      </c>
    </row>
    <row r="783" ht="24.75" spans="4:11">
      <c r="D783" s="75">
        <v>46201</v>
      </c>
      <c r="E783" s="76">
        <v>1615830</v>
      </c>
      <c r="F783" s="76" t="s">
        <v>292</v>
      </c>
      <c r="G783" s="77">
        <v>20333154</v>
      </c>
      <c r="H783" s="76" t="s">
        <v>293</v>
      </c>
      <c r="I783" s="77">
        <v>1</v>
      </c>
      <c r="J783" s="78">
        <v>140</v>
      </c>
      <c r="K783" s="78">
        <f t="shared" si="13"/>
        <v>140</v>
      </c>
    </row>
    <row r="784" spans="4:11">
      <c r="D784" s="75">
        <v>46202</v>
      </c>
      <c r="E784" s="76">
        <v>1615881</v>
      </c>
      <c r="F784" s="76" t="s">
        <v>40</v>
      </c>
      <c r="G784" s="77">
        <v>20313974</v>
      </c>
      <c r="H784" s="76" t="s">
        <v>301</v>
      </c>
      <c r="I784" s="77">
        <v>2</v>
      </c>
      <c r="J784" s="78">
        <v>30.8</v>
      </c>
      <c r="K784" s="78">
        <f t="shared" si="13"/>
        <v>61.6</v>
      </c>
    </row>
    <row r="785" spans="4:11">
      <c r="D785" s="75">
        <v>46202</v>
      </c>
      <c r="E785" s="76">
        <v>1615881</v>
      </c>
      <c r="F785" s="76" t="s">
        <v>40</v>
      </c>
      <c r="G785" s="77">
        <v>20006853</v>
      </c>
      <c r="H785" s="76" t="s">
        <v>189</v>
      </c>
      <c r="I785" s="77">
        <v>2</v>
      </c>
      <c r="J785" s="78">
        <v>24.5</v>
      </c>
      <c r="K785" s="78">
        <f t="shared" si="13"/>
        <v>49</v>
      </c>
    </row>
    <row r="786" spans="4:11">
      <c r="D786" s="75">
        <v>46202</v>
      </c>
      <c r="E786" s="76">
        <v>1615881</v>
      </c>
      <c r="F786" s="76" t="s">
        <v>40</v>
      </c>
      <c r="G786" s="77">
        <v>20006856</v>
      </c>
      <c r="H786" s="76" t="s">
        <v>397</v>
      </c>
      <c r="I786" s="77">
        <v>1</v>
      </c>
      <c r="J786" s="78">
        <v>15.4</v>
      </c>
      <c r="K786" s="78">
        <f t="shared" si="13"/>
        <v>15.4</v>
      </c>
    </row>
    <row r="787" spans="4:11">
      <c r="D787" s="75">
        <v>46202</v>
      </c>
      <c r="E787" s="76">
        <v>1615881</v>
      </c>
      <c r="F787" s="76" t="s">
        <v>40</v>
      </c>
      <c r="G787" s="77">
        <v>20400917</v>
      </c>
      <c r="H787" s="76" t="s">
        <v>190</v>
      </c>
      <c r="I787" s="77">
        <v>2</v>
      </c>
      <c r="J787" s="78">
        <v>17.5</v>
      </c>
      <c r="K787" s="78">
        <f t="shared" si="13"/>
        <v>35</v>
      </c>
    </row>
    <row r="788" spans="4:11">
      <c r="D788" s="75">
        <v>46202</v>
      </c>
      <c r="E788" s="76">
        <v>1615881</v>
      </c>
      <c r="F788" s="76" t="s">
        <v>40</v>
      </c>
      <c r="G788" s="77">
        <v>20382022</v>
      </c>
      <c r="H788" s="76" t="s">
        <v>334</v>
      </c>
      <c r="I788" s="77">
        <v>1</v>
      </c>
      <c r="J788" s="78">
        <v>19.6</v>
      </c>
      <c r="K788" s="78">
        <f t="shared" si="13"/>
        <v>19.6</v>
      </c>
    </row>
    <row r="789" spans="4:11">
      <c r="D789" s="75">
        <v>46202</v>
      </c>
      <c r="E789" s="76">
        <v>1615881</v>
      </c>
      <c r="F789" s="76" t="s">
        <v>40</v>
      </c>
      <c r="G789" s="77">
        <v>20007639</v>
      </c>
      <c r="H789" s="76" t="s">
        <v>193</v>
      </c>
      <c r="I789" s="77">
        <v>2</v>
      </c>
      <c r="J789" s="78">
        <v>19.6</v>
      </c>
      <c r="K789" s="78">
        <f t="shared" si="13"/>
        <v>39.2</v>
      </c>
    </row>
    <row r="790" spans="4:11">
      <c r="D790" s="75">
        <v>46202</v>
      </c>
      <c r="E790" s="76">
        <v>1615881</v>
      </c>
      <c r="F790" s="76" t="s">
        <v>40</v>
      </c>
      <c r="G790" s="77">
        <v>20009272</v>
      </c>
      <c r="H790" s="76" t="s">
        <v>303</v>
      </c>
      <c r="I790" s="77">
        <v>2</v>
      </c>
      <c r="J790" s="78">
        <v>19.6</v>
      </c>
      <c r="K790" s="78">
        <f t="shared" si="13"/>
        <v>39.2</v>
      </c>
    </row>
    <row r="791" spans="4:11">
      <c r="D791" s="75">
        <v>46202</v>
      </c>
      <c r="E791" s="76">
        <v>1615881</v>
      </c>
      <c r="F791" s="76" t="s">
        <v>40</v>
      </c>
      <c r="G791" s="77">
        <v>20007638</v>
      </c>
      <c r="H791" s="76" t="s">
        <v>194</v>
      </c>
      <c r="I791" s="77">
        <v>2</v>
      </c>
      <c r="J791" s="78">
        <v>19.6</v>
      </c>
      <c r="K791" s="78">
        <f t="shared" si="13"/>
        <v>39.2</v>
      </c>
    </row>
    <row r="792" spans="4:11">
      <c r="D792" s="75">
        <v>46202</v>
      </c>
      <c r="E792" s="76">
        <v>1615881</v>
      </c>
      <c r="F792" s="76" t="s">
        <v>40</v>
      </c>
      <c r="G792" s="77">
        <v>20008639</v>
      </c>
      <c r="H792" s="76" t="s">
        <v>195</v>
      </c>
      <c r="I792" s="77">
        <v>2</v>
      </c>
      <c r="J792" s="78">
        <v>17.5</v>
      </c>
      <c r="K792" s="78">
        <f t="shared" si="13"/>
        <v>35</v>
      </c>
    </row>
    <row r="793" spans="4:11">
      <c r="D793" s="75">
        <v>46202</v>
      </c>
      <c r="E793" s="76">
        <v>1615881</v>
      </c>
      <c r="F793" s="76" t="s">
        <v>42</v>
      </c>
      <c r="G793" s="77">
        <v>20395507</v>
      </c>
      <c r="H793" s="76" t="s">
        <v>197</v>
      </c>
      <c r="I793" s="77">
        <v>2</v>
      </c>
      <c r="J793" s="78">
        <v>19.6</v>
      </c>
      <c r="K793" s="78">
        <f t="shared" si="13"/>
        <v>39.2</v>
      </c>
    </row>
    <row r="794" spans="4:11">
      <c r="D794" s="75">
        <v>46203</v>
      </c>
      <c r="E794" s="76">
        <v>1616157</v>
      </c>
      <c r="F794" s="76" t="s">
        <v>36</v>
      </c>
      <c r="G794" s="77">
        <v>20011908</v>
      </c>
      <c r="H794" s="76" t="s">
        <v>295</v>
      </c>
      <c r="I794" s="77">
        <v>1</v>
      </c>
      <c r="J794" s="78">
        <v>284.9</v>
      </c>
      <c r="K794" s="78">
        <f t="shared" si="13"/>
        <v>284.9</v>
      </c>
    </row>
    <row r="795" spans="4:11">
      <c r="D795" s="75">
        <v>46203</v>
      </c>
      <c r="E795" s="76">
        <v>1616157</v>
      </c>
      <c r="F795" s="76" t="s">
        <v>36</v>
      </c>
      <c r="G795" s="77">
        <v>20007716</v>
      </c>
      <c r="H795" s="76" t="s">
        <v>315</v>
      </c>
      <c r="I795" s="77">
        <v>1</v>
      </c>
      <c r="J795" s="78">
        <v>284.9</v>
      </c>
      <c r="K795" s="78">
        <f t="shared" si="13"/>
        <v>284.9</v>
      </c>
    </row>
    <row r="796" spans="4:11">
      <c r="D796" s="75">
        <v>46203</v>
      </c>
      <c r="E796" s="76">
        <v>1616157</v>
      </c>
      <c r="F796" s="76" t="s">
        <v>36</v>
      </c>
      <c r="G796" s="77">
        <v>20007715</v>
      </c>
      <c r="H796" s="76" t="s">
        <v>247</v>
      </c>
      <c r="I796" s="77">
        <v>1</v>
      </c>
      <c r="J796" s="78">
        <v>180.95</v>
      </c>
      <c r="K796" s="78">
        <f t="shared" si="13"/>
        <v>180.95</v>
      </c>
    </row>
    <row r="797" spans="4:11">
      <c r="D797" s="75">
        <v>46203</v>
      </c>
      <c r="E797" s="76">
        <v>1616157</v>
      </c>
      <c r="F797" s="76" t="s">
        <v>36</v>
      </c>
      <c r="G797" s="77">
        <v>20008128</v>
      </c>
      <c r="H797" s="76" t="s">
        <v>164</v>
      </c>
      <c r="I797" s="77">
        <v>3</v>
      </c>
      <c r="J797" s="78">
        <v>130.9</v>
      </c>
      <c r="K797" s="78">
        <f t="shared" si="13"/>
        <v>392.7</v>
      </c>
    </row>
    <row r="798" spans="4:11">
      <c r="D798" s="75">
        <v>46203</v>
      </c>
      <c r="E798" s="76">
        <v>1616157</v>
      </c>
      <c r="F798" s="76" t="s">
        <v>15</v>
      </c>
      <c r="G798" s="77">
        <v>20009483</v>
      </c>
      <c r="H798" s="76" t="s">
        <v>51</v>
      </c>
      <c r="I798" s="77">
        <v>1</v>
      </c>
      <c r="J798" s="78">
        <v>7.7</v>
      </c>
      <c r="K798" s="78">
        <f t="shared" si="13"/>
        <v>7.7</v>
      </c>
    </row>
    <row r="799" spans="4:11">
      <c r="D799" s="75">
        <v>46203</v>
      </c>
      <c r="E799" s="76">
        <v>1616157</v>
      </c>
      <c r="F799" s="76" t="s">
        <v>15</v>
      </c>
      <c r="G799" s="77">
        <v>20008491</v>
      </c>
      <c r="H799" s="76" t="s">
        <v>121</v>
      </c>
      <c r="I799" s="77">
        <v>1</v>
      </c>
      <c r="J799" s="78">
        <v>11.55</v>
      </c>
      <c r="K799" s="78">
        <f t="shared" si="13"/>
        <v>11.55</v>
      </c>
    </row>
    <row r="800" spans="4:11">
      <c r="D800" s="75">
        <v>46203</v>
      </c>
      <c r="E800" s="76">
        <v>1616157</v>
      </c>
      <c r="F800" s="76" t="s">
        <v>15</v>
      </c>
      <c r="G800" s="77">
        <v>20008204</v>
      </c>
      <c r="H800" s="76" t="s">
        <v>122</v>
      </c>
      <c r="I800" s="77">
        <v>1</v>
      </c>
      <c r="J800" s="78">
        <v>9.45</v>
      </c>
      <c r="K800" s="78">
        <f t="shared" si="13"/>
        <v>9.45</v>
      </c>
    </row>
    <row r="801" spans="4:11">
      <c r="D801" s="75">
        <v>46203</v>
      </c>
      <c r="E801" s="76">
        <v>1616157</v>
      </c>
      <c r="F801" s="76" t="s">
        <v>15</v>
      </c>
      <c r="G801" s="77">
        <v>20011138</v>
      </c>
      <c r="H801" s="76" t="s">
        <v>298</v>
      </c>
      <c r="I801" s="77">
        <v>1</v>
      </c>
      <c r="J801" s="78">
        <v>11.55</v>
      </c>
      <c r="K801" s="78">
        <f t="shared" si="13"/>
        <v>11.55</v>
      </c>
    </row>
    <row r="802" spans="4:11">
      <c r="D802" s="75">
        <v>46203</v>
      </c>
      <c r="E802" s="76">
        <v>1616157</v>
      </c>
      <c r="F802" s="76" t="s">
        <v>114</v>
      </c>
      <c r="G802" s="77">
        <v>20362791</v>
      </c>
      <c r="H802" s="76" t="s">
        <v>183</v>
      </c>
      <c r="I802" s="77">
        <v>1</v>
      </c>
      <c r="J802" s="78">
        <v>24.5</v>
      </c>
      <c r="K802" s="78">
        <f t="shared" si="13"/>
        <v>24.5</v>
      </c>
    </row>
    <row r="803" spans="4:11">
      <c r="D803" s="75">
        <v>46203</v>
      </c>
      <c r="E803" s="76">
        <v>1616157</v>
      </c>
      <c r="F803" s="76" t="s">
        <v>27</v>
      </c>
      <c r="G803" s="77">
        <v>20009014</v>
      </c>
      <c r="H803" s="76" t="s">
        <v>321</v>
      </c>
      <c r="I803" s="77">
        <v>1</v>
      </c>
      <c r="J803" s="78">
        <v>11.55</v>
      </c>
      <c r="K803" s="78">
        <f t="shared" si="13"/>
        <v>11.55</v>
      </c>
    </row>
    <row r="804" spans="4:11">
      <c r="D804" s="75">
        <v>46203</v>
      </c>
      <c r="E804" s="76">
        <v>1616157</v>
      </c>
      <c r="F804" s="76" t="s">
        <v>27</v>
      </c>
      <c r="G804" s="77">
        <v>20013068</v>
      </c>
      <c r="H804" s="76" t="s">
        <v>322</v>
      </c>
      <c r="I804" s="77">
        <v>2</v>
      </c>
      <c r="J804" s="78">
        <v>11.55</v>
      </c>
      <c r="K804" s="78">
        <f t="shared" si="13"/>
        <v>23.1</v>
      </c>
    </row>
    <row r="805" spans="4:11">
      <c r="D805" s="75">
        <v>46203</v>
      </c>
      <c r="E805" s="76">
        <v>1616157</v>
      </c>
      <c r="F805" s="76" t="s">
        <v>27</v>
      </c>
      <c r="G805" s="77">
        <v>20008214</v>
      </c>
      <c r="H805" s="76" t="s">
        <v>123</v>
      </c>
      <c r="I805" s="77">
        <v>7</v>
      </c>
      <c r="J805" s="78">
        <v>11.55</v>
      </c>
      <c r="K805" s="78">
        <f t="shared" si="13"/>
        <v>80.85</v>
      </c>
    </row>
    <row r="806" spans="4:11">
      <c r="D806" s="75">
        <v>46203</v>
      </c>
      <c r="E806" s="76">
        <v>1616157</v>
      </c>
      <c r="F806" s="76" t="s">
        <v>27</v>
      </c>
      <c r="G806" s="77">
        <v>20325143</v>
      </c>
      <c r="H806" s="76" t="s">
        <v>398</v>
      </c>
      <c r="I806" s="77">
        <v>1</v>
      </c>
      <c r="J806" s="78">
        <v>19.25</v>
      </c>
      <c r="K806" s="78">
        <f t="shared" si="13"/>
        <v>19.25</v>
      </c>
    </row>
    <row r="807" spans="4:11">
      <c r="D807" s="75">
        <v>46203</v>
      </c>
      <c r="E807" s="76">
        <v>1616157</v>
      </c>
      <c r="F807" s="76" t="s">
        <v>27</v>
      </c>
      <c r="G807" s="77">
        <v>20008345</v>
      </c>
      <c r="H807" s="76" t="s">
        <v>186</v>
      </c>
      <c r="I807" s="77">
        <v>4</v>
      </c>
      <c r="J807" s="78">
        <v>19.25</v>
      </c>
      <c r="K807" s="78">
        <f t="shared" si="13"/>
        <v>77</v>
      </c>
    </row>
    <row r="808" spans="4:11">
      <c r="D808" s="75">
        <v>46203</v>
      </c>
      <c r="E808" s="76">
        <v>1616188</v>
      </c>
      <c r="F808" s="76" t="s">
        <v>40</v>
      </c>
      <c r="G808" s="77">
        <v>20338493</v>
      </c>
      <c r="H808" s="76" t="s">
        <v>332</v>
      </c>
      <c r="I808" s="77">
        <v>12</v>
      </c>
      <c r="J808" s="78">
        <v>17.5</v>
      </c>
      <c r="K808" s="78">
        <f t="shared" si="13"/>
        <v>210</v>
      </c>
    </row>
    <row r="809" spans="4:11">
      <c r="D809" s="75">
        <v>46203</v>
      </c>
      <c r="E809" s="76">
        <v>1616188</v>
      </c>
      <c r="F809" s="76" t="s">
        <v>40</v>
      </c>
      <c r="G809" s="77">
        <v>20365916</v>
      </c>
      <c r="H809" s="76" t="s">
        <v>187</v>
      </c>
      <c r="I809" s="77">
        <v>1</v>
      </c>
      <c r="J809" s="78">
        <v>61.6</v>
      </c>
      <c r="K809" s="78">
        <f t="shared" si="13"/>
        <v>61.6</v>
      </c>
    </row>
    <row r="810" spans="4:11">
      <c r="D810" s="75">
        <v>46203</v>
      </c>
      <c r="E810" s="76">
        <v>1616188</v>
      </c>
      <c r="F810" s="76" t="s">
        <v>40</v>
      </c>
      <c r="G810" s="77">
        <v>20365405</v>
      </c>
      <c r="H810" s="76" t="s">
        <v>283</v>
      </c>
      <c r="I810" s="77">
        <v>1</v>
      </c>
      <c r="J810" s="78">
        <v>61.6</v>
      </c>
      <c r="K810" s="78">
        <f t="shared" si="13"/>
        <v>61.6</v>
      </c>
    </row>
    <row r="811" spans="4:11">
      <c r="D811" s="75">
        <v>46203</v>
      </c>
      <c r="E811" s="76">
        <v>1616188</v>
      </c>
      <c r="F811" s="76" t="s">
        <v>40</v>
      </c>
      <c r="G811" s="77">
        <v>20008885</v>
      </c>
      <c r="H811" s="76" t="s">
        <v>305</v>
      </c>
      <c r="I811" s="77">
        <v>5</v>
      </c>
      <c r="J811" s="78">
        <v>24.5</v>
      </c>
      <c r="K811" s="78">
        <f t="shared" si="13"/>
        <v>122.5</v>
      </c>
    </row>
    <row r="812" spans="4:11">
      <c r="D812" s="75">
        <v>46203</v>
      </c>
      <c r="E812" s="76">
        <v>1616188</v>
      </c>
      <c r="F812" s="76" t="s">
        <v>40</v>
      </c>
      <c r="G812" s="77">
        <v>20008623</v>
      </c>
      <c r="H812" s="76" t="s">
        <v>188</v>
      </c>
      <c r="I812" s="77">
        <v>2</v>
      </c>
      <c r="J812" s="78">
        <v>15.4</v>
      </c>
      <c r="K812" s="78">
        <f t="shared" si="13"/>
        <v>30.8</v>
      </c>
    </row>
    <row r="813" spans="4:11">
      <c r="D813" s="75">
        <v>46203</v>
      </c>
      <c r="E813" s="76">
        <v>1616188</v>
      </c>
      <c r="F813" s="76" t="s">
        <v>40</v>
      </c>
      <c r="G813" s="77">
        <v>20007633</v>
      </c>
      <c r="H813" s="76" t="s">
        <v>74</v>
      </c>
      <c r="I813" s="77">
        <v>2</v>
      </c>
      <c r="J813" s="78">
        <v>24.5</v>
      </c>
      <c r="K813" s="78">
        <f t="shared" si="13"/>
        <v>49</v>
      </c>
    </row>
    <row r="814" spans="4:11">
      <c r="D814" s="75">
        <v>46203</v>
      </c>
      <c r="E814" s="76">
        <v>1616188</v>
      </c>
      <c r="F814" s="76" t="s">
        <v>40</v>
      </c>
      <c r="G814" s="77">
        <v>20411341</v>
      </c>
      <c r="H814" s="76" t="s">
        <v>285</v>
      </c>
      <c r="I814" s="77">
        <v>2</v>
      </c>
      <c r="J814" s="78">
        <v>19.6</v>
      </c>
      <c r="K814" s="78">
        <f t="shared" si="13"/>
        <v>39.2</v>
      </c>
    </row>
    <row r="815" spans="4:11">
      <c r="D815" s="75">
        <v>46203</v>
      </c>
      <c r="E815" s="76">
        <v>1616188</v>
      </c>
      <c r="F815" s="76" t="s">
        <v>40</v>
      </c>
      <c r="G815" s="77">
        <v>20006863</v>
      </c>
      <c r="H815" s="76" t="s">
        <v>41</v>
      </c>
      <c r="I815" s="77">
        <v>3</v>
      </c>
      <c r="J815" s="78">
        <v>24.5</v>
      </c>
      <c r="K815" s="78">
        <f t="shared" si="13"/>
        <v>73.5</v>
      </c>
    </row>
    <row r="816" spans="4:11">
      <c r="D816" s="75">
        <v>46203</v>
      </c>
      <c r="E816" s="76">
        <v>1616188</v>
      </c>
      <c r="F816" s="76" t="s">
        <v>40</v>
      </c>
      <c r="G816" s="77">
        <v>20397472</v>
      </c>
      <c r="H816" s="76" t="s">
        <v>366</v>
      </c>
      <c r="I816" s="77">
        <v>4</v>
      </c>
      <c r="J816" s="78">
        <v>15.4</v>
      </c>
      <c r="K816" s="78">
        <f t="shared" si="13"/>
        <v>61.6</v>
      </c>
    </row>
    <row r="817" spans="4:11">
      <c r="D817" s="75">
        <v>46203</v>
      </c>
      <c r="E817" s="76">
        <v>1616188</v>
      </c>
      <c r="F817" s="76" t="s">
        <v>42</v>
      </c>
      <c r="G817" s="77">
        <v>20390423</v>
      </c>
      <c r="H817" s="76" t="s">
        <v>75</v>
      </c>
      <c r="I817" s="77">
        <v>1</v>
      </c>
      <c r="J817" s="78">
        <v>19.6</v>
      </c>
      <c r="K817" s="78">
        <f t="shared" si="13"/>
        <v>19.6</v>
      </c>
    </row>
    <row r="818" spans="4:11">
      <c r="D818" s="75">
        <v>46203</v>
      </c>
      <c r="E818" s="76">
        <v>1616188</v>
      </c>
      <c r="F818" s="76" t="s">
        <v>42</v>
      </c>
      <c r="G818" s="77">
        <v>20008376</v>
      </c>
      <c r="H818" s="76" t="s">
        <v>287</v>
      </c>
      <c r="I818" s="77">
        <v>1</v>
      </c>
      <c r="J818" s="78">
        <v>19.6</v>
      </c>
      <c r="K818" s="78">
        <f t="shared" si="13"/>
        <v>19.6</v>
      </c>
    </row>
    <row r="819" spans="4:11">
      <c r="D819" s="75">
        <v>46203</v>
      </c>
      <c r="E819" s="76">
        <v>1616445</v>
      </c>
      <c r="F819" s="76" t="s">
        <v>40</v>
      </c>
      <c r="G819" s="77">
        <v>20431737</v>
      </c>
      <c r="H819" s="76" t="s">
        <v>399</v>
      </c>
      <c r="I819" s="77">
        <v>1</v>
      </c>
      <c r="J819" s="78">
        <v>19.6</v>
      </c>
      <c r="K819" s="78">
        <f t="shared" si="13"/>
        <v>19.6</v>
      </c>
    </row>
    <row r="820" spans="4:11">
      <c r="D820" s="75">
        <v>46203</v>
      </c>
      <c r="E820" s="76">
        <v>1616445</v>
      </c>
      <c r="F820" s="76" t="s">
        <v>40</v>
      </c>
      <c r="G820" s="77">
        <v>20370992</v>
      </c>
      <c r="H820" s="76" t="s">
        <v>330</v>
      </c>
      <c r="I820" s="77">
        <v>4</v>
      </c>
      <c r="J820" s="78">
        <v>24.5</v>
      </c>
      <c r="K820" s="78">
        <f t="shared" si="13"/>
        <v>98</v>
      </c>
    </row>
    <row r="821" spans="4:11">
      <c r="D821" s="75">
        <v>46203</v>
      </c>
      <c r="E821" s="76">
        <v>1616445</v>
      </c>
      <c r="F821" s="76" t="s">
        <v>40</v>
      </c>
      <c r="G821" s="77">
        <v>20007567</v>
      </c>
      <c r="H821" s="76" t="s">
        <v>331</v>
      </c>
      <c r="I821" s="77">
        <v>1</v>
      </c>
      <c r="J821" s="78">
        <v>17.5</v>
      </c>
      <c r="K821" s="78">
        <f t="shared" si="13"/>
        <v>17.5</v>
      </c>
    </row>
    <row r="822" spans="4:11">
      <c r="D822" s="75">
        <v>46203</v>
      </c>
      <c r="E822" s="76">
        <v>1616445</v>
      </c>
      <c r="F822" s="76" t="s">
        <v>40</v>
      </c>
      <c r="G822" s="77">
        <v>20338493</v>
      </c>
      <c r="H822" s="76" t="s">
        <v>332</v>
      </c>
      <c r="I822" s="77">
        <v>3</v>
      </c>
      <c r="J822" s="78">
        <v>17.5</v>
      </c>
      <c r="K822" s="78">
        <f t="shared" si="13"/>
        <v>52.5</v>
      </c>
    </row>
    <row r="823" spans="4:11">
      <c r="D823" s="75">
        <v>46203</v>
      </c>
      <c r="E823" s="76">
        <v>1616445</v>
      </c>
      <c r="F823" s="76" t="s">
        <v>40</v>
      </c>
      <c r="G823" s="77">
        <v>20008885</v>
      </c>
      <c r="H823" s="76" t="s">
        <v>305</v>
      </c>
      <c r="I823" s="77">
        <v>4</v>
      </c>
      <c r="J823" s="78">
        <v>24.5</v>
      </c>
      <c r="K823" s="78">
        <f t="shared" si="13"/>
        <v>98</v>
      </c>
    </row>
    <row r="824" spans="4:11">
      <c r="D824" s="75">
        <v>46203</v>
      </c>
      <c r="E824" s="76">
        <v>1616445</v>
      </c>
      <c r="F824" s="76" t="s">
        <v>40</v>
      </c>
      <c r="G824" s="77">
        <v>20313974</v>
      </c>
      <c r="H824" s="76" t="s">
        <v>301</v>
      </c>
      <c r="I824" s="77">
        <v>3</v>
      </c>
      <c r="J824" s="78">
        <v>30.8</v>
      </c>
      <c r="K824" s="78">
        <f t="shared" si="13"/>
        <v>92.4</v>
      </c>
    </row>
    <row r="825" spans="4:11">
      <c r="D825" s="75">
        <v>46203</v>
      </c>
      <c r="E825" s="76">
        <v>1616445</v>
      </c>
      <c r="F825" s="76" t="s">
        <v>40</v>
      </c>
      <c r="G825" s="77">
        <v>20006853</v>
      </c>
      <c r="H825" s="76" t="s">
        <v>189</v>
      </c>
      <c r="I825" s="77">
        <v>3</v>
      </c>
      <c r="J825" s="78">
        <v>24.5</v>
      </c>
      <c r="K825" s="78">
        <f t="shared" si="13"/>
        <v>73.5</v>
      </c>
    </row>
    <row r="826" spans="4:11">
      <c r="D826" s="75">
        <v>46203</v>
      </c>
      <c r="E826" s="76">
        <v>1616445</v>
      </c>
      <c r="F826" s="76" t="s">
        <v>40</v>
      </c>
      <c r="G826" s="77">
        <v>20400917</v>
      </c>
      <c r="H826" s="76" t="s">
        <v>190</v>
      </c>
      <c r="I826" s="77">
        <v>3</v>
      </c>
      <c r="J826" s="78">
        <v>17.5</v>
      </c>
      <c r="K826" s="78">
        <f t="shared" si="13"/>
        <v>52.5</v>
      </c>
    </row>
    <row r="827" spans="4:11">
      <c r="D827" s="75">
        <v>46203</v>
      </c>
      <c r="E827" s="76">
        <v>1616445</v>
      </c>
      <c r="F827" s="76" t="s">
        <v>40</v>
      </c>
      <c r="G827" s="77">
        <v>20382022</v>
      </c>
      <c r="H827" s="76" t="s">
        <v>334</v>
      </c>
      <c r="I827" s="77">
        <v>3</v>
      </c>
      <c r="J827" s="78">
        <v>19.6</v>
      </c>
      <c r="K827" s="78">
        <f t="shared" si="13"/>
        <v>58.8</v>
      </c>
    </row>
    <row r="828" spans="4:11">
      <c r="D828" s="75">
        <v>46203</v>
      </c>
      <c r="E828" s="76">
        <v>1616445</v>
      </c>
      <c r="F828" s="76" t="s">
        <v>40</v>
      </c>
      <c r="G828" s="77">
        <v>20348167</v>
      </c>
      <c r="H828" s="76" t="s">
        <v>314</v>
      </c>
      <c r="I828" s="77">
        <v>1</v>
      </c>
      <c r="J828" s="78">
        <v>61.6</v>
      </c>
      <c r="K828" s="78">
        <f t="shared" si="13"/>
        <v>61.6</v>
      </c>
    </row>
    <row r="829" spans="4:11">
      <c r="D829" s="75">
        <v>46203</v>
      </c>
      <c r="E829" s="76">
        <v>1616445</v>
      </c>
      <c r="F829" s="76" t="s">
        <v>40</v>
      </c>
      <c r="G829" s="77">
        <v>20007639</v>
      </c>
      <c r="H829" s="76" t="s">
        <v>193</v>
      </c>
      <c r="I829" s="77">
        <v>4</v>
      </c>
      <c r="J829" s="78">
        <v>19.6</v>
      </c>
      <c r="K829" s="78">
        <f t="shared" si="13"/>
        <v>78.4</v>
      </c>
    </row>
    <row r="830" spans="4:11">
      <c r="D830" s="75">
        <v>46203</v>
      </c>
      <c r="E830" s="76">
        <v>1616445</v>
      </c>
      <c r="F830" s="76" t="s">
        <v>40</v>
      </c>
      <c r="G830" s="77">
        <v>20009272</v>
      </c>
      <c r="H830" s="76" t="s">
        <v>303</v>
      </c>
      <c r="I830" s="77">
        <v>5</v>
      </c>
      <c r="J830" s="78">
        <v>19.6</v>
      </c>
      <c r="K830" s="78">
        <f t="shared" si="13"/>
        <v>98</v>
      </c>
    </row>
    <row r="831" spans="4:11">
      <c r="D831" s="75">
        <v>46203</v>
      </c>
      <c r="E831" s="76">
        <v>1616445</v>
      </c>
      <c r="F831" s="76" t="s">
        <v>40</v>
      </c>
      <c r="G831" s="77">
        <v>20007638</v>
      </c>
      <c r="H831" s="76" t="s">
        <v>194</v>
      </c>
      <c r="I831" s="77">
        <v>4</v>
      </c>
      <c r="J831" s="78">
        <v>19.6</v>
      </c>
      <c r="K831" s="78">
        <f t="shared" si="13"/>
        <v>78.4</v>
      </c>
    </row>
    <row r="832" spans="4:11">
      <c r="D832" s="75">
        <v>46203</v>
      </c>
      <c r="E832" s="76">
        <v>1616445</v>
      </c>
      <c r="F832" s="76" t="s">
        <v>40</v>
      </c>
      <c r="G832" s="77">
        <v>20008639</v>
      </c>
      <c r="H832" s="76" t="s">
        <v>195</v>
      </c>
      <c r="I832" s="77">
        <v>3</v>
      </c>
      <c r="J832" s="78">
        <v>17.5</v>
      </c>
      <c r="K832" s="78">
        <f t="shared" si="13"/>
        <v>52.5</v>
      </c>
    </row>
    <row r="833" spans="4:11">
      <c r="D833" s="75">
        <v>46203</v>
      </c>
      <c r="E833" s="76">
        <v>1616445</v>
      </c>
      <c r="F833" s="76" t="s">
        <v>40</v>
      </c>
      <c r="G833" s="77">
        <v>20333210</v>
      </c>
      <c r="H833" s="76" t="s">
        <v>400</v>
      </c>
      <c r="I833" s="77">
        <v>2</v>
      </c>
      <c r="J833" s="78">
        <v>19.6</v>
      </c>
      <c r="K833" s="78">
        <f t="shared" si="13"/>
        <v>39.2</v>
      </c>
    </row>
    <row r="834" spans="4:11">
      <c r="D834" s="75">
        <v>46203</v>
      </c>
      <c r="E834" s="76">
        <v>1616445</v>
      </c>
      <c r="F834" s="76" t="s">
        <v>40</v>
      </c>
      <c r="G834" s="77">
        <v>20321486</v>
      </c>
      <c r="H834" s="76" t="s">
        <v>401</v>
      </c>
      <c r="I834" s="77">
        <v>3</v>
      </c>
      <c r="J834" s="78">
        <v>15.4</v>
      </c>
      <c r="K834" s="78">
        <f t="shared" si="13"/>
        <v>46.2</v>
      </c>
    </row>
    <row r="835" spans="4:11">
      <c r="D835" s="75">
        <v>46203</v>
      </c>
      <c r="E835" s="76">
        <v>1616445</v>
      </c>
      <c r="F835" s="76" t="s">
        <v>42</v>
      </c>
      <c r="G835" s="77">
        <v>20395507</v>
      </c>
      <c r="H835" s="76" t="s">
        <v>197</v>
      </c>
      <c r="I835" s="77">
        <v>2</v>
      </c>
      <c r="J835" s="78">
        <v>19.6</v>
      </c>
      <c r="K835" s="78">
        <f t="shared" si="13"/>
        <v>39.2</v>
      </c>
    </row>
    <row r="836" spans="4:11">
      <c r="D836" s="75">
        <v>46203</v>
      </c>
      <c r="E836" s="76">
        <v>1616445</v>
      </c>
      <c r="F836" s="76" t="s">
        <v>42</v>
      </c>
      <c r="G836" s="77">
        <v>20396267</v>
      </c>
      <c r="H836" s="76" t="s">
        <v>198</v>
      </c>
      <c r="I836" s="77">
        <v>1</v>
      </c>
      <c r="J836" s="78">
        <v>19.6</v>
      </c>
      <c r="K836" s="78">
        <f t="shared" si="13"/>
        <v>19.6</v>
      </c>
    </row>
    <row r="837" ht="0.05" customHeight="1"/>
  </sheetData>
  <autoFilter xmlns:etc="http://www.wps.cn/officeDocument/2017/etCustomData" ref="A7:K837" etc:filterBottomFollowUsedRange="0">
    <extLst/>
  </autoFilter>
  <mergeCells count="5">
    <mergeCell ref="D8:H8"/>
    <mergeCell ref="C7:C836"/>
    <mergeCell ref="B4:H5"/>
    <mergeCell ref="C1:H2"/>
    <mergeCell ref="A7:B83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402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</v>
      </c>
      <c r="J8" s="74"/>
      <c r="K8" s="74">
        <v>5.6</v>
      </c>
    </row>
    <row r="9" spans="1:11">
      <c r="D9" s="75">
        <v>46175</v>
      </c>
      <c r="E9" s="76">
        <v>1608569</v>
      </c>
      <c r="F9" s="76" t="s">
        <v>15</v>
      </c>
      <c r="G9" s="77">
        <v>20011030</v>
      </c>
      <c r="H9" s="76" t="s">
        <v>403</v>
      </c>
      <c r="I9" s="77">
        <v>1</v>
      </c>
      <c r="J9" s="78">
        <v>5.6</v>
      </c>
      <c r="K9" s="78">
        <v>5.6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9" sqref="N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404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</v>
      </c>
      <c r="J8" s="74"/>
      <c r="K8" s="74">
        <v>24.5</v>
      </c>
    </row>
    <row r="9" spans="1:11">
      <c r="D9" s="75">
        <v>46185</v>
      </c>
      <c r="E9" s="76">
        <v>1611634</v>
      </c>
      <c r="F9" s="76" t="s">
        <v>13</v>
      </c>
      <c r="G9" s="77">
        <v>20362742</v>
      </c>
      <c r="H9" s="76" t="s">
        <v>97</v>
      </c>
      <c r="I9" s="77">
        <v>1</v>
      </c>
      <c r="J9" s="78">
        <v>24.5</v>
      </c>
      <c r="K9" s="78">
        <v>24.5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405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</v>
      </c>
      <c r="J8" s="74"/>
      <c r="K8" s="74">
        <v>24.5</v>
      </c>
    </row>
    <row r="9" spans="1:11">
      <c r="D9" s="75">
        <v>46191</v>
      </c>
      <c r="E9" s="76">
        <v>1613255</v>
      </c>
      <c r="F9" s="76" t="s">
        <v>40</v>
      </c>
      <c r="G9" s="77">
        <v>20405799</v>
      </c>
      <c r="H9" s="76" t="s">
        <v>14</v>
      </c>
      <c r="I9" s="77">
        <v>1</v>
      </c>
      <c r="J9" s="78">
        <v>24.5</v>
      </c>
      <c r="K9" s="78">
        <v>24.5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23" sqref="N22:N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406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</v>
      </c>
      <c r="J8" s="74"/>
      <c r="K8" s="74">
        <v>24.5</v>
      </c>
    </row>
    <row r="9" spans="1:11">
      <c r="D9" s="75">
        <v>46183</v>
      </c>
      <c r="E9" s="76">
        <v>1610882</v>
      </c>
      <c r="F9" s="76" t="s">
        <v>13</v>
      </c>
      <c r="G9" s="77">
        <v>20362742</v>
      </c>
      <c r="H9" s="76" t="s">
        <v>97</v>
      </c>
      <c r="I9" s="77">
        <v>1</v>
      </c>
      <c r="J9" s="78">
        <v>24.5</v>
      </c>
      <c r="K9" s="78">
        <v>24.5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P16" sqref="P16:P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407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32</v>
      </c>
      <c r="J8" s="74"/>
      <c r="K8" s="74">
        <v>849.45</v>
      </c>
    </row>
    <row r="9" spans="1:11">
      <c r="D9" s="75">
        <v>46175</v>
      </c>
      <c r="E9" s="76">
        <v>1608570</v>
      </c>
      <c r="F9" s="76" t="s">
        <v>27</v>
      </c>
      <c r="G9" s="77">
        <v>20356918</v>
      </c>
      <c r="H9" s="76" t="s">
        <v>408</v>
      </c>
      <c r="I9" s="77">
        <v>3</v>
      </c>
      <c r="J9" s="78">
        <v>23.1</v>
      </c>
      <c r="K9" s="78">
        <v>69.3</v>
      </c>
    </row>
    <row r="10" spans="1:11">
      <c r="D10" s="75">
        <v>46178</v>
      </c>
      <c r="E10" s="76">
        <v>1609443</v>
      </c>
      <c r="F10" s="76" t="s">
        <v>20</v>
      </c>
      <c r="G10" s="77">
        <v>20335124</v>
      </c>
      <c r="H10" s="76" t="s">
        <v>409</v>
      </c>
      <c r="I10" s="77">
        <v>1</v>
      </c>
      <c r="J10" s="78">
        <v>11.55</v>
      </c>
      <c r="K10" s="78">
        <v>11.55</v>
      </c>
    </row>
    <row r="11" spans="1:11">
      <c r="D11" s="75">
        <v>46178</v>
      </c>
      <c r="E11" s="76">
        <v>1609443</v>
      </c>
      <c r="F11" s="76" t="s">
        <v>20</v>
      </c>
      <c r="G11" s="77">
        <v>20008215</v>
      </c>
      <c r="H11" s="76" t="s">
        <v>410</v>
      </c>
      <c r="I11" s="77">
        <v>1</v>
      </c>
      <c r="J11" s="78">
        <v>11.55</v>
      </c>
      <c r="K11" s="78">
        <v>11.55</v>
      </c>
    </row>
    <row r="12" spans="1:11">
      <c r="D12" s="75">
        <v>46178</v>
      </c>
      <c r="E12" s="76">
        <v>1609443</v>
      </c>
      <c r="F12" s="76" t="s">
        <v>15</v>
      </c>
      <c r="G12" s="77">
        <v>20326910</v>
      </c>
      <c r="H12" s="76" t="s">
        <v>411</v>
      </c>
      <c r="I12" s="77">
        <v>1</v>
      </c>
      <c r="J12" s="78">
        <v>11.2</v>
      </c>
      <c r="K12" s="78">
        <v>11.2</v>
      </c>
    </row>
    <row r="13" spans="1:11">
      <c r="D13" s="75">
        <v>46178</v>
      </c>
      <c r="E13" s="76">
        <v>1609443</v>
      </c>
      <c r="F13" s="76" t="s">
        <v>15</v>
      </c>
      <c r="G13" s="77">
        <v>20377850</v>
      </c>
      <c r="H13" s="76" t="s">
        <v>412</v>
      </c>
      <c r="I13" s="77">
        <v>2</v>
      </c>
      <c r="J13" s="78">
        <v>38.5</v>
      </c>
      <c r="K13" s="78">
        <v>77</v>
      </c>
    </row>
    <row r="14" spans="1:11">
      <c r="D14" s="75">
        <v>46178</v>
      </c>
      <c r="E14" s="76">
        <v>1609443</v>
      </c>
      <c r="F14" s="76" t="s">
        <v>15</v>
      </c>
      <c r="G14" s="77">
        <v>20009280</v>
      </c>
      <c r="H14" s="76" t="s">
        <v>34</v>
      </c>
      <c r="I14" s="77">
        <v>2</v>
      </c>
      <c r="J14" s="78">
        <v>5.6</v>
      </c>
      <c r="K14" s="78">
        <v>11.2</v>
      </c>
    </row>
    <row r="15" spans="1:11">
      <c r="D15" s="75">
        <v>46178</v>
      </c>
      <c r="E15" s="76">
        <v>1609443</v>
      </c>
      <c r="F15" s="76" t="s">
        <v>25</v>
      </c>
      <c r="G15" s="77">
        <v>20336004</v>
      </c>
      <c r="H15" s="76" t="s">
        <v>413</v>
      </c>
      <c r="I15" s="77">
        <v>5</v>
      </c>
      <c r="J15" s="78">
        <v>30.8</v>
      </c>
      <c r="K15" s="78">
        <v>154</v>
      </c>
    </row>
    <row r="16" spans="1:11">
      <c r="D16" s="75">
        <v>46178</v>
      </c>
      <c r="E16" s="76">
        <v>1609443</v>
      </c>
      <c r="F16" s="76" t="s">
        <v>25</v>
      </c>
      <c r="G16" s="77">
        <v>20008227</v>
      </c>
      <c r="H16" s="76" t="s">
        <v>414</v>
      </c>
      <c r="I16" s="77">
        <v>1</v>
      </c>
      <c r="J16" s="78">
        <v>69.3</v>
      </c>
      <c r="K16" s="78">
        <v>69.3</v>
      </c>
    </row>
    <row r="17" spans="4:11">
      <c r="D17" s="75">
        <v>46185</v>
      </c>
      <c r="E17" s="76">
        <v>1611613</v>
      </c>
      <c r="F17" s="76" t="s">
        <v>20</v>
      </c>
      <c r="G17" s="77">
        <v>20335124</v>
      </c>
      <c r="H17" s="76" t="s">
        <v>409</v>
      </c>
      <c r="I17" s="77">
        <v>1</v>
      </c>
      <c r="J17" s="78">
        <v>11.55</v>
      </c>
      <c r="K17" s="78">
        <v>11.55</v>
      </c>
    </row>
    <row r="18" spans="4:11">
      <c r="D18" s="75">
        <v>46185</v>
      </c>
      <c r="E18" s="76">
        <v>1611613</v>
      </c>
      <c r="F18" s="76" t="s">
        <v>20</v>
      </c>
      <c r="G18" s="77">
        <v>20008215</v>
      </c>
      <c r="H18" s="76" t="s">
        <v>410</v>
      </c>
      <c r="I18" s="77">
        <v>1</v>
      </c>
      <c r="J18" s="78">
        <v>11.55</v>
      </c>
      <c r="K18" s="78">
        <v>11.55</v>
      </c>
    </row>
    <row r="19" spans="4:11">
      <c r="D19" s="75">
        <v>46185</v>
      </c>
      <c r="E19" s="76">
        <v>1611613</v>
      </c>
      <c r="F19" s="76" t="s">
        <v>15</v>
      </c>
      <c r="G19" s="77">
        <v>20326910</v>
      </c>
      <c r="H19" s="76" t="s">
        <v>411</v>
      </c>
      <c r="I19" s="77">
        <v>1</v>
      </c>
      <c r="J19" s="78">
        <v>11.2</v>
      </c>
      <c r="K19" s="78">
        <v>11.2</v>
      </c>
    </row>
    <row r="20" spans="4:11">
      <c r="D20" s="75">
        <v>46185</v>
      </c>
      <c r="E20" s="76">
        <v>1611613</v>
      </c>
      <c r="F20" s="76" t="s">
        <v>15</v>
      </c>
      <c r="G20" s="77">
        <v>20377850</v>
      </c>
      <c r="H20" s="76" t="s">
        <v>412</v>
      </c>
      <c r="I20" s="77">
        <v>1</v>
      </c>
      <c r="J20" s="78">
        <v>38.5</v>
      </c>
      <c r="K20" s="78">
        <v>38.5</v>
      </c>
    </row>
    <row r="21" spans="4:11">
      <c r="D21" s="75">
        <v>46185</v>
      </c>
      <c r="E21" s="76">
        <v>1611613</v>
      </c>
      <c r="F21" s="76" t="s">
        <v>25</v>
      </c>
      <c r="G21" s="77">
        <v>20338019</v>
      </c>
      <c r="H21" s="76" t="s">
        <v>415</v>
      </c>
      <c r="I21" s="77">
        <v>1</v>
      </c>
      <c r="J21" s="78">
        <v>30.8</v>
      </c>
      <c r="K21" s="78">
        <v>30.8</v>
      </c>
    </row>
    <row r="22" spans="4:11">
      <c r="D22" s="75">
        <v>46185</v>
      </c>
      <c r="E22" s="76">
        <v>1611613</v>
      </c>
      <c r="F22" s="76" t="s">
        <v>25</v>
      </c>
      <c r="G22" s="77">
        <v>20336004</v>
      </c>
      <c r="H22" s="76" t="s">
        <v>413</v>
      </c>
      <c r="I22" s="77">
        <v>7</v>
      </c>
      <c r="J22" s="78">
        <v>30.8</v>
      </c>
      <c r="K22" s="78">
        <v>215.6</v>
      </c>
    </row>
    <row r="23" spans="4:11">
      <c r="D23" s="75">
        <v>46185</v>
      </c>
      <c r="E23" s="76">
        <v>1611613</v>
      </c>
      <c r="F23" s="76" t="s">
        <v>25</v>
      </c>
      <c r="G23" s="77">
        <v>20008227</v>
      </c>
      <c r="H23" s="76" t="s">
        <v>414</v>
      </c>
      <c r="I23" s="77">
        <v>1</v>
      </c>
      <c r="J23" s="78">
        <v>69.3</v>
      </c>
      <c r="K23" s="78">
        <v>69.3</v>
      </c>
    </row>
    <row r="24" spans="4:11">
      <c r="D24" s="75">
        <v>46196</v>
      </c>
      <c r="E24" s="76">
        <v>1614399</v>
      </c>
      <c r="F24" s="76" t="s">
        <v>25</v>
      </c>
      <c r="G24" s="77">
        <v>20008228</v>
      </c>
      <c r="H24" s="76" t="s">
        <v>416</v>
      </c>
      <c r="I24" s="77">
        <v>1</v>
      </c>
      <c r="J24" s="78">
        <v>34.65</v>
      </c>
      <c r="K24" s="78">
        <v>34.65</v>
      </c>
    </row>
    <row r="25" spans="4:11">
      <c r="D25" s="75">
        <v>46198</v>
      </c>
      <c r="E25" s="76">
        <v>1614956</v>
      </c>
      <c r="F25" s="76" t="s">
        <v>15</v>
      </c>
      <c r="G25" s="77">
        <v>20009280</v>
      </c>
      <c r="H25" s="76" t="s">
        <v>34</v>
      </c>
      <c r="I25" s="77">
        <v>2</v>
      </c>
      <c r="J25" s="78">
        <v>5.6</v>
      </c>
      <c r="K25" s="78">
        <v>11.2</v>
      </c>
    </row>
  </sheetData>
  <autoFilter xmlns:etc="http://www.wps.cn/officeDocument/2017/etCustomData" ref="A7:K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417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2</v>
      </c>
      <c r="J8" s="74"/>
      <c r="K8" s="74">
        <v>49</v>
      </c>
    </row>
    <row r="9" spans="1:11">
      <c r="D9" s="75">
        <v>46176</v>
      </c>
      <c r="E9" s="76">
        <v>1608758</v>
      </c>
      <c r="F9" s="76" t="s">
        <v>13</v>
      </c>
      <c r="G9" s="77">
        <v>20405396</v>
      </c>
      <c r="H9" s="76" t="s">
        <v>14</v>
      </c>
      <c r="I9" s="77">
        <v>2</v>
      </c>
      <c r="J9" s="78">
        <v>24.5</v>
      </c>
      <c r="K9" s="78">
        <v>49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418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17</v>
      </c>
      <c r="J8" s="74"/>
      <c r="K8" s="74">
        <v>95.2</v>
      </c>
    </row>
    <row r="9" spans="1:11">
      <c r="D9" s="75">
        <v>46175</v>
      </c>
      <c r="E9" s="76">
        <v>1608571</v>
      </c>
      <c r="F9" s="76" t="s">
        <v>15</v>
      </c>
      <c r="G9" s="77">
        <v>20386301</v>
      </c>
      <c r="H9" s="76" t="s">
        <v>419</v>
      </c>
      <c r="I9" s="77">
        <v>7</v>
      </c>
      <c r="J9" s="78">
        <v>5.6</v>
      </c>
      <c r="K9" s="78">
        <v>39.2</v>
      </c>
    </row>
    <row r="10" spans="1:11">
      <c r="D10" s="75">
        <v>46196</v>
      </c>
      <c r="E10" s="76">
        <v>1614400</v>
      </c>
      <c r="F10" s="76" t="s">
        <v>15</v>
      </c>
      <c r="G10" s="77">
        <v>20386301</v>
      </c>
      <c r="H10" s="76" t="s">
        <v>419</v>
      </c>
      <c r="I10" s="77">
        <v>10</v>
      </c>
      <c r="J10" s="78">
        <v>5.6</v>
      </c>
      <c r="K10" s="78">
        <v>56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Q23" sqref="Q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65" t="s">
        <v>0</v>
      </c>
    </row>
    <row r="2" ht="23.05" customHeight="1"/>
    <row r="3" ht="2" customHeight="1"/>
    <row r="4" ht="15.2" customHeight="1" spans="1:11">
      <c r="B4" s="66" t="s">
        <v>1</v>
      </c>
    </row>
    <row r="6" ht="2.95" customHeight="1"/>
    <row r="7" spans="1:11">
      <c r="A7" s="67" t="s">
        <v>2</v>
      </c>
      <c r="B7" s="68" t="s">
        <v>2</v>
      </c>
      <c r="C7" s="69" t="s">
        <v>2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</row>
    <row r="8" ht="14.25" spans="1:11">
      <c r="D8" s="71" t="s">
        <v>420</v>
      </c>
      <c r="E8" s="72" t="s">
        <v>2</v>
      </c>
      <c r="F8" s="72" t="s">
        <v>2</v>
      </c>
      <c r="G8" s="72" t="s">
        <v>2</v>
      </c>
      <c r="H8" s="72" t="s">
        <v>2</v>
      </c>
      <c r="I8" s="73">
        <v>57</v>
      </c>
      <c r="J8" s="74"/>
      <c r="K8" s="74">
        <v>462</v>
      </c>
    </row>
    <row r="9" spans="1:11">
      <c r="D9" s="75">
        <v>46175</v>
      </c>
      <c r="E9" s="76">
        <v>1608572</v>
      </c>
      <c r="F9" s="76" t="s">
        <v>15</v>
      </c>
      <c r="G9" s="77">
        <v>20359452</v>
      </c>
      <c r="H9" s="76" t="s">
        <v>421</v>
      </c>
      <c r="I9" s="77">
        <v>2</v>
      </c>
      <c r="J9" s="78">
        <v>5.6</v>
      </c>
      <c r="K9" s="78">
        <v>11.2</v>
      </c>
    </row>
    <row r="10" spans="1:11">
      <c r="D10" s="75">
        <v>46175</v>
      </c>
      <c r="E10" s="76">
        <v>1608572</v>
      </c>
      <c r="F10" s="76" t="s">
        <v>15</v>
      </c>
      <c r="G10" s="77">
        <v>20008322</v>
      </c>
      <c r="H10" s="76" t="s">
        <v>17</v>
      </c>
      <c r="I10" s="77">
        <v>5</v>
      </c>
      <c r="J10" s="78">
        <v>5.6</v>
      </c>
      <c r="K10" s="78">
        <v>28</v>
      </c>
    </row>
    <row r="11" spans="1:11">
      <c r="D11" s="75">
        <v>46175</v>
      </c>
      <c r="E11" s="76">
        <v>1608572</v>
      </c>
      <c r="F11" s="76" t="s">
        <v>15</v>
      </c>
      <c r="G11" s="77">
        <v>20006829</v>
      </c>
      <c r="H11" s="76" t="s">
        <v>422</v>
      </c>
      <c r="I11" s="77">
        <v>1</v>
      </c>
      <c r="J11" s="78">
        <v>5.6</v>
      </c>
      <c r="K11" s="78">
        <v>5.6</v>
      </c>
    </row>
    <row r="12" spans="1:11">
      <c r="D12" s="75">
        <v>46175</v>
      </c>
      <c r="E12" s="76">
        <v>1608572</v>
      </c>
      <c r="F12" s="76" t="s">
        <v>15</v>
      </c>
      <c r="G12" s="77">
        <v>20011545</v>
      </c>
      <c r="H12" s="76" t="s">
        <v>84</v>
      </c>
      <c r="I12" s="77">
        <v>2</v>
      </c>
      <c r="J12" s="78">
        <v>5.6</v>
      </c>
      <c r="K12" s="78">
        <v>11.2</v>
      </c>
    </row>
    <row r="13" spans="1:11">
      <c r="D13" s="75">
        <v>46175</v>
      </c>
      <c r="E13" s="76">
        <v>1608572</v>
      </c>
      <c r="F13" s="76" t="s">
        <v>15</v>
      </c>
      <c r="G13" s="77">
        <v>20363011</v>
      </c>
      <c r="H13" s="76" t="s">
        <v>423</v>
      </c>
      <c r="I13" s="77">
        <v>2</v>
      </c>
      <c r="J13" s="78">
        <v>9.45</v>
      </c>
      <c r="K13" s="78">
        <v>18.9</v>
      </c>
    </row>
    <row r="14" spans="1:11">
      <c r="D14" s="75">
        <v>46175</v>
      </c>
      <c r="E14" s="76">
        <v>1608572</v>
      </c>
      <c r="F14" s="76" t="s">
        <v>15</v>
      </c>
      <c r="G14" s="77">
        <v>20345546</v>
      </c>
      <c r="H14" s="76" t="s">
        <v>424</v>
      </c>
      <c r="I14" s="77">
        <v>4</v>
      </c>
      <c r="J14" s="78">
        <v>11.55</v>
      </c>
      <c r="K14" s="78">
        <v>46.2</v>
      </c>
    </row>
    <row r="15" spans="1:11">
      <c r="D15" s="75">
        <v>46175</v>
      </c>
      <c r="E15" s="76">
        <v>1608572</v>
      </c>
      <c r="F15" s="76" t="s">
        <v>15</v>
      </c>
      <c r="G15" s="77">
        <v>20411577</v>
      </c>
      <c r="H15" s="76" t="s">
        <v>425</v>
      </c>
      <c r="I15" s="77">
        <v>1</v>
      </c>
      <c r="J15" s="78">
        <v>9.45</v>
      </c>
      <c r="K15" s="78">
        <v>9.45</v>
      </c>
    </row>
    <row r="16" spans="1:11">
      <c r="D16" s="75">
        <v>46175</v>
      </c>
      <c r="E16" s="76">
        <v>1608572</v>
      </c>
      <c r="F16" s="76" t="s">
        <v>15</v>
      </c>
      <c r="G16" s="77">
        <v>20363010</v>
      </c>
      <c r="H16" s="76" t="s">
        <v>426</v>
      </c>
      <c r="I16" s="77">
        <v>2</v>
      </c>
      <c r="J16" s="78">
        <v>5.6</v>
      </c>
      <c r="K16" s="78">
        <v>11.2</v>
      </c>
    </row>
    <row r="17" spans="4:11">
      <c r="D17" s="75">
        <v>46182</v>
      </c>
      <c r="E17" s="76">
        <v>1610732</v>
      </c>
      <c r="F17" s="76" t="s">
        <v>15</v>
      </c>
      <c r="G17" s="77">
        <v>20008322</v>
      </c>
      <c r="H17" s="76" t="s">
        <v>17</v>
      </c>
      <c r="I17" s="77">
        <v>5</v>
      </c>
      <c r="J17" s="78">
        <v>5.6</v>
      </c>
      <c r="K17" s="78">
        <v>28</v>
      </c>
    </row>
    <row r="18" spans="4:11">
      <c r="D18" s="75">
        <v>46182</v>
      </c>
      <c r="E18" s="76">
        <v>1610732</v>
      </c>
      <c r="F18" s="76" t="s">
        <v>15</v>
      </c>
      <c r="G18" s="77">
        <v>20363011</v>
      </c>
      <c r="H18" s="76" t="s">
        <v>423</v>
      </c>
      <c r="I18" s="77">
        <v>1</v>
      </c>
      <c r="J18" s="78">
        <v>9.45</v>
      </c>
      <c r="K18" s="78">
        <v>9.45</v>
      </c>
    </row>
    <row r="19" spans="4:11">
      <c r="D19" s="75">
        <v>46182</v>
      </c>
      <c r="E19" s="76">
        <v>1610732</v>
      </c>
      <c r="F19" s="76" t="s">
        <v>15</v>
      </c>
      <c r="G19" s="77">
        <v>20345546</v>
      </c>
      <c r="H19" s="76" t="s">
        <v>424</v>
      </c>
      <c r="I19" s="77">
        <v>3</v>
      </c>
      <c r="J19" s="78">
        <v>11.55</v>
      </c>
      <c r="K19" s="78">
        <v>34.65</v>
      </c>
    </row>
    <row r="20" spans="4:11">
      <c r="D20" s="75">
        <v>46190</v>
      </c>
      <c r="E20" s="76">
        <v>1613138</v>
      </c>
      <c r="F20" s="76" t="s">
        <v>15</v>
      </c>
      <c r="G20" s="77">
        <v>20008322</v>
      </c>
      <c r="H20" s="76" t="s">
        <v>17</v>
      </c>
      <c r="I20" s="77">
        <v>3</v>
      </c>
      <c r="J20" s="78">
        <v>5.6</v>
      </c>
      <c r="K20" s="78">
        <v>16.8</v>
      </c>
    </row>
    <row r="21" spans="4:11">
      <c r="D21" s="75">
        <v>46190</v>
      </c>
      <c r="E21" s="76">
        <v>1613138</v>
      </c>
      <c r="F21" s="76" t="s">
        <v>15</v>
      </c>
      <c r="G21" s="77">
        <v>20363011</v>
      </c>
      <c r="H21" s="76" t="s">
        <v>423</v>
      </c>
      <c r="I21" s="77">
        <v>1</v>
      </c>
      <c r="J21" s="78">
        <v>9.45</v>
      </c>
      <c r="K21" s="78">
        <v>9.45</v>
      </c>
    </row>
    <row r="22" spans="4:11">
      <c r="D22" s="75">
        <v>46190</v>
      </c>
      <c r="E22" s="76">
        <v>1613138</v>
      </c>
      <c r="F22" s="76" t="s">
        <v>15</v>
      </c>
      <c r="G22" s="77">
        <v>20345546</v>
      </c>
      <c r="H22" s="76" t="s">
        <v>424</v>
      </c>
      <c r="I22" s="77">
        <v>2</v>
      </c>
      <c r="J22" s="78">
        <v>11.55</v>
      </c>
      <c r="K22" s="78">
        <v>23.1</v>
      </c>
    </row>
    <row r="23" spans="4:11">
      <c r="D23" s="75">
        <v>46190</v>
      </c>
      <c r="E23" s="76">
        <v>1613138</v>
      </c>
      <c r="F23" s="76" t="s">
        <v>15</v>
      </c>
      <c r="G23" s="77">
        <v>20363010</v>
      </c>
      <c r="H23" s="76" t="s">
        <v>426</v>
      </c>
      <c r="I23" s="77">
        <v>1</v>
      </c>
      <c r="J23" s="78">
        <v>5.6</v>
      </c>
      <c r="K23" s="78">
        <v>5.6</v>
      </c>
    </row>
    <row r="24" spans="4:11">
      <c r="D24" s="75">
        <v>46191</v>
      </c>
      <c r="E24" s="76">
        <v>1613273</v>
      </c>
      <c r="F24" s="76" t="s">
        <v>13</v>
      </c>
      <c r="G24" s="77">
        <v>20405396</v>
      </c>
      <c r="H24" s="76" t="s">
        <v>14</v>
      </c>
      <c r="I24" s="77">
        <v>1</v>
      </c>
      <c r="J24" s="78">
        <v>24.5</v>
      </c>
      <c r="K24" s="78">
        <v>24.5</v>
      </c>
    </row>
    <row r="25" spans="4:11">
      <c r="D25" s="75">
        <v>46196</v>
      </c>
      <c r="E25" s="76">
        <v>1614401</v>
      </c>
      <c r="F25" s="76" t="s">
        <v>15</v>
      </c>
      <c r="G25" s="77">
        <v>20008322</v>
      </c>
      <c r="H25" s="76" t="s">
        <v>17</v>
      </c>
      <c r="I25" s="77">
        <v>3</v>
      </c>
      <c r="J25" s="78">
        <v>5.6</v>
      </c>
      <c r="K25" s="78">
        <v>16.8</v>
      </c>
    </row>
    <row r="26" spans="4:11">
      <c r="D26" s="75">
        <v>46196</v>
      </c>
      <c r="E26" s="76">
        <v>1614401</v>
      </c>
      <c r="F26" s="76" t="s">
        <v>15</v>
      </c>
      <c r="G26" s="77">
        <v>20006829</v>
      </c>
      <c r="H26" s="76" t="s">
        <v>422</v>
      </c>
      <c r="I26" s="77">
        <v>1</v>
      </c>
      <c r="J26" s="78">
        <v>5.6</v>
      </c>
      <c r="K26" s="78">
        <v>5.6</v>
      </c>
    </row>
    <row r="27" spans="4:11">
      <c r="D27" s="75">
        <v>46196</v>
      </c>
      <c r="E27" s="76">
        <v>1614401</v>
      </c>
      <c r="F27" s="76" t="s">
        <v>15</v>
      </c>
      <c r="G27" s="77">
        <v>20363011</v>
      </c>
      <c r="H27" s="76" t="s">
        <v>423</v>
      </c>
      <c r="I27" s="77">
        <v>1</v>
      </c>
      <c r="J27" s="78">
        <v>9.45</v>
      </c>
      <c r="K27" s="78">
        <v>9.45</v>
      </c>
    </row>
    <row r="28" spans="4:11">
      <c r="D28" s="75">
        <v>46196</v>
      </c>
      <c r="E28" s="76">
        <v>1614401</v>
      </c>
      <c r="F28" s="76" t="s">
        <v>15</v>
      </c>
      <c r="G28" s="77">
        <v>20345546</v>
      </c>
      <c r="H28" s="76" t="s">
        <v>424</v>
      </c>
      <c r="I28" s="77">
        <v>2</v>
      </c>
      <c r="J28" s="78">
        <v>11.55</v>
      </c>
      <c r="K28" s="78">
        <v>23.1</v>
      </c>
    </row>
    <row r="29" spans="4:11">
      <c r="D29" s="75">
        <v>46198</v>
      </c>
      <c r="E29" s="76">
        <v>1615200</v>
      </c>
      <c r="F29" s="76" t="s">
        <v>15</v>
      </c>
      <c r="G29" s="77">
        <v>20008322</v>
      </c>
      <c r="H29" s="76" t="s">
        <v>17</v>
      </c>
      <c r="I29" s="77">
        <v>1</v>
      </c>
      <c r="J29" s="78">
        <v>5.6</v>
      </c>
      <c r="K29" s="78">
        <v>5.6</v>
      </c>
    </row>
    <row r="30" spans="4:11">
      <c r="D30" s="75">
        <v>46198</v>
      </c>
      <c r="E30" s="76">
        <v>1615200</v>
      </c>
      <c r="F30" s="76" t="s">
        <v>15</v>
      </c>
      <c r="G30" s="77">
        <v>20006829</v>
      </c>
      <c r="H30" s="76" t="s">
        <v>422</v>
      </c>
      <c r="I30" s="77">
        <v>1</v>
      </c>
      <c r="J30" s="78">
        <v>5.6</v>
      </c>
      <c r="K30" s="78">
        <v>5.6</v>
      </c>
    </row>
    <row r="31" spans="4:11">
      <c r="D31" s="75">
        <v>46198</v>
      </c>
      <c r="E31" s="76">
        <v>1615200</v>
      </c>
      <c r="F31" s="76" t="s">
        <v>15</v>
      </c>
      <c r="G31" s="77">
        <v>20363011</v>
      </c>
      <c r="H31" s="76" t="s">
        <v>423</v>
      </c>
      <c r="I31" s="77">
        <v>1</v>
      </c>
      <c r="J31" s="78">
        <v>9.45</v>
      </c>
      <c r="K31" s="78">
        <v>9.45</v>
      </c>
    </row>
    <row r="32" spans="4:11">
      <c r="D32" s="75">
        <v>46198</v>
      </c>
      <c r="E32" s="76">
        <v>1615200</v>
      </c>
      <c r="F32" s="76" t="s">
        <v>15</v>
      </c>
      <c r="G32" s="77">
        <v>20345546</v>
      </c>
      <c r="H32" s="76" t="s">
        <v>424</v>
      </c>
      <c r="I32" s="77">
        <v>2</v>
      </c>
      <c r="J32" s="78">
        <v>11.55</v>
      </c>
      <c r="K32" s="78">
        <v>23.1</v>
      </c>
    </row>
    <row r="33" spans="4:11">
      <c r="D33" s="75">
        <v>46203</v>
      </c>
      <c r="E33" s="76">
        <v>1616413</v>
      </c>
      <c r="F33" s="76" t="s">
        <v>15</v>
      </c>
      <c r="G33" s="77">
        <v>20359452</v>
      </c>
      <c r="H33" s="76" t="s">
        <v>421</v>
      </c>
      <c r="I33" s="77">
        <v>2</v>
      </c>
      <c r="J33" s="78">
        <v>5.6</v>
      </c>
      <c r="K33" s="78">
        <v>11.2</v>
      </c>
    </row>
    <row r="34" spans="4:11">
      <c r="D34" s="75">
        <v>46203</v>
      </c>
      <c r="E34" s="76">
        <v>1616413</v>
      </c>
      <c r="F34" s="76" t="s">
        <v>15</v>
      </c>
      <c r="G34" s="77">
        <v>20008322</v>
      </c>
      <c r="H34" s="76" t="s">
        <v>17</v>
      </c>
      <c r="I34" s="77">
        <v>3</v>
      </c>
      <c r="J34" s="78">
        <v>5.6</v>
      </c>
      <c r="K34" s="78">
        <v>16.8</v>
      </c>
    </row>
    <row r="35" spans="4:11">
      <c r="D35" s="75">
        <v>46203</v>
      </c>
      <c r="E35" s="76">
        <v>1616413</v>
      </c>
      <c r="F35" s="76" t="s">
        <v>15</v>
      </c>
      <c r="G35" s="77">
        <v>20363011</v>
      </c>
      <c r="H35" s="76" t="s">
        <v>423</v>
      </c>
      <c r="I35" s="77">
        <v>2</v>
      </c>
      <c r="J35" s="78">
        <v>9.45</v>
      </c>
      <c r="K35" s="78">
        <v>18.9</v>
      </c>
    </row>
    <row r="36" spans="4:11">
      <c r="D36" s="75">
        <v>46203</v>
      </c>
      <c r="E36" s="76">
        <v>1616413</v>
      </c>
      <c r="F36" s="76" t="s">
        <v>15</v>
      </c>
      <c r="G36" s="77">
        <v>20345546</v>
      </c>
      <c r="H36" s="76" t="s">
        <v>424</v>
      </c>
      <c r="I36" s="77">
        <v>2</v>
      </c>
      <c r="J36" s="78">
        <v>11.55</v>
      </c>
      <c r="K36" s="78">
        <v>23.1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9:25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view="pageBreakPreview" zoomScaleNormal="100" workbookViewId="0">
      <selection activeCell="M9" sqref="M9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6.625" style="1" customWidth="1"/>
    <col min="8" max="8" width="10.5" style="1" customWidth="1"/>
    <col min="9" max="9" width="27.625" style="1" customWidth="1"/>
    <col min="10" max="10" width="9" style="1" customWidth="1"/>
    <col min="11" max="11" width="10.4" style="1" customWidth="1"/>
    <col min="12" max="12" width="11.8416666666667" style="1" customWidth="1"/>
    <col min="13" max="16370" width="9" style="1"/>
  </cols>
  <sheetData>
    <row r="1" s="1" customFormat="1" spans="1:12">
      <c r="B1" s="2" t="s">
        <v>427</v>
      </c>
    </row>
    <row r="2" s="1" customFormat="1" ht="23.05" customHeight="1"/>
    <row r="3" s="1" customFormat="1" ht="2" customHeight="1"/>
    <row r="4" s="1" customFormat="1" ht="15.2" customHeight="1" spans="1:12">
      <c r="B4" s="3" t="s">
        <v>428</v>
      </c>
    </row>
    <row r="5" s="1" customFormat="1"/>
    <row r="6" s="1" customFormat="1" ht="2.05" customHeight="1"/>
    <row r="7" s="1" customFormat="1" ht="1.9" customHeight="1" spans="1:12">
      <c r="A7" s="4" t="s">
        <v>2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</row>
    <row r="8" s="1" customFormat="1" spans="1:12">
      <c r="A8" s="9" t="s">
        <v>2</v>
      </c>
      <c r="C8" s="9" t="s">
        <v>2</v>
      </c>
      <c r="D8" s="9" t="s">
        <v>4</v>
      </c>
      <c r="E8" s="9" t="s">
        <v>5</v>
      </c>
      <c r="F8" s="9" t="s">
        <v>429</v>
      </c>
      <c r="G8" s="9" t="s">
        <v>6</v>
      </c>
      <c r="H8" s="9" t="s">
        <v>430</v>
      </c>
      <c r="I8" s="9" t="s">
        <v>8</v>
      </c>
      <c r="J8" s="39" t="s">
        <v>431</v>
      </c>
      <c r="K8" s="39" t="s">
        <v>10</v>
      </c>
      <c r="L8" s="39" t="s">
        <v>432</v>
      </c>
    </row>
    <row r="9" s="1" customFormat="1" ht="15" spans="1:12">
      <c r="A9" s="40" t="s">
        <v>2</v>
      </c>
      <c r="B9" s="6" t="s">
        <v>2</v>
      </c>
      <c r="C9" s="40" t="s">
        <v>2</v>
      </c>
      <c r="D9" s="40" t="s">
        <v>433</v>
      </c>
      <c r="E9" s="6" t="s">
        <v>2</v>
      </c>
      <c r="F9" s="6" t="s">
        <v>2</v>
      </c>
      <c r="G9" s="6" t="s">
        <v>2</v>
      </c>
      <c r="H9" s="6" t="s">
        <v>2</v>
      </c>
      <c r="I9" s="40" t="s">
        <v>2</v>
      </c>
      <c r="J9" s="41">
        <v>66</v>
      </c>
      <c r="K9" s="40" t="s">
        <v>2</v>
      </c>
      <c r="L9" s="42">
        <f>L10</f>
        <v>2356.9</v>
      </c>
    </row>
    <row r="10" s="1" customFormat="1" ht="14.25" spans="1:12">
      <c r="A10" s="9" t="s">
        <v>2</v>
      </c>
      <c r="C10" s="11" t="s">
        <v>2</v>
      </c>
      <c r="D10" s="11" t="s">
        <v>3</v>
      </c>
      <c r="E10" s="6" t="s">
        <v>2</v>
      </c>
      <c r="F10" s="6" t="s">
        <v>2</v>
      </c>
      <c r="G10" s="6" t="s">
        <v>2</v>
      </c>
      <c r="H10" s="6" t="s">
        <v>2</v>
      </c>
      <c r="I10" s="11" t="s">
        <v>2</v>
      </c>
      <c r="J10" s="63">
        <v>66</v>
      </c>
      <c r="K10" s="11" t="s">
        <v>2</v>
      </c>
      <c r="L10" s="64">
        <f>SUM(L11:L29)</f>
        <v>2356.9</v>
      </c>
    </row>
    <row r="11" s="1" customFormat="1" spans="1:12">
      <c r="D11" s="43">
        <v>46189</v>
      </c>
      <c r="E11" s="16">
        <v>1612746</v>
      </c>
      <c r="F11" s="16" t="s">
        <v>434</v>
      </c>
      <c r="G11" s="20" t="s">
        <v>40</v>
      </c>
      <c r="H11" s="16">
        <v>20416378</v>
      </c>
      <c r="I11" s="20" t="s">
        <v>435</v>
      </c>
      <c r="J11" s="44">
        <v>3</v>
      </c>
      <c r="K11" s="45">
        <v>61.6</v>
      </c>
      <c r="L11" s="45">
        <f t="shared" ref="L11:L31" si="0">K11*J11</f>
        <v>184.8</v>
      </c>
    </row>
    <row r="12" s="1" customFormat="1" spans="1:12">
      <c r="D12" s="43">
        <v>46189</v>
      </c>
      <c r="E12" s="16">
        <v>1612746</v>
      </c>
      <c r="F12" s="16" t="s">
        <v>434</v>
      </c>
      <c r="G12" s="20" t="s">
        <v>40</v>
      </c>
      <c r="H12" s="16">
        <v>20416379</v>
      </c>
      <c r="I12" s="20" t="s">
        <v>436</v>
      </c>
      <c r="J12" s="44">
        <v>7</v>
      </c>
      <c r="K12" s="45">
        <v>24.5</v>
      </c>
      <c r="L12" s="45">
        <f t="shared" si="0"/>
        <v>171.5</v>
      </c>
    </row>
    <row r="13" s="1" customFormat="1" spans="1:12">
      <c r="D13" s="43">
        <v>46189</v>
      </c>
      <c r="E13" s="16">
        <v>1612746</v>
      </c>
      <c r="F13" s="16" t="s">
        <v>434</v>
      </c>
      <c r="G13" s="20" t="s">
        <v>40</v>
      </c>
      <c r="H13" s="16">
        <v>20419614</v>
      </c>
      <c r="I13" s="20" t="s">
        <v>437</v>
      </c>
      <c r="J13" s="44">
        <v>1</v>
      </c>
      <c r="K13" s="45">
        <v>92.4</v>
      </c>
      <c r="L13" s="45">
        <f t="shared" si="0"/>
        <v>92.4</v>
      </c>
    </row>
    <row r="14" s="1" customFormat="1" spans="1:12">
      <c r="D14" s="43">
        <v>46189</v>
      </c>
      <c r="E14" s="16">
        <v>1612749</v>
      </c>
      <c r="F14" s="16" t="s">
        <v>434</v>
      </c>
      <c r="G14" s="20" t="s">
        <v>15</v>
      </c>
      <c r="H14" s="16">
        <v>20419615</v>
      </c>
      <c r="I14" s="20" t="s">
        <v>438</v>
      </c>
      <c r="J14" s="44">
        <v>4</v>
      </c>
      <c r="K14" s="45">
        <v>15.4</v>
      </c>
      <c r="L14" s="45">
        <f t="shared" si="0"/>
        <v>61.6</v>
      </c>
    </row>
    <row r="15" s="1" customFormat="1" spans="1:12">
      <c r="D15" s="43">
        <v>46189</v>
      </c>
      <c r="E15" s="16">
        <v>1612749</v>
      </c>
      <c r="F15" s="16" t="s">
        <v>434</v>
      </c>
      <c r="G15" s="20" t="s">
        <v>27</v>
      </c>
      <c r="H15" s="16">
        <v>20421518</v>
      </c>
      <c r="I15" s="20" t="s">
        <v>439</v>
      </c>
      <c r="J15" s="44">
        <v>1</v>
      </c>
      <c r="K15" s="45">
        <v>11.55</v>
      </c>
      <c r="L15" s="45">
        <f t="shared" si="0"/>
        <v>11.55</v>
      </c>
    </row>
    <row r="16" s="1" customFormat="1" ht="24.75" spans="1:12">
      <c r="D16" s="43">
        <v>46189</v>
      </c>
      <c r="E16" s="16">
        <v>1612749</v>
      </c>
      <c r="F16" s="16" t="s">
        <v>440</v>
      </c>
      <c r="G16" s="20" t="s">
        <v>238</v>
      </c>
      <c r="H16" s="16">
        <v>20430035</v>
      </c>
      <c r="I16" s="20" t="s">
        <v>441</v>
      </c>
      <c r="J16" s="44">
        <v>1</v>
      </c>
      <c r="K16" s="45">
        <v>119.35</v>
      </c>
      <c r="L16" s="45">
        <f t="shared" si="0"/>
        <v>119.35</v>
      </c>
    </row>
    <row r="17" s="1" customFormat="1" ht="24.75" spans="4:12">
      <c r="D17" s="43">
        <v>46189</v>
      </c>
      <c r="E17" s="16">
        <v>1612749</v>
      </c>
      <c r="F17" s="16" t="s">
        <v>440</v>
      </c>
      <c r="G17" s="20" t="s">
        <v>238</v>
      </c>
      <c r="H17" s="16">
        <v>20430036</v>
      </c>
      <c r="I17" s="20" t="s">
        <v>442</v>
      </c>
      <c r="J17" s="44">
        <v>1</v>
      </c>
      <c r="K17" s="45">
        <v>100.1</v>
      </c>
      <c r="L17" s="45">
        <f t="shared" si="0"/>
        <v>100.1</v>
      </c>
    </row>
    <row r="18" s="1" customFormat="1" ht="24.75" spans="4:12">
      <c r="D18" s="43">
        <v>46189</v>
      </c>
      <c r="E18" s="16">
        <v>1612749</v>
      </c>
      <c r="F18" s="16" t="s">
        <v>440</v>
      </c>
      <c r="G18" s="20" t="s">
        <v>238</v>
      </c>
      <c r="H18" s="16">
        <v>20430037</v>
      </c>
      <c r="I18" s="20" t="s">
        <v>443</v>
      </c>
      <c r="J18" s="44">
        <v>1</v>
      </c>
      <c r="K18" s="45">
        <v>138.6</v>
      </c>
      <c r="L18" s="45">
        <f t="shared" si="0"/>
        <v>138.6</v>
      </c>
    </row>
    <row r="19" s="1" customFormat="1" ht="24.75" spans="4:12">
      <c r="D19" s="43">
        <v>46189</v>
      </c>
      <c r="E19" s="16">
        <v>1612749</v>
      </c>
      <c r="F19" s="16" t="s">
        <v>440</v>
      </c>
      <c r="G19" s="20" t="s">
        <v>238</v>
      </c>
      <c r="H19" s="16">
        <v>20430038</v>
      </c>
      <c r="I19" s="20" t="s">
        <v>444</v>
      </c>
      <c r="J19" s="44">
        <v>1</v>
      </c>
      <c r="K19" s="45">
        <v>103.95</v>
      </c>
      <c r="L19" s="45">
        <f t="shared" si="0"/>
        <v>103.95</v>
      </c>
    </row>
    <row r="20" s="1" customFormat="1" spans="4:12">
      <c r="D20" s="43">
        <v>46197</v>
      </c>
      <c r="E20" s="16">
        <v>1614586</v>
      </c>
      <c r="F20" s="16" t="s">
        <v>434</v>
      </c>
      <c r="G20" s="20" t="s">
        <v>15</v>
      </c>
      <c r="H20" s="16">
        <v>20416380</v>
      </c>
      <c r="I20" s="20" t="s">
        <v>445</v>
      </c>
      <c r="J20" s="44">
        <v>6</v>
      </c>
      <c r="K20" s="45">
        <v>23.1</v>
      </c>
      <c r="L20" s="45">
        <f t="shared" si="0"/>
        <v>138.6</v>
      </c>
    </row>
    <row r="21" s="1" customFormat="1" ht="24.75" spans="4:12">
      <c r="D21" s="43">
        <v>46197</v>
      </c>
      <c r="E21" s="16">
        <v>1614586</v>
      </c>
      <c r="F21" s="16" t="s">
        <v>440</v>
      </c>
      <c r="G21" s="20" t="s">
        <v>238</v>
      </c>
      <c r="H21" s="16">
        <v>20430842</v>
      </c>
      <c r="I21" s="20" t="s">
        <v>446</v>
      </c>
      <c r="J21" s="44">
        <v>1</v>
      </c>
      <c r="K21" s="45">
        <v>50.05</v>
      </c>
      <c r="L21" s="45">
        <f t="shared" si="0"/>
        <v>50.05</v>
      </c>
    </row>
    <row r="22" s="1" customFormat="1" ht="24.75" spans="4:12">
      <c r="D22" s="43">
        <v>46197</v>
      </c>
      <c r="E22" s="16">
        <v>1614586</v>
      </c>
      <c r="F22" s="16" t="s">
        <v>440</v>
      </c>
      <c r="G22" s="20" t="s">
        <v>238</v>
      </c>
      <c r="H22" s="16">
        <v>20430843</v>
      </c>
      <c r="I22" s="20" t="s">
        <v>447</v>
      </c>
      <c r="J22" s="44">
        <v>1</v>
      </c>
      <c r="K22" s="45">
        <v>242.55</v>
      </c>
      <c r="L22" s="45">
        <f t="shared" si="0"/>
        <v>242.55</v>
      </c>
    </row>
    <row r="23" s="1" customFormat="1" ht="24.75" spans="4:12">
      <c r="D23" s="43">
        <v>46197</v>
      </c>
      <c r="E23" s="16">
        <v>1614586</v>
      </c>
      <c r="F23" s="16" t="s">
        <v>440</v>
      </c>
      <c r="G23" s="20" t="s">
        <v>238</v>
      </c>
      <c r="H23" s="16">
        <v>20430844</v>
      </c>
      <c r="I23" s="20" t="s">
        <v>448</v>
      </c>
      <c r="J23" s="44">
        <v>1</v>
      </c>
      <c r="K23" s="45">
        <v>73.15</v>
      </c>
      <c r="L23" s="45">
        <f t="shared" si="0"/>
        <v>73.15</v>
      </c>
    </row>
    <row r="24" s="1" customFormat="1" ht="24.75" spans="4:12">
      <c r="D24" s="43">
        <v>46197</v>
      </c>
      <c r="E24" s="16">
        <v>1614586</v>
      </c>
      <c r="F24" s="16" t="s">
        <v>440</v>
      </c>
      <c r="G24" s="20" t="s">
        <v>238</v>
      </c>
      <c r="H24" s="16">
        <v>20430845</v>
      </c>
      <c r="I24" s="20" t="s">
        <v>449</v>
      </c>
      <c r="J24" s="44">
        <v>1</v>
      </c>
      <c r="K24" s="45">
        <v>173.25</v>
      </c>
      <c r="L24" s="45">
        <f t="shared" si="0"/>
        <v>173.25</v>
      </c>
    </row>
    <row r="25" s="1" customFormat="1" ht="24.75" spans="4:12">
      <c r="D25" s="43">
        <v>46197</v>
      </c>
      <c r="E25" s="16">
        <v>1614586</v>
      </c>
      <c r="F25" s="16" t="s">
        <v>440</v>
      </c>
      <c r="G25" s="20" t="s">
        <v>238</v>
      </c>
      <c r="H25" s="16">
        <v>20430846</v>
      </c>
      <c r="I25" s="20" t="s">
        <v>450</v>
      </c>
      <c r="J25" s="44">
        <v>1</v>
      </c>
      <c r="K25" s="45">
        <v>127.05</v>
      </c>
      <c r="L25" s="45">
        <f t="shared" si="0"/>
        <v>127.05</v>
      </c>
    </row>
    <row r="26" s="1" customFormat="1" spans="4:12">
      <c r="D26" s="43">
        <v>46197</v>
      </c>
      <c r="E26" s="16">
        <v>1614606</v>
      </c>
      <c r="F26" s="16" t="s">
        <v>434</v>
      </c>
      <c r="G26" s="20" t="s">
        <v>40</v>
      </c>
      <c r="H26" s="16">
        <v>20416378</v>
      </c>
      <c r="I26" s="20" t="s">
        <v>435</v>
      </c>
      <c r="J26" s="44">
        <v>2</v>
      </c>
      <c r="K26" s="45">
        <v>61.6</v>
      </c>
      <c r="L26" s="45">
        <f t="shared" si="0"/>
        <v>123.2</v>
      </c>
    </row>
    <row r="27" s="1" customFormat="1" spans="4:12">
      <c r="D27" s="43">
        <v>46197</v>
      </c>
      <c r="E27" s="16">
        <v>1614606</v>
      </c>
      <c r="F27" s="16" t="s">
        <v>434</v>
      </c>
      <c r="G27" s="20" t="s">
        <v>40</v>
      </c>
      <c r="H27" s="16">
        <v>20416379</v>
      </c>
      <c r="I27" s="20" t="s">
        <v>436</v>
      </c>
      <c r="J27" s="44">
        <v>10</v>
      </c>
      <c r="K27" s="45">
        <v>24.5</v>
      </c>
      <c r="L27" s="45">
        <f t="shared" si="0"/>
        <v>245</v>
      </c>
    </row>
    <row r="28" s="1" customFormat="1" spans="4:12">
      <c r="D28" s="43">
        <v>46197</v>
      </c>
      <c r="E28" s="16">
        <v>1614606</v>
      </c>
      <c r="F28" s="16" t="s">
        <v>434</v>
      </c>
      <c r="G28" s="20" t="s">
        <v>40</v>
      </c>
      <c r="H28" s="16">
        <v>20426213</v>
      </c>
      <c r="I28" s="20" t="s">
        <v>451</v>
      </c>
      <c r="J28" s="44">
        <v>2</v>
      </c>
      <c r="K28" s="45">
        <v>61.6</v>
      </c>
      <c r="L28" s="45">
        <f t="shared" si="0"/>
        <v>123.2</v>
      </c>
    </row>
    <row r="29" s="1" customFormat="1" spans="4:12">
      <c r="D29" s="43">
        <v>46197</v>
      </c>
      <c r="E29" s="16">
        <v>1614606</v>
      </c>
      <c r="F29" s="16" t="s">
        <v>434</v>
      </c>
      <c r="G29" s="20" t="s">
        <v>40</v>
      </c>
      <c r="H29" s="16">
        <v>20419614</v>
      </c>
      <c r="I29" s="20" t="s">
        <v>452</v>
      </c>
      <c r="J29" s="44">
        <v>1</v>
      </c>
      <c r="K29" s="45">
        <v>77</v>
      </c>
      <c r="L29" s="45">
        <f t="shared" si="0"/>
        <v>77</v>
      </c>
    </row>
    <row r="31" ht="15" spans="4:12">
      <c r="D31" s="49" t="s">
        <v>453</v>
      </c>
      <c r="E31" s="6" t="s">
        <v>2</v>
      </c>
      <c r="F31" s="6" t="s">
        <v>2</v>
      </c>
      <c r="G31" s="6" t="s">
        <v>2</v>
      </c>
      <c r="H31" s="6" t="s">
        <v>2</v>
      </c>
      <c r="I31" s="40" t="s">
        <v>2</v>
      </c>
      <c r="J31" s="41">
        <v>9</v>
      </c>
      <c r="K31" s="40" t="s">
        <v>2</v>
      </c>
      <c r="L31" s="42">
        <f>L32</f>
        <v>530</v>
      </c>
    </row>
    <row r="32" ht="14.25" spans="4:12">
      <c r="D32" s="11" t="s">
        <v>454</v>
      </c>
      <c r="E32" s="6" t="s">
        <v>2</v>
      </c>
      <c r="F32" s="6" t="s">
        <v>2</v>
      </c>
      <c r="G32" s="6" t="s">
        <v>2</v>
      </c>
      <c r="H32" s="6" t="s">
        <v>2</v>
      </c>
      <c r="I32" s="11" t="s">
        <v>2</v>
      </c>
      <c r="J32" s="63">
        <v>9</v>
      </c>
      <c r="K32" s="11" t="s">
        <v>2</v>
      </c>
      <c r="L32" s="64">
        <f>L33+L34</f>
        <v>530</v>
      </c>
    </row>
    <row r="33" ht="24.75" spans="4:12">
      <c r="D33" s="43">
        <v>46194</v>
      </c>
      <c r="E33" s="16">
        <v>1613858</v>
      </c>
      <c r="F33" s="16" t="s">
        <v>440</v>
      </c>
      <c r="G33" s="20" t="s">
        <v>238</v>
      </c>
      <c r="H33" s="16">
        <v>20430448</v>
      </c>
      <c r="I33" s="20" t="s">
        <v>455</v>
      </c>
      <c r="J33" s="44">
        <v>1</v>
      </c>
      <c r="K33" s="45">
        <v>77</v>
      </c>
      <c r="L33" s="45">
        <v>77</v>
      </c>
    </row>
    <row r="34" ht="24.75" spans="4:12">
      <c r="D34" s="43">
        <v>46194</v>
      </c>
      <c r="E34" s="16">
        <v>1613858</v>
      </c>
      <c r="F34" s="16" t="s">
        <v>440</v>
      </c>
      <c r="G34" s="20" t="s">
        <v>292</v>
      </c>
      <c r="H34" s="16">
        <v>20430449</v>
      </c>
      <c r="I34" s="20" t="s">
        <v>456</v>
      </c>
      <c r="J34" s="44">
        <v>1</v>
      </c>
      <c r="K34" s="45">
        <v>453</v>
      </c>
      <c r="L34" s="45">
        <v>453</v>
      </c>
    </row>
    <row r="35" spans="4:12">
      <c r="D35"/>
      <c r="E35"/>
      <c r="F35"/>
      <c r="G35"/>
      <c r="H35"/>
      <c r="I35"/>
      <c r="J35"/>
      <c r="K35"/>
      <c r="L35"/>
    </row>
    <row r="36" spans="4:12">
      <c r="D36"/>
      <c r="E36"/>
      <c r="F36"/>
      <c r="G36"/>
      <c r="H36"/>
      <c r="I36"/>
      <c r="J36"/>
      <c r="K36"/>
      <c r="L36"/>
    </row>
    <row r="37" spans="4:12">
      <c r="D37"/>
      <c r="E37"/>
      <c r="F37"/>
      <c r="G37"/>
      <c r="H37"/>
      <c r="I37"/>
      <c r="J37"/>
      <c r="K37"/>
      <c r="L37"/>
    </row>
    <row r="38" spans="4:12">
      <c r="D38"/>
      <c r="E38"/>
      <c r="F38"/>
      <c r="G38"/>
      <c r="H38"/>
      <c r="I38"/>
      <c r="J38"/>
      <c r="K38"/>
      <c r="L38"/>
    </row>
    <row r="39" spans="4:12">
      <c r="D39"/>
      <c r="E39"/>
      <c r="F39"/>
      <c r="G39"/>
      <c r="H39"/>
      <c r="I39"/>
      <c r="J39"/>
      <c r="K39"/>
      <c r="L39"/>
    </row>
    <row r="40" spans="4:12">
      <c r="D40"/>
      <c r="E40"/>
      <c r="F40"/>
      <c r="G40"/>
      <c r="H40"/>
      <c r="I40"/>
      <c r="J40"/>
      <c r="K40"/>
      <c r="L40"/>
    </row>
    <row r="41" spans="4:12">
      <c r="D41"/>
      <c r="E41"/>
      <c r="F41"/>
      <c r="G41"/>
      <c r="H41"/>
      <c r="I41"/>
      <c r="J41"/>
      <c r="K41"/>
      <c r="L41"/>
    </row>
  </sheetData>
  <autoFilter xmlns:etc="http://www.wps.cn/officeDocument/2017/etCustomData" ref="A8:L29" etc:filterBottomFollowUsedRange="0">
    <extLst/>
  </autoFilter>
  <mergeCells count="10">
    <mergeCell ref="A8:B8"/>
    <mergeCell ref="A9:B9"/>
    <mergeCell ref="D9:H9"/>
    <mergeCell ref="D10:H10"/>
    <mergeCell ref="D31:H31"/>
    <mergeCell ref="D32:H32"/>
    <mergeCell ref="C11:C29"/>
    <mergeCell ref="B1:I2"/>
    <mergeCell ref="B4:I5"/>
    <mergeCell ref="A10:B29"/>
  </mergeCells>
  <pageMargins left="0.25" right="0.25" top="0.75" bottom="0.75" header="0.298611111111111" footer="0.298611111111111"/>
  <pageSetup paperSize="9" scale="85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"/>
  <sheetViews>
    <sheetView view="pageBreakPreview" zoomScaleNormal="100" workbookViewId="0">
      <selection activeCell="I3" sqref="I3"/>
    </sheetView>
  </sheetViews>
  <sheetFormatPr defaultColWidth="9" defaultRowHeight="13.5"/>
  <cols>
    <col min="2" max="2" width="8.125" customWidth="1"/>
    <col min="3" max="3" width="16.25" customWidth="1"/>
    <col min="4" max="4" width="9.75" customWidth="1"/>
    <col min="5" max="5" width="24.375" customWidth="1"/>
    <col min="6" max="6" width="8.5" customWidth="1"/>
    <col min="7" max="7" width="11.125" customWidth="1"/>
    <col min="8" max="8" width="12.25" customWidth="1"/>
    <col min="10" max="10" width="9.375" style="50"/>
    <col min="16379" max="16382" width="9" style="36"/>
  </cols>
  <sheetData>
    <row r="1" customFormat="1" ht="33" customHeight="1" spans="1:10">
      <c r="A1" s="37" t="s">
        <v>457</v>
      </c>
      <c r="B1" s="37"/>
      <c r="C1" s="37"/>
      <c r="D1" s="37"/>
      <c r="E1" s="37"/>
      <c r="F1" s="37"/>
      <c r="G1" s="37"/>
      <c r="H1" s="51"/>
      <c r="I1">
        <v>3395</v>
      </c>
      <c r="J1" s="50">
        <v>3395</v>
      </c>
    </row>
    <row r="2" customFormat="1" spans="1:10">
      <c r="A2" s="38" t="s">
        <v>458</v>
      </c>
      <c r="B2" s="38"/>
      <c r="C2" s="38"/>
      <c r="D2" s="38"/>
      <c r="E2" s="38"/>
      <c r="F2" s="38"/>
      <c r="G2" s="38"/>
      <c r="H2" s="52"/>
      <c r="I2">
        <f>I1*30%</f>
        <v>1018.5</v>
      </c>
      <c r="J2" s="50">
        <v>1967.9</v>
      </c>
    </row>
    <row r="3" customFormat="1" spans="1:10">
      <c r="A3" s="38"/>
      <c r="B3" s="38"/>
      <c r="C3" s="38"/>
      <c r="D3" s="38"/>
      <c r="E3" s="38"/>
      <c r="F3" s="38"/>
      <c r="G3" s="38"/>
      <c r="H3" s="52"/>
      <c r="I3">
        <f>I1+I2</f>
        <v>4413.5</v>
      </c>
      <c r="J3" s="53">
        <f>J1+J2</f>
        <v>5362.9</v>
      </c>
    </row>
    <row r="4" customFormat="1" customHeight="1" spans="1:10">
      <c r="A4" s="54" t="s">
        <v>4</v>
      </c>
      <c r="B4" s="54" t="s">
        <v>5</v>
      </c>
      <c r="C4" s="54" t="s">
        <v>6</v>
      </c>
      <c r="D4" s="54" t="s">
        <v>430</v>
      </c>
      <c r="E4" s="54" t="s">
        <v>8</v>
      </c>
      <c r="F4" s="55" t="s">
        <v>431</v>
      </c>
      <c r="G4" s="54" t="s">
        <v>10</v>
      </c>
      <c r="H4" s="54" t="s">
        <v>432</v>
      </c>
      <c r="J4" s="50">
        <f>J3*30%</f>
        <v>1608.87</v>
      </c>
    </row>
    <row r="5" spans="1:10">
      <c r="A5" s="56">
        <v>46175</v>
      </c>
      <c r="B5" s="57">
        <v>1608678</v>
      </c>
      <c r="C5" s="57" t="s">
        <v>36</v>
      </c>
      <c r="D5" s="54">
        <v>20013604</v>
      </c>
      <c r="E5" s="57" t="s">
        <v>37</v>
      </c>
      <c r="F5" s="58">
        <v>4</v>
      </c>
      <c r="G5" s="59">
        <v>65.45</v>
      </c>
      <c r="H5" s="59">
        <f t="shared" ref="H5:H8" si="0">G5*F5</f>
        <v>261.8</v>
      </c>
      <c r="J5" s="50">
        <f>J3*25%</f>
        <v>1340.725</v>
      </c>
    </row>
    <row r="6" spans="1:10">
      <c r="A6" s="56">
        <v>46175</v>
      </c>
      <c r="B6" s="57">
        <v>1608678</v>
      </c>
      <c r="C6" s="57" t="s">
        <v>15</v>
      </c>
      <c r="D6" s="54">
        <v>20006827</v>
      </c>
      <c r="E6" s="57" t="s">
        <v>61</v>
      </c>
      <c r="F6" s="58">
        <v>1</v>
      </c>
      <c r="G6" s="59">
        <v>7.7</v>
      </c>
      <c r="H6" s="59">
        <f t="shared" si="0"/>
        <v>7.7</v>
      </c>
      <c r="J6" s="53">
        <f>J4-J5</f>
        <v>268.145</v>
      </c>
    </row>
    <row r="7" spans="1:10">
      <c r="A7" s="56">
        <v>46175</v>
      </c>
      <c r="B7" s="57">
        <v>1608678</v>
      </c>
      <c r="C7" s="57" t="s">
        <v>15</v>
      </c>
      <c r="D7" s="54">
        <v>20006817</v>
      </c>
      <c r="E7" s="57" t="s">
        <v>38</v>
      </c>
      <c r="F7" s="58">
        <v>4</v>
      </c>
      <c r="G7" s="59">
        <v>5.6</v>
      </c>
      <c r="H7" s="59">
        <f t="shared" si="0"/>
        <v>22.4</v>
      </c>
    </row>
    <row r="8" spans="1:10">
      <c r="A8" s="56">
        <v>46175</v>
      </c>
      <c r="B8" s="57">
        <v>1608678</v>
      </c>
      <c r="C8" s="57" t="s">
        <v>15</v>
      </c>
      <c r="D8" s="54">
        <v>20006826</v>
      </c>
      <c r="E8" s="57" t="s">
        <v>39</v>
      </c>
      <c r="F8" s="58">
        <v>2</v>
      </c>
      <c r="G8" s="59">
        <v>7.7</v>
      </c>
      <c r="H8" s="59">
        <f t="shared" si="0"/>
        <v>15.4</v>
      </c>
    </row>
    <row r="9" spans="1:10">
      <c r="A9" s="60" t="s">
        <v>432</v>
      </c>
      <c r="B9" s="61"/>
      <c r="C9" s="61"/>
      <c r="D9" s="61"/>
      <c r="E9" s="61"/>
      <c r="F9" s="61"/>
      <c r="G9" s="62"/>
      <c r="H9" s="59">
        <f>H5+H6+H7+H8</f>
        <v>307.3</v>
      </c>
    </row>
    <row r="12" spans="1:10">
      <c r="A12" s="38" t="s">
        <v>459</v>
      </c>
      <c r="B12" s="38"/>
      <c r="C12" s="38"/>
      <c r="D12" s="38"/>
      <c r="E12" s="38"/>
      <c r="F12" s="38"/>
      <c r="G12" s="38"/>
      <c r="H12" s="52"/>
    </row>
    <row r="13" spans="1:10">
      <c r="A13" s="38"/>
      <c r="B13" s="38"/>
      <c r="C13" s="38"/>
      <c r="D13" s="38"/>
      <c r="E13" s="38"/>
      <c r="F13" s="38"/>
      <c r="G13" s="38"/>
      <c r="H13" s="52"/>
    </row>
    <row r="14" spans="1:10">
      <c r="A14" s="54" t="s">
        <v>4</v>
      </c>
      <c r="B14" s="54" t="s">
        <v>5</v>
      </c>
      <c r="C14" s="54" t="s">
        <v>6</v>
      </c>
      <c r="D14" s="54" t="s">
        <v>430</v>
      </c>
      <c r="E14" s="54" t="s">
        <v>8</v>
      </c>
      <c r="F14" s="55" t="s">
        <v>431</v>
      </c>
      <c r="G14" s="54" t="s">
        <v>10</v>
      </c>
      <c r="H14" s="54" t="s">
        <v>432</v>
      </c>
    </row>
    <row r="15" spans="1:10">
      <c r="A15" s="56">
        <v>46177</v>
      </c>
      <c r="B15" s="57">
        <v>1609188</v>
      </c>
      <c r="C15" s="57" t="s">
        <v>40</v>
      </c>
      <c r="D15" s="54">
        <v>20365916</v>
      </c>
      <c r="E15" s="57" t="s">
        <v>187</v>
      </c>
      <c r="F15" s="58">
        <v>1</v>
      </c>
      <c r="G15" s="59">
        <v>61.6</v>
      </c>
      <c r="H15" s="59">
        <f t="shared" ref="H15:H18" si="1">G15*F15</f>
        <v>61.6</v>
      </c>
    </row>
    <row r="16" spans="1:10">
      <c r="A16" s="56">
        <v>46177</v>
      </c>
      <c r="B16" s="57">
        <v>1609188</v>
      </c>
      <c r="C16" s="57" t="s">
        <v>40</v>
      </c>
      <c r="D16" s="54">
        <v>20008623</v>
      </c>
      <c r="E16" s="57" t="s">
        <v>188</v>
      </c>
      <c r="F16" s="58">
        <v>1</v>
      </c>
      <c r="G16" s="59">
        <v>15.4</v>
      </c>
      <c r="H16" s="59">
        <f t="shared" si="1"/>
        <v>15.4</v>
      </c>
    </row>
    <row r="17" spans="1:9">
      <c r="A17" s="56">
        <v>46177</v>
      </c>
      <c r="B17" s="57">
        <v>1609188</v>
      </c>
      <c r="C17" s="57" t="s">
        <v>40</v>
      </c>
      <c r="D17" s="54">
        <v>20007633</v>
      </c>
      <c r="E17" s="57" t="s">
        <v>74</v>
      </c>
      <c r="F17" s="58">
        <v>1</v>
      </c>
      <c r="G17" s="59">
        <v>24.5</v>
      </c>
      <c r="H17" s="59">
        <f t="shared" si="1"/>
        <v>24.5</v>
      </c>
    </row>
    <row r="18" spans="1:9">
      <c r="A18" s="56">
        <v>46177</v>
      </c>
      <c r="B18" s="57">
        <v>1609188</v>
      </c>
      <c r="C18" s="57" t="s">
        <v>42</v>
      </c>
      <c r="D18" s="54">
        <v>20390423</v>
      </c>
      <c r="E18" s="57" t="s">
        <v>75</v>
      </c>
      <c r="F18" s="58">
        <v>1</v>
      </c>
      <c r="G18" s="59">
        <v>19.6</v>
      </c>
      <c r="H18" s="59">
        <f t="shared" si="1"/>
        <v>19.6</v>
      </c>
    </row>
    <row r="19" spans="1:9">
      <c r="A19" s="60" t="s">
        <v>432</v>
      </c>
      <c r="B19" s="61"/>
      <c r="C19" s="61"/>
      <c r="D19" s="61"/>
      <c r="E19" s="61"/>
      <c r="F19" s="61"/>
      <c r="G19" s="62"/>
      <c r="H19" s="59">
        <f>SUM(H15:H18)</f>
        <v>121.1</v>
      </c>
    </row>
    <row r="22" spans="1:9">
      <c r="A22" s="38" t="s">
        <v>460</v>
      </c>
      <c r="B22" s="38"/>
      <c r="C22" s="38"/>
      <c r="D22" s="38"/>
      <c r="E22" s="38"/>
      <c r="F22" s="38"/>
      <c r="G22" s="38"/>
      <c r="H22" s="52"/>
    </row>
    <row r="23" spans="1:9">
      <c r="A23" s="38"/>
      <c r="B23" s="38"/>
      <c r="C23" s="38"/>
      <c r="D23" s="38"/>
      <c r="E23" s="38"/>
      <c r="F23" s="38"/>
      <c r="G23" s="38"/>
      <c r="H23" s="52"/>
    </row>
    <row r="24" spans="1:9">
      <c r="A24" s="54" t="s">
        <v>4</v>
      </c>
      <c r="B24" s="54" t="s">
        <v>5</v>
      </c>
      <c r="C24" s="54" t="s">
        <v>6</v>
      </c>
      <c r="D24" s="54" t="s">
        <v>430</v>
      </c>
      <c r="E24" s="54" t="s">
        <v>8</v>
      </c>
      <c r="F24" s="55" t="s">
        <v>431</v>
      </c>
      <c r="G24" s="54" t="s">
        <v>10</v>
      </c>
      <c r="H24" s="54" t="s">
        <v>432</v>
      </c>
      <c r="I24">
        <f>H38*30%+H38</f>
        <v>688.87</v>
      </c>
    </row>
    <row r="25" spans="1:9">
      <c r="A25" s="56">
        <v>46181</v>
      </c>
      <c r="B25" s="57">
        <v>1610384</v>
      </c>
      <c r="C25" s="57" t="s">
        <v>36</v>
      </c>
      <c r="D25" s="54">
        <v>20008128</v>
      </c>
      <c r="E25" s="57" t="s">
        <v>164</v>
      </c>
      <c r="F25" s="58">
        <v>2</v>
      </c>
      <c r="G25" s="59">
        <v>130.9</v>
      </c>
      <c r="H25" s="59">
        <f t="shared" ref="H25:H37" si="2">G25*F25</f>
        <v>261.8</v>
      </c>
    </row>
    <row r="26" spans="1:9">
      <c r="A26" s="56">
        <v>46181</v>
      </c>
      <c r="B26" s="57">
        <v>1610384</v>
      </c>
      <c r="C26" s="57" t="s">
        <v>36</v>
      </c>
      <c r="D26" s="54">
        <v>20311037</v>
      </c>
      <c r="E26" s="57" t="s">
        <v>165</v>
      </c>
      <c r="F26" s="58">
        <v>1</v>
      </c>
      <c r="G26" s="59">
        <v>53.55</v>
      </c>
      <c r="H26" s="59">
        <f t="shared" si="2"/>
        <v>53.55</v>
      </c>
    </row>
    <row r="27" spans="1:9">
      <c r="A27" s="56">
        <v>46181</v>
      </c>
      <c r="B27" s="57">
        <v>1610384</v>
      </c>
      <c r="C27" s="57" t="s">
        <v>15</v>
      </c>
      <c r="D27" s="54">
        <v>20011204</v>
      </c>
      <c r="E27" s="57" t="s">
        <v>16</v>
      </c>
      <c r="F27" s="58">
        <v>1</v>
      </c>
      <c r="G27" s="59">
        <v>5.6</v>
      </c>
      <c r="H27" s="59">
        <f t="shared" si="2"/>
        <v>5.6</v>
      </c>
    </row>
    <row r="28" spans="1:9">
      <c r="A28" s="56">
        <v>46181</v>
      </c>
      <c r="B28" s="57">
        <v>1610384</v>
      </c>
      <c r="C28" s="57" t="s">
        <v>15</v>
      </c>
      <c r="D28" s="54">
        <v>20012311</v>
      </c>
      <c r="E28" s="57" t="s">
        <v>174</v>
      </c>
      <c r="F28" s="58">
        <v>2</v>
      </c>
      <c r="G28" s="59">
        <v>7.7</v>
      </c>
      <c r="H28" s="59">
        <f t="shared" si="2"/>
        <v>15.4</v>
      </c>
    </row>
    <row r="29" spans="1:9">
      <c r="A29" s="56">
        <v>46181</v>
      </c>
      <c r="B29" s="57">
        <v>1610384</v>
      </c>
      <c r="C29" s="57" t="s">
        <v>15</v>
      </c>
      <c r="D29" s="54">
        <v>20006845</v>
      </c>
      <c r="E29" s="57" t="s">
        <v>118</v>
      </c>
      <c r="F29" s="58">
        <v>2</v>
      </c>
      <c r="G29" s="59">
        <v>11.55</v>
      </c>
      <c r="H29" s="59">
        <f t="shared" si="2"/>
        <v>23.1</v>
      </c>
    </row>
    <row r="30" spans="1:9">
      <c r="A30" s="56">
        <v>46181</v>
      </c>
      <c r="B30" s="57">
        <v>1610384</v>
      </c>
      <c r="C30" s="57" t="s">
        <v>15</v>
      </c>
      <c r="D30" s="54">
        <v>20008204</v>
      </c>
      <c r="E30" s="57" t="s">
        <v>122</v>
      </c>
      <c r="F30" s="58">
        <v>1</v>
      </c>
      <c r="G30" s="59">
        <v>9.45</v>
      </c>
      <c r="H30" s="59">
        <f t="shared" si="2"/>
        <v>9.45</v>
      </c>
    </row>
    <row r="31" spans="1:9">
      <c r="A31" s="56">
        <v>46181</v>
      </c>
      <c r="B31" s="57">
        <v>1610384</v>
      </c>
      <c r="C31" s="57" t="s">
        <v>15</v>
      </c>
      <c r="D31" s="54">
        <v>20013461</v>
      </c>
      <c r="E31" s="57" t="s">
        <v>279</v>
      </c>
      <c r="F31" s="58">
        <v>1</v>
      </c>
      <c r="G31" s="59">
        <v>11.55</v>
      </c>
      <c r="H31" s="59">
        <f t="shared" si="2"/>
        <v>11.55</v>
      </c>
    </row>
    <row r="32" spans="1:9">
      <c r="A32" s="56">
        <v>46181</v>
      </c>
      <c r="B32" s="57">
        <v>1610384</v>
      </c>
      <c r="C32" s="57" t="s">
        <v>15</v>
      </c>
      <c r="D32" s="54">
        <v>20347033</v>
      </c>
      <c r="E32" s="57" t="s">
        <v>113</v>
      </c>
      <c r="F32" s="58">
        <v>1</v>
      </c>
      <c r="G32" s="59">
        <v>5.6</v>
      </c>
      <c r="H32" s="59">
        <f t="shared" si="2"/>
        <v>5.6</v>
      </c>
    </row>
    <row r="33" spans="1:8">
      <c r="A33" s="56">
        <v>46181</v>
      </c>
      <c r="B33" s="57">
        <v>1610384</v>
      </c>
      <c r="C33" s="57" t="s">
        <v>15</v>
      </c>
      <c r="D33" s="54">
        <v>20008280</v>
      </c>
      <c r="E33" s="57" t="s">
        <v>200</v>
      </c>
      <c r="F33" s="58">
        <v>2</v>
      </c>
      <c r="G33" s="59">
        <v>11.55</v>
      </c>
      <c r="H33" s="59">
        <f t="shared" si="2"/>
        <v>23.1</v>
      </c>
    </row>
    <row r="34" spans="1:8">
      <c r="A34" s="56">
        <v>46181</v>
      </c>
      <c r="B34" s="57">
        <v>1610384</v>
      </c>
      <c r="C34" s="57" t="s">
        <v>114</v>
      </c>
      <c r="D34" s="54">
        <v>20362791</v>
      </c>
      <c r="E34" s="57" t="s">
        <v>183</v>
      </c>
      <c r="F34" s="58">
        <v>1</v>
      </c>
      <c r="G34" s="59">
        <v>24.5</v>
      </c>
      <c r="H34" s="59">
        <f t="shared" si="2"/>
        <v>24.5</v>
      </c>
    </row>
    <row r="35" spans="1:8">
      <c r="A35" s="56">
        <v>46181</v>
      </c>
      <c r="B35" s="57">
        <v>1610384</v>
      </c>
      <c r="C35" s="57" t="s">
        <v>27</v>
      </c>
      <c r="D35" s="54">
        <v>20008214</v>
      </c>
      <c r="E35" s="57" t="s">
        <v>123</v>
      </c>
      <c r="F35" s="58">
        <v>4</v>
      </c>
      <c r="G35" s="59">
        <v>11.55</v>
      </c>
      <c r="H35" s="59">
        <f t="shared" si="2"/>
        <v>46.2</v>
      </c>
    </row>
    <row r="36" spans="1:8">
      <c r="A36" s="56">
        <v>46181</v>
      </c>
      <c r="B36" s="57">
        <v>1610384</v>
      </c>
      <c r="C36" s="57" t="s">
        <v>27</v>
      </c>
      <c r="D36" s="54">
        <v>20015105</v>
      </c>
      <c r="E36" s="57" t="s">
        <v>205</v>
      </c>
      <c r="F36" s="58">
        <v>1</v>
      </c>
      <c r="G36" s="59">
        <v>11.55</v>
      </c>
      <c r="H36" s="59">
        <f t="shared" si="2"/>
        <v>11.55</v>
      </c>
    </row>
    <row r="37" spans="1:8">
      <c r="A37" s="56">
        <v>46181</v>
      </c>
      <c r="B37" s="57">
        <v>1610384</v>
      </c>
      <c r="C37" s="57" t="s">
        <v>27</v>
      </c>
      <c r="D37" s="54">
        <v>20008345</v>
      </c>
      <c r="E37" s="57" t="s">
        <v>186</v>
      </c>
      <c r="F37" s="58">
        <v>2</v>
      </c>
      <c r="G37" s="59">
        <v>19.25</v>
      </c>
      <c r="H37" s="59">
        <f t="shared" si="2"/>
        <v>38.5</v>
      </c>
    </row>
    <row r="38" spans="1:8">
      <c r="A38" s="60" t="s">
        <v>432</v>
      </c>
      <c r="B38" s="61"/>
      <c r="C38" s="61"/>
      <c r="D38" s="61"/>
      <c r="E38" s="61"/>
      <c r="F38" s="61"/>
      <c r="G38" s="62"/>
      <c r="H38" s="59">
        <f>SUM(H25:H37)</f>
        <v>529.9</v>
      </c>
    </row>
    <row r="41" spans="1:8">
      <c r="A41" s="38" t="s">
        <v>461</v>
      </c>
      <c r="B41" s="38"/>
      <c r="C41" s="38"/>
      <c r="D41" s="38"/>
      <c r="E41" s="38"/>
      <c r="F41" s="38"/>
      <c r="G41" s="38"/>
      <c r="H41" s="52"/>
    </row>
    <row r="42" spans="1:8">
      <c r="A42" s="38"/>
      <c r="B42" s="38"/>
      <c r="C42" s="38"/>
      <c r="D42" s="38"/>
      <c r="E42" s="38"/>
      <c r="F42" s="38"/>
      <c r="G42" s="38"/>
      <c r="H42" s="52"/>
    </row>
    <row r="43" spans="1:8">
      <c r="A43" s="54" t="s">
        <v>4</v>
      </c>
      <c r="B43" s="54" t="s">
        <v>5</v>
      </c>
      <c r="C43" s="54" t="s">
        <v>6</v>
      </c>
      <c r="D43" s="54" t="s">
        <v>430</v>
      </c>
      <c r="E43" s="54" t="s">
        <v>8</v>
      </c>
      <c r="F43" s="55" t="s">
        <v>431</v>
      </c>
      <c r="G43" s="54" t="s">
        <v>10</v>
      </c>
      <c r="H43" s="54" t="s">
        <v>432</v>
      </c>
    </row>
    <row r="44" spans="1:8">
      <c r="A44" s="56">
        <v>46182</v>
      </c>
      <c r="B44" s="57">
        <v>1610776</v>
      </c>
      <c r="C44" s="57" t="s">
        <v>40</v>
      </c>
      <c r="D44" s="54">
        <v>20429155</v>
      </c>
      <c r="E44" s="57" t="s">
        <v>384</v>
      </c>
      <c r="F44" s="58">
        <v>2</v>
      </c>
      <c r="G44" s="59">
        <v>30.8</v>
      </c>
      <c r="H44" s="59">
        <f>G44*F44</f>
        <v>61.6</v>
      </c>
    </row>
    <row r="45" spans="1:8">
      <c r="A45" s="60" t="s">
        <v>432</v>
      </c>
      <c r="B45" s="61"/>
      <c r="C45" s="61"/>
      <c r="D45" s="61"/>
      <c r="E45" s="61"/>
      <c r="F45" s="61"/>
      <c r="G45" s="62"/>
      <c r="H45" s="59">
        <f>H44</f>
        <v>61.6</v>
      </c>
    </row>
    <row r="48" spans="1:8">
      <c r="A48" s="38" t="s">
        <v>462</v>
      </c>
      <c r="B48" s="38"/>
      <c r="C48" s="38"/>
      <c r="D48" s="38"/>
      <c r="E48" s="38"/>
      <c r="F48" s="38"/>
      <c r="G48" s="38"/>
      <c r="H48" s="52"/>
    </row>
    <row r="49" spans="1:8">
      <c r="A49" s="38"/>
      <c r="B49" s="38"/>
      <c r="C49" s="38"/>
      <c r="D49" s="38"/>
      <c r="E49" s="38"/>
      <c r="F49" s="38"/>
      <c r="G49" s="38"/>
      <c r="H49" s="52"/>
    </row>
    <row r="50" spans="1:8">
      <c r="A50" s="54" t="s">
        <v>4</v>
      </c>
      <c r="B50" s="54" t="s">
        <v>5</v>
      </c>
      <c r="C50" s="54" t="s">
        <v>6</v>
      </c>
      <c r="D50" s="54" t="s">
        <v>430</v>
      </c>
      <c r="E50" s="54" t="s">
        <v>8</v>
      </c>
      <c r="F50" s="55" t="s">
        <v>431</v>
      </c>
      <c r="G50" s="54" t="s">
        <v>10</v>
      </c>
      <c r="H50" s="54" t="s">
        <v>432</v>
      </c>
    </row>
    <row r="51" spans="1:8">
      <c r="A51" s="56">
        <v>46189</v>
      </c>
      <c r="B51" s="57">
        <v>1612609</v>
      </c>
      <c r="C51" s="57" t="s">
        <v>36</v>
      </c>
      <c r="D51" s="54">
        <v>20013604</v>
      </c>
      <c r="E51" s="57" t="s">
        <v>37</v>
      </c>
      <c r="F51" s="58">
        <v>7</v>
      </c>
      <c r="G51" s="59">
        <v>65.45</v>
      </c>
      <c r="H51" s="59">
        <f t="shared" ref="H51:H56" si="3">G51*F51</f>
        <v>458.15</v>
      </c>
    </row>
    <row r="52" spans="1:8">
      <c r="A52" s="56">
        <v>46189</v>
      </c>
      <c r="B52" s="57">
        <v>1612609</v>
      </c>
      <c r="C52" s="57" t="s">
        <v>36</v>
      </c>
      <c r="D52" s="54">
        <v>20014203</v>
      </c>
      <c r="E52" s="57" t="s">
        <v>59</v>
      </c>
      <c r="F52" s="58">
        <v>1</v>
      </c>
      <c r="G52" s="59">
        <v>19.25</v>
      </c>
      <c r="H52" s="59">
        <f t="shared" si="3"/>
        <v>19.25</v>
      </c>
    </row>
    <row r="53" spans="1:8">
      <c r="A53" s="56">
        <v>46189</v>
      </c>
      <c r="B53" s="57">
        <v>1612609</v>
      </c>
      <c r="C53" s="57" t="s">
        <v>15</v>
      </c>
      <c r="D53" s="54">
        <v>20321383</v>
      </c>
      <c r="E53" s="57" t="s">
        <v>23</v>
      </c>
      <c r="F53" s="58">
        <v>2</v>
      </c>
      <c r="G53" s="59">
        <v>5.6</v>
      </c>
      <c r="H53" s="59">
        <f t="shared" si="3"/>
        <v>11.2</v>
      </c>
    </row>
    <row r="54" spans="1:8">
      <c r="A54" s="56">
        <v>46189</v>
      </c>
      <c r="B54" s="57">
        <v>1612609</v>
      </c>
      <c r="C54" s="57" t="s">
        <v>15</v>
      </c>
      <c r="D54" s="54">
        <v>20006817</v>
      </c>
      <c r="E54" s="57" t="s">
        <v>38</v>
      </c>
      <c r="F54" s="58">
        <v>2</v>
      </c>
      <c r="G54" s="59">
        <v>5.6</v>
      </c>
      <c r="H54" s="59">
        <f t="shared" si="3"/>
        <v>11.2</v>
      </c>
    </row>
    <row r="55" spans="1:8">
      <c r="A55" s="56">
        <v>46189</v>
      </c>
      <c r="B55" s="57">
        <v>1612609</v>
      </c>
      <c r="C55" s="57" t="s">
        <v>15</v>
      </c>
      <c r="D55" s="54">
        <v>20009761</v>
      </c>
      <c r="E55" s="57" t="s">
        <v>45</v>
      </c>
      <c r="F55" s="58">
        <v>1</v>
      </c>
      <c r="G55" s="59">
        <v>9.1</v>
      </c>
      <c r="H55" s="59">
        <f t="shared" si="3"/>
        <v>9.1</v>
      </c>
    </row>
    <row r="56" spans="1:8">
      <c r="A56" s="56">
        <v>46189</v>
      </c>
      <c r="B56" s="57">
        <v>1612609</v>
      </c>
      <c r="C56" s="57" t="s">
        <v>15</v>
      </c>
      <c r="D56" s="54">
        <v>20321510</v>
      </c>
      <c r="E56" s="57" t="s">
        <v>63</v>
      </c>
      <c r="F56" s="58">
        <v>1</v>
      </c>
      <c r="G56" s="59">
        <v>5.6</v>
      </c>
      <c r="H56" s="59">
        <f t="shared" si="3"/>
        <v>5.6</v>
      </c>
    </row>
    <row r="57" spans="1:8">
      <c r="A57" s="60" t="s">
        <v>432</v>
      </c>
      <c r="B57" s="61"/>
      <c r="C57" s="61"/>
      <c r="D57" s="61"/>
      <c r="E57" s="61"/>
      <c r="F57" s="61"/>
      <c r="G57" s="62"/>
      <c r="H57" s="59">
        <f>SUM(H51:H56)</f>
        <v>514.5</v>
      </c>
    </row>
    <row r="60" spans="1:8">
      <c r="A60" s="38" t="s">
        <v>463</v>
      </c>
      <c r="B60" s="38"/>
      <c r="C60" s="38"/>
      <c r="D60" s="38"/>
      <c r="E60" s="38"/>
      <c r="F60" s="38"/>
      <c r="G60" s="38"/>
      <c r="H60" s="52"/>
    </row>
    <row r="61" spans="1:8">
      <c r="A61" s="38"/>
      <c r="B61" s="38"/>
      <c r="C61" s="38"/>
      <c r="D61" s="38"/>
      <c r="E61" s="38"/>
      <c r="F61" s="38"/>
      <c r="G61" s="38"/>
      <c r="H61" s="52"/>
    </row>
    <row r="62" spans="1:8">
      <c r="A62" s="54" t="s">
        <v>4</v>
      </c>
      <c r="B62" s="54" t="s">
        <v>5</v>
      </c>
      <c r="C62" s="54" t="s">
        <v>6</v>
      </c>
      <c r="D62" s="54" t="s">
        <v>430</v>
      </c>
      <c r="E62" s="54" t="s">
        <v>8</v>
      </c>
      <c r="F62" s="55" t="s">
        <v>431</v>
      </c>
      <c r="G62" s="54" t="s">
        <v>10</v>
      </c>
      <c r="H62" s="54" t="s">
        <v>432</v>
      </c>
    </row>
    <row r="63" spans="1:8">
      <c r="A63" s="56">
        <v>46191</v>
      </c>
      <c r="B63" s="57">
        <v>1613509</v>
      </c>
      <c r="C63" s="57" t="s">
        <v>40</v>
      </c>
      <c r="D63" s="54">
        <v>20008623</v>
      </c>
      <c r="E63" s="57" t="s">
        <v>188</v>
      </c>
      <c r="F63" s="58">
        <v>3</v>
      </c>
      <c r="G63" s="59">
        <v>15.4</v>
      </c>
      <c r="H63" s="59">
        <f t="shared" ref="H63:H71" si="4">G63*F63</f>
        <v>46.2</v>
      </c>
    </row>
    <row r="64" spans="1:8">
      <c r="A64" s="56">
        <v>46191</v>
      </c>
      <c r="B64" s="57">
        <v>1613509</v>
      </c>
      <c r="C64" s="57" t="s">
        <v>40</v>
      </c>
      <c r="D64" s="54">
        <v>20308332</v>
      </c>
      <c r="E64" s="57" t="s">
        <v>464</v>
      </c>
      <c r="F64" s="58">
        <v>1</v>
      </c>
      <c r="G64" s="59">
        <v>61.6</v>
      </c>
      <c r="H64" s="59">
        <f t="shared" si="4"/>
        <v>61.6</v>
      </c>
    </row>
    <row r="65" spans="1:8">
      <c r="A65" s="56">
        <v>46191</v>
      </c>
      <c r="B65" s="57">
        <v>1613509</v>
      </c>
      <c r="C65" s="57" t="s">
        <v>40</v>
      </c>
      <c r="D65" s="54">
        <v>20349200</v>
      </c>
      <c r="E65" s="57" t="s">
        <v>465</v>
      </c>
      <c r="F65" s="58">
        <v>1</v>
      </c>
      <c r="G65" s="59">
        <v>61.6</v>
      </c>
      <c r="H65" s="59">
        <f t="shared" si="4"/>
        <v>61.6</v>
      </c>
    </row>
    <row r="66" spans="1:8">
      <c r="A66" s="56">
        <v>46191</v>
      </c>
      <c r="B66" s="57">
        <v>1613509</v>
      </c>
      <c r="C66" s="57" t="s">
        <v>40</v>
      </c>
      <c r="D66" s="54">
        <v>20007633</v>
      </c>
      <c r="E66" s="57" t="s">
        <v>74</v>
      </c>
      <c r="F66" s="58">
        <v>2</v>
      </c>
      <c r="G66" s="59">
        <v>24.5</v>
      </c>
      <c r="H66" s="59">
        <f t="shared" si="4"/>
        <v>49</v>
      </c>
    </row>
    <row r="67" spans="1:8">
      <c r="A67" s="56">
        <v>46191</v>
      </c>
      <c r="B67" s="57">
        <v>1613509</v>
      </c>
      <c r="C67" s="57" t="s">
        <v>40</v>
      </c>
      <c r="D67" s="54">
        <v>20388302</v>
      </c>
      <c r="E67" s="57" t="s">
        <v>284</v>
      </c>
      <c r="F67" s="58">
        <v>1</v>
      </c>
      <c r="G67" s="59">
        <v>24.5</v>
      </c>
      <c r="H67" s="59">
        <f t="shared" si="4"/>
        <v>24.5</v>
      </c>
    </row>
    <row r="68" spans="1:8">
      <c r="A68" s="56">
        <v>46191</v>
      </c>
      <c r="B68" s="57">
        <v>1613509</v>
      </c>
      <c r="C68" s="57" t="s">
        <v>40</v>
      </c>
      <c r="D68" s="54">
        <v>20399832</v>
      </c>
      <c r="E68" s="57" t="s">
        <v>346</v>
      </c>
      <c r="F68" s="58">
        <v>1</v>
      </c>
      <c r="G68" s="59">
        <v>24.5</v>
      </c>
      <c r="H68" s="59">
        <f t="shared" si="4"/>
        <v>24.5</v>
      </c>
    </row>
    <row r="69" spans="1:8">
      <c r="A69" s="56">
        <v>46191</v>
      </c>
      <c r="B69" s="57">
        <v>1613509</v>
      </c>
      <c r="C69" s="57" t="s">
        <v>40</v>
      </c>
      <c r="D69" s="54">
        <v>20006863</v>
      </c>
      <c r="E69" s="57" t="s">
        <v>41</v>
      </c>
      <c r="F69" s="58">
        <v>2</v>
      </c>
      <c r="G69" s="59">
        <v>24.5</v>
      </c>
      <c r="H69" s="59">
        <f t="shared" si="4"/>
        <v>49</v>
      </c>
    </row>
    <row r="70" spans="1:8">
      <c r="A70" s="56">
        <v>46191</v>
      </c>
      <c r="B70" s="57">
        <v>1613509</v>
      </c>
      <c r="C70" s="57" t="s">
        <v>42</v>
      </c>
      <c r="D70" s="54">
        <v>20390423</v>
      </c>
      <c r="E70" s="57" t="s">
        <v>75</v>
      </c>
      <c r="F70" s="58">
        <v>1</v>
      </c>
      <c r="G70" s="59">
        <v>19.6</v>
      </c>
      <c r="H70" s="59">
        <f t="shared" si="4"/>
        <v>19.6</v>
      </c>
    </row>
    <row r="71" spans="1:8">
      <c r="A71" s="56">
        <v>46191</v>
      </c>
      <c r="B71" s="57">
        <v>1613509</v>
      </c>
      <c r="C71" s="57" t="s">
        <v>42</v>
      </c>
      <c r="D71" s="54">
        <v>20008376</v>
      </c>
      <c r="E71" s="57" t="s">
        <v>287</v>
      </c>
      <c r="F71" s="58">
        <v>1</v>
      </c>
      <c r="G71" s="59">
        <v>19.6</v>
      </c>
      <c r="H71" s="59">
        <f t="shared" si="4"/>
        <v>19.6</v>
      </c>
    </row>
    <row r="72" spans="1:8">
      <c r="A72" s="60" t="s">
        <v>432</v>
      </c>
      <c r="B72" s="61"/>
      <c r="C72" s="61"/>
      <c r="D72" s="61"/>
      <c r="E72" s="61"/>
      <c r="F72" s="61"/>
      <c r="G72" s="62"/>
      <c r="H72" s="59">
        <f>SUM(H63:H71)</f>
        <v>355.6</v>
      </c>
    </row>
    <row r="75" spans="1:8">
      <c r="A75" s="38" t="s">
        <v>466</v>
      </c>
      <c r="B75" s="38"/>
      <c r="C75" s="38"/>
      <c r="D75" s="38"/>
      <c r="E75" s="38"/>
      <c r="F75" s="38"/>
      <c r="G75" s="38"/>
      <c r="H75" s="52"/>
    </row>
    <row r="76" spans="1:8">
      <c r="A76" s="38"/>
      <c r="B76" s="38"/>
      <c r="C76" s="38"/>
      <c r="D76" s="38"/>
      <c r="E76" s="38"/>
      <c r="F76" s="38"/>
      <c r="G76" s="38"/>
      <c r="H76" s="52"/>
    </row>
    <row r="77" spans="1:8">
      <c r="A77" s="54" t="s">
        <v>4</v>
      </c>
      <c r="B77" s="54" t="s">
        <v>5</v>
      </c>
      <c r="C77" s="54" t="s">
        <v>6</v>
      </c>
      <c r="D77" s="54" t="s">
        <v>430</v>
      </c>
      <c r="E77" s="54" t="s">
        <v>8</v>
      </c>
      <c r="F77" s="55" t="s">
        <v>431</v>
      </c>
      <c r="G77" s="54" t="s">
        <v>10</v>
      </c>
      <c r="H77" s="54" t="s">
        <v>432</v>
      </c>
    </row>
    <row r="78" spans="1:8">
      <c r="A78" s="56">
        <v>46197</v>
      </c>
      <c r="B78" s="57">
        <v>1614879</v>
      </c>
      <c r="C78" s="57" t="s">
        <v>15</v>
      </c>
      <c r="D78" s="54">
        <v>20431046</v>
      </c>
      <c r="E78" s="57" t="s">
        <v>467</v>
      </c>
      <c r="F78" s="58">
        <v>1</v>
      </c>
      <c r="G78" s="59">
        <v>11.55</v>
      </c>
      <c r="H78" s="59">
        <f t="shared" ref="H78:H115" si="5">G78*F78</f>
        <v>11.55</v>
      </c>
    </row>
    <row r="79" spans="1:8">
      <c r="A79" s="56">
        <v>46197</v>
      </c>
      <c r="B79" s="57">
        <v>1614879</v>
      </c>
      <c r="C79" s="57" t="s">
        <v>15</v>
      </c>
      <c r="D79" s="54">
        <v>20393771</v>
      </c>
      <c r="E79" s="57" t="s">
        <v>357</v>
      </c>
      <c r="F79" s="58">
        <v>1</v>
      </c>
      <c r="G79" s="59">
        <v>7.7</v>
      </c>
      <c r="H79" s="59">
        <f t="shared" si="5"/>
        <v>7.7</v>
      </c>
    </row>
    <row r="80" spans="1:8">
      <c r="A80" s="56">
        <v>46197</v>
      </c>
      <c r="B80" s="57">
        <v>1614879</v>
      </c>
      <c r="C80" s="57" t="s">
        <v>15</v>
      </c>
      <c r="D80" s="54">
        <v>20391282</v>
      </c>
      <c r="E80" s="57" t="s">
        <v>48</v>
      </c>
      <c r="F80" s="58">
        <v>1</v>
      </c>
      <c r="G80" s="59">
        <v>26.95</v>
      </c>
      <c r="H80" s="59">
        <f t="shared" si="5"/>
        <v>26.95</v>
      </c>
    </row>
    <row r="81" spans="1:8">
      <c r="A81" s="56">
        <v>46197</v>
      </c>
      <c r="B81" s="57">
        <v>1614879</v>
      </c>
      <c r="C81" s="57" t="s">
        <v>15</v>
      </c>
      <c r="D81" s="54">
        <v>20391281</v>
      </c>
      <c r="E81" s="57" t="s">
        <v>71</v>
      </c>
      <c r="F81" s="58">
        <v>1</v>
      </c>
      <c r="G81" s="59">
        <v>23.1</v>
      </c>
      <c r="H81" s="59">
        <f t="shared" si="5"/>
        <v>23.1</v>
      </c>
    </row>
    <row r="82" spans="1:8">
      <c r="A82" s="56">
        <v>46197</v>
      </c>
      <c r="B82" s="57">
        <v>1614879</v>
      </c>
      <c r="C82" s="57" t="s">
        <v>25</v>
      </c>
      <c r="D82" s="54">
        <v>20391163</v>
      </c>
      <c r="E82" s="57" t="s">
        <v>72</v>
      </c>
      <c r="F82" s="58">
        <v>2</v>
      </c>
      <c r="G82" s="59">
        <v>42.35</v>
      </c>
      <c r="H82" s="59">
        <f t="shared" si="5"/>
        <v>84.7</v>
      </c>
    </row>
    <row r="83" spans="1:8">
      <c r="A83" s="56">
        <v>46197</v>
      </c>
      <c r="B83" s="57">
        <v>1614878</v>
      </c>
      <c r="C83" s="57" t="s">
        <v>40</v>
      </c>
      <c r="D83" s="54">
        <v>20370992</v>
      </c>
      <c r="E83" s="57" t="s">
        <v>330</v>
      </c>
      <c r="F83" s="58">
        <v>1</v>
      </c>
      <c r="G83" s="59">
        <v>24.5</v>
      </c>
      <c r="H83" s="59">
        <f t="shared" si="5"/>
        <v>24.5</v>
      </c>
    </row>
    <row r="84" spans="1:8">
      <c r="A84" s="56">
        <v>46197</v>
      </c>
      <c r="B84" s="57">
        <v>1614878</v>
      </c>
      <c r="C84" s="57" t="s">
        <v>40</v>
      </c>
      <c r="D84" s="54">
        <v>20008397</v>
      </c>
      <c r="E84" s="57" t="s">
        <v>300</v>
      </c>
      <c r="F84" s="58">
        <v>1</v>
      </c>
      <c r="G84" s="59">
        <v>15.4</v>
      </c>
      <c r="H84" s="59">
        <f t="shared" si="5"/>
        <v>15.4</v>
      </c>
    </row>
    <row r="85" spans="1:8">
      <c r="A85" s="56">
        <v>46197</v>
      </c>
      <c r="B85" s="57">
        <v>1614878</v>
      </c>
      <c r="C85" s="57" t="s">
        <v>40</v>
      </c>
      <c r="D85" s="54">
        <v>20338493</v>
      </c>
      <c r="E85" s="57" t="s">
        <v>332</v>
      </c>
      <c r="F85" s="58">
        <v>2</v>
      </c>
      <c r="G85" s="59">
        <v>17.5</v>
      </c>
      <c r="H85" s="59">
        <f t="shared" si="5"/>
        <v>35</v>
      </c>
    </row>
    <row r="86" spans="1:8">
      <c r="A86" s="56">
        <v>46197</v>
      </c>
      <c r="B86" s="57">
        <v>1614878</v>
      </c>
      <c r="C86" s="57" t="s">
        <v>40</v>
      </c>
      <c r="D86" s="54">
        <v>20365916</v>
      </c>
      <c r="E86" s="57" t="s">
        <v>187</v>
      </c>
      <c r="F86" s="58">
        <v>1</v>
      </c>
      <c r="G86" s="59">
        <v>61.6</v>
      </c>
      <c r="H86" s="59">
        <f t="shared" si="5"/>
        <v>61.6</v>
      </c>
    </row>
    <row r="87" spans="1:8">
      <c r="A87" s="56">
        <v>46197</v>
      </c>
      <c r="B87" s="57">
        <v>1614878</v>
      </c>
      <c r="C87" s="57" t="s">
        <v>40</v>
      </c>
      <c r="D87" s="54">
        <v>20365405</v>
      </c>
      <c r="E87" s="57" t="s">
        <v>283</v>
      </c>
      <c r="F87" s="58">
        <v>1</v>
      </c>
      <c r="G87" s="59">
        <v>61.6</v>
      </c>
      <c r="H87" s="59">
        <f t="shared" si="5"/>
        <v>61.6</v>
      </c>
    </row>
    <row r="88" spans="1:8">
      <c r="A88" s="56">
        <v>46197</v>
      </c>
      <c r="B88" s="57">
        <v>1614878</v>
      </c>
      <c r="C88" s="57" t="s">
        <v>40</v>
      </c>
      <c r="D88" s="54">
        <v>20013300</v>
      </c>
      <c r="E88" s="57" t="s">
        <v>310</v>
      </c>
      <c r="F88" s="58">
        <v>1</v>
      </c>
      <c r="G88" s="59">
        <v>24.5</v>
      </c>
      <c r="H88" s="59">
        <f t="shared" si="5"/>
        <v>24.5</v>
      </c>
    </row>
    <row r="89" spans="1:8">
      <c r="A89" s="56">
        <v>46197</v>
      </c>
      <c r="B89" s="57">
        <v>1614878</v>
      </c>
      <c r="C89" s="57" t="s">
        <v>40</v>
      </c>
      <c r="D89" s="54">
        <v>20431047</v>
      </c>
      <c r="E89" s="57" t="s">
        <v>468</v>
      </c>
      <c r="F89" s="58">
        <v>1</v>
      </c>
      <c r="G89" s="59">
        <v>46.2</v>
      </c>
      <c r="H89" s="59">
        <f t="shared" si="5"/>
        <v>46.2</v>
      </c>
    </row>
    <row r="90" spans="1:8">
      <c r="A90" s="56">
        <v>46197</v>
      </c>
      <c r="B90" s="57">
        <v>1614878</v>
      </c>
      <c r="C90" s="57" t="s">
        <v>40</v>
      </c>
      <c r="D90" s="54">
        <v>20429160</v>
      </c>
      <c r="E90" s="57" t="s">
        <v>333</v>
      </c>
      <c r="F90" s="58">
        <v>1</v>
      </c>
      <c r="G90" s="59">
        <v>19.6</v>
      </c>
      <c r="H90" s="59">
        <f t="shared" si="5"/>
        <v>19.6</v>
      </c>
    </row>
    <row r="91" spans="1:8">
      <c r="A91" s="56">
        <v>46197</v>
      </c>
      <c r="B91" s="57">
        <v>1614878</v>
      </c>
      <c r="C91" s="57" t="s">
        <v>40</v>
      </c>
      <c r="D91" s="54">
        <v>20425064</v>
      </c>
      <c r="E91" s="57" t="s">
        <v>469</v>
      </c>
      <c r="F91" s="58">
        <v>1</v>
      </c>
      <c r="G91" s="59">
        <v>92.4</v>
      </c>
      <c r="H91" s="59">
        <f t="shared" si="5"/>
        <v>92.4</v>
      </c>
    </row>
    <row r="92" spans="1:8">
      <c r="A92" s="56">
        <v>46197</v>
      </c>
      <c r="B92" s="57">
        <v>1614878</v>
      </c>
      <c r="C92" s="57" t="s">
        <v>40</v>
      </c>
      <c r="D92" s="54">
        <v>20313974</v>
      </c>
      <c r="E92" s="57" t="s">
        <v>301</v>
      </c>
      <c r="F92" s="58">
        <v>3</v>
      </c>
      <c r="G92" s="59">
        <v>30.8</v>
      </c>
      <c r="H92" s="59">
        <f t="shared" si="5"/>
        <v>92.4</v>
      </c>
    </row>
    <row r="93" spans="1:8">
      <c r="A93" s="56">
        <v>46197</v>
      </c>
      <c r="B93" s="57">
        <v>1614878</v>
      </c>
      <c r="C93" s="57" t="s">
        <v>40</v>
      </c>
      <c r="D93" s="54">
        <v>20008623</v>
      </c>
      <c r="E93" s="57" t="s">
        <v>188</v>
      </c>
      <c r="F93" s="58">
        <v>2</v>
      </c>
      <c r="G93" s="59">
        <v>15.4</v>
      </c>
      <c r="H93" s="59">
        <f t="shared" si="5"/>
        <v>30.8</v>
      </c>
    </row>
    <row r="94" spans="1:8">
      <c r="A94" s="56">
        <v>46197</v>
      </c>
      <c r="B94" s="57">
        <v>1614878</v>
      </c>
      <c r="C94" s="57" t="s">
        <v>40</v>
      </c>
      <c r="D94" s="54">
        <v>20007633</v>
      </c>
      <c r="E94" s="57" t="s">
        <v>74</v>
      </c>
      <c r="F94" s="58">
        <v>2</v>
      </c>
      <c r="G94" s="59">
        <v>24.5</v>
      </c>
      <c r="H94" s="59">
        <f t="shared" si="5"/>
        <v>49</v>
      </c>
    </row>
    <row r="95" spans="1:8">
      <c r="A95" s="56">
        <v>46197</v>
      </c>
      <c r="B95" s="57">
        <v>1614878</v>
      </c>
      <c r="C95" s="57" t="s">
        <v>40</v>
      </c>
      <c r="D95" s="54">
        <v>20006853</v>
      </c>
      <c r="E95" s="57" t="s">
        <v>189</v>
      </c>
      <c r="F95" s="58">
        <v>3</v>
      </c>
      <c r="G95" s="59">
        <v>24.5</v>
      </c>
      <c r="H95" s="59">
        <f t="shared" si="5"/>
        <v>73.5</v>
      </c>
    </row>
    <row r="96" spans="1:8">
      <c r="A96" s="56">
        <v>46197</v>
      </c>
      <c r="B96" s="57">
        <v>1614878</v>
      </c>
      <c r="C96" s="57" t="s">
        <v>40</v>
      </c>
      <c r="D96" s="54">
        <v>20388302</v>
      </c>
      <c r="E96" s="57" t="s">
        <v>284</v>
      </c>
      <c r="F96" s="58">
        <v>2</v>
      </c>
      <c r="G96" s="59">
        <v>24.5</v>
      </c>
      <c r="H96" s="59">
        <f t="shared" si="5"/>
        <v>49</v>
      </c>
    </row>
    <row r="97" spans="1:8">
      <c r="A97" s="56">
        <v>46197</v>
      </c>
      <c r="B97" s="57">
        <v>1614878</v>
      </c>
      <c r="C97" s="57" t="s">
        <v>40</v>
      </c>
      <c r="D97" s="54">
        <v>20400917</v>
      </c>
      <c r="E97" s="57" t="s">
        <v>190</v>
      </c>
      <c r="F97" s="58">
        <v>2</v>
      </c>
      <c r="G97" s="59">
        <v>17.5</v>
      </c>
      <c r="H97" s="59">
        <f t="shared" si="5"/>
        <v>35</v>
      </c>
    </row>
    <row r="98" spans="1:8">
      <c r="A98" s="56">
        <v>46197</v>
      </c>
      <c r="B98" s="57">
        <v>1614878</v>
      </c>
      <c r="C98" s="57" t="s">
        <v>40</v>
      </c>
      <c r="D98" s="54">
        <v>20382022</v>
      </c>
      <c r="E98" s="57" t="s">
        <v>334</v>
      </c>
      <c r="F98" s="58">
        <v>1</v>
      </c>
      <c r="G98" s="59">
        <v>19.6</v>
      </c>
      <c r="H98" s="59">
        <f t="shared" si="5"/>
        <v>19.6</v>
      </c>
    </row>
    <row r="99" spans="1:8">
      <c r="A99" s="56">
        <v>46197</v>
      </c>
      <c r="B99" s="57">
        <v>1614878</v>
      </c>
      <c r="C99" s="57" t="s">
        <v>40</v>
      </c>
      <c r="D99" s="54">
        <v>20399832</v>
      </c>
      <c r="E99" s="57" t="s">
        <v>346</v>
      </c>
      <c r="F99" s="58">
        <v>2</v>
      </c>
      <c r="G99" s="59">
        <v>24.5</v>
      </c>
      <c r="H99" s="59">
        <f t="shared" si="5"/>
        <v>49</v>
      </c>
    </row>
    <row r="100" spans="1:8">
      <c r="A100" s="56">
        <v>46197</v>
      </c>
      <c r="B100" s="57">
        <v>1614878</v>
      </c>
      <c r="C100" s="57" t="s">
        <v>40</v>
      </c>
      <c r="D100" s="54">
        <v>20008389</v>
      </c>
      <c r="E100" s="57" t="s">
        <v>313</v>
      </c>
      <c r="F100" s="58">
        <v>1</v>
      </c>
      <c r="G100" s="59">
        <v>17.5</v>
      </c>
      <c r="H100" s="59">
        <f t="shared" si="5"/>
        <v>17.5</v>
      </c>
    </row>
    <row r="101" spans="1:8">
      <c r="A101" s="56">
        <v>46197</v>
      </c>
      <c r="B101" s="57">
        <v>1614878</v>
      </c>
      <c r="C101" s="57" t="s">
        <v>40</v>
      </c>
      <c r="D101" s="54">
        <v>20300196</v>
      </c>
      <c r="E101" s="57" t="s">
        <v>302</v>
      </c>
      <c r="F101" s="58">
        <v>1</v>
      </c>
      <c r="G101" s="59">
        <v>30.8</v>
      </c>
      <c r="H101" s="59">
        <f t="shared" si="5"/>
        <v>30.8</v>
      </c>
    </row>
    <row r="102" spans="1:8">
      <c r="A102" s="56">
        <v>46197</v>
      </c>
      <c r="B102" s="57">
        <v>1614878</v>
      </c>
      <c r="C102" s="57" t="s">
        <v>40</v>
      </c>
      <c r="D102" s="54">
        <v>20006863</v>
      </c>
      <c r="E102" s="57" t="s">
        <v>41</v>
      </c>
      <c r="F102" s="58">
        <v>3</v>
      </c>
      <c r="G102" s="59">
        <v>24.5</v>
      </c>
      <c r="H102" s="59">
        <f t="shared" si="5"/>
        <v>73.5</v>
      </c>
    </row>
    <row r="103" spans="1:8">
      <c r="A103" s="56">
        <v>46197</v>
      </c>
      <c r="B103" s="57">
        <v>1614878</v>
      </c>
      <c r="C103" s="57" t="s">
        <v>40</v>
      </c>
      <c r="D103" s="54">
        <v>20377562</v>
      </c>
      <c r="E103" s="57" t="s">
        <v>217</v>
      </c>
      <c r="F103" s="58">
        <v>1</v>
      </c>
      <c r="G103" s="59">
        <v>15.4</v>
      </c>
      <c r="H103" s="59">
        <f t="shared" si="5"/>
        <v>15.4</v>
      </c>
    </row>
    <row r="104" spans="1:8">
      <c r="A104" s="56">
        <v>46197</v>
      </c>
      <c r="B104" s="57">
        <v>1614878</v>
      </c>
      <c r="C104" s="57" t="s">
        <v>40</v>
      </c>
      <c r="D104" s="54">
        <v>20007639</v>
      </c>
      <c r="E104" s="57" t="s">
        <v>193</v>
      </c>
      <c r="F104" s="58">
        <v>3</v>
      </c>
      <c r="G104" s="59">
        <v>19.6</v>
      </c>
      <c r="H104" s="59">
        <f t="shared" si="5"/>
        <v>58.8</v>
      </c>
    </row>
    <row r="105" spans="1:8">
      <c r="A105" s="56">
        <v>46197</v>
      </c>
      <c r="B105" s="57">
        <v>1614878</v>
      </c>
      <c r="C105" s="57" t="s">
        <v>40</v>
      </c>
      <c r="D105" s="54">
        <v>20009272</v>
      </c>
      <c r="E105" s="57" t="s">
        <v>303</v>
      </c>
      <c r="F105" s="58">
        <v>1</v>
      </c>
      <c r="G105" s="59">
        <v>19.6</v>
      </c>
      <c r="H105" s="59">
        <f t="shared" si="5"/>
        <v>19.6</v>
      </c>
    </row>
    <row r="106" spans="1:8">
      <c r="A106" s="56">
        <v>46197</v>
      </c>
      <c r="B106" s="57">
        <v>1614878</v>
      </c>
      <c r="C106" s="57" t="s">
        <v>40</v>
      </c>
      <c r="D106" s="54">
        <v>20007638</v>
      </c>
      <c r="E106" s="57" t="s">
        <v>194</v>
      </c>
      <c r="F106" s="58">
        <v>3</v>
      </c>
      <c r="G106" s="59">
        <v>19.6</v>
      </c>
      <c r="H106" s="59">
        <f t="shared" si="5"/>
        <v>58.8</v>
      </c>
    </row>
    <row r="107" spans="1:8">
      <c r="A107" s="56">
        <v>46197</v>
      </c>
      <c r="B107" s="57">
        <v>1614878</v>
      </c>
      <c r="C107" s="57" t="s">
        <v>40</v>
      </c>
      <c r="D107" s="54">
        <v>20008639</v>
      </c>
      <c r="E107" s="57" t="s">
        <v>195</v>
      </c>
      <c r="F107" s="58">
        <v>3</v>
      </c>
      <c r="G107" s="59">
        <v>17.5</v>
      </c>
      <c r="H107" s="59">
        <f t="shared" si="5"/>
        <v>52.5</v>
      </c>
    </row>
    <row r="108" spans="1:8">
      <c r="A108" s="56">
        <v>46197</v>
      </c>
      <c r="B108" s="57">
        <v>1614878</v>
      </c>
      <c r="C108" s="57" t="s">
        <v>40</v>
      </c>
      <c r="D108" s="54">
        <v>20397472</v>
      </c>
      <c r="E108" s="57" t="s">
        <v>366</v>
      </c>
      <c r="F108" s="58">
        <v>1</v>
      </c>
      <c r="G108" s="59">
        <v>15.4</v>
      </c>
      <c r="H108" s="59">
        <f t="shared" si="5"/>
        <v>15.4</v>
      </c>
    </row>
    <row r="109" spans="1:8">
      <c r="A109" s="56">
        <v>46197</v>
      </c>
      <c r="B109" s="57">
        <v>1614878</v>
      </c>
      <c r="C109" s="57" t="s">
        <v>40</v>
      </c>
      <c r="D109" s="54">
        <v>20425062</v>
      </c>
      <c r="E109" s="57" t="s">
        <v>470</v>
      </c>
      <c r="F109" s="58">
        <v>1</v>
      </c>
      <c r="G109" s="59">
        <v>19.6</v>
      </c>
      <c r="H109" s="59">
        <f t="shared" si="5"/>
        <v>19.6</v>
      </c>
    </row>
    <row r="110" spans="1:8">
      <c r="A110" s="56">
        <v>46197</v>
      </c>
      <c r="B110" s="57">
        <v>1614878</v>
      </c>
      <c r="C110" s="57" t="s">
        <v>42</v>
      </c>
      <c r="D110" s="54">
        <v>20395507</v>
      </c>
      <c r="E110" s="57" t="s">
        <v>197</v>
      </c>
      <c r="F110" s="58">
        <v>3</v>
      </c>
      <c r="G110" s="59">
        <v>19.6</v>
      </c>
      <c r="H110" s="59">
        <f t="shared" si="5"/>
        <v>58.8</v>
      </c>
    </row>
    <row r="111" spans="1:8">
      <c r="A111" s="56">
        <v>46197</v>
      </c>
      <c r="B111" s="57">
        <v>1614878</v>
      </c>
      <c r="C111" s="57" t="s">
        <v>42</v>
      </c>
      <c r="D111" s="54">
        <v>20390423</v>
      </c>
      <c r="E111" s="57" t="s">
        <v>75</v>
      </c>
      <c r="F111" s="58">
        <v>1</v>
      </c>
      <c r="G111" s="59">
        <v>19.6</v>
      </c>
      <c r="H111" s="59">
        <f t="shared" si="5"/>
        <v>19.6</v>
      </c>
    </row>
    <row r="112" spans="1:8">
      <c r="A112" s="56">
        <v>46197</v>
      </c>
      <c r="B112" s="57">
        <v>1614878</v>
      </c>
      <c r="C112" s="57" t="s">
        <v>42</v>
      </c>
      <c r="D112" s="54">
        <v>20008376</v>
      </c>
      <c r="E112" s="57" t="s">
        <v>287</v>
      </c>
      <c r="F112" s="58">
        <v>1</v>
      </c>
      <c r="G112" s="59">
        <v>19.6</v>
      </c>
      <c r="H112" s="59">
        <f t="shared" si="5"/>
        <v>19.6</v>
      </c>
    </row>
    <row r="113" spans="1:8">
      <c r="A113" s="56">
        <v>46197</v>
      </c>
      <c r="B113" s="57">
        <v>1614878</v>
      </c>
      <c r="C113" s="57" t="s">
        <v>42</v>
      </c>
      <c r="D113" s="54">
        <v>20012907</v>
      </c>
      <c r="E113" s="57" t="s">
        <v>347</v>
      </c>
      <c r="F113" s="58">
        <v>1</v>
      </c>
      <c r="G113" s="59">
        <v>19.6</v>
      </c>
      <c r="H113" s="59">
        <f t="shared" si="5"/>
        <v>19.6</v>
      </c>
    </row>
    <row r="114" spans="1:8">
      <c r="A114" s="56">
        <v>46197</v>
      </c>
      <c r="B114" s="57">
        <v>1614878</v>
      </c>
      <c r="C114" s="57" t="s">
        <v>42</v>
      </c>
      <c r="D114" s="54">
        <v>20421830</v>
      </c>
      <c r="E114" s="57" t="s">
        <v>471</v>
      </c>
      <c r="F114" s="58">
        <v>1</v>
      </c>
      <c r="G114" s="59">
        <v>61.6</v>
      </c>
      <c r="H114" s="59">
        <f t="shared" si="5"/>
        <v>61.6</v>
      </c>
    </row>
    <row r="115" spans="1:8">
      <c r="A115" s="56">
        <v>46197</v>
      </c>
      <c r="B115" s="57">
        <v>1614878</v>
      </c>
      <c r="C115" s="57" t="s">
        <v>42</v>
      </c>
      <c r="D115" s="54">
        <v>20013036</v>
      </c>
      <c r="E115" s="57" t="s">
        <v>201</v>
      </c>
      <c r="F115" s="58">
        <v>1</v>
      </c>
      <c r="G115" s="59">
        <v>30.8</v>
      </c>
      <c r="H115" s="59">
        <f t="shared" si="5"/>
        <v>30.8</v>
      </c>
    </row>
    <row r="116" spans="1:8">
      <c r="A116" s="60" t="s">
        <v>432</v>
      </c>
      <c r="B116" s="61"/>
      <c r="C116" s="61"/>
      <c r="D116" s="61"/>
      <c r="E116" s="61"/>
      <c r="F116" s="61"/>
      <c r="G116" s="62"/>
      <c r="H116" s="59">
        <f>SUM(H78:H115)</f>
        <v>1505</v>
      </c>
    </row>
  </sheetData>
  <mergeCells count="15">
    <mergeCell ref="A1:H1"/>
    <mergeCell ref="A9:G9"/>
    <mergeCell ref="A19:G19"/>
    <mergeCell ref="A38:G38"/>
    <mergeCell ref="A45:G45"/>
    <mergeCell ref="A57:G57"/>
    <mergeCell ref="A72:G72"/>
    <mergeCell ref="A116:G116"/>
    <mergeCell ref="A2:H3"/>
    <mergeCell ref="A12:H13"/>
    <mergeCell ref="A22:H23"/>
    <mergeCell ref="A41:H42"/>
    <mergeCell ref="A48:H49"/>
    <mergeCell ref="A60:H61"/>
    <mergeCell ref="A75:H76"/>
  </mergeCells>
  <pageMargins left="0.25" right="0.25" top="0.75" bottom="0.75" header="0.298611111111111" footer="0.298611111111111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view="pageBreakPreview" zoomScaleNormal="100" workbookViewId="0">
      <selection activeCell="I27" sqref="I13 I27"/>
    </sheetView>
  </sheetViews>
  <sheetFormatPr defaultColWidth="9" defaultRowHeight="13.5"/>
  <cols>
    <col min="2" max="2" width="8.125" customWidth="1"/>
    <col min="3" max="3" width="10.25" customWidth="1"/>
    <col min="4" max="4" width="15.25" customWidth="1"/>
    <col min="5" max="5" width="12.25" customWidth="1"/>
    <col min="6" max="6" width="22.375" customWidth="1"/>
    <col min="7" max="7" width="8.125" customWidth="1"/>
    <col min="8" max="8" width="10.375" customWidth="1"/>
    <col min="16381" max="16383" width="9" style="36"/>
  </cols>
  <sheetData>
    <row r="1" customFormat="1" ht="33" customHeight="1" spans="1:9">
      <c r="A1" s="37" t="s">
        <v>472</v>
      </c>
      <c r="B1" s="37"/>
      <c r="C1" s="37"/>
      <c r="D1" s="37"/>
      <c r="E1" s="37"/>
      <c r="F1" s="37"/>
      <c r="G1" s="37"/>
      <c r="H1" s="37"/>
      <c r="I1" s="37"/>
    </row>
    <row r="2" customFormat="1" spans="1:9">
      <c r="A2" s="38" t="s">
        <v>473</v>
      </c>
      <c r="B2" s="38"/>
      <c r="C2" s="38"/>
      <c r="D2" s="38"/>
      <c r="E2" s="38"/>
      <c r="F2" s="38"/>
      <c r="G2" s="38"/>
      <c r="H2" s="38"/>
      <c r="I2" s="38"/>
    </row>
    <row r="3" customFormat="1" spans="1:9">
      <c r="A3" s="38"/>
      <c r="B3" s="38"/>
      <c r="C3" s="38"/>
      <c r="D3" s="38"/>
      <c r="E3" s="38"/>
      <c r="F3" s="38"/>
      <c r="G3" s="38"/>
      <c r="H3" s="38"/>
      <c r="I3" s="38"/>
    </row>
    <row r="4" customFormat="1" spans="1:9">
      <c r="A4" s="9" t="s">
        <v>4</v>
      </c>
      <c r="B4" s="9" t="s">
        <v>5</v>
      </c>
      <c r="C4" s="9" t="s">
        <v>429</v>
      </c>
      <c r="D4" s="9" t="s">
        <v>6</v>
      </c>
      <c r="E4" s="9" t="s">
        <v>430</v>
      </c>
      <c r="F4" s="9" t="s">
        <v>8</v>
      </c>
      <c r="G4" s="39" t="s">
        <v>431</v>
      </c>
      <c r="H4" s="39" t="s">
        <v>10</v>
      </c>
      <c r="I4" s="39" t="s">
        <v>432</v>
      </c>
    </row>
    <row r="5" ht="15" spans="1:9">
      <c r="A5" s="40" t="s">
        <v>433</v>
      </c>
      <c r="B5" s="6" t="s">
        <v>2</v>
      </c>
      <c r="C5" s="6" t="s">
        <v>2</v>
      </c>
      <c r="D5" s="6" t="s">
        <v>2</v>
      </c>
      <c r="E5" s="6" t="s">
        <v>2</v>
      </c>
      <c r="F5" s="40" t="s">
        <v>2</v>
      </c>
      <c r="G5" s="41"/>
      <c r="H5" s="40" t="s">
        <v>2</v>
      </c>
      <c r="I5" s="42"/>
    </row>
    <row r="6" spans="1:9">
      <c r="A6" s="43">
        <v>46182</v>
      </c>
      <c r="B6" s="16">
        <v>1610777</v>
      </c>
      <c r="C6" s="16" t="s">
        <v>434</v>
      </c>
      <c r="D6" s="20" t="s">
        <v>40</v>
      </c>
      <c r="E6" s="16">
        <v>20416378</v>
      </c>
      <c r="F6" s="20" t="s">
        <v>435</v>
      </c>
      <c r="G6" s="44">
        <v>4</v>
      </c>
      <c r="H6" s="45">
        <v>61.6</v>
      </c>
      <c r="I6" s="45">
        <f t="shared" ref="I6:I12" si="0">H6*G6</f>
        <v>246.4</v>
      </c>
    </row>
    <row r="7" spans="1:9">
      <c r="A7" s="43">
        <v>46182</v>
      </c>
      <c r="B7" s="16">
        <v>1610777</v>
      </c>
      <c r="C7" s="16" t="s">
        <v>434</v>
      </c>
      <c r="D7" s="20" t="s">
        <v>40</v>
      </c>
      <c r="E7" s="16">
        <v>20416379</v>
      </c>
      <c r="F7" s="20" t="s">
        <v>436</v>
      </c>
      <c r="G7" s="44">
        <v>11</v>
      </c>
      <c r="H7" s="45">
        <v>24.5</v>
      </c>
      <c r="I7" s="45">
        <f t="shared" si="0"/>
        <v>269.5</v>
      </c>
    </row>
    <row r="8" spans="1:9">
      <c r="A8" s="43">
        <v>46182</v>
      </c>
      <c r="B8" s="16">
        <v>1610779</v>
      </c>
      <c r="C8" s="16" t="s">
        <v>434</v>
      </c>
      <c r="D8" s="20" t="s">
        <v>27</v>
      </c>
      <c r="E8" s="16">
        <v>20421518</v>
      </c>
      <c r="F8" s="20" t="s">
        <v>439</v>
      </c>
      <c r="G8" s="44">
        <v>1</v>
      </c>
      <c r="H8" s="45">
        <v>11.55</v>
      </c>
      <c r="I8" s="45">
        <f t="shared" si="0"/>
        <v>11.55</v>
      </c>
    </row>
    <row r="9" ht="24.75" spans="1:9">
      <c r="A9" s="43">
        <v>46182</v>
      </c>
      <c r="B9" s="16">
        <v>1610779</v>
      </c>
      <c r="C9" s="16" t="s">
        <v>440</v>
      </c>
      <c r="D9" s="20" t="s">
        <v>238</v>
      </c>
      <c r="E9" s="16">
        <v>20429161</v>
      </c>
      <c r="F9" s="20" t="s">
        <v>474</v>
      </c>
      <c r="G9" s="44">
        <v>1</v>
      </c>
      <c r="H9" s="45">
        <v>100.1</v>
      </c>
      <c r="I9" s="45">
        <f t="shared" si="0"/>
        <v>100.1</v>
      </c>
    </row>
    <row r="10" ht="24.75" spans="1:9">
      <c r="A10" s="43">
        <v>46182</v>
      </c>
      <c r="B10" s="16">
        <v>1610779</v>
      </c>
      <c r="C10" s="16" t="s">
        <v>440</v>
      </c>
      <c r="D10" s="20" t="s">
        <v>238</v>
      </c>
      <c r="E10" s="16">
        <v>20429162</v>
      </c>
      <c r="F10" s="20" t="s">
        <v>475</v>
      </c>
      <c r="G10" s="44">
        <v>1</v>
      </c>
      <c r="H10" s="45">
        <v>123.2</v>
      </c>
      <c r="I10" s="45">
        <f t="shared" si="0"/>
        <v>123.2</v>
      </c>
    </row>
    <row r="11" ht="24.75" spans="1:9">
      <c r="A11" s="43">
        <v>46182</v>
      </c>
      <c r="B11" s="16">
        <v>1610779</v>
      </c>
      <c r="C11" s="16" t="s">
        <v>440</v>
      </c>
      <c r="D11" s="20" t="s">
        <v>238</v>
      </c>
      <c r="E11" s="16">
        <v>20429163</v>
      </c>
      <c r="F11" s="20" t="s">
        <v>476</v>
      </c>
      <c r="G11" s="44">
        <v>1</v>
      </c>
      <c r="H11" s="45">
        <v>146.3</v>
      </c>
      <c r="I11" s="45">
        <f t="shared" si="0"/>
        <v>146.3</v>
      </c>
    </row>
    <row r="12" ht="25.5" spans="1:9">
      <c r="A12" s="43">
        <v>46182</v>
      </c>
      <c r="B12" s="16">
        <v>1610779</v>
      </c>
      <c r="C12" s="16" t="s">
        <v>440</v>
      </c>
      <c r="D12" s="20" t="s">
        <v>238</v>
      </c>
      <c r="E12" s="16">
        <v>20429164</v>
      </c>
      <c r="F12" s="20" t="s">
        <v>477</v>
      </c>
      <c r="G12" s="44">
        <v>1</v>
      </c>
      <c r="H12" s="45">
        <v>234.85</v>
      </c>
      <c r="I12" s="45">
        <f t="shared" si="0"/>
        <v>234.85</v>
      </c>
    </row>
    <row r="13" spans="1:9">
      <c r="A13" s="46" t="s">
        <v>432</v>
      </c>
      <c r="B13" s="47"/>
      <c r="C13" s="47"/>
      <c r="D13" s="47"/>
      <c r="E13" s="47"/>
      <c r="F13" s="47"/>
      <c r="G13" s="47"/>
      <c r="H13" s="48"/>
      <c r="I13" s="45">
        <f>SUM(I6:I12)</f>
        <v>1131.9</v>
      </c>
    </row>
    <row r="16" spans="1:9">
      <c r="A16" s="38" t="s">
        <v>478</v>
      </c>
      <c r="B16" s="38"/>
      <c r="C16" s="38"/>
      <c r="D16" s="38"/>
      <c r="E16" s="38"/>
      <c r="F16" s="38"/>
      <c r="G16" s="38"/>
      <c r="H16" s="38"/>
      <c r="I16" s="38"/>
    </row>
    <row r="17" spans="1:9">
      <c r="A17" s="38"/>
      <c r="B17" s="38"/>
      <c r="C17" s="38"/>
      <c r="D17" s="38"/>
      <c r="E17" s="38"/>
      <c r="F17" s="38"/>
      <c r="G17" s="38"/>
      <c r="H17" s="38"/>
      <c r="I17" s="38"/>
    </row>
    <row r="18" spans="1:9">
      <c r="A18" s="9" t="s">
        <v>4</v>
      </c>
      <c r="B18" s="9" t="s">
        <v>5</v>
      </c>
      <c r="C18" s="9" t="s">
        <v>429</v>
      </c>
      <c r="D18" s="9" t="s">
        <v>6</v>
      </c>
      <c r="E18" s="9" t="s">
        <v>430</v>
      </c>
      <c r="F18" s="9" t="s">
        <v>8</v>
      </c>
      <c r="G18" s="39" t="s">
        <v>431</v>
      </c>
      <c r="H18" s="39" t="s">
        <v>10</v>
      </c>
      <c r="I18" s="39" t="s">
        <v>432</v>
      </c>
    </row>
    <row r="19" ht="15" spans="1:9">
      <c r="A19" s="49" t="s">
        <v>453</v>
      </c>
      <c r="B19" s="6" t="s">
        <v>2</v>
      </c>
      <c r="C19" s="6" t="s">
        <v>2</v>
      </c>
      <c r="D19" s="6" t="s">
        <v>2</v>
      </c>
      <c r="E19" s="6" t="s">
        <v>2</v>
      </c>
      <c r="F19" s="40" t="s">
        <v>2</v>
      </c>
      <c r="G19" s="41"/>
      <c r="H19" s="40" t="s">
        <v>2</v>
      </c>
      <c r="I19" s="42"/>
    </row>
    <row r="20" ht="24.75" spans="1:9">
      <c r="A20" s="43">
        <v>46195</v>
      </c>
      <c r="B20" s="16">
        <v>1614015</v>
      </c>
      <c r="C20" s="16" t="s">
        <v>440</v>
      </c>
      <c r="D20" s="20" t="s">
        <v>238</v>
      </c>
      <c r="E20" s="16">
        <v>20430629</v>
      </c>
      <c r="F20" s="20" t="s">
        <v>479</v>
      </c>
      <c r="G20" s="44">
        <v>1</v>
      </c>
      <c r="H20" s="45">
        <v>88</v>
      </c>
      <c r="I20" s="45">
        <v>88</v>
      </c>
    </row>
    <row r="21" ht="24.75" spans="1:9">
      <c r="A21" s="43">
        <v>46195</v>
      </c>
      <c r="B21" s="16">
        <v>1614015</v>
      </c>
      <c r="C21" s="16" t="s">
        <v>440</v>
      </c>
      <c r="D21" s="20" t="s">
        <v>238</v>
      </c>
      <c r="E21" s="16">
        <v>20430630</v>
      </c>
      <c r="F21" s="20" t="s">
        <v>480</v>
      </c>
      <c r="G21" s="44">
        <v>1</v>
      </c>
      <c r="H21" s="45">
        <v>143</v>
      </c>
      <c r="I21" s="45">
        <v>143</v>
      </c>
    </row>
    <row r="22" ht="24.75" spans="1:9">
      <c r="A22" s="43">
        <v>46195</v>
      </c>
      <c r="B22" s="16">
        <v>1614015</v>
      </c>
      <c r="C22" s="16" t="s">
        <v>440</v>
      </c>
      <c r="D22" s="20" t="s">
        <v>238</v>
      </c>
      <c r="E22" s="16">
        <v>20430631</v>
      </c>
      <c r="F22" s="20" t="s">
        <v>481</v>
      </c>
      <c r="G22" s="44">
        <v>1</v>
      </c>
      <c r="H22" s="45">
        <v>49.5</v>
      </c>
      <c r="I22" s="45">
        <v>49.5</v>
      </c>
    </row>
    <row r="23" ht="24.75" spans="1:9">
      <c r="A23" s="43">
        <v>46195</v>
      </c>
      <c r="B23" s="16">
        <v>1614015</v>
      </c>
      <c r="C23" s="16" t="s">
        <v>440</v>
      </c>
      <c r="D23" s="20" t="s">
        <v>238</v>
      </c>
      <c r="E23" s="16">
        <v>20430632</v>
      </c>
      <c r="F23" s="20" t="s">
        <v>482</v>
      </c>
      <c r="G23" s="44">
        <v>1</v>
      </c>
      <c r="H23" s="45">
        <v>66</v>
      </c>
      <c r="I23" s="45">
        <v>66</v>
      </c>
    </row>
    <row r="24" ht="24.75" spans="1:9">
      <c r="A24" s="43">
        <v>46195</v>
      </c>
      <c r="B24" s="16">
        <v>1614015</v>
      </c>
      <c r="C24" s="16" t="s">
        <v>440</v>
      </c>
      <c r="D24" s="20" t="s">
        <v>238</v>
      </c>
      <c r="E24" s="16">
        <v>20430633</v>
      </c>
      <c r="F24" s="20" t="s">
        <v>483</v>
      </c>
      <c r="G24" s="44">
        <v>1</v>
      </c>
      <c r="H24" s="45">
        <v>104.5</v>
      </c>
      <c r="I24" s="45">
        <v>104.5</v>
      </c>
    </row>
    <row r="25" ht="24.75" spans="1:9">
      <c r="A25" s="43">
        <v>46195</v>
      </c>
      <c r="B25" s="16">
        <v>1614015</v>
      </c>
      <c r="C25" s="16" t="s">
        <v>440</v>
      </c>
      <c r="D25" s="20" t="s">
        <v>238</v>
      </c>
      <c r="E25" s="16">
        <v>20430634</v>
      </c>
      <c r="F25" s="20" t="s">
        <v>484</v>
      </c>
      <c r="G25" s="44">
        <v>1</v>
      </c>
      <c r="H25" s="45">
        <v>198</v>
      </c>
      <c r="I25" s="45">
        <v>198</v>
      </c>
    </row>
    <row r="26" ht="24.75" spans="1:9">
      <c r="A26" s="43">
        <v>46195</v>
      </c>
      <c r="B26" s="16">
        <v>1614015</v>
      </c>
      <c r="C26" s="16" t="s">
        <v>440</v>
      </c>
      <c r="D26" s="20" t="s">
        <v>238</v>
      </c>
      <c r="E26" s="16">
        <v>20430635</v>
      </c>
      <c r="F26" s="20" t="s">
        <v>485</v>
      </c>
      <c r="G26" s="44">
        <v>1</v>
      </c>
      <c r="H26" s="45">
        <v>187</v>
      </c>
      <c r="I26" s="45">
        <v>187</v>
      </c>
    </row>
    <row r="27" spans="1:9">
      <c r="A27" s="46" t="s">
        <v>432</v>
      </c>
      <c r="B27" s="47"/>
      <c r="C27" s="47"/>
      <c r="D27" s="47"/>
      <c r="E27" s="47"/>
      <c r="F27" s="47"/>
      <c r="G27" s="47"/>
      <c r="H27" s="48"/>
      <c r="I27" s="45">
        <f>SUM(I20:I26)</f>
        <v>836</v>
      </c>
    </row>
  </sheetData>
  <mergeCells count="7">
    <mergeCell ref="A1:I1"/>
    <mergeCell ref="A5:E5"/>
    <mergeCell ref="A13:H13"/>
    <mergeCell ref="A19:E19"/>
    <mergeCell ref="A27:H27"/>
    <mergeCell ref="A2:I3"/>
    <mergeCell ref="A16:I17"/>
  </mergeCells>
  <pageMargins left="0.25" right="0.25" top="0.75" bottom="0.75" header="0.298611111111111" footer="0.298611111111111"/>
  <pageSetup paperSize="9" scale="96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1" workbookViewId="0">
      <selection activeCell="E36" sqref="E36"/>
    </sheetView>
  </sheetViews>
  <sheetFormatPr defaultColWidth="9" defaultRowHeight="13.5" outlineLevelCol="5"/>
  <cols>
    <col min="1" max="1" width="9.75" customWidth="1"/>
    <col min="2" max="2" width="22.275" customWidth="1"/>
    <col min="3" max="3" width="11.8833333333333" style="22" customWidth="1"/>
    <col min="4" max="4" width="21" customWidth="1"/>
    <col min="5" max="5" width="18.6916666666667" customWidth="1"/>
    <col min="6" max="6" width="17" customWidth="1"/>
    <col min="9" max="9" width="9.375"/>
  </cols>
  <sheetData>
    <row r="1" customFormat="1" ht="25.5" spans="1:6">
      <c r="A1" s="23" t="s">
        <v>486</v>
      </c>
      <c r="B1" s="23"/>
      <c r="C1" s="23"/>
      <c r="D1" s="23"/>
      <c r="E1" s="23"/>
      <c r="F1" s="23"/>
    </row>
    <row r="2" customFormat="1" ht="20" customHeight="1" spans="1:6">
      <c r="A2" s="24" t="s">
        <v>487</v>
      </c>
      <c r="B2" s="24" t="s">
        <v>488</v>
      </c>
      <c r="C2" s="24" t="s">
        <v>489</v>
      </c>
      <c r="D2" s="24" t="s">
        <v>490</v>
      </c>
      <c r="E2" s="24" t="s">
        <v>491</v>
      </c>
      <c r="F2" s="24" t="s">
        <v>492</v>
      </c>
    </row>
    <row r="3" customFormat="1" ht="20" customHeight="1" spans="1:6">
      <c r="A3" s="25">
        <v>1</v>
      </c>
      <c r="B3" s="26">
        <v>46175</v>
      </c>
      <c r="C3" s="27">
        <v>1</v>
      </c>
      <c r="D3" s="25">
        <v>98</v>
      </c>
      <c r="E3" s="25">
        <f t="shared" ref="E3:E12" si="0">D3*C3</f>
        <v>98</v>
      </c>
      <c r="F3" s="25"/>
    </row>
    <row r="4" customFormat="1" ht="20" customHeight="1" spans="1:6">
      <c r="A4" s="25">
        <v>3</v>
      </c>
      <c r="B4" s="26">
        <v>46177</v>
      </c>
      <c r="C4" s="27">
        <v>1</v>
      </c>
      <c r="D4" s="25">
        <v>80.5</v>
      </c>
      <c r="E4" s="25">
        <f t="shared" si="0"/>
        <v>80.5</v>
      </c>
      <c r="F4" s="25"/>
    </row>
    <row r="5" customFormat="1" ht="20" customHeight="1" spans="1:6">
      <c r="A5" s="25">
        <v>5</v>
      </c>
      <c r="B5" s="26">
        <v>46181</v>
      </c>
      <c r="C5" s="27">
        <v>1</v>
      </c>
      <c r="D5" s="25">
        <v>80.5</v>
      </c>
      <c r="E5" s="25">
        <f t="shared" si="0"/>
        <v>80.5</v>
      </c>
      <c r="F5" s="25"/>
    </row>
    <row r="6" customFormat="1" ht="20" customHeight="1" spans="1:6">
      <c r="A6" s="25">
        <v>6</v>
      </c>
      <c r="B6" s="26">
        <v>46182</v>
      </c>
      <c r="C6" s="27">
        <v>2</v>
      </c>
      <c r="D6" s="25">
        <v>98</v>
      </c>
      <c r="E6" s="25">
        <f t="shared" si="0"/>
        <v>196</v>
      </c>
      <c r="F6" s="25"/>
    </row>
    <row r="7" customFormat="1" ht="20" customHeight="1" spans="1:6">
      <c r="A7" s="25">
        <v>8</v>
      </c>
      <c r="B7" s="26">
        <v>46189</v>
      </c>
      <c r="C7" s="27">
        <v>1</v>
      </c>
      <c r="D7" s="25">
        <v>98</v>
      </c>
      <c r="E7" s="25">
        <f t="shared" si="0"/>
        <v>98</v>
      </c>
      <c r="F7" s="25"/>
    </row>
    <row r="8" customFormat="1" ht="20" customHeight="1" spans="1:6">
      <c r="A8" s="25">
        <v>9</v>
      </c>
      <c r="B8" s="26">
        <v>46191</v>
      </c>
      <c r="C8" s="27">
        <v>1</v>
      </c>
      <c r="D8" s="25">
        <v>98</v>
      </c>
      <c r="E8" s="25">
        <f t="shared" si="0"/>
        <v>98</v>
      </c>
      <c r="F8" s="25"/>
    </row>
    <row r="9" customFormat="1" ht="20" customHeight="1" spans="1:6">
      <c r="A9" s="25">
        <v>10</v>
      </c>
      <c r="B9" s="26">
        <v>46192</v>
      </c>
      <c r="C9" s="27">
        <v>1</v>
      </c>
      <c r="D9" s="25">
        <v>80.5</v>
      </c>
      <c r="E9" s="25">
        <f t="shared" si="0"/>
        <v>80.5</v>
      </c>
      <c r="F9" s="25"/>
    </row>
    <row r="10" customFormat="1" ht="20" customHeight="1" spans="1:6">
      <c r="A10" s="25">
        <v>12</v>
      </c>
      <c r="B10" s="26">
        <v>46193</v>
      </c>
      <c r="C10" s="27">
        <v>1</v>
      </c>
      <c r="D10" s="25">
        <v>80.5</v>
      </c>
      <c r="E10" s="25">
        <f t="shared" si="0"/>
        <v>80.5</v>
      </c>
      <c r="F10" s="25"/>
    </row>
    <row r="11" customFormat="1" ht="20" customHeight="1" spans="1:6">
      <c r="A11" s="25">
        <v>13</v>
      </c>
      <c r="B11" s="26">
        <v>46195</v>
      </c>
      <c r="C11" s="27">
        <v>1</v>
      </c>
      <c r="D11" s="25">
        <v>98</v>
      </c>
      <c r="E11" s="25">
        <f t="shared" si="0"/>
        <v>98</v>
      </c>
      <c r="F11" s="25"/>
    </row>
    <row r="12" customFormat="1" ht="20" customHeight="1" spans="1:6">
      <c r="A12" s="25">
        <v>14</v>
      </c>
      <c r="B12" s="26">
        <v>46197</v>
      </c>
      <c r="C12" s="27">
        <v>1</v>
      </c>
      <c r="D12" s="25">
        <v>98</v>
      </c>
      <c r="E12" s="25">
        <f t="shared" si="0"/>
        <v>98</v>
      </c>
      <c r="F12" s="25"/>
    </row>
    <row r="13" customFormat="1" ht="20" customHeight="1" spans="1:6">
      <c r="A13" s="25">
        <v>15</v>
      </c>
      <c r="B13" s="28"/>
      <c r="C13" s="28"/>
      <c r="D13" s="28"/>
      <c r="E13" s="28"/>
      <c r="F13" s="25"/>
    </row>
    <row r="14" customFormat="1" ht="20" customHeight="1" spans="1:6">
      <c r="A14" s="25">
        <v>16</v>
      </c>
      <c r="B14" s="28"/>
      <c r="C14" s="28"/>
      <c r="D14" s="28"/>
      <c r="E14" s="28"/>
      <c r="F14" s="25"/>
    </row>
    <row r="15" customFormat="1" ht="20" customHeight="1" spans="1:6">
      <c r="A15" s="25">
        <v>17</v>
      </c>
      <c r="B15" s="28"/>
      <c r="C15" s="28"/>
      <c r="D15" s="28"/>
      <c r="E15" s="28"/>
      <c r="F15" s="25"/>
    </row>
    <row r="16" customFormat="1" ht="20" customHeight="1" spans="1:6">
      <c r="A16" s="25">
        <v>18</v>
      </c>
      <c r="B16" s="28"/>
      <c r="C16" s="27"/>
      <c r="D16" s="25"/>
      <c r="E16" s="25"/>
      <c r="F16" s="25"/>
    </row>
    <row r="17" customFormat="1" ht="20" customHeight="1" spans="1:6">
      <c r="A17" s="25">
        <v>19</v>
      </c>
      <c r="B17" s="28"/>
      <c r="C17" s="28"/>
      <c r="D17" s="28"/>
      <c r="E17" s="28"/>
      <c r="F17" s="25"/>
    </row>
    <row r="18" customFormat="1" ht="20" customHeight="1" spans="1:6">
      <c r="A18" s="25">
        <v>20</v>
      </c>
      <c r="B18" s="28"/>
      <c r="C18" s="28"/>
      <c r="D18" s="28"/>
      <c r="E18" s="28"/>
      <c r="F18" s="25"/>
    </row>
    <row r="19" customFormat="1" ht="20" customHeight="1" spans="1:6">
      <c r="A19" s="25">
        <v>21</v>
      </c>
      <c r="B19" s="28"/>
      <c r="C19" s="28"/>
      <c r="D19" s="28"/>
      <c r="E19" s="28"/>
      <c r="F19" s="25"/>
    </row>
    <row r="20" customFormat="1" ht="20" customHeight="1" spans="1:6">
      <c r="A20" s="25">
        <v>22</v>
      </c>
      <c r="B20" s="28"/>
      <c r="C20" s="28"/>
      <c r="D20" s="28"/>
      <c r="E20" s="28"/>
      <c r="F20" s="25"/>
    </row>
    <row r="21" customFormat="1" ht="20" customHeight="1" spans="1:6">
      <c r="A21" s="25">
        <v>23</v>
      </c>
      <c r="B21" s="28"/>
      <c r="C21" s="28"/>
      <c r="D21" s="28"/>
      <c r="E21" s="28"/>
      <c r="F21" s="25"/>
    </row>
    <row r="22" customFormat="1" ht="20" customHeight="1" spans="1:6">
      <c r="A22" s="25">
        <v>24</v>
      </c>
      <c r="B22" s="28"/>
      <c r="C22" s="28"/>
      <c r="D22" s="28"/>
      <c r="E22" s="28"/>
      <c r="F22" s="25"/>
    </row>
    <row r="23" customFormat="1" ht="20" customHeight="1" spans="1:6">
      <c r="A23" s="25">
        <v>25</v>
      </c>
      <c r="B23" s="29"/>
      <c r="C23" s="25"/>
      <c r="D23" s="25"/>
      <c r="E23" s="25"/>
      <c r="F23" s="25"/>
    </row>
    <row r="24" customFormat="1" ht="20" customHeight="1" spans="1:6">
      <c r="A24" s="25">
        <v>26</v>
      </c>
      <c r="B24" s="29"/>
      <c r="C24" s="25"/>
      <c r="D24" s="25"/>
      <c r="E24" s="25"/>
      <c r="F24" s="25"/>
    </row>
    <row r="25" customFormat="1" ht="20" customHeight="1" spans="1:6">
      <c r="A25" s="25">
        <v>27</v>
      </c>
      <c r="B25" s="29"/>
      <c r="C25" s="25"/>
      <c r="D25" s="25"/>
      <c r="E25" s="25"/>
      <c r="F25" s="25"/>
    </row>
    <row r="26" customFormat="1" ht="20" customHeight="1" spans="1:6">
      <c r="A26" s="25">
        <v>28</v>
      </c>
      <c r="B26" s="29"/>
      <c r="C26" s="25"/>
      <c r="D26" s="25"/>
      <c r="E26" s="25"/>
      <c r="F26" s="25"/>
    </row>
    <row r="27" customFormat="1" ht="20" customHeight="1" spans="1:6">
      <c r="A27" s="25">
        <v>29</v>
      </c>
      <c r="B27" s="29"/>
      <c r="C27" s="25"/>
      <c r="D27" s="25"/>
      <c r="E27" s="25"/>
      <c r="F27" s="30"/>
    </row>
    <row r="28" customFormat="1" ht="20" customHeight="1" spans="1:6">
      <c r="A28" s="25">
        <v>30</v>
      </c>
      <c r="B28" s="31"/>
      <c r="C28" s="31"/>
      <c r="D28" s="31"/>
      <c r="E28" s="25"/>
      <c r="F28" s="30"/>
    </row>
    <row r="29" customFormat="1" ht="20" customHeight="1" spans="1:6">
      <c r="A29" s="31">
        <f>E29</f>
        <v>1008</v>
      </c>
      <c r="B29" s="31"/>
      <c r="C29" s="31"/>
      <c r="D29" s="31"/>
      <c r="E29" s="25">
        <f>SUM(E3:E27)</f>
        <v>1008</v>
      </c>
      <c r="F29" s="30"/>
    </row>
    <row r="30" ht="6" customHeight="1"/>
    <row r="31" customFormat="1" ht="15" customHeight="1" spans="1:6">
      <c r="A31" s="32" t="s">
        <v>493</v>
      </c>
      <c r="B31" s="32"/>
      <c r="C31" s="33"/>
      <c r="D31" s="32"/>
      <c r="E31" s="32"/>
      <c r="F31" s="32"/>
    </row>
    <row r="32" customFormat="1" ht="20" customHeight="1" spans="1:6">
      <c r="A32" s="34">
        <v>46203</v>
      </c>
      <c r="B32" s="34"/>
      <c r="C32" s="35"/>
      <c r="D32" s="34"/>
      <c r="E32" s="34"/>
      <c r="F32" s="34"/>
    </row>
  </sheetData>
  <mergeCells count="4">
    <mergeCell ref="A1:F1"/>
    <mergeCell ref="A29:D29"/>
    <mergeCell ref="A31:F31"/>
    <mergeCell ref="A32:F3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view="pageBreakPreview" zoomScaleNormal="100" workbookViewId="0">
      <selection activeCell="J12" sqref="J12"/>
    </sheetView>
  </sheetViews>
  <sheetFormatPr defaultColWidth="9" defaultRowHeight="13.5"/>
  <cols>
    <col min="1" max="1" width="0.225" style="1" customWidth="1"/>
    <col min="2" max="2" width="1.09166666666667" style="1" customWidth="1"/>
    <col min="3" max="3" width="1.25833333333333" style="1" customWidth="1"/>
    <col min="4" max="4" width="13.7083333333333" style="1" customWidth="1"/>
    <col min="5" max="5" width="17.025" style="1" customWidth="1"/>
    <col min="6" max="6" width="6.75" style="1" customWidth="1"/>
    <col min="7" max="7" width="20.225" style="1" customWidth="1"/>
    <col min="8" max="8" width="13.85" style="1" customWidth="1"/>
    <col min="9" max="9" width="18.125" style="1" customWidth="1"/>
    <col min="10" max="10" width="12.375" style="1" customWidth="1"/>
    <col min="11" max="16374" width="9" style="1"/>
  </cols>
  <sheetData>
    <row r="1" s="1" customFormat="1" ht="25.5" customHeight="1" spans="1:10">
      <c r="B1" s="2" t="s">
        <v>494</v>
      </c>
    </row>
    <row r="2" s="1" customFormat="1" ht="2" customHeight="1"/>
    <row r="3" s="1" customFormat="1" ht="12.75" customHeight="1" spans="1:10">
      <c r="B3" s="3" t="s">
        <v>495</v>
      </c>
    </row>
    <row r="4" s="1" customFormat="1"/>
    <row r="5" s="1" customFormat="1" ht="2.05" customHeight="1"/>
    <row r="6" s="1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s="1" customFormat="1" ht="15.75" spans="1:10">
      <c r="A7" s="5" t="s">
        <v>2</v>
      </c>
      <c r="B7" s="6" t="s">
        <v>2</v>
      </c>
      <c r="C7" s="5" t="s">
        <v>2</v>
      </c>
      <c r="D7" s="7" t="s">
        <v>3</v>
      </c>
      <c r="E7" s="6" t="s">
        <v>2</v>
      </c>
      <c r="F7" s="6" t="s">
        <v>2</v>
      </c>
      <c r="G7" s="6" t="s">
        <v>2</v>
      </c>
      <c r="H7" s="6" t="s">
        <v>2</v>
      </c>
      <c r="I7" s="5" t="s">
        <v>2</v>
      </c>
      <c r="J7" s="8">
        <f>J9</f>
        <v>-425.6</v>
      </c>
    </row>
    <row r="8" s="1" customFormat="1" spans="1:10">
      <c r="A8" s="9" t="s">
        <v>2</v>
      </c>
      <c r="C8" s="10" t="s">
        <v>2</v>
      </c>
      <c r="D8" s="10" t="s">
        <v>496</v>
      </c>
      <c r="E8" s="10" t="s">
        <v>497</v>
      </c>
      <c r="F8" s="10" t="s">
        <v>498</v>
      </c>
      <c r="G8" s="10" t="s">
        <v>499</v>
      </c>
      <c r="H8" s="10" t="s">
        <v>7</v>
      </c>
      <c r="I8" s="10" t="s">
        <v>500</v>
      </c>
      <c r="J8" s="10" t="s">
        <v>501</v>
      </c>
    </row>
    <row r="9" s="1" customFormat="1" ht="14.25" spans="1:10">
      <c r="C9" s="10" t="s">
        <v>2</v>
      </c>
      <c r="D9" s="11" t="s">
        <v>160</v>
      </c>
      <c r="E9" s="6" t="s">
        <v>2</v>
      </c>
      <c r="F9" s="6" t="s">
        <v>2</v>
      </c>
      <c r="G9" s="6" t="s">
        <v>2</v>
      </c>
      <c r="H9" s="6" t="s">
        <v>2</v>
      </c>
      <c r="I9" s="10" t="s">
        <v>2</v>
      </c>
      <c r="J9" s="12">
        <f>J10+J12</f>
        <v>-425.6</v>
      </c>
    </row>
    <row r="10" s="1" customFormat="1" spans="1:10">
      <c r="C10" s="9" t="s">
        <v>2</v>
      </c>
      <c r="D10" s="13" t="s">
        <v>36</v>
      </c>
      <c r="E10" s="6" t="s">
        <v>2</v>
      </c>
      <c r="F10" s="6" t="s">
        <v>2</v>
      </c>
      <c r="G10" s="6" t="s">
        <v>2</v>
      </c>
      <c r="H10" s="6" t="s">
        <v>2</v>
      </c>
      <c r="I10" s="14" t="s">
        <v>2</v>
      </c>
      <c r="J10" s="15">
        <f>J11</f>
        <v>-284.9</v>
      </c>
    </row>
    <row r="11" s="1" customFormat="1" spans="1:10">
      <c r="D11" s="16">
        <v>3006185215</v>
      </c>
      <c r="E11" s="17">
        <v>46205.5922840625</v>
      </c>
      <c r="F11" s="18" t="s">
        <v>502</v>
      </c>
      <c r="G11" s="19">
        <v>46151.9160227662</v>
      </c>
      <c r="H11" s="20">
        <v>20011908</v>
      </c>
      <c r="I11" s="20" t="s">
        <v>295</v>
      </c>
      <c r="J11" s="21">
        <v>-284.9</v>
      </c>
    </row>
    <row r="12" s="1" customFormat="1" spans="1:10">
      <c r="D12" s="13" t="s">
        <v>434</v>
      </c>
      <c r="E12" s="6" t="s">
        <v>2</v>
      </c>
      <c r="F12" s="6" t="s">
        <v>2</v>
      </c>
      <c r="G12" s="6" t="s">
        <v>2</v>
      </c>
      <c r="H12" s="6" t="s">
        <v>2</v>
      </c>
      <c r="I12" s="14" t="s">
        <v>2</v>
      </c>
      <c r="J12" s="15">
        <f>J13+J14+J15</f>
        <v>-140.7</v>
      </c>
    </row>
    <row r="13" s="1" customFormat="1" spans="1:10">
      <c r="D13" s="16">
        <v>3006329893</v>
      </c>
      <c r="E13" s="17">
        <v>46205.5892462616</v>
      </c>
      <c r="F13" s="18" t="s">
        <v>502</v>
      </c>
      <c r="G13" s="19">
        <v>46197.9117484954</v>
      </c>
      <c r="H13" s="20">
        <v>20008639</v>
      </c>
      <c r="I13" s="20" t="s">
        <v>195</v>
      </c>
      <c r="J13" s="21">
        <v>-17.5</v>
      </c>
    </row>
    <row r="14" s="1" customFormat="1" spans="1:10">
      <c r="D14" s="16">
        <v>3006334306</v>
      </c>
      <c r="E14" s="17">
        <v>46205.589519294</v>
      </c>
      <c r="F14" s="18" t="s">
        <v>502</v>
      </c>
      <c r="G14" s="19">
        <v>46199.0738034375</v>
      </c>
      <c r="H14" s="20">
        <v>20365404</v>
      </c>
      <c r="I14" s="20" t="s">
        <v>390</v>
      </c>
      <c r="J14" s="21">
        <v>-61.6</v>
      </c>
    </row>
    <row r="15" s="1" customFormat="1" spans="1:10">
      <c r="D15" s="16">
        <v>3006334307</v>
      </c>
      <c r="E15" s="17">
        <v>46205.5896820949</v>
      </c>
      <c r="F15" s="18" t="s">
        <v>502</v>
      </c>
      <c r="G15" s="19">
        <v>46199.073788044</v>
      </c>
      <c r="H15" s="20">
        <v>20365405</v>
      </c>
      <c r="I15" s="20" t="s">
        <v>283</v>
      </c>
      <c r="J15" s="21">
        <v>-61.6</v>
      </c>
    </row>
    <row r="16" s="1" customFormat="1" spans="1:10">
      <c r="A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</row>
    <row r="17" s="1" customFormat="1" ht="11.6" customHeight="1"/>
  </sheetData>
  <mergeCells count="10">
    <mergeCell ref="B1:I1"/>
    <mergeCell ref="A7:B7"/>
    <mergeCell ref="D7:H7"/>
    <mergeCell ref="D9:H9"/>
    <mergeCell ref="D10:H10"/>
    <mergeCell ref="D12:H12"/>
    <mergeCell ref="A16:B16"/>
    <mergeCell ref="C10:C15"/>
    <mergeCell ref="A8:B15"/>
    <mergeCell ref="B3:E4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ICU</vt:lpstr>
      <vt:lpstr>导管室</vt:lpstr>
      <vt:lpstr>耳鼻喉</vt:lpstr>
      <vt:lpstr>妇科病房</vt:lpstr>
      <vt:lpstr>妇科手术室</vt:lpstr>
      <vt:lpstr>骨一科</vt:lpstr>
      <vt:lpstr>急诊</vt:lpstr>
      <vt:lpstr>静配中心</vt:lpstr>
      <vt:lpstr>康复科</vt:lpstr>
      <vt:lpstr>麻醉科</vt:lpstr>
      <vt:lpstr>美容（手术室）</vt:lpstr>
      <vt:lpstr>美容科病房</vt:lpstr>
      <vt:lpstr>泌尿外</vt:lpstr>
      <vt:lpstr>泌尿外科（一病区）</vt:lpstr>
      <vt:lpstr>普外科</vt:lpstr>
      <vt:lpstr>神经外科</vt:lpstr>
      <vt:lpstr>手术室</vt:lpstr>
      <vt:lpstr>物理诊断科</vt:lpstr>
      <vt:lpstr>消化科</vt:lpstr>
      <vt:lpstr>心内二</vt:lpstr>
      <vt:lpstr>心内四</vt:lpstr>
      <vt:lpstr>眼科手术室</vt:lpstr>
      <vt:lpstr>影像科</vt:lpstr>
      <vt:lpstr>中医科</vt:lpstr>
      <vt:lpstr>周围血管病</vt:lpstr>
      <vt:lpstr>外来器械</vt:lpstr>
      <vt:lpstr>加急</vt:lpstr>
      <vt:lpstr>外来器械加急</vt:lpstr>
      <vt:lpstr>异常物流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2026-07-02T01:25:00Z</dcterms:created>
  <dcterms:modified xsi:type="dcterms:W3CDTF">2026-07-06T04:52:34Z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B9CEB7739A6543FA8793EB0A8063766E_13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