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950" windowHeight="11655" activeTab="1"/>
  </bookViews>
  <sheets>
    <sheet name="供应室" sheetId="1" r:id="rId1"/>
    <sheet name="手术室" sheetId="2" r:id="rId2"/>
  </sheets>
  <definedNames>
    <definedName name="_xlnm._FilterDatabase" localSheetId="0" hidden="1">供应室!$A$9:$K$35</definedName>
    <definedName name="_xlnm._FilterDatabase" localSheetId="1" hidden="1">手术室!$A$7:$K$142</definedName>
    <definedName name="_xlnm.Print_Titles" localSheetId="0">供应室!$1:$6</definedName>
    <definedName name="_xlnm.Print_Titles" localSheetId="1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<sst xmlns="http://schemas.openxmlformats.org/spreadsheetml/2006/main" count="366" uniqueCount="95">
  <si>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</si>
  <si>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2026/2/1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2026/2/28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</si>
  <si>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</si>
  <si>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武警黑龙江省总队医院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</si>
  <si>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</si>
  <si>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</si>
  <si>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</si>
  <si>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</si>
  <si>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</si>
  <si>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</si>
  <si>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</si>
  <si>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</si>
  <si>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供应室</t>
  </si>
  <si>
    <t>敷料包</t>
  </si>
  <si>
    <t>敷料包(无纺布包)</t>
  </si>
  <si>
    <t>器械包（无纺布）</t>
  </si>
  <si>
    <t>敷料包（无纺布）</t>
  </si>
  <si>
    <t>敷料包(纸塑袋)</t>
  </si>
  <si>
    <t>敷料包（纸塑袋）</t>
  </si>
  <si>
    <t>额外包(无纺布)</t>
  </si>
  <si>
    <t>弯盘1镊子2/z2032</t>
  </si>
  <si>
    <t>静切包-13件/W6050</t>
  </si>
  <si>
    <t>额外包(纸塑袋)</t>
  </si>
  <si>
    <t>器械包（纸塑袋）</t>
  </si>
  <si>
    <t>缝合包8件/W605050</t>
  </si>
  <si>
    <t>额外包(ETO)</t>
  </si>
  <si>
    <t>环氧乙烷（自行打包）-1包</t>
  </si>
  <si>
    <t>手术室</t>
  </si>
  <si>
    <t>骨科租赁器械包-带植入物</t>
  </si>
  <si>
    <t>骨科胫骨骨折1/2</t>
  </si>
  <si>
    <t>骨科租赁器械包-不带植入物</t>
  </si>
  <si>
    <t>骨科胫骨骨折2/2</t>
  </si>
  <si>
    <t>器械包</t>
  </si>
  <si>
    <t>肛肠包</t>
  </si>
  <si>
    <t>骨折器械包</t>
  </si>
  <si>
    <t>阑尾包</t>
  </si>
  <si>
    <t>持针器-1/Z1029</t>
  </si>
  <si>
    <t>持物钳罐-2/W6050</t>
  </si>
  <si>
    <t>二氧化碳管（新）-1/W9050</t>
  </si>
  <si>
    <t>肛肠-杯1碗1盘1/w6050</t>
  </si>
  <si>
    <t>卵圆钳-2/W6050</t>
  </si>
  <si>
    <t>盆1碗1盘2/W9050</t>
  </si>
  <si>
    <t>28号肛门镜-1/Z2032</t>
  </si>
  <si>
    <t>肛肠拉钩窄-2/Z2032</t>
  </si>
  <si>
    <t>克氏钳-1/z1026</t>
  </si>
  <si>
    <t>小皮钩-2/Z1026</t>
  </si>
  <si>
    <t>胆囊包</t>
  </si>
  <si>
    <t>额外包(低温等离子)</t>
  </si>
  <si>
    <t>低温组件-1/z1026</t>
  </si>
  <si>
    <t>低温组件-2件/Z1030</t>
  </si>
  <si>
    <t>单包装包(老肯低温)</t>
  </si>
  <si>
    <t>30度镜头10mm（新）-2件/Z2060</t>
  </si>
  <si>
    <t>电切器械</t>
  </si>
  <si>
    <t>腹腔镜阑尾器械</t>
  </si>
  <si>
    <t>刀柄-1/z7526</t>
  </si>
  <si>
    <t>骨科锥子-3件/W6050</t>
  </si>
  <si>
    <t>心耳钳-5件/W6050</t>
  </si>
  <si>
    <t>30度镜头5mm（新）-2件/Z2060</t>
  </si>
  <si>
    <t>精索器械-37件</t>
  </si>
  <si>
    <t>阑尾钳</t>
  </si>
  <si>
    <t>疝气包</t>
  </si>
  <si>
    <t>骨剥-2/z1035</t>
  </si>
  <si>
    <t>骨锉-1/Z1029</t>
  </si>
  <si>
    <t>骨刀-2/Z1029</t>
  </si>
  <si>
    <t>骨科器械(保护）-1/Z1530</t>
  </si>
  <si>
    <t>骨科枪状器械-1件/Z1535</t>
  </si>
  <si>
    <t>引器头-2/Z7530</t>
  </si>
  <si>
    <t>大抓钩-2/W6050</t>
  </si>
  <si>
    <t>骨锤-1/w6050</t>
  </si>
  <si>
    <t>骨科交叉韧带器械-35件（二）</t>
  </si>
  <si>
    <t>骨科交叉韧带器械-35件（一）</t>
  </si>
  <si>
    <t>骨科半月板器械-16/W12050</t>
  </si>
  <si>
    <t>骨科半月板器械-5/W9050</t>
  </si>
  <si>
    <t>刷手包</t>
  </si>
  <si>
    <t>膝关节镜</t>
  </si>
  <si>
    <t>连接杆-1/Z7534</t>
  </si>
  <si>
    <t>手术室枪状器械-1/Z2032</t>
  </si>
  <si>
    <t>手术室三通-1/Z1020</t>
  </si>
  <si>
    <t>手术室膝关节闭合器-2/Z1526</t>
  </si>
  <si>
    <t>组件-1/Z2060</t>
  </si>
  <si>
    <t>组件-1/Z3040</t>
  </si>
  <si>
    <t>直角拉钩-1/Z1029</t>
  </si>
  <si>
    <t>缝合钩-1/Z7526</t>
  </si>
  <si>
    <t>蓝把攻丝锥-1/Z1037</t>
  </si>
  <si>
    <t>卵圆钳-2/Z1526</t>
  </si>
  <si>
    <t>刮勺-1/Z7526</t>
  </si>
  <si>
    <t>小肌钩-2/z1026</t>
  </si>
  <si>
    <t>骨凿-3件/W6050</t>
  </si>
  <si>
    <t>小咬骨钳-1/w6050</t>
  </si>
  <si>
    <t>手缝合</t>
  </si>
  <si>
    <t>骨科器械-111件/W15050</t>
  </si>
  <si>
    <t>肛肠拉钩窄-2/W6050</t>
  </si>
  <si>
    <t>器械包(ZSD)</t>
  </si>
  <si>
    <t>精索器械</t>
  </si>
  <si>
    <t>手骨剥-1/z7526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</si>
</sst>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8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5" fillId="3" borderId="3" xfId="0" applyNumberFormat="1" applyFont="1" applyFill="1" applyBorder="1" applyAlignment="1">
      <alignment horizontal="center" vertical="top" wrapText="1" readingOrder="1"/>
    </xf>
    <xf numFmtId="176" fontId="5" fillId="3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313690</xdr:colOff>
      <xdr:row>1</xdr:row>
      <xdr:rowOff>19050</xdr:rowOff>
    </xdr:from>
    <xdr:to>
      <xdr:col>9</xdr:col>
      <xdr:colOff>823678</xdr:colOff>
      <xdr:row>4</xdr:row>
      <xdr:rowOff>16510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006465" y="190500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237490</xdr:colOff>
      <xdr:row>1</xdr:row>
      <xdr:rowOff>19050</xdr:rowOff>
    </xdr:from>
    <xdr:to>
      <xdr:col>9</xdr:col>
      <xdr:colOff>747478</xdr:colOff>
      <xdr:row>4</xdr:row>
      <xdr:rowOff>16510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30265" y="19050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5"/>
  <sheetViews>
    <sheetView showGridLines="0" view="pageBreakPreview" zoomScaleNormal="100" topLeftCell="B1" workbookViewId="0">
      <pane ySplit="6" topLeftCell="A7" activePane="bottomLeft" state="frozen"/>
      <selection/>
      <selection pane="bottomLeft" activeCell="L1" sqref="L$1:L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1">
      <c r="C8" s="3" t="s">
        <v>2</v>
      </c>
      <c r="D8" s="1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6"/>
      <c r="J8" s="17"/>
      <c r="K8" s="17"/>
    </row>
    <row r="9" spans="2:11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1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44</v>
      </c>
      <c r="J10" s="10"/>
      <c r="K10" s="10">
        <f>SUM(K11:K34)</f>
        <v>863</v>
      </c>
    </row>
    <row r="11" spans="2:11">
      <c r="D11" s="11">
        <v>46056</v>
      </c>
      <c r="E11" s="12">
        <v>1575663</v>
      </c>
      <c r="F11" s="12" t="s">
        <v>13</v>
      </c>
      <c r="G11" s="13">
        <v>20390455</v>
      </c>
      <c r="H11" s="12" t="s">
        <v>13</v>
      </c>
      <c r="I11" s="13">
        <v>1</v>
      </c>
      <c r="J11" s="14">
        <v>15</v>
      </c>
      <c r="K11" s="14">
        <f>I11*J11</f>
        <v>15</v>
      </c>
    </row>
    <row r="12" spans="2:11">
      <c r="D12" s="11">
        <v>46056</v>
      </c>
      <c r="E12" s="12">
        <v>1575663</v>
      </c>
      <c r="F12" s="12" t="s">
        <v>14</v>
      </c>
      <c r="G12" s="13">
        <v>20390460</v>
      </c>
      <c r="H12" s="12" t="s">
        <v>15</v>
      </c>
      <c r="I12" s="13">
        <v>3</v>
      </c>
      <c r="J12" s="14">
        <v>20</v>
      </c>
      <c r="K12" s="14">
        <f t="shared" ref="K12:K35" si="0">I12*J12</f>
        <v>60</v>
      </c>
    </row>
    <row r="13" spans="2:11">
      <c r="D13" s="11">
        <v>46058</v>
      </c>
      <c r="E13" s="12">
        <v>1576642</v>
      </c>
      <c r="F13" s="12" t="s">
        <v>13</v>
      </c>
      <c r="G13" s="13">
        <v>20390455</v>
      </c>
      <c r="H13" s="12" t="s">
        <v>13</v>
      </c>
      <c r="I13" s="13">
        <v>1</v>
      </c>
      <c r="J13" s="14">
        <v>15</v>
      </c>
      <c r="K13" s="14">
        <f t="shared" si="0"/>
        <v>15</v>
      </c>
    </row>
    <row r="14" spans="2:11">
      <c r="D14" s="11">
        <v>46058</v>
      </c>
      <c r="E14" s="12">
        <v>1576642</v>
      </c>
      <c r="F14" s="12" t="s">
        <v>14</v>
      </c>
      <c r="G14" s="13">
        <v>20390460</v>
      </c>
      <c r="H14" s="12" t="s">
        <v>15</v>
      </c>
      <c r="I14" s="13">
        <v>2</v>
      </c>
      <c r="J14" s="14">
        <v>20</v>
      </c>
      <c r="K14" s="14">
        <f t="shared" si="0"/>
        <v>40</v>
      </c>
    </row>
    <row r="15" spans="2:11">
      <c r="D15" s="11">
        <v>46062</v>
      </c>
      <c r="E15" s="12">
        <v>1577424</v>
      </c>
      <c r="F15" s="12" t="s">
        <v>13</v>
      </c>
      <c r="G15" s="13">
        <v>20390455</v>
      </c>
      <c r="H15" s="12" t="s">
        <v>13</v>
      </c>
      <c r="I15" s="13">
        <v>1</v>
      </c>
      <c r="J15" s="14">
        <v>15</v>
      </c>
      <c r="K15" s="14">
        <f t="shared" si="0"/>
        <v>15</v>
      </c>
    </row>
    <row r="16" spans="2:11">
      <c r="D16" s="11">
        <v>46062</v>
      </c>
      <c r="E16" s="12">
        <v>1577424</v>
      </c>
      <c r="F16" s="12" t="s">
        <v>14</v>
      </c>
      <c r="G16" s="13">
        <v>20390604</v>
      </c>
      <c r="H16" s="12" t="s">
        <v>16</v>
      </c>
      <c r="I16" s="13">
        <v>2</v>
      </c>
      <c r="J16" s="14">
        <v>20</v>
      </c>
      <c r="K16" s="14">
        <f t="shared" si="0"/>
        <v>40</v>
      </c>
    </row>
    <row r="17" spans="4:11">
      <c r="D17" s="11">
        <v>46062</v>
      </c>
      <c r="E17" s="12">
        <v>1577424</v>
      </c>
      <c r="F17" s="12" t="s">
        <v>17</v>
      </c>
      <c r="G17" s="13">
        <v>20390605</v>
      </c>
      <c r="H17" s="12" t="s">
        <v>18</v>
      </c>
      <c r="I17" s="13">
        <v>1</v>
      </c>
      <c r="J17" s="14">
        <v>8</v>
      </c>
      <c r="K17" s="14">
        <f t="shared" si="0"/>
        <v>8</v>
      </c>
    </row>
    <row r="18" spans="4:11">
      <c r="D18" s="11">
        <v>46062</v>
      </c>
      <c r="E18" s="12">
        <v>1577473</v>
      </c>
      <c r="F18" s="12" t="s">
        <v>19</v>
      </c>
      <c r="G18" s="13">
        <v>20390458</v>
      </c>
      <c r="H18" s="12" t="s">
        <v>20</v>
      </c>
      <c r="I18" s="13">
        <v>2</v>
      </c>
      <c r="J18" s="14">
        <v>16.5</v>
      </c>
      <c r="K18" s="14">
        <f t="shared" si="0"/>
        <v>33</v>
      </c>
    </row>
    <row r="19" spans="4:11">
      <c r="D19" s="11">
        <v>46065</v>
      </c>
      <c r="E19" s="12">
        <v>1578467</v>
      </c>
      <c r="F19" s="12" t="s">
        <v>14</v>
      </c>
      <c r="G19" s="13">
        <v>20390604</v>
      </c>
      <c r="H19" s="12" t="s">
        <v>16</v>
      </c>
      <c r="I19" s="13">
        <v>6</v>
      </c>
      <c r="J19" s="14">
        <v>20</v>
      </c>
      <c r="K19" s="14">
        <f t="shared" si="0"/>
        <v>120</v>
      </c>
    </row>
    <row r="20" spans="4:11">
      <c r="D20" s="11">
        <v>46065</v>
      </c>
      <c r="E20" s="12">
        <v>1578467</v>
      </c>
      <c r="F20" s="12" t="s">
        <v>17</v>
      </c>
      <c r="G20" s="13">
        <v>20390605</v>
      </c>
      <c r="H20" s="12" t="s">
        <v>18</v>
      </c>
      <c r="I20" s="13">
        <v>2</v>
      </c>
      <c r="J20" s="14">
        <v>8</v>
      </c>
      <c r="K20" s="14">
        <f t="shared" si="0"/>
        <v>16</v>
      </c>
    </row>
    <row r="21" spans="4:11">
      <c r="D21" s="11">
        <v>46066</v>
      </c>
      <c r="E21" s="12">
        <v>1578699</v>
      </c>
      <c r="F21" s="12" t="s">
        <v>13</v>
      </c>
      <c r="G21" s="13">
        <v>20390455</v>
      </c>
      <c r="H21" s="12" t="s">
        <v>13</v>
      </c>
      <c r="I21" s="13">
        <v>1</v>
      </c>
      <c r="J21" s="14">
        <v>15</v>
      </c>
      <c r="K21" s="14">
        <f t="shared" si="0"/>
        <v>15</v>
      </c>
    </row>
    <row r="22" spans="4:11">
      <c r="D22" s="11">
        <v>46066</v>
      </c>
      <c r="E22" s="12">
        <v>1578699</v>
      </c>
      <c r="F22" s="12" t="s">
        <v>14</v>
      </c>
      <c r="G22" s="13">
        <v>20390604</v>
      </c>
      <c r="H22" s="12" t="s">
        <v>16</v>
      </c>
      <c r="I22" s="13">
        <v>3</v>
      </c>
      <c r="J22" s="14">
        <v>20</v>
      </c>
      <c r="K22" s="14">
        <f t="shared" si="0"/>
        <v>60</v>
      </c>
    </row>
    <row r="23" spans="4:11">
      <c r="D23" s="11">
        <v>46066</v>
      </c>
      <c r="E23" s="12">
        <v>1578699</v>
      </c>
      <c r="F23" s="12" t="s">
        <v>17</v>
      </c>
      <c r="G23" s="13">
        <v>20390605</v>
      </c>
      <c r="H23" s="12" t="s">
        <v>18</v>
      </c>
      <c r="I23" s="13">
        <v>3</v>
      </c>
      <c r="J23" s="14">
        <v>8</v>
      </c>
      <c r="K23" s="14">
        <f t="shared" si="0"/>
        <v>24</v>
      </c>
    </row>
    <row r="24" spans="4:11">
      <c r="D24" s="11">
        <v>46066</v>
      </c>
      <c r="E24" s="12">
        <v>1578744</v>
      </c>
      <c r="F24" s="12" t="s">
        <v>19</v>
      </c>
      <c r="G24" s="13">
        <v>20412727</v>
      </c>
      <c r="H24" s="12" t="s">
        <v>21</v>
      </c>
      <c r="I24" s="13">
        <v>1</v>
      </c>
      <c r="J24" s="14">
        <v>71.5</v>
      </c>
      <c r="K24" s="14">
        <f t="shared" si="0"/>
        <v>71.5</v>
      </c>
    </row>
    <row r="25" spans="4:11">
      <c r="D25" s="11">
        <v>46067</v>
      </c>
      <c r="E25" s="12">
        <v>1578935</v>
      </c>
      <c r="F25" s="12" t="s">
        <v>14</v>
      </c>
      <c r="G25" s="13">
        <v>20390460</v>
      </c>
      <c r="H25" s="12" t="s">
        <v>15</v>
      </c>
      <c r="I25" s="13">
        <v>1</v>
      </c>
      <c r="J25" s="14">
        <v>20</v>
      </c>
      <c r="K25" s="14">
        <f t="shared" si="0"/>
        <v>20</v>
      </c>
    </row>
    <row r="26" spans="4:11">
      <c r="D26" s="11">
        <v>46072</v>
      </c>
      <c r="E26" s="12">
        <v>1579259</v>
      </c>
      <c r="F26" s="12" t="s">
        <v>22</v>
      </c>
      <c r="G26" s="13">
        <v>20390458</v>
      </c>
      <c r="H26" s="12" t="s">
        <v>20</v>
      </c>
      <c r="I26" s="13">
        <v>2</v>
      </c>
      <c r="J26" s="14">
        <v>16.5</v>
      </c>
      <c r="K26" s="14">
        <f t="shared" si="0"/>
        <v>33</v>
      </c>
    </row>
    <row r="27" spans="4:11">
      <c r="D27" s="11">
        <v>46072</v>
      </c>
      <c r="E27" s="12">
        <v>1579259</v>
      </c>
      <c r="F27" s="12" t="s">
        <v>13</v>
      </c>
      <c r="G27" s="13">
        <v>20390455</v>
      </c>
      <c r="H27" s="12" t="s">
        <v>13</v>
      </c>
      <c r="I27" s="13">
        <v>1</v>
      </c>
      <c r="J27" s="14">
        <v>15</v>
      </c>
      <c r="K27" s="14">
        <f t="shared" si="0"/>
        <v>15</v>
      </c>
    </row>
    <row r="28" spans="4:11">
      <c r="D28" s="11">
        <v>46072</v>
      </c>
      <c r="E28" s="12">
        <v>1579259</v>
      </c>
      <c r="F28" s="12" t="s">
        <v>14</v>
      </c>
      <c r="G28" s="13">
        <v>20390460</v>
      </c>
      <c r="H28" s="12" t="s">
        <v>15</v>
      </c>
      <c r="I28" s="13">
        <v>2</v>
      </c>
      <c r="J28" s="14">
        <v>20</v>
      </c>
      <c r="K28" s="14">
        <f t="shared" si="0"/>
        <v>40</v>
      </c>
    </row>
    <row r="29" spans="4:11">
      <c r="D29" s="11">
        <v>46079</v>
      </c>
      <c r="E29" s="12">
        <v>1580451</v>
      </c>
      <c r="F29" s="12" t="s">
        <v>17</v>
      </c>
      <c r="G29" s="13">
        <v>20390603</v>
      </c>
      <c r="H29" s="12" t="s">
        <v>23</v>
      </c>
      <c r="I29" s="13">
        <v>1</v>
      </c>
      <c r="J29" s="14">
        <v>8</v>
      </c>
      <c r="K29" s="14">
        <f t="shared" si="0"/>
        <v>8</v>
      </c>
    </row>
    <row r="30" spans="4:11">
      <c r="D30" s="11">
        <v>46080</v>
      </c>
      <c r="E30" s="12">
        <v>1580820</v>
      </c>
      <c r="F30" s="12" t="s">
        <v>22</v>
      </c>
      <c r="G30" s="13">
        <v>20390458</v>
      </c>
      <c r="H30" s="12" t="s">
        <v>20</v>
      </c>
      <c r="I30" s="13">
        <v>1</v>
      </c>
      <c r="J30" s="14">
        <v>16.5</v>
      </c>
      <c r="K30" s="14">
        <f t="shared" si="0"/>
        <v>16.5</v>
      </c>
    </row>
    <row r="31" spans="4:11">
      <c r="D31" s="11">
        <v>46080</v>
      </c>
      <c r="E31" s="12">
        <v>1580820</v>
      </c>
      <c r="F31" s="12" t="s">
        <v>13</v>
      </c>
      <c r="G31" s="13">
        <v>20390455</v>
      </c>
      <c r="H31" s="12" t="s">
        <v>13</v>
      </c>
      <c r="I31" s="13">
        <v>1</v>
      </c>
      <c r="J31" s="14">
        <v>15</v>
      </c>
      <c r="K31" s="14">
        <f t="shared" si="0"/>
        <v>15</v>
      </c>
    </row>
    <row r="32" spans="4:11">
      <c r="D32" s="11">
        <v>46080</v>
      </c>
      <c r="E32" s="12">
        <v>1580820</v>
      </c>
      <c r="F32" s="12" t="s">
        <v>14</v>
      </c>
      <c r="G32" s="13">
        <v>20390460</v>
      </c>
      <c r="H32" s="12" t="s">
        <v>15</v>
      </c>
      <c r="I32" s="13">
        <v>3</v>
      </c>
      <c r="J32" s="14">
        <v>20</v>
      </c>
      <c r="K32" s="14">
        <f t="shared" si="0"/>
        <v>60</v>
      </c>
    </row>
    <row r="33" spans="4:11">
      <c r="D33" s="11">
        <v>46080</v>
      </c>
      <c r="E33" s="12">
        <v>1580820</v>
      </c>
      <c r="F33" s="12" t="s">
        <v>19</v>
      </c>
      <c r="G33" s="13">
        <v>20391935</v>
      </c>
      <c r="H33" s="12" t="s">
        <v>24</v>
      </c>
      <c r="I33" s="13">
        <v>2</v>
      </c>
      <c r="J33" s="14">
        <v>44</v>
      </c>
      <c r="K33" s="14">
        <f t="shared" si="0"/>
        <v>88</v>
      </c>
    </row>
    <row r="34" spans="4:11">
      <c r="D34" s="11">
        <v>46081</v>
      </c>
      <c r="E34" s="12">
        <v>1580922</v>
      </c>
      <c r="F34" s="12" t="s">
        <v>25</v>
      </c>
      <c r="G34" s="13">
        <v>20390602</v>
      </c>
      <c r="H34" s="12" t="s">
        <v>26</v>
      </c>
      <c r="I34" s="13">
        <v>1</v>
      </c>
      <c r="J34" s="14">
        <v>35</v>
      </c>
      <c r="K34" s="14">
        <f t="shared" si="0"/>
        <v>35</v>
      </c>
    </row>
    <row r="35" ht="0.05" customHeight="1" spans="4:11">
      <c r="K35" s="14">
        <f t="shared" si="0"/>
        <v>0</v>
      </c>
    </row>
  </sheetData>
  <autoFilter xmlns:etc="http://www.wps.cn/officeDocument/2017/etCustomData" ref="A9:K35" etc:filterBottomFollowUsedRange="0">
    <extLst/>
  </autoFilter>
  <mergeCells count="6">
    <mergeCell ref="D8:H8"/>
    <mergeCell ref="D10:H10"/>
    <mergeCell ref="C9:C34"/>
    <mergeCell ref="B4:H5"/>
    <mergeCell ref="A8:B34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&amp;"-,Regular"2026年3月3日 9:09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3"/>
  <sheetViews>
    <sheetView showGridLines="0" tabSelected="1" view="pageBreakPreview" zoomScaleNormal="100" topLeftCell="E1" workbookViewId="0">
      <pane ySplit="6" topLeftCell="A8" activePane="bottomLeft" state="frozen"/>
      <selection/>
      <selection pane="bottomLeft" activeCell="K9" sqref="K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27</v>
      </c>
      <c r="E8" s="8" t="s">
        <v>2</v>
      </c>
      <c r="F8" s="8" t="s">
        <v>2</v>
      </c>
      <c r="G8" s="8" t="s">
        <v>2</v>
      </c>
      <c r="H8" s="8" t="s">
        <v>2</v>
      </c>
      <c r="I8" s="9">
        <v>227</v>
      </c>
      <c r="J8" s="10"/>
      <c r="K8" s="10">
        <f>SUM(K9:K142)</f>
        <v>8473</v>
      </c>
    </row>
    <row r="9" ht="24.75" spans="1:11">
      <c r="D9" s="11">
        <v>46056</v>
      </c>
      <c r="E9" s="12">
        <v>1575664</v>
      </c>
      <c r="F9" s="12" t="s">
        <v>28</v>
      </c>
      <c r="G9" s="13">
        <v>20411496</v>
      </c>
      <c r="H9" s="12" t="s">
        <v>29</v>
      </c>
      <c r="I9" s="13">
        <v>1</v>
      </c>
      <c r="J9" s="14">
        <v>299</v>
      </c>
      <c r="K9" s="14">
        <f>J9*I9</f>
        <v>299</v>
      </c>
    </row>
    <row r="10" ht="24.75" spans="1:11">
      <c r="D10" s="11">
        <v>46056</v>
      </c>
      <c r="E10" s="12">
        <v>1575664</v>
      </c>
      <c r="F10" s="12" t="s">
        <v>30</v>
      </c>
      <c r="G10" s="13">
        <v>20411497</v>
      </c>
      <c r="H10" s="12" t="s">
        <v>31</v>
      </c>
      <c r="I10" s="13">
        <v>1</v>
      </c>
      <c r="J10" s="14">
        <v>88</v>
      </c>
      <c r="K10" s="14">
        <f t="shared" ref="K10:K41" si="0">J10*I10</f>
        <v>88</v>
      </c>
    </row>
    <row r="11" spans="1:11">
      <c r="D11" s="11">
        <v>46056</v>
      </c>
      <c r="E11" s="12">
        <v>1575966</v>
      </c>
      <c r="F11" s="12" t="s">
        <v>32</v>
      </c>
      <c r="G11" s="13">
        <v>20390101</v>
      </c>
      <c r="H11" s="12" t="s">
        <v>33</v>
      </c>
      <c r="I11" s="13">
        <v>1</v>
      </c>
      <c r="J11" s="14">
        <v>82.5</v>
      </c>
      <c r="K11" s="14">
        <f t="shared" si="0"/>
        <v>82.5</v>
      </c>
    </row>
    <row r="12" spans="1:11">
      <c r="D12" s="11">
        <v>46056</v>
      </c>
      <c r="E12" s="12">
        <v>1575966</v>
      </c>
      <c r="F12" s="12" t="s">
        <v>32</v>
      </c>
      <c r="G12" s="13">
        <v>20390094</v>
      </c>
      <c r="H12" s="12" t="s">
        <v>34</v>
      </c>
      <c r="I12" s="13">
        <v>1</v>
      </c>
      <c r="J12" s="14">
        <v>121</v>
      </c>
      <c r="K12" s="14">
        <f t="shared" si="0"/>
        <v>121</v>
      </c>
    </row>
    <row r="13" spans="1:11">
      <c r="D13" s="11">
        <v>46056</v>
      </c>
      <c r="E13" s="12">
        <v>1575966</v>
      </c>
      <c r="F13" s="12" t="s">
        <v>32</v>
      </c>
      <c r="G13" s="13">
        <v>20390099</v>
      </c>
      <c r="H13" s="12" t="s">
        <v>35</v>
      </c>
      <c r="I13" s="13">
        <v>1</v>
      </c>
      <c r="J13" s="14">
        <v>225.5</v>
      </c>
      <c r="K13" s="14">
        <f t="shared" si="0"/>
        <v>225.5</v>
      </c>
    </row>
    <row r="14" spans="1:11">
      <c r="D14" s="11">
        <v>46056</v>
      </c>
      <c r="E14" s="12">
        <v>1575966</v>
      </c>
      <c r="F14" s="12" t="s">
        <v>22</v>
      </c>
      <c r="G14" s="13">
        <v>20390826</v>
      </c>
      <c r="H14" s="12" t="s">
        <v>36</v>
      </c>
      <c r="I14" s="13">
        <v>1</v>
      </c>
      <c r="J14" s="14">
        <v>8</v>
      </c>
      <c r="K14" s="14">
        <f t="shared" si="0"/>
        <v>8</v>
      </c>
    </row>
    <row r="15" spans="1:11">
      <c r="D15" s="11">
        <v>46056</v>
      </c>
      <c r="E15" s="12">
        <v>1575966</v>
      </c>
      <c r="F15" s="12" t="s">
        <v>19</v>
      </c>
      <c r="G15" s="13">
        <v>20390273</v>
      </c>
      <c r="H15" s="12" t="s">
        <v>37</v>
      </c>
      <c r="I15" s="13">
        <v>3</v>
      </c>
      <c r="J15" s="14">
        <v>16.5</v>
      </c>
      <c r="K15" s="14">
        <f t="shared" si="0"/>
        <v>49.5</v>
      </c>
    </row>
    <row r="16" spans="1:11">
      <c r="D16" s="11">
        <v>46056</v>
      </c>
      <c r="E16" s="12">
        <v>1575966</v>
      </c>
      <c r="F16" s="12" t="s">
        <v>19</v>
      </c>
      <c r="G16" s="13">
        <v>20400214</v>
      </c>
      <c r="H16" s="12" t="s">
        <v>38</v>
      </c>
      <c r="I16" s="13">
        <v>1</v>
      </c>
      <c r="J16" s="14">
        <v>16.5</v>
      </c>
      <c r="K16" s="14">
        <f t="shared" si="0"/>
        <v>16.5</v>
      </c>
    </row>
    <row r="17" spans="4:11">
      <c r="D17" s="11">
        <v>46056</v>
      </c>
      <c r="E17" s="12">
        <v>1575966</v>
      </c>
      <c r="F17" s="12" t="s">
        <v>19</v>
      </c>
      <c r="G17" s="13">
        <v>20390102</v>
      </c>
      <c r="H17" s="12" t="s">
        <v>39</v>
      </c>
      <c r="I17" s="13">
        <v>1</v>
      </c>
      <c r="J17" s="14">
        <v>16.5</v>
      </c>
      <c r="K17" s="14">
        <f t="shared" si="0"/>
        <v>16.5</v>
      </c>
    </row>
    <row r="18" spans="4:11">
      <c r="D18" s="11">
        <v>46056</v>
      </c>
      <c r="E18" s="12">
        <v>1575966</v>
      </c>
      <c r="F18" s="12" t="s">
        <v>19</v>
      </c>
      <c r="G18" s="13">
        <v>20409315</v>
      </c>
      <c r="H18" s="12" t="s">
        <v>40</v>
      </c>
      <c r="I18" s="13">
        <v>2</v>
      </c>
      <c r="J18" s="14">
        <v>16.5</v>
      </c>
      <c r="K18" s="14">
        <f t="shared" si="0"/>
        <v>33</v>
      </c>
    </row>
    <row r="19" spans="4:11">
      <c r="D19" s="11">
        <v>46056</v>
      </c>
      <c r="E19" s="12">
        <v>1575966</v>
      </c>
      <c r="F19" s="12" t="s">
        <v>19</v>
      </c>
      <c r="G19" s="13">
        <v>20390263</v>
      </c>
      <c r="H19" s="12" t="s">
        <v>41</v>
      </c>
      <c r="I19" s="13">
        <v>2</v>
      </c>
      <c r="J19" s="14">
        <v>22</v>
      </c>
      <c r="K19" s="14">
        <f t="shared" si="0"/>
        <v>44</v>
      </c>
    </row>
    <row r="20" spans="4:11">
      <c r="D20" s="11">
        <v>46057</v>
      </c>
      <c r="E20" s="12">
        <v>1576013</v>
      </c>
      <c r="F20" s="12" t="s">
        <v>22</v>
      </c>
      <c r="G20" s="13">
        <v>20394777</v>
      </c>
      <c r="H20" s="12" t="s">
        <v>42</v>
      </c>
      <c r="I20" s="13">
        <v>1</v>
      </c>
      <c r="J20" s="14">
        <v>13</v>
      </c>
      <c r="K20" s="14">
        <f t="shared" si="0"/>
        <v>13</v>
      </c>
    </row>
    <row r="21" spans="4:11">
      <c r="D21" s="11">
        <v>46057</v>
      </c>
      <c r="E21" s="12">
        <v>1576013</v>
      </c>
      <c r="F21" s="12" t="s">
        <v>22</v>
      </c>
      <c r="G21" s="13">
        <v>20392065</v>
      </c>
      <c r="H21" s="12" t="s">
        <v>43</v>
      </c>
      <c r="I21" s="13">
        <v>1</v>
      </c>
      <c r="J21" s="14">
        <v>16.5</v>
      </c>
      <c r="K21" s="14">
        <f t="shared" si="0"/>
        <v>16.5</v>
      </c>
    </row>
    <row r="22" spans="4:11">
      <c r="D22" s="11">
        <v>46057</v>
      </c>
      <c r="E22" s="12">
        <v>1576013</v>
      </c>
      <c r="F22" s="12" t="s">
        <v>22</v>
      </c>
      <c r="G22" s="13">
        <v>20393479</v>
      </c>
      <c r="H22" s="12" t="s">
        <v>44</v>
      </c>
      <c r="I22" s="13">
        <v>1</v>
      </c>
      <c r="J22" s="14">
        <v>8</v>
      </c>
      <c r="K22" s="14">
        <f t="shared" si="0"/>
        <v>8</v>
      </c>
    </row>
    <row r="23" spans="4:11">
      <c r="D23" s="11">
        <v>46057</v>
      </c>
      <c r="E23" s="12">
        <v>1576013</v>
      </c>
      <c r="F23" s="12" t="s">
        <v>22</v>
      </c>
      <c r="G23" s="13">
        <v>20405657</v>
      </c>
      <c r="H23" s="12" t="s">
        <v>45</v>
      </c>
      <c r="I23" s="13">
        <v>1</v>
      </c>
      <c r="J23" s="14">
        <v>13.5</v>
      </c>
      <c r="K23" s="14">
        <f t="shared" si="0"/>
        <v>13.5</v>
      </c>
    </row>
    <row r="24" spans="4:11">
      <c r="D24" s="11">
        <v>46057</v>
      </c>
      <c r="E24" s="12">
        <v>1576026</v>
      </c>
      <c r="F24" s="12" t="s">
        <v>32</v>
      </c>
      <c r="G24" s="13">
        <v>20390082</v>
      </c>
      <c r="H24" s="12" t="s">
        <v>46</v>
      </c>
      <c r="I24" s="13">
        <v>1</v>
      </c>
      <c r="J24" s="14">
        <v>93.5</v>
      </c>
      <c r="K24" s="14">
        <f t="shared" si="0"/>
        <v>93.5</v>
      </c>
    </row>
    <row r="25" spans="4:11">
      <c r="D25" s="11">
        <v>46057</v>
      </c>
      <c r="E25" s="12">
        <v>1576041</v>
      </c>
      <c r="F25" s="12" t="s">
        <v>47</v>
      </c>
      <c r="G25" s="13">
        <v>20391360</v>
      </c>
      <c r="H25" s="12" t="s">
        <v>48</v>
      </c>
      <c r="I25" s="13">
        <v>15</v>
      </c>
      <c r="J25" s="14">
        <v>22</v>
      </c>
      <c r="K25" s="14">
        <f t="shared" si="0"/>
        <v>330</v>
      </c>
    </row>
    <row r="26" spans="4:11">
      <c r="D26" s="11">
        <v>46057</v>
      </c>
      <c r="E26" s="12">
        <v>1576041</v>
      </c>
      <c r="F26" s="12" t="s">
        <v>47</v>
      </c>
      <c r="G26" s="13">
        <v>20399743</v>
      </c>
      <c r="H26" s="12" t="s">
        <v>49</v>
      </c>
      <c r="I26" s="13">
        <v>1</v>
      </c>
      <c r="J26" s="14">
        <v>44</v>
      </c>
      <c r="K26" s="14">
        <f t="shared" si="0"/>
        <v>44</v>
      </c>
    </row>
    <row r="27" spans="4:11">
      <c r="D27" s="11">
        <v>46057</v>
      </c>
      <c r="E27" s="12">
        <v>1576041</v>
      </c>
      <c r="F27" s="12" t="s">
        <v>50</v>
      </c>
      <c r="G27" s="13">
        <v>20406379</v>
      </c>
      <c r="H27" s="12" t="s">
        <v>51</v>
      </c>
      <c r="I27" s="13">
        <v>1</v>
      </c>
      <c r="J27" s="14">
        <v>44</v>
      </c>
      <c r="K27" s="14">
        <f t="shared" si="0"/>
        <v>44</v>
      </c>
    </row>
    <row r="28" spans="4:11">
      <c r="D28" s="11">
        <v>46058</v>
      </c>
      <c r="E28" s="12">
        <v>1576329</v>
      </c>
      <c r="F28" s="12" t="s">
        <v>32</v>
      </c>
      <c r="G28" s="13">
        <v>20390098</v>
      </c>
      <c r="H28" s="12" t="s">
        <v>52</v>
      </c>
      <c r="I28" s="13">
        <v>2</v>
      </c>
      <c r="J28" s="14">
        <v>104.5</v>
      </c>
      <c r="K28" s="14">
        <f t="shared" si="0"/>
        <v>209</v>
      </c>
    </row>
    <row r="29" spans="4:11">
      <c r="D29" s="11">
        <v>46058</v>
      </c>
      <c r="E29" s="12">
        <v>1576329</v>
      </c>
      <c r="F29" s="12" t="s">
        <v>32</v>
      </c>
      <c r="G29" s="13">
        <v>20390092</v>
      </c>
      <c r="H29" s="12" t="s">
        <v>53</v>
      </c>
      <c r="I29" s="13">
        <v>1</v>
      </c>
      <c r="J29" s="14">
        <v>88</v>
      </c>
      <c r="K29" s="14">
        <f t="shared" si="0"/>
        <v>88</v>
      </c>
    </row>
    <row r="30" spans="4:11">
      <c r="D30" s="11">
        <v>46058</v>
      </c>
      <c r="E30" s="12">
        <v>1576329</v>
      </c>
      <c r="F30" s="12" t="s">
        <v>22</v>
      </c>
      <c r="G30" s="13">
        <v>20391179</v>
      </c>
      <c r="H30" s="12" t="s">
        <v>54</v>
      </c>
      <c r="I30" s="13">
        <v>1</v>
      </c>
      <c r="J30" s="14">
        <v>8</v>
      </c>
      <c r="K30" s="14">
        <f t="shared" si="0"/>
        <v>8</v>
      </c>
    </row>
    <row r="31" spans="4:11">
      <c r="D31" s="11">
        <v>46058</v>
      </c>
      <c r="E31" s="12">
        <v>1576329</v>
      </c>
      <c r="F31" s="12" t="s">
        <v>22</v>
      </c>
      <c r="G31" s="13">
        <v>20405657</v>
      </c>
      <c r="H31" s="12" t="s">
        <v>45</v>
      </c>
      <c r="I31" s="13">
        <v>1</v>
      </c>
      <c r="J31" s="14">
        <v>13.5</v>
      </c>
      <c r="K31" s="14">
        <f t="shared" si="0"/>
        <v>13.5</v>
      </c>
    </row>
    <row r="32" spans="4:11">
      <c r="D32" s="11">
        <v>46058</v>
      </c>
      <c r="E32" s="12">
        <v>1576329</v>
      </c>
      <c r="F32" s="12" t="s">
        <v>14</v>
      </c>
      <c r="G32" s="13">
        <v>20390604</v>
      </c>
      <c r="H32" s="12" t="s">
        <v>16</v>
      </c>
      <c r="I32" s="13">
        <v>8</v>
      </c>
      <c r="J32" s="14">
        <v>20</v>
      </c>
      <c r="K32" s="14">
        <f t="shared" si="0"/>
        <v>160</v>
      </c>
    </row>
    <row r="33" spans="4:11">
      <c r="D33" s="11">
        <v>46058</v>
      </c>
      <c r="E33" s="12">
        <v>1576329</v>
      </c>
      <c r="F33" s="12" t="s">
        <v>19</v>
      </c>
      <c r="G33" s="13">
        <v>20390273</v>
      </c>
      <c r="H33" s="12" t="s">
        <v>37</v>
      </c>
      <c r="I33" s="13">
        <v>2</v>
      </c>
      <c r="J33" s="14">
        <v>16.5</v>
      </c>
      <c r="K33" s="14">
        <f t="shared" si="0"/>
        <v>33</v>
      </c>
    </row>
    <row r="34" spans="4:11">
      <c r="D34" s="11">
        <v>46058</v>
      </c>
      <c r="E34" s="12">
        <v>1576329</v>
      </c>
      <c r="F34" s="12" t="s">
        <v>19</v>
      </c>
      <c r="G34" s="13">
        <v>20400214</v>
      </c>
      <c r="H34" s="12" t="s">
        <v>38</v>
      </c>
      <c r="I34" s="13">
        <v>1</v>
      </c>
      <c r="J34" s="14">
        <v>16.5</v>
      </c>
      <c r="K34" s="14">
        <f t="shared" si="0"/>
        <v>16.5</v>
      </c>
    </row>
    <row r="35" spans="4:11">
      <c r="D35" s="11">
        <v>46058</v>
      </c>
      <c r="E35" s="12">
        <v>1576329</v>
      </c>
      <c r="F35" s="12" t="s">
        <v>19</v>
      </c>
      <c r="G35" s="13">
        <v>20411814</v>
      </c>
      <c r="H35" s="12" t="s">
        <v>55</v>
      </c>
      <c r="I35" s="13">
        <v>1</v>
      </c>
      <c r="J35" s="14">
        <v>16.5</v>
      </c>
      <c r="K35" s="14">
        <f t="shared" si="0"/>
        <v>16.5</v>
      </c>
    </row>
    <row r="36" spans="4:11">
      <c r="D36" s="11">
        <v>46058</v>
      </c>
      <c r="E36" s="12">
        <v>1576329</v>
      </c>
      <c r="F36" s="12" t="s">
        <v>19</v>
      </c>
      <c r="G36" s="13">
        <v>20409315</v>
      </c>
      <c r="H36" s="12" t="s">
        <v>40</v>
      </c>
      <c r="I36" s="13">
        <v>3</v>
      </c>
      <c r="J36" s="14">
        <v>16.5</v>
      </c>
      <c r="K36" s="14">
        <f t="shared" si="0"/>
        <v>49.5</v>
      </c>
    </row>
    <row r="37" spans="4:11">
      <c r="D37" s="11">
        <v>46058</v>
      </c>
      <c r="E37" s="12">
        <v>1576329</v>
      </c>
      <c r="F37" s="12" t="s">
        <v>19</v>
      </c>
      <c r="G37" s="13">
        <v>20390263</v>
      </c>
      <c r="H37" s="12" t="s">
        <v>41</v>
      </c>
      <c r="I37" s="13">
        <v>3</v>
      </c>
      <c r="J37" s="14">
        <v>22</v>
      </c>
      <c r="K37" s="14">
        <f t="shared" si="0"/>
        <v>66</v>
      </c>
    </row>
    <row r="38" spans="4:11">
      <c r="D38" s="11">
        <v>46058</v>
      </c>
      <c r="E38" s="12">
        <v>1576329</v>
      </c>
      <c r="F38" s="12" t="s">
        <v>19</v>
      </c>
      <c r="G38" s="13">
        <v>20411815</v>
      </c>
      <c r="H38" s="12" t="s">
        <v>56</v>
      </c>
      <c r="I38" s="13">
        <v>1</v>
      </c>
      <c r="J38" s="14">
        <v>27.5</v>
      </c>
      <c r="K38" s="14">
        <f t="shared" si="0"/>
        <v>27.5</v>
      </c>
    </row>
    <row r="39" spans="4:11">
      <c r="D39" s="11">
        <v>46058</v>
      </c>
      <c r="E39" s="12">
        <v>1576365</v>
      </c>
      <c r="F39" s="12" t="s">
        <v>25</v>
      </c>
      <c r="G39" s="13">
        <v>20390602</v>
      </c>
      <c r="H39" s="12" t="s">
        <v>26</v>
      </c>
      <c r="I39" s="13">
        <v>1</v>
      </c>
      <c r="J39" s="14">
        <v>35</v>
      </c>
      <c r="K39" s="14">
        <f t="shared" si="0"/>
        <v>35</v>
      </c>
    </row>
    <row r="40" spans="4:11">
      <c r="D40" s="11">
        <v>46058</v>
      </c>
      <c r="E40" s="12">
        <v>1576369</v>
      </c>
      <c r="F40" s="12" t="s">
        <v>47</v>
      </c>
      <c r="G40" s="13">
        <v>20391360</v>
      </c>
      <c r="H40" s="12" t="s">
        <v>48</v>
      </c>
      <c r="I40" s="13">
        <v>10</v>
      </c>
      <c r="J40" s="14">
        <v>22</v>
      </c>
      <c r="K40" s="14">
        <f t="shared" si="0"/>
        <v>220</v>
      </c>
    </row>
    <row r="41" spans="4:11">
      <c r="D41" s="11">
        <v>46058</v>
      </c>
      <c r="E41" s="12">
        <v>1576369</v>
      </c>
      <c r="F41" s="12" t="s">
        <v>47</v>
      </c>
      <c r="G41" s="13">
        <v>20399743</v>
      </c>
      <c r="H41" s="12" t="s">
        <v>49</v>
      </c>
      <c r="I41" s="13">
        <v>2</v>
      </c>
      <c r="J41" s="14">
        <v>44</v>
      </c>
      <c r="K41" s="14">
        <f t="shared" si="0"/>
        <v>88</v>
      </c>
    </row>
    <row r="42" spans="4:11">
      <c r="D42" s="11">
        <v>46058</v>
      </c>
      <c r="E42" s="12">
        <v>1576369</v>
      </c>
      <c r="F42" s="12" t="s">
        <v>50</v>
      </c>
      <c r="G42" s="13">
        <v>20406379</v>
      </c>
      <c r="H42" s="12" t="s">
        <v>51</v>
      </c>
      <c r="I42" s="13">
        <v>1</v>
      </c>
      <c r="J42" s="14">
        <v>44</v>
      </c>
      <c r="K42" s="14">
        <f t="shared" ref="K42:K73" si="1">J42*I42</f>
        <v>44</v>
      </c>
    </row>
    <row r="43" spans="4:11">
      <c r="D43" s="11">
        <v>46058</v>
      </c>
      <c r="E43" s="12">
        <v>1576369</v>
      </c>
      <c r="F43" s="12" t="s">
        <v>50</v>
      </c>
      <c r="G43" s="13">
        <v>20405478</v>
      </c>
      <c r="H43" s="12" t="s">
        <v>57</v>
      </c>
      <c r="I43" s="13">
        <v>1</v>
      </c>
      <c r="J43" s="14">
        <v>44</v>
      </c>
      <c r="K43" s="14">
        <f t="shared" si="1"/>
        <v>44</v>
      </c>
    </row>
    <row r="44" spans="4:11">
      <c r="D44" s="11">
        <v>46058</v>
      </c>
      <c r="E44" s="12">
        <v>1576643</v>
      </c>
      <c r="F44" s="12" t="s">
        <v>32</v>
      </c>
      <c r="G44" s="13">
        <v>20390277</v>
      </c>
      <c r="H44" s="12" t="s">
        <v>58</v>
      </c>
      <c r="I44" s="13">
        <v>1</v>
      </c>
      <c r="J44" s="14">
        <v>209</v>
      </c>
      <c r="K44" s="14">
        <f t="shared" si="1"/>
        <v>209</v>
      </c>
    </row>
    <row r="45" spans="4:11">
      <c r="D45" s="11">
        <v>46058</v>
      </c>
      <c r="E45" s="12">
        <v>1576643</v>
      </c>
      <c r="F45" s="12" t="s">
        <v>32</v>
      </c>
      <c r="G45" s="13">
        <v>20390099</v>
      </c>
      <c r="H45" s="12" t="s">
        <v>35</v>
      </c>
      <c r="I45" s="13">
        <v>2</v>
      </c>
      <c r="J45" s="14">
        <v>225.5</v>
      </c>
      <c r="K45" s="14">
        <f t="shared" si="1"/>
        <v>451</v>
      </c>
    </row>
    <row r="46" spans="4:11">
      <c r="D46" s="11">
        <v>46058</v>
      </c>
      <c r="E46" s="12">
        <v>1576643</v>
      </c>
      <c r="F46" s="12" t="s">
        <v>32</v>
      </c>
      <c r="G46" s="13">
        <v>20390085</v>
      </c>
      <c r="H46" s="12" t="s">
        <v>59</v>
      </c>
      <c r="I46" s="13">
        <v>1</v>
      </c>
      <c r="J46" s="14">
        <v>33</v>
      </c>
      <c r="K46" s="14">
        <f t="shared" si="1"/>
        <v>33</v>
      </c>
    </row>
    <row r="47" spans="4:11">
      <c r="D47" s="11">
        <v>46058</v>
      </c>
      <c r="E47" s="12">
        <v>1576643</v>
      </c>
      <c r="F47" s="12" t="s">
        <v>32</v>
      </c>
      <c r="G47" s="13">
        <v>20390095</v>
      </c>
      <c r="H47" s="12" t="s">
        <v>60</v>
      </c>
      <c r="I47" s="13">
        <v>1</v>
      </c>
      <c r="J47" s="14">
        <v>38.5</v>
      </c>
      <c r="K47" s="14">
        <f t="shared" si="1"/>
        <v>38.5</v>
      </c>
    </row>
    <row r="48" spans="4:11">
      <c r="D48" s="11">
        <v>46058</v>
      </c>
      <c r="E48" s="12">
        <v>1576643</v>
      </c>
      <c r="F48" s="12" t="s">
        <v>22</v>
      </c>
      <c r="G48" s="13">
        <v>20394090</v>
      </c>
      <c r="H48" s="12" t="s">
        <v>61</v>
      </c>
      <c r="I48" s="13">
        <v>1</v>
      </c>
      <c r="J48" s="14">
        <v>13.5</v>
      </c>
      <c r="K48" s="14">
        <f t="shared" si="1"/>
        <v>13.5</v>
      </c>
    </row>
    <row r="49" spans="4:11">
      <c r="D49" s="11">
        <v>46058</v>
      </c>
      <c r="E49" s="12">
        <v>1576643</v>
      </c>
      <c r="F49" s="12" t="s">
        <v>22</v>
      </c>
      <c r="G49" s="13">
        <v>20390278</v>
      </c>
      <c r="H49" s="12" t="s">
        <v>62</v>
      </c>
      <c r="I49" s="13">
        <v>1</v>
      </c>
      <c r="J49" s="14">
        <v>8</v>
      </c>
      <c r="K49" s="14">
        <f t="shared" si="1"/>
        <v>8</v>
      </c>
    </row>
    <row r="50" spans="4:11">
      <c r="D50" s="11">
        <v>46058</v>
      </c>
      <c r="E50" s="12">
        <v>1576643</v>
      </c>
      <c r="F50" s="12" t="s">
        <v>22</v>
      </c>
      <c r="G50" s="13">
        <v>20405482</v>
      </c>
      <c r="H50" s="12" t="s">
        <v>63</v>
      </c>
      <c r="I50" s="13">
        <v>1</v>
      </c>
      <c r="J50" s="14">
        <v>13.5</v>
      </c>
      <c r="K50" s="14">
        <f t="shared" si="1"/>
        <v>13.5</v>
      </c>
    </row>
    <row r="51" spans="4:11">
      <c r="D51" s="11">
        <v>46058</v>
      </c>
      <c r="E51" s="12">
        <v>1576643</v>
      </c>
      <c r="F51" s="12" t="s">
        <v>22</v>
      </c>
      <c r="G51" s="13">
        <v>20390965</v>
      </c>
      <c r="H51" s="12" t="s">
        <v>64</v>
      </c>
      <c r="I51" s="13">
        <v>1</v>
      </c>
      <c r="J51" s="14">
        <v>11</v>
      </c>
      <c r="K51" s="14">
        <f t="shared" si="1"/>
        <v>11</v>
      </c>
    </row>
    <row r="52" spans="4:11">
      <c r="D52" s="11">
        <v>46058</v>
      </c>
      <c r="E52" s="12">
        <v>1576643</v>
      </c>
      <c r="F52" s="12" t="s">
        <v>22</v>
      </c>
      <c r="G52" s="13">
        <v>20407939</v>
      </c>
      <c r="H52" s="12" t="s">
        <v>65</v>
      </c>
      <c r="I52" s="13">
        <v>2</v>
      </c>
      <c r="J52" s="14">
        <v>11</v>
      </c>
      <c r="K52" s="14">
        <f t="shared" si="1"/>
        <v>22</v>
      </c>
    </row>
    <row r="53" spans="4:11">
      <c r="D53" s="11">
        <v>46058</v>
      </c>
      <c r="E53" s="12">
        <v>1576643</v>
      </c>
      <c r="F53" s="12" t="s">
        <v>22</v>
      </c>
      <c r="G53" s="13">
        <v>20411938</v>
      </c>
      <c r="H53" s="12" t="s">
        <v>66</v>
      </c>
      <c r="I53" s="13">
        <v>1</v>
      </c>
      <c r="J53" s="14">
        <v>13.5</v>
      </c>
      <c r="K53" s="14">
        <f t="shared" si="1"/>
        <v>13.5</v>
      </c>
    </row>
    <row r="54" spans="4:11">
      <c r="D54" s="11">
        <v>46058</v>
      </c>
      <c r="E54" s="12">
        <v>1576643</v>
      </c>
      <c r="F54" s="12" t="s">
        <v>14</v>
      </c>
      <c r="G54" s="13">
        <v>20390604</v>
      </c>
      <c r="H54" s="12" t="s">
        <v>16</v>
      </c>
      <c r="I54" s="13">
        <v>1</v>
      </c>
      <c r="J54" s="14">
        <v>20</v>
      </c>
      <c r="K54" s="14">
        <f t="shared" si="1"/>
        <v>20</v>
      </c>
    </row>
    <row r="55" spans="4:11">
      <c r="D55" s="11">
        <v>46058</v>
      </c>
      <c r="E55" s="12">
        <v>1576643</v>
      </c>
      <c r="F55" s="12" t="s">
        <v>19</v>
      </c>
      <c r="G55" s="13">
        <v>20390273</v>
      </c>
      <c r="H55" s="12" t="s">
        <v>37</v>
      </c>
      <c r="I55" s="13">
        <v>3</v>
      </c>
      <c r="J55" s="14">
        <v>16.5</v>
      </c>
      <c r="K55" s="14">
        <f t="shared" si="1"/>
        <v>49.5</v>
      </c>
    </row>
    <row r="56" spans="4:11">
      <c r="D56" s="11">
        <v>46058</v>
      </c>
      <c r="E56" s="12">
        <v>1576643</v>
      </c>
      <c r="F56" s="12" t="s">
        <v>19</v>
      </c>
      <c r="G56" s="13">
        <v>20411936</v>
      </c>
      <c r="H56" s="12" t="s">
        <v>67</v>
      </c>
      <c r="I56" s="13">
        <v>1</v>
      </c>
      <c r="J56" s="14">
        <v>16.5</v>
      </c>
      <c r="K56" s="14">
        <f t="shared" si="1"/>
        <v>16.5</v>
      </c>
    </row>
    <row r="57" spans="4:11">
      <c r="D57" s="11">
        <v>46058</v>
      </c>
      <c r="E57" s="12">
        <v>1576643</v>
      </c>
      <c r="F57" s="12" t="s">
        <v>19</v>
      </c>
      <c r="G57" s="13">
        <v>20391180</v>
      </c>
      <c r="H57" s="12" t="s">
        <v>68</v>
      </c>
      <c r="I57" s="13">
        <v>1</v>
      </c>
      <c r="J57" s="14">
        <v>16.5</v>
      </c>
      <c r="K57" s="14">
        <f t="shared" si="1"/>
        <v>16.5</v>
      </c>
    </row>
    <row r="58" spans="4:11">
      <c r="D58" s="11">
        <v>46058</v>
      </c>
      <c r="E58" s="12">
        <v>1576643</v>
      </c>
      <c r="F58" s="12" t="s">
        <v>19</v>
      </c>
      <c r="G58" s="13">
        <v>20409315</v>
      </c>
      <c r="H58" s="12" t="s">
        <v>40</v>
      </c>
      <c r="I58" s="13">
        <v>3</v>
      </c>
      <c r="J58" s="14">
        <v>16.5</v>
      </c>
      <c r="K58" s="14">
        <f t="shared" si="1"/>
        <v>49.5</v>
      </c>
    </row>
    <row r="59" spans="4:11">
      <c r="D59" s="11">
        <v>46058</v>
      </c>
      <c r="E59" s="12">
        <v>1576643</v>
      </c>
      <c r="F59" s="12" t="s">
        <v>19</v>
      </c>
      <c r="G59" s="13">
        <v>20390263</v>
      </c>
      <c r="H59" s="12" t="s">
        <v>41</v>
      </c>
      <c r="I59" s="13">
        <v>3</v>
      </c>
      <c r="J59" s="14">
        <v>22</v>
      </c>
      <c r="K59" s="14">
        <f t="shared" si="1"/>
        <v>66</v>
      </c>
    </row>
    <row r="60" spans="4:11">
      <c r="D60" s="11">
        <v>46058</v>
      </c>
      <c r="E60" s="12">
        <v>1576643</v>
      </c>
      <c r="F60" s="12" t="s">
        <v>17</v>
      </c>
      <c r="G60" s="13">
        <v>20390605</v>
      </c>
      <c r="H60" s="12" t="s">
        <v>18</v>
      </c>
      <c r="I60" s="13">
        <v>1</v>
      </c>
      <c r="J60" s="14">
        <v>8</v>
      </c>
      <c r="K60" s="14">
        <f t="shared" si="1"/>
        <v>8</v>
      </c>
    </row>
    <row r="61" spans="4:11">
      <c r="D61" s="11">
        <v>46059</v>
      </c>
      <c r="E61" s="12">
        <v>1576944</v>
      </c>
      <c r="F61" s="12" t="s">
        <v>14</v>
      </c>
      <c r="G61" s="13">
        <v>20390604</v>
      </c>
      <c r="H61" s="12" t="s">
        <v>16</v>
      </c>
      <c r="I61" s="13">
        <v>11</v>
      </c>
      <c r="J61" s="14">
        <v>20</v>
      </c>
      <c r="K61" s="14">
        <f t="shared" si="1"/>
        <v>220</v>
      </c>
    </row>
    <row r="62" spans="4:11">
      <c r="D62" s="11">
        <v>46060</v>
      </c>
      <c r="E62" s="12">
        <v>1577004</v>
      </c>
      <c r="F62" s="12" t="s">
        <v>22</v>
      </c>
      <c r="G62" s="13">
        <v>20390965</v>
      </c>
      <c r="H62" s="12" t="s">
        <v>64</v>
      </c>
      <c r="I62" s="13">
        <v>1</v>
      </c>
      <c r="J62" s="14">
        <v>11</v>
      </c>
      <c r="K62" s="14">
        <f t="shared" si="1"/>
        <v>11</v>
      </c>
    </row>
    <row r="63" ht="24.75" spans="4:11">
      <c r="D63" s="11">
        <v>46060</v>
      </c>
      <c r="E63" s="12">
        <v>1577004</v>
      </c>
      <c r="F63" s="12" t="s">
        <v>30</v>
      </c>
      <c r="G63" s="13">
        <v>20410642</v>
      </c>
      <c r="H63" s="12" t="s">
        <v>69</v>
      </c>
      <c r="I63" s="13">
        <v>1</v>
      </c>
      <c r="J63" s="14">
        <v>71.5</v>
      </c>
      <c r="K63" s="14">
        <f t="shared" si="1"/>
        <v>71.5</v>
      </c>
    </row>
    <row r="64" ht="24.75" spans="4:11">
      <c r="D64" s="11">
        <v>46060</v>
      </c>
      <c r="E64" s="12">
        <v>1577004</v>
      </c>
      <c r="F64" s="12" t="s">
        <v>30</v>
      </c>
      <c r="G64" s="13">
        <v>20410641</v>
      </c>
      <c r="H64" s="12" t="s">
        <v>70</v>
      </c>
      <c r="I64" s="13">
        <v>1</v>
      </c>
      <c r="J64" s="14">
        <v>132</v>
      </c>
      <c r="K64" s="14">
        <f t="shared" si="1"/>
        <v>132</v>
      </c>
    </row>
    <row r="65" spans="4:11">
      <c r="D65" s="11">
        <v>46060</v>
      </c>
      <c r="E65" s="12">
        <v>1577004</v>
      </c>
      <c r="F65" s="12" t="s">
        <v>19</v>
      </c>
      <c r="G65" s="13">
        <v>20412032</v>
      </c>
      <c r="H65" s="12" t="s">
        <v>71</v>
      </c>
      <c r="I65" s="13">
        <v>1</v>
      </c>
      <c r="J65" s="14">
        <v>88</v>
      </c>
      <c r="K65" s="14">
        <f t="shared" si="1"/>
        <v>88</v>
      </c>
    </row>
    <row r="66" spans="4:11">
      <c r="D66" s="11">
        <v>46060</v>
      </c>
      <c r="E66" s="12">
        <v>1577004</v>
      </c>
      <c r="F66" s="12" t="s">
        <v>19</v>
      </c>
      <c r="G66" s="13">
        <v>20412033</v>
      </c>
      <c r="H66" s="12" t="s">
        <v>72</v>
      </c>
      <c r="I66" s="13">
        <v>1</v>
      </c>
      <c r="J66" s="14">
        <v>27.5</v>
      </c>
      <c r="K66" s="14">
        <f t="shared" si="1"/>
        <v>27.5</v>
      </c>
    </row>
    <row r="67" spans="4:11">
      <c r="D67" s="11">
        <v>46060</v>
      </c>
      <c r="E67" s="12">
        <v>1577004</v>
      </c>
      <c r="F67" s="12" t="s">
        <v>19</v>
      </c>
      <c r="G67" s="13">
        <v>20411814</v>
      </c>
      <c r="H67" s="12" t="s">
        <v>55</v>
      </c>
      <c r="I67" s="13">
        <v>1</v>
      </c>
      <c r="J67" s="14">
        <v>16.5</v>
      </c>
      <c r="K67" s="14">
        <f t="shared" si="1"/>
        <v>16.5</v>
      </c>
    </row>
    <row r="68" spans="4:11">
      <c r="D68" s="11">
        <v>46062</v>
      </c>
      <c r="E68" s="12">
        <v>1577425</v>
      </c>
      <c r="F68" s="12" t="s">
        <v>14</v>
      </c>
      <c r="G68" s="13">
        <v>20390270</v>
      </c>
      <c r="H68" s="12" t="s">
        <v>73</v>
      </c>
      <c r="I68" s="13">
        <v>1</v>
      </c>
      <c r="J68" s="14">
        <v>20</v>
      </c>
      <c r="K68" s="14">
        <f t="shared" si="1"/>
        <v>20</v>
      </c>
    </row>
    <row r="69" spans="4:11">
      <c r="D69" s="11">
        <v>46062</v>
      </c>
      <c r="E69" s="12">
        <v>1577474</v>
      </c>
      <c r="F69" s="12" t="s">
        <v>32</v>
      </c>
      <c r="G69" s="13">
        <v>20390098</v>
      </c>
      <c r="H69" s="12" t="s">
        <v>52</v>
      </c>
      <c r="I69" s="13">
        <v>1</v>
      </c>
      <c r="J69" s="14">
        <v>104.5</v>
      </c>
      <c r="K69" s="14">
        <f t="shared" si="1"/>
        <v>104.5</v>
      </c>
    </row>
    <row r="70" spans="4:11">
      <c r="D70" s="11">
        <v>46062</v>
      </c>
      <c r="E70" s="12">
        <v>1577474</v>
      </c>
      <c r="F70" s="12" t="s">
        <v>32</v>
      </c>
      <c r="G70" s="13">
        <v>20390096</v>
      </c>
      <c r="H70" s="12" t="s">
        <v>74</v>
      </c>
      <c r="I70" s="13">
        <v>1</v>
      </c>
      <c r="J70" s="14">
        <v>148.5</v>
      </c>
      <c r="K70" s="14">
        <f t="shared" si="1"/>
        <v>148.5</v>
      </c>
    </row>
    <row r="71" spans="4:11">
      <c r="D71" s="11">
        <v>46062</v>
      </c>
      <c r="E71" s="12">
        <v>1577474</v>
      </c>
      <c r="F71" s="12" t="s">
        <v>22</v>
      </c>
      <c r="G71" s="13">
        <v>20412224</v>
      </c>
      <c r="H71" s="12" t="s">
        <v>75</v>
      </c>
      <c r="I71" s="13">
        <v>1</v>
      </c>
      <c r="J71" s="14">
        <v>8</v>
      </c>
      <c r="K71" s="14">
        <f t="shared" si="1"/>
        <v>8</v>
      </c>
    </row>
    <row r="72" spans="4:11">
      <c r="D72" s="11">
        <v>46062</v>
      </c>
      <c r="E72" s="12">
        <v>1577474</v>
      </c>
      <c r="F72" s="12" t="s">
        <v>22</v>
      </c>
      <c r="G72" s="13">
        <v>20404312</v>
      </c>
      <c r="H72" s="12" t="s">
        <v>76</v>
      </c>
      <c r="I72" s="13">
        <v>4</v>
      </c>
      <c r="J72" s="14">
        <v>13</v>
      </c>
      <c r="K72" s="14">
        <f t="shared" si="1"/>
        <v>52</v>
      </c>
    </row>
    <row r="73" spans="4:11">
      <c r="D73" s="11">
        <v>46062</v>
      </c>
      <c r="E73" s="12">
        <v>1577474</v>
      </c>
      <c r="F73" s="12" t="s">
        <v>22</v>
      </c>
      <c r="G73" s="13">
        <v>20403096</v>
      </c>
      <c r="H73" s="12" t="s">
        <v>77</v>
      </c>
      <c r="I73" s="13">
        <v>1</v>
      </c>
      <c r="J73" s="14">
        <v>8</v>
      </c>
      <c r="K73" s="14">
        <f t="shared" si="1"/>
        <v>8</v>
      </c>
    </row>
    <row r="74" spans="4:11">
      <c r="D74" s="11">
        <v>46062</v>
      </c>
      <c r="E74" s="12">
        <v>1577474</v>
      </c>
      <c r="F74" s="12" t="s">
        <v>22</v>
      </c>
      <c r="G74" s="13">
        <v>20403098</v>
      </c>
      <c r="H74" s="12" t="s">
        <v>78</v>
      </c>
      <c r="I74" s="13">
        <v>2</v>
      </c>
      <c r="J74" s="14">
        <v>16.5</v>
      </c>
      <c r="K74" s="14">
        <f t="shared" ref="K74:K105" si="2">J74*I74</f>
        <v>33</v>
      </c>
    </row>
    <row r="75" spans="4:11">
      <c r="D75" s="11">
        <v>46062</v>
      </c>
      <c r="E75" s="12">
        <v>1577474</v>
      </c>
      <c r="F75" s="12" t="s">
        <v>19</v>
      </c>
      <c r="G75" s="13">
        <v>20390273</v>
      </c>
      <c r="H75" s="12" t="s">
        <v>37</v>
      </c>
      <c r="I75" s="13">
        <v>2</v>
      </c>
      <c r="J75" s="14">
        <v>16.5</v>
      </c>
      <c r="K75" s="14">
        <f t="shared" si="2"/>
        <v>33</v>
      </c>
    </row>
    <row r="76" spans="4:11">
      <c r="D76" s="11">
        <v>46062</v>
      </c>
      <c r="E76" s="12">
        <v>1577474</v>
      </c>
      <c r="F76" s="12" t="s">
        <v>19</v>
      </c>
      <c r="G76" s="13">
        <v>20391180</v>
      </c>
      <c r="H76" s="12" t="s">
        <v>68</v>
      </c>
      <c r="I76" s="13">
        <v>1</v>
      </c>
      <c r="J76" s="14">
        <v>16.5</v>
      </c>
      <c r="K76" s="14">
        <f t="shared" si="2"/>
        <v>16.5</v>
      </c>
    </row>
    <row r="77" spans="4:11">
      <c r="D77" s="11">
        <v>46062</v>
      </c>
      <c r="E77" s="12">
        <v>1577474</v>
      </c>
      <c r="F77" s="12" t="s">
        <v>19</v>
      </c>
      <c r="G77" s="13">
        <v>20409315</v>
      </c>
      <c r="H77" s="12" t="s">
        <v>40</v>
      </c>
      <c r="I77" s="13">
        <v>2</v>
      </c>
      <c r="J77" s="14">
        <v>16.5</v>
      </c>
      <c r="K77" s="14">
        <f t="shared" si="2"/>
        <v>33</v>
      </c>
    </row>
    <row r="78" spans="4:11">
      <c r="D78" s="11">
        <v>46062</v>
      </c>
      <c r="E78" s="12">
        <v>1577474</v>
      </c>
      <c r="F78" s="12" t="s">
        <v>19</v>
      </c>
      <c r="G78" s="13">
        <v>20390263</v>
      </c>
      <c r="H78" s="12" t="s">
        <v>41</v>
      </c>
      <c r="I78" s="13">
        <v>2</v>
      </c>
      <c r="J78" s="14">
        <v>22</v>
      </c>
      <c r="K78" s="14">
        <f t="shared" si="2"/>
        <v>44</v>
      </c>
    </row>
    <row r="79" spans="4:11">
      <c r="D79" s="11">
        <v>46062</v>
      </c>
      <c r="E79" s="12">
        <v>1577549</v>
      </c>
      <c r="F79" s="12" t="s">
        <v>47</v>
      </c>
      <c r="G79" s="13">
        <v>20391166</v>
      </c>
      <c r="H79" s="12" t="s">
        <v>79</v>
      </c>
      <c r="I79" s="13">
        <v>1</v>
      </c>
      <c r="J79" s="14">
        <v>28</v>
      </c>
      <c r="K79" s="14">
        <f t="shared" si="2"/>
        <v>28</v>
      </c>
    </row>
    <row r="80" spans="4:11">
      <c r="D80" s="11">
        <v>46062</v>
      </c>
      <c r="E80" s="12">
        <v>1577549</v>
      </c>
      <c r="F80" s="12" t="s">
        <v>47</v>
      </c>
      <c r="G80" s="13">
        <v>20391164</v>
      </c>
      <c r="H80" s="12" t="s">
        <v>80</v>
      </c>
      <c r="I80" s="13">
        <v>3</v>
      </c>
      <c r="J80" s="14">
        <v>35</v>
      </c>
      <c r="K80" s="14">
        <f t="shared" si="2"/>
        <v>105</v>
      </c>
    </row>
    <row r="81" spans="4:11">
      <c r="D81" s="11">
        <v>46063</v>
      </c>
      <c r="E81" s="12">
        <v>1577840</v>
      </c>
      <c r="F81" s="12" t="s">
        <v>32</v>
      </c>
      <c r="G81" s="13">
        <v>20390277</v>
      </c>
      <c r="H81" s="12" t="s">
        <v>58</v>
      </c>
      <c r="I81" s="13">
        <v>1</v>
      </c>
      <c r="J81" s="14">
        <v>209</v>
      </c>
      <c r="K81" s="14">
        <f t="shared" si="2"/>
        <v>209</v>
      </c>
    </row>
    <row r="82" spans="4:11">
      <c r="D82" s="11">
        <v>46063</v>
      </c>
      <c r="E82" s="12">
        <v>1577840</v>
      </c>
      <c r="F82" s="12" t="s">
        <v>32</v>
      </c>
      <c r="G82" s="13">
        <v>20390085</v>
      </c>
      <c r="H82" s="12" t="s">
        <v>59</v>
      </c>
      <c r="I82" s="13">
        <v>1</v>
      </c>
      <c r="J82" s="14">
        <v>33</v>
      </c>
      <c r="K82" s="14">
        <f t="shared" si="2"/>
        <v>33</v>
      </c>
    </row>
    <row r="83" spans="4:11">
      <c r="D83" s="11">
        <v>46063</v>
      </c>
      <c r="E83" s="12">
        <v>1577840</v>
      </c>
      <c r="F83" s="12" t="s">
        <v>22</v>
      </c>
      <c r="G83" s="13">
        <v>20404314</v>
      </c>
      <c r="H83" s="12" t="s">
        <v>81</v>
      </c>
      <c r="I83" s="13">
        <v>1</v>
      </c>
      <c r="J83" s="14">
        <v>8</v>
      </c>
      <c r="K83" s="14">
        <f t="shared" si="2"/>
        <v>8</v>
      </c>
    </row>
    <row r="84" spans="4:11">
      <c r="D84" s="11">
        <v>46063</v>
      </c>
      <c r="E84" s="12">
        <v>1577840</v>
      </c>
      <c r="F84" s="12" t="s">
        <v>14</v>
      </c>
      <c r="G84" s="13">
        <v>20390270</v>
      </c>
      <c r="H84" s="12" t="s">
        <v>73</v>
      </c>
      <c r="I84" s="13">
        <v>1</v>
      </c>
      <c r="J84" s="14">
        <v>20</v>
      </c>
      <c r="K84" s="14">
        <f t="shared" si="2"/>
        <v>20</v>
      </c>
    </row>
    <row r="85" spans="4:11">
      <c r="D85" s="11">
        <v>46063</v>
      </c>
      <c r="E85" s="12">
        <v>1577840</v>
      </c>
      <c r="F85" s="12" t="s">
        <v>19</v>
      </c>
      <c r="G85" s="13">
        <v>20390273</v>
      </c>
      <c r="H85" s="12" t="s">
        <v>37</v>
      </c>
      <c r="I85" s="13">
        <v>1</v>
      </c>
      <c r="J85" s="14">
        <v>16.5</v>
      </c>
      <c r="K85" s="14">
        <f t="shared" si="2"/>
        <v>16.5</v>
      </c>
    </row>
    <row r="86" spans="4:11">
      <c r="D86" s="11">
        <v>46063</v>
      </c>
      <c r="E86" s="12">
        <v>1577840</v>
      </c>
      <c r="F86" s="12" t="s">
        <v>19</v>
      </c>
      <c r="G86" s="13">
        <v>20409315</v>
      </c>
      <c r="H86" s="12" t="s">
        <v>40</v>
      </c>
      <c r="I86" s="13">
        <v>1</v>
      </c>
      <c r="J86" s="14">
        <v>16.5</v>
      </c>
      <c r="K86" s="14">
        <f t="shared" si="2"/>
        <v>16.5</v>
      </c>
    </row>
    <row r="87" spans="4:11">
      <c r="D87" s="11">
        <v>46063</v>
      </c>
      <c r="E87" s="12">
        <v>1577840</v>
      </c>
      <c r="F87" s="12" t="s">
        <v>19</v>
      </c>
      <c r="G87" s="13">
        <v>20390263</v>
      </c>
      <c r="H87" s="12" t="s">
        <v>41</v>
      </c>
      <c r="I87" s="13">
        <v>1</v>
      </c>
      <c r="J87" s="14">
        <v>22</v>
      </c>
      <c r="K87" s="14">
        <f t="shared" si="2"/>
        <v>22</v>
      </c>
    </row>
    <row r="88" spans="4:11">
      <c r="D88" s="11">
        <v>46064</v>
      </c>
      <c r="E88" s="12">
        <v>1578076</v>
      </c>
      <c r="F88" s="12" t="s">
        <v>14</v>
      </c>
      <c r="G88" s="13">
        <v>20390604</v>
      </c>
      <c r="H88" s="12" t="s">
        <v>16</v>
      </c>
      <c r="I88" s="13">
        <v>5</v>
      </c>
      <c r="J88" s="14">
        <v>20</v>
      </c>
      <c r="K88" s="14">
        <f t="shared" si="2"/>
        <v>100</v>
      </c>
    </row>
    <row r="89" spans="4:11">
      <c r="D89" s="11">
        <v>46064</v>
      </c>
      <c r="E89" s="12">
        <v>1578076</v>
      </c>
      <c r="F89" s="12" t="s">
        <v>14</v>
      </c>
      <c r="G89" s="13">
        <v>20390270</v>
      </c>
      <c r="H89" s="12" t="s">
        <v>73</v>
      </c>
      <c r="I89" s="13">
        <v>2</v>
      </c>
      <c r="J89" s="14">
        <v>20</v>
      </c>
      <c r="K89" s="14">
        <f t="shared" si="2"/>
        <v>40</v>
      </c>
    </row>
    <row r="90" spans="4:11">
      <c r="D90" s="11">
        <v>46064</v>
      </c>
      <c r="E90" s="12">
        <v>1578109</v>
      </c>
      <c r="F90" s="12" t="s">
        <v>32</v>
      </c>
      <c r="G90" s="13">
        <v>20390099</v>
      </c>
      <c r="H90" s="12" t="s">
        <v>35</v>
      </c>
      <c r="I90" s="13">
        <v>1</v>
      </c>
      <c r="J90" s="14">
        <v>225.5</v>
      </c>
      <c r="K90" s="14">
        <f t="shared" si="2"/>
        <v>225.5</v>
      </c>
    </row>
    <row r="91" spans="4:11">
      <c r="D91" s="11">
        <v>46064</v>
      </c>
      <c r="E91" s="12">
        <v>1578109</v>
      </c>
      <c r="F91" s="12" t="s">
        <v>32</v>
      </c>
      <c r="G91" s="13">
        <v>20390095</v>
      </c>
      <c r="H91" s="12" t="s">
        <v>60</v>
      </c>
      <c r="I91" s="13">
        <v>1</v>
      </c>
      <c r="J91" s="14">
        <v>38.5</v>
      </c>
      <c r="K91" s="14">
        <f t="shared" si="2"/>
        <v>38.5</v>
      </c>
    </row>
    <row r="92" spans="4:11">
      <c r="D92" s="11">
        <v>46064</v>
      </c>
      <c r="E92" s="12">
        <v>1578109</v>
      </c>
      <c r="F92" s="12" t="s">
        <v>22</v>
      </c>
      <c r="G92" s="13">
        <v>20400911</v>
      </c>
      <c r="H92" s="12" t="s">
        <v>82</v>
      </c>
      <c r="I92" s="13">
        <v>3</v>
      </c>
      <c r="J92" s="14">
        <v>8</v>
      </c>
      <c r="K92" s="14">
        <f t="shared" si="2"/>
        <v>24</v>
      </c>
    </row>
    <row r="93" spans="4:11">
      <c r="D93" s="11">
        <v>46064</v>
      </c>
      <c r="E93" s="12">
        <v>1578109</v>
      </c>
      <c r="F93" s="12" t="s">
        <v>22</v>
      </c>
      <c r="G93" s="13">
        <v>20390278</v>
      </c>
      <c r="H93" s="12" t="s">
        <v>62</v>
      </c>
      <c r="I93" s="13">
        <v>1</v>
      </c>
      <c r="J93" s="14">
        <v>8</v>
      </c>
      <c r="K93" s="14">
        <f t="shared" si="2"/>
        <v>8</v>
      </c>
    </row>
    <row r="94" spans="4:11">
      <c r="D94" s="11">
        <v>46064</v>
      </c>
      <c r="E94" s="12">
        <v>1578109</v>
      </c>
      <c r="F94" s="12" t="s">
        <v>22</v>
      </c>
      <c r="G94" s="13">
        <v>20412476</v>
      </c>
      <c r="H94" s="12" t="s">
        <v>83</v>
      </c>
      <c r="I94" s="13">
        <v>1</v>
      </c>
      <c r="J94" s="14">
        <v>8</v>
      </c>
      <c r="K94" s="14">
        <f t="shared" si="2"/>
        <v>8</v>
      </c>
    </row>
    <row r="95" spans="4:11">
      <c r="D95" s="11">
        <v>46064</v>
      </c>
      <c r="E95" s="12">
        <v>1578109</v>
      </c>
      <c r="F95" s="12" t="s">
        <v>22</v>
      </c>
      <c r="G95" s="13">
        <v>20390260</v>
      </c>
      <c r="H95" s="12" t="s">
        <v>84</v>
      </c>
      <c r="I95" s="13">
        <v>1</v>
      </c>
      <c r="J95" s="14">
        <v>16.5</v>
      </c>
      <c r="K95" s="14">
        <f t="shared" si="2"/>
        <v>16.5</v>
      </c>
    </row>
    <row r="96" spans="4:11">
      <c r="D96" s="11">
        <v>46064</v>
      </c>
      <c r="E96" s="12">
        <v>1578109</v>
      </c>
      <c r="F96" s="12" t="s">
        <v>22</v>
      </c>
      <c r="G96" s="13">
        <v>20404312</v>
      </c>
      <c r="H96" s="12" t="s">
        <v>76</v>
      </c>
      <c r="I96" s="13">
        <v>1</v>
      </c>
      <c r="J96" s="14">
        <v>13</v>
      </c>
      <c r="K96" s="14">
        <f t="shared" si="2"/>
        <v>13</v>
      </c>
    </row>
    <row r="97" spans="4:11">
      <c r="D97" s="11">
        <v>46064</v>
      </c>
      <c r="E97" s="12">
        <v>1578109</v>
      </c>
      <c r="F97" s="12" t="s">
        <v>19</v>
      </c>
      <c r="G97" s="13">
        <v>20390273</v>
      </c>
      <c r="H97" s="12" t="s">
        <v>37</v>
      </c>
      <c r="I97" s="13">
        <v>1</v>
      </c>
      <c r="J97" s="14">
        <v>16.5</v>
      </c>
      <c r="K97" s="14">
        <f t="shared" si="2"/>
        <v>16.5</v>
      </c>
    </row>
    <row r="98" spans="4:11">
      <c r="D98" s="11">
        <v>46064</v>
      </c>
      <c r="E98" s="12">
        <v>1578109</v>
      </c>
      <c r="F98" s="12" t="s">
        <v>19</v>
      </c>
      <c r="G98" s="13">
        <v>20390263</v>
      </c>
      <c r="H98" s="12" t="s">
        <v>41</v>
      </c>
      <c r="I98" s="13">
        <v>1</v>
      </c>
      <c r="J98" s="14">
        <v>22</v>
      </c>
      <c r="K98" s="14">
        <f t="shared" si="2"/>
        <v>22</v>
      </c>
    </row>
    <row r="99" spans="4:11">
      <c r="D99" s="11">
        <v>46065</v>
      </c>
      <c r="E99" s="12">
        <v>1578468</v>
      </c>
      <c r="F99" s="12" t="s">
        <v>14</v>
      </c>
      <c r="G99" s="13">
        <v>20390604</v>
      </c>
      <c r="H99" s="12" t="s">
        <v>16</v>
      </c>
      <c r="I99" s="13">
        <v>4</v>
      </c>
      <c r="J99" s="14">
        <v>20</v>
      </c>
      <c r="K99" s="14">
        <f t="shared" si="2"/>
        <v>80</v>
      </c>
    </row>
    <row r="100" spans="4:11">
      <c r="D100" s="11">
        <v>46066</v>
      </c>
      <c r="E100" s="12">
        <v>1578698</v>
      </c>
      <c r="F100" s="12" t="s">
        <v>14</v>
      </c>
      <c r="G100" s="13">
        <v>20390604</v>
      </c>
      <c r="H100" s="12" t="s">
        <v>16</v>
      </c>
      <c r="I100" s="13">
        <v>3</v>
      </c>
      <c r="J100" s="14">
        <v>20</v>
      </c>
      <c r="K100" s="14">
        <f t="shared" si="2"/>
        <v>60</v>
      </c>
    </row>
    <row r="101" spans="4:11">
      <c r="D101" s="11">
        <v>46066</v>
      </c>
      <c r="E101" s="12">
        <v>1578745</v>
      </c>
      <c r="F101" s="12" t="s">
        <v>32</v>
      </c>
      <c r="G101" s="13">
        <v>20390099</v>
      </c>
      <c r="H101" s="12" t="s">
        <v>35</v>
      </c>
      <c r="I101" s="13">
        <v>1</v>
      </c>
      <c r="J101" s="14">
        <v>225.5</v>
      </c>
      <c r="K101" s="14">
        <f t="shared" si="2"/>
        <v>225.5</v>
      </c>
    </row>
    <row r="102" spans="4:11">
      <c r="D102" s="11">
        <v>46066</v>
      </c>
      <c r="E102" s="12">
        <v>1578745</v>
      </c>
      <c r="F102" s="12" t="s">
        <v>22</v>
      </c>
      <c r="G102" s="13">
        <v>20394090</v>
      </c>
      <c r="H102" s="12" t="s">
        <v>61</v>
      </c>
      <c r="I102" s="13">
        <v>1</v>
      </c>
      <c r="J102" s="14">
        <v>13.5</v>
      </c>
      <c r="K102" s="14">
        <f t="shared" si="2"/>
        <v>13.5</v>
      </c>
    </row>
    <row r="103" spans="4:11">
      <c r="D103" s="11">
        <v>46066</v>
      </c>
      <c r="E103" s="12">
        <v>1578745</v>
      </c>
      <c r="F103" s="12" t="s">
        <v>22</v>
      </c>
      <c r="G103" s="13">
        <v>20390278</v>
      </c>
      <c r="H103" s="12" t="s">
        <v>62</v>
      </c>
      <c r="I103" s="13">
        <v>1</v>
      </c>
      <c r="J103" s="14">
        <v>8</v>
      </c>
      <c r="K103" s="14">
        <f t="shared" si="2"/>
        <v>8</v>
      </c>
    </row>
    <row r="104" spans="4:11">
      <c r="D104" s="11">
        <v>46066</v>
      </c>
      <c r="E104" s="12">
        <v>1578745</v>
      </c>
      <c r="F104" s="12" t="s">
        <v>22</v>
      </c>
      <c r="G104" s="13">
        <v>20405482</v>
      </c>
      <c r="H104" s="12" t="s">
        <v>63</v>
      </c>
      <c r="I104" s="13">
        <v>1</v>
      </c>
      <c r="J104" s="14">
        <v>13.5</v>
      </c>
      <c r="K104" s="14">
        <f t="shared" si="2"/>
        <v>13.5</v>
      </c>
    </row>
    <row r="105" spans="4:11">
      <c r="D105" s="11">
        <v>46066</v>
      </c>
      <c r="E105" s="12">
        <v>1578745</v>
      </c>
      <c r="F105" s="12" t="s">
        <v>22</v>
      </c>
      <c r="G105" s="13">
        <v>20401547</v>
      </c>
      <c r="H105" s="12" t="s">
        <v>85</v>
      </c>
      <c r="I105" s="13">
        <v>1</v>
      </c>
      <c r="J105" s="14">
        <v>8</v>
      </c>
      <c r="K105" s="14">
        <f t="shared" si="2"/>
        <v>8</v>
      </c>
    </row>
    <row r="106" spans="4:11">
      <c r="D106" s="11">
        <v>46066</v>
      </c>
      <c r="E106" s="12">
        <v>1578745</v>
      </c>
      <c r="F106" s="12" t="s">
        <v>22</v>
      </c>
      <c r="G106" s="13">
        <v>20391178</v>
      </c>
      <c r="H106" s="12" t="s">
        <v>86</v>
      </c>
      <c r="I106" s="13">
        <v>1</v>
      </c>
      <c r="J106" s="14">
        <v>13.5</v>
      </c>
      <c r="K106" s="14">
        <f t="shared" ref="K106:K137" si="3">J106*I106</f>
        <v>13.5</v>
      </c>
    </row>
    <row r="107" spans="4:11">
      <c r="D107" s="11">
        <v>46066</v>
      </c>
      <c r="E107" s="12">
        <v>1578745</v>
      </c>
      <c r="F107" s="12" t="s">
        <v>19</v>
      </c>
      <c r="G107" s="13">
        <v>20390273</v>
      </c>
      <c r="H107" s="12" t="s">
        <v>37</v>
      </c>
      <c r="I107" s="13">
        <v>1</v>
      </c>
      <c r="J107" s="14">
        <v>16.5</v>
      </c>
      <c r="K107" s="14">
        <f t="shared" si="3"/>
        <v>16.5</v>
      </c>
    </row>
    <row r="108" spans="4:11">
      <c r="D108" s="11">
        <v>46066</v>
      </c>
      <c r="E108" s="12">
        <v>1578745</v>
      </c>
      <c r="F108" s="12" t="s">
        <v>19</v>
      </c>
      <c r="G108" s="13">
        <v>20391180</v>
      </c>
      <c r="H108" s="12" t="s">
        <v>68</v>
      </c>
      <c r="I108" s="13">
        <v>1</v>
      </c>
      <c r="J108" s="14">
        <v>16.5</v>
      </c>
      <c r="K108" s="14">
        <f t="shared" si="3"/>
        <v>16.5</v>
      </c>
    </row>
    <row r="109" spans="4:11">
      <c r="D109" s="11">
        <v>46066</v>
      </c>
      <c r="E109" s="12">
        <v>1578745</v>
      </c>
      <c r="F109" s="12" t="s">
        <v>19</v>
      </c>
      <c r="G109" s="13">
        <v>20407251</v>
      </c>
      <c r="H109" s="12" t="s">
        <v>87</v>
      </c>
      <c r="I109" s="13">
        <v>1</v>
      </c>
      <c r="J109" s="14">
        <v>16.5</v>
      </c>
      <c r="K109" s="14">
        <f t="shared" si="3"/>
        <v>16.5</v>
      </c>
    </row>
    <row r="110" spans="4:11">
      <c r="D110" s="11">
        <v>46066</v>
      </c>
      <c r="E110" s="12">
        <v>1578745</v>
      </c>
      <c r="F110" s="12" t="s">
        <v>19</v>
      </c>
      <c r="G110" s="13">
        <v>20409315</v>
      </c>
      <c r="H110" s="12" t="s">
        <v>40</v>
      </c>
      <c r="I110" s="13">
        <v>1</v>
      </c>
      <c r="J110" s="14">
        <v>16.5</v>
      </c>
      <c r="K110" s="14">
        <f t="shared" si="3"/>
        <v>16.5</v>
      </c>
    </row>
    <row r="111" spans="4:11">
      <c r="D111" s="11">
        <v>46066</v>
      </c>
      <c r="E111" s="12">
        <v>1578745</v>
      </c>
      <c r="F111" s="12" t="s">
        <v>19</v>
      </c>
      <c r="G111" s="13">
        <v>20390263</v>
      </c>
      <c r="H111" s="12" t="s">
        <v>41</v>
      </c>
      <c r="I111" s="13">
        <v>1</v>
      </c>
      <c r="J111" s="14">
        <v>22</v>
      </c>
      <c r="K111" s="14">
        <f t="shared" si="3"/>
        <v>22</v>
      </c>
    </row>
    <row r="112" spans="4:11">
      <c r="D112" s="11">
        <v>46066</v>
      </c>
      <c r="E112" s="12">
        <v>1578745</v>
      </c>
      <c r="F112" s="12" t="s">
        <v>19</v>
      </c>
      <c r="G112" s="13">
        <v>20400003</v>
      </c>
      <c r="H112" s="12" t="s">
        <v>88</v>
      </c>
      <c r="I112" s="13">
        <v>1</v>
      </c>
      <c r="J112" s="14">
        <v>16.5</v>
      </c>
      <c r="K112" s="14">
        <f t="shared" si="3"/>
        <v>16.5</v>
      </c>
    </row>
    <row r="113" spans="4:11">
      <c r="D113" s="11">
        <v>46072</v>
      </c>
      <c r="E113" s="12">
        <v>1579260</v>
      </c>
      <c r="F113" s="12" t="s">
        <v>32</v>
      </c>
      <c r="G113" s="13">
        <v>20390082</v>
      </c>
      <c r="H113" s="12" t="s">
        <v>46</v>
      </c>
      <c r="I113" s="13">
        <v>1</v>
      </c>
      <c r="J113" s="14">
        <v>93.5</v>
      </c>
      <c r="K113" s="14">
        <f t="shared" si="3"/>
        <v>93.5</v>
      </c>
    </row>
    <row r="114" spans="4:11">
      <c r="D114" s="11">
        <v>46078</v>
      </c>
      <c r="E114" s="12">
        <v>1579886</v>
      </c>
      <c r="F114" s="12" t="s">
        <v>25</v>
      </c>
      <c r="G114" s="13">
        <v>20390602</v>
      </c>
      <c r="H114" s="12" t="s">
        <v>26</v>
      </c>
      <c r="I114" s="13">
        <v>7</v>
      </c>
      <c r="J114" s="14">
        <v>35</v>
      </c>
      <c r="K114" s="14">
        <f t="shared" si="3"/>
        <v>245</v>
      </c>
    </row>
    <row r="115" spans="4:11">
      <c r="D115" s="11">
        <v>46079</v>
      </c>
      <c r="E115" s="12">
        <v>1580452</v>
      </c>
      <c r="F115" s="12" t="s">
        <v>14</v>
      </c>
      <c r="G115" s="13">
        <v>20390604</v>
      </c>
      <c r="H115" s="12" t="s">
        <v>16</v>
      </c>
      <c r="I115" s="13">
        <v>2</v>
      </c>
      <c r="J115" s="14">
        <v>20</v>
      </c>
      <c r="K115" s="14">
        <f t="shared" si="3"/>
        <v>40</v>
      </c>
    </row>
    <row r="116" spans="4:11">
      <c r="D116" s="11">
        <v>46079</v>
      </c>
      <c r="E116" s="12">
        <v>1580452</v>
      </c>
      <c r="F116" s="12" t="s">
        <v>14</v>
      </c>
      <c r="G116" s="13">
        <v>20390270</v>
      </c>
      <c r="H116" s="12" t="s">
        <v>73</v>
      </c>
      <c r="I116" s="13">
        <v>2</v>
      </c>
      <c r="J116" s="14">
        <v>20</v>
      </c>
      <c r="K116" s="14">
        <f t="shared" si="3"/>
        <v>40</v>
      </c>
    </row>
    <row r="117" spans="4:11">
      <c r="D117" s="11">
        <v>46079</v>
      </c>
      <c r="E117" s="12">
        <v>1580481</v>
      </c>
      <c r="F117" s="12" t="s">
        <v>32</v>
      </c>
      <c r="G117" s="13">
        <v>20390101</v>
      </c>
      <c r="H117" s="12" t="s">
        <v>33</v>
      </c>
      <c r="I117" s="13">
        <v>1</v>
      </c>
      <c r="J117" s="14">
        <v>88</v>
      </c>
      <c r="K117" s="14">
        <f t="shared" si="3"/>
        <v>88</v>
      </c>
    </row>
    <row r="118" spans="4:11">
      <c r="D118" s="11">
        <v>46079</v>
      </c>
      <c r="E118" s="12">
        <v>1580481</v>
      </c>
      <c r="F118" s="12" t="s">
        <v>32</v>
      </c>
      <c r="G118" s="13">
        <v>20390100</v>
      </c>
      <c r="H118" s="12" t="s">
        <v>89</v>
      </c>
      <c r="I118" s="13">
        <v>1</v>
      </c>
      <c r="J118" s="14">
        <v>148.5</v>
      </c>
      <c r="K118" s="14">
        <f t="shared" si="3"/>
        <v>148.5</v>
      </c>
    </row>
    <row r="119" spans="4:11">
      <c r="D119" s="11">
        <v>46080</v>
      </c>
      <c r="E119" s="12">
        <v>1580554</v>
      </c>
      <c r="F119" s="12" t="s">
        <v>22</v>
      </c>
      <c r="G119" s="13">
        <v>20390826</v>
      </c>
      <c r="H119" s="12" t="s">
        <v>36</v>
      </c>
      <c r="I119" s="13">
        <v>1</v>
      </c>
      <c r="J119" s="14">
        <v>8</v>
      </c>
      <c r="K119" s="14">
        <f t="shared" si="3"/>
        <v>8</v>
      </c>
    </row>
    <row r="120" spans="4:11">
      <c r="D120" s="11">
        <v>46080</v>
      </c>
      <c r="E120" s="12">
        <v>1580554</v>
      </c>
      <c r="F120" s="12" t="s">
        <v>22</v>
      </c>
      <c r="G120" s="13">
        <v>20393479</v>
      </c>
      <c r="H120" s="12" t="s">
        <v>44</v>
      </c>
      <c r="I120" s="13">
        <v>1</v>
      </c>
      <c r="J120" s="14">
        <v>8</v>
      </c>
      <c r="K120" s="14">
        <f t="shared" si="3"/>
        <v>8</v>
      </c>
    </row>
    <row r="121" ht="24.75" spans="4:11">
      <c r="D121" s="11">
        <v>46080</v>
      </c>
      <c r="E121" s="12">
        <v>1580554</v>
      </c>
      <c r="F121" s="12" t="s">
        <v>28</v>
      </c>
      <c r="G121" s="13">
        <v>20413737</v>
      </c>
      <c r="H121" s="12" t="s">
        <v>90</v>
      </c>
      <c r="I121" s="13">
        <v>1</v>
      </c>
      <c r="J121" s="14">
        <v>508</v>
      </c>
      <c r="K121" s="14">
        <f t="shared" si="3"/>
        <v>508</v>
      </c>
    </row>
    <row r="122" spans="4:11">
      <c r="D122" s="11">
        <v>46080</v>
      </c>
      <c r="E122" s="12">
        <v>1580554</v>
      </c>
      <c r="F122" s="12" t="s">
        <v>19</v>
      </c>
      <c r="G122" s="13">
        <v>20390273</v>
      </c>
      <c r="H122" s="12" t="s">
        <v>37</v>
      </c>
      <c r="I122" s="13">
        <v>2</v>
      </c>
      <c r="J122" s="14">
        <v>16.5</v>
      </c>
      <c r="K122" s="14">
        <f t="shared" si="3"/>
        <v>33</v>
      </c>
    </row>
    <row r="123" spans="4:11">
      <c r="D123" s="11">
        <v>46080</v>
      </c>
      <c r="E123" s="12">
        <v>1580554</v>
      </c>
      <c r="F123" s="12" t="s">
        <v>19</v>
      </c>
      <c r="G123" s="13">
        <v>20390102</v>
      </c>
      <c r="H123" s="12" t="s">
        <v>39</v>
      </c>
      <c r="I123" s="13">
        <v>1</v>
      </c>
      <c r="J123" s="14">
        <v>16.5</v>
      </c>
      <c r="K123" s="14">
        <f t="shared" si="3"/>
        <v>16.5</v>
      </c>
    </row>
    <row r="124" spans="4:11">
      <c r="D124" s="11">
        <v>46080</v>
      </c>
      <c r="E124" s="12">
        <v>1580554</v>
      </c>
      <c r="F124" s="12" t="s">
        <v>19</v>
      </c>
      <c r="G124" s="13">
        <v>20409314</v>
      </c>
      <c r="H124" s="12" t="s">
        <v>91</v>
      </c>
      <c r="I124" s="13">
        <v>1</v>
      </c>
      <c r="J124" s="14">
        <v>16.5</v>
      </c>
      <c r="K124" s="14">
        <f t="shared" si="3"/>
        <v>16.5</v>
      </c>
    </row>
    <row r="125" spans="4:11">
      <c r="D125" s="11">
        <v>46080</v>
      </c>
      <c r="E125" s="12">
        <v>1580554</v>
      </c>
      <c r="F125" s="12" t="s">
        <v>19</v>
      </c>
      <c r="G125" s="13">
        <v>20409315</v>
      </c>
      <c r="H125" s="12" t="s">
        <v>40</v>
      </c>
      <c r="I125" s="13">
        <v>1</v>
      </c>
      <c r="J125" s="14">
        <v>16.5</v>
      </c>
      <c r="K125" s="14">
        <f t="shared" si="3"/>
        <v>16.5</v>
      </c>
    </row>
    <row r="126" spans="4:11">
      <c r="D126" s="11">
        <v>46080</v>
      </c>
      <c r="E126" s="12">
        <v>1580554</v>
      </c>
      <c r="F126" s="12" t="s">
        <v>19</v>
      </c>
      <c r="G126" s="13">
        <v>20390263</v>
      </c>
      <c r="H126" s="12" t="s">
        <v>41</v>
      </c>
      <c r="I126" s="13">
        <v>1</v>
      </c>
      <c r="J126" s="14">
        <v>22</v>
      </c>
      <c r="K126" s="14">
        <f t="shared" si="3"/>
        <v>22</v>
      </c>
    </row>
    <row r="127" spans="4:11">
      <c r="D127" s="11">
        <v>46080</v>
      </c>
      <c r="E127" s="12">
        <v>1580821</v>
      </c>
      <c r="F127" s="12" t="s">
        <v>32</v>
      </c>
      <c r="G127" s="13">
        <v>20390085</v>
      </c>
      <c r="H127" s="12" t="s">
        <v>59</v>
      </c>
      <c r="I127" s="13">
        <v>1</v>
      </c>
      <c r="J127" s="14">
        <v>33</v>
      </c>
      <c r="K127" s="14">
        <f t="shared" si="3"/>
        <v>33</v>
      </c>
    </row>
    <row r="128" spans="4:11">
      <c r="D128" s="11">
        <v>46080</v>
      </c>
      <c r="E128" s="12">
        <v>1580821</v>
      </c>
      <c r="F128" s="12" t="s">
        <v>92</v>
      </c>
      <c r="G128" s="13">
        <v>20399007</v>
      </c>
      <c r="H128" s="12" t="s">
        <v>93</v>
      </c>
      <c r="I128" s="13">
        <v>1</v>
      </c>
      <c r="J128" s="14">
        <v>198</v>
      </c>
      <c r="K128" s="14">
        <f t="shared" si="3"/>
        <v>198</v>
      </c>
    </row>
    <row r="129" spans="4:11">
      <c r="D129" s="11">
        <v>46080</v>
      </c>
      <c r="E129" s="12">
        <v>1580821</v>
      </c>
      <c r="F129" s="12" t="s">
        <v>19</v>
      </c>
      <c r="G129" s="13">
        <v>20390273</v>
      </c>
      <c r="H129" s="12" t="s">
        <v>37</v>
      </c>
      <c r="I129" s="13">
        <v>1</v>
      </c>
      <c r="J129" s="14">
        <v>16.5</v>
      </c>
      <c r="K129" s="14">
        <f t="shared" si="3"/>
        <v>16.5</v>
      </c>
    </row>
    <row r="130" spans="4:11">
      <c r="D130" s="11">
        <v>46080</v>
      </c>
      <c r="E130" s="12">
        <v>1580821</v>
      </c>
      <c r="F130" s="12" t="s">
        <v>19</v>
      </c>
      <c r="G130" s="13">
        <v>20409315</v>
      </c>
      <c r="H130" s="12" t="s">
        <v>40</v>
      </c>
      <c r="I130" s="13">
        <v>1</v>
      </c>
      <c r="J130" s="14">
        <v>16.5</v>
      </c>
      <c r="K130" s="14">
        <f t="shared" si="3"/>
        <v>16.5</v>
      </c>
    </row>
    <row r="131" spans="4:11">
      <c r="D131" s="11">
        <v>46080</v>
      </c>
      <c r="E131" s="12">
        <v>1580821</v>
      </c>
      <c r="F131" s="12" t="s">
        <v>19</v>
      </c>
      <c r="G131" s="13">
        <v>20390263</v>
      </c>
      <c r="H131" s="12" t="s">
        <v>41</v>
      </c>
      <c r="I131" s="13">
        <v>1</v>
      </c>
      <c r="J131" s="14">
        <v>22</v>
      </c>
      <c r="K131" s="14">
        <f t="shared" si="3"/>
        <v>22</v>
      </c>
    </row>
    <row r="132" spans="4:11">
      <c r="D132" s="11">
        <v>46081</v>
      </c>
      <c r="E132" s="12">
        <v>1580923</v>
      </c>
      <c r="F132" s="12" t="s">
        <v>25</v>
      </c>
      <c r="G132" s="13">
        <v>20390602</v>
      </c>
      <c r="H132" s="12" t="s">
        <v>26</v>
      </c>
      <c r="I132" s="13">
        <v>2</v>
      </c>
      <c r="J132" s="14">
        <v>35</v>
      </c>
      <c r="K132" s="14">
        <f t="shared" si="3"/>
        <v>70</v>
      </c>
    </row>
    <row r="133" spans="4:11">
      <c r="D133" s="11">
        <v>46081</v>
      </c>
      <c r="E133" s="12">
        <v>1581129</v>
      </c>
      <c r="F133" s="12" t="s">
        <v>22</v>
      </c>
      <c r="G133" s="13">
        <v>20390826</v>
      </c>
      <c r="H133" s="12" t="s">
        <v>36</v>
      </c>
      <c r="I133" s="13">
        <v>1</v>
      </c>
      <c r="J133" s="14">
        <v>8</v>
      </c>
      <c r="K133" s="14">
        <f t="shared" si="3"/>
        <v>8</v>
      </c>
    </row>
    <row r="134" spans="4:11">
      <c r="D134" s="11">
        <v>46081</v>
      </c>
      <c r="E134" s="12">
        <v>1581129</v>
      </c>
      <c r="F134" s="12" t="s">
        <v>22</v>
      </c>
      <c r="G134" s="13">
        <v>20393479</v>
      </c>
      <c r="H134" s="12" t="s">
        <v>44</v>
      </c>
      <c r="I134" s="13">
        <v>1</v>
      </c>
      <c r="J134" s="14">
        <v>8</v>
      </c>
      <c r="K134" s="14">
        <f t="shared" si="3"/>
        <v>8</v>
      </c>
    </row>
    <row r="135" spans="4:11">
      <c r="D135" s="11">
        <v>46081</v>
      </c>
      <c r="E135" s="12">
        <v>1581129</v>
      </c>
      <c r="F135" s="12" t="s">
        <v>22</v>
      </c>
      <c r="G135" s="13">
        <v>20393477</v>
      </c>
      <c r="H135" s="12" t="s">
        <v>94</v>
      </c>
      <c r="I135" s="13">
        <v>1</v>
      </c>
      <c r="J135" s="14">
        <v>8</v>
      </c>
      <c r="K135" s="14">
        <f t="shared" si="3"/>
        <v>8</v>
      </c>
    </row>
    <row r="136" spans="4:11">
      <c r="D136" s="11">
        <v>46081</v>
      </c>
      <c r="E136" s="12">
        <v>1581129</v>
      </c>
      <c r="F136" s="12" t="s">
        <v>14</v>
      </c>
      <c r="G136" s="13">
        <v>20390604</v>
      </c>
      <c r="H136" s="12" t="s">
        <v>16</v>
      </c>
      <c r="I136" s="13">
        <v>1</v>
      </c>
      <c r="J136" s="14">
        <v>20</v>
      </c>
      <c r="K136" s="14">
        <f t="shared" si="3"/>
        <v>20</v>
      </c>
    </row>
    <row r="137" spans="4:11">
      <c r="D137" s="11">
        <v>46081</v>
      </c>
      <c r="E137" s="12">
        <v>1581129</v>
      </c>
      <c r="F137" s="12" t="s">
        <v>19</v>
      </c>
      <c r="G137" s="13">
        <v>20390273</v>
      </c>
      <c r="H137" s="12" t="s">
        <v>37</v>
      </c>
      <c r="I137" s="13">
        <v>2</v>
      </c>
      <c r="J137" s="14">
        <v>16.5</v>
      </c>
      <c r="K137" s="14">
        <f t="shared" si="3"/>
        <v>33</v>
      </c>
    </row>
    <row r="138" spans="4:11">
      <c r="D138" s="11">
        <v>46081</v>
      </c>
      <c r="E138" s="12">
        <v>1581129</v>
      </c>
      <c r="F138" s="12" t="s">
        <v>19</v>
      </c>
      <c r="G138" s="13">
        <v>20409315</v>
      </c>
      <c r="H138" s="12" t="s">
        <v>40</v>
      </c>
      <c r="I138" s="13">
        <v>2</v>
      </c>
      <c r="J138" s="14">
        <v>16.5</v>
      </c>
      <c r="K138" s="14">
        <f>J138*I138</f>
        <v>33</v>
      </c>
    </row>
    <row r="139" spans="4:11">
      <c r="D139" s="11">
        <v>46081</v>
      </c>
      <c r="E139" s="12">
        <v>1581129</v>
      </c>
      <c r="F139" s="12" t="s">
        <v>19</v>
      </c>
      <c r="G139" s="13">
        <v>20390263</v>
      </c>
      <c r="H139" s="12" t="s">
        <v>41</v>
      </c>
      <c r="I139" s="13">
        <v>2</v>
      </c>
      <c r="J139" s="14">
        <v>22</v>
      </c>
      <c r="K139" s="14">
        <f>J139*I139</f>
        <v>44</v>
      </c>
    </row>
    <row r="140" spans="4:11">
      <c r="D140" s="11">
        <v>46081</v>
      </c>
      <c r="E140" s="12">
        <v>1581131</v>
      </c>
      <c r="F140" s="12" t="s">
        <v>32</v>
      </c>
      <c r="G140" s="13">
        <v>20390099</v>
      </c>
      <c r="H140" s="12" t="s">
        <v>35</v>
      </c>
      <c r="I140" s="13">
        <v>1</v>
      </c>
      <c r="J140" s="14">
        <v>225.5</v>
      </c>
      <c r="K140" s="14">
        <f>J140*I140</f>
        <v>225.5</v>
      </c>
    </row>
    <row r="141" spans="4:11">
      <c r="D141" s="11">
        <v>46081</v>
      </c>
      <c r="E141" s="12">
        <v>1581131</v>
      </c>
      <c r="F141" s="12" t="s">
        <v>32</v>
      </c>
      <c r="G141" s="13">
        <v>20390095</v>
      </c>
      <c r="H141" s="12" t="s">
        <v>60</v>
      </c>
      <c r="I141" s="13">
        <v>1</v>
      </c>
      <c r="J141" s="14">
        <v>38.5</v>
      </c>
      <c r="K141" s="14">
        <f>J141*I141</f>
        <v>38.5</v>
      </c>
    </row>
    <row r="142" spans="4:11">
      <c r="D142" s="11">
        <v>46081</v>
      </c>
      <c r="E142" s="12">
        <v>1581131</v>
      </c>
      <c r="F142" s="12" t="s">
        <v>32</v>
      </c>
      <c r="G142" s="13">
        <v>20390100</v>
      </c>
      <c r="H142" s="12" t="s">
        <v>89</v>
      </c>
      <c r="I142" s="13">
        <v>1</v>
      </c>
      <c r="J142" s="14">
        <v>148.5</v>
      </c>
      <c r="K142" s="14">
        <f>J142*I142</f>
        <v>148.5</v>
      </c>
    </row>
    <row r="143" ht="0.05" customHeight="1"/>
  </sheetData>
  <autoFilter xmlns:etc="http://www.wps.cn/officeDocument/2017/etCustomData" ref="A7:K142" etc:filterBottomFollowUsedRange="0">
    <extLst/>
  </autoFilter>
  <mergeCells count="5">
    <mergeCell ref="D8:H8"/>
    <mergeCell ref="C7:C142"/>
    <mergeCell ref="B4:H5"/>
    <mergeCell ref="A7:B14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&amp;"-,Regular"2026年3月3日 9:09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供应室</vt:lpstr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2026-03-03T01:11:00Z</dcterms:created>
  <dcterms:modified xsi:type="dcterms:W3CDTF">2026-03-04T04:15:21Z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BE0D31E84C1F43368C2FE9C9B230D9A2_13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