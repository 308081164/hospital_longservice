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700" windowHeight="12255"/>
  </bookViews>
  <sheets>
    <sheet name="DeliveryNoteSummary" sheetId="1" r:id="rId1"/>
  </sheets>
  <definedNames>
    <definedName name="_xlnm._FilterDatabase" localSheetId="0" hidden="1">DeliveryNoteSummary!$A$12:$N$100</definedName>
    <definedName name="_xlnm.Print_Titles" localSheetId="0">DeliveryNoteSummary!$1:$6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<sst xmlns="http://schemas.openxmlformats.org/spreadsheetml/2006/main" count="504" uniqueCount="77">
  <si>
    <t>发货单汇总表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</si>
  <si>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2026/1/1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2026/1/25</t>
    </r>
  </si>
  <si>
    <t/>
  </si>
  <si>
    <r>
      <rPr>
        <b/>
        <sz val="10"/>
        <color rgb="FF000000"/>
        <rFont val="Droid Sans Fallback"/>
        <charset val="134"/>
      </rPr>
      <t>处理量合计:</t>
    </r>
    <r>
      <rPr>
        <b/>
        <sz val="10"/>
        <color rgb="FF000000"/>
        <rFont val="Droid Sans Fallback"/>
        <charset val="134"/>
      </rPr>
      <t>115</t>
    </r>
    <r>
      <rPr>
        <b/>
        <sz val="10"/>
        <color rgb="FF000000"/>
        <rFont val="Droid Sans Fallback"/>
        <charset val="134"/>
      </rPr>
      <t>　器械量合计:</t>
    </r>
    <r>
      <rPr>
        <b/>
        <sz val="10"/>
        <color rgb="FF000000"/>
        <rFont val="Droid Sans Fallback"/>
        <charset val="134"/>
      </rPr>
      <t>711</t>
    </r>
  </si>
  <si>
    <t>发货日期</t>
  </si>
  <si>
    <t>发货单号</t>
  </si>
  <si>
    <t>基本类型</t>
  </si>
  <si>
    <t>类型</t>
  </si>
  <si>
    <t>包编号</t>
  </si>
  <si>
    <t>包名</t>
  </si>
  <si>
    <t>数量</t>
  </si>
  <si>
    <t>单价</t>
  </si>
  <si>
    <t>合计</t>
  </si>
  <si>
    <t>电机厂医院</t>
  </si>
  <si>
    <t>妇产科</t>
  </si>
  <si>
    <t>高温</t>
  </si>
  <si>
    <t>单包装包</t>
  </si>
  <si>
    <t>换药缸-1/Z2530</t>
  </si>
  <si>
    <t>额外包</t>
  </si>
  <si>
    <t>额外包(纸塑袋)</t>
  </si>
  <si>
    <t>止血钳-1/Z1029</t>
  </si>
  <si>
    <t>无菌缸-1/Z2530</t>
  </si>
  <si>
    <t>额外包(无纺布)</t>
  </si>
  <si>
    <t>取环包-6/W6050</t>
  </si>
  <si>
    <t>人流包-9件/W6050</t>
  </si>
  <si>
    <t>内二科</t>
  </si>
  <si>
    <t>敷料包</t>
  </si>
  <si>
    <t>敷料包(纸塑袋)</t>
  </si>
  <si>
    <t>小包布/Z2044</t>
  </si>
  <si>
    <t>大包布/z3044</t>
  </si>
  <si>
    <t>手术室</t>
  </si>
  <si>
    <t>低温</t>
  </si>
  <si>
    <t>额外包(低温等离子)</t>
  </si>
  <si>
    <t>光源线-1/Z3040</t>
  </si>
  <si>
    <t>成像/Z3040</t>
  </si>
  <si>
    <t>镜头-1/Z2060</t>
  </si>
  <si>
    <t>气腹管-1/z3040</t>
  </si>
  <si>
    <t>单极线-1/Z3040</t>
  </si>
  <si>
    <t>单极钩（低温）-1/Z7550</t>
  </si>
  <si>
    <t>施夹钳-1/Z2060</t>
  </si>
  <si>
    <t>弯分离钳-1/Z2060</t>
  </si>
  <si>
    <t>胃抓钳-1/Z2060</t>
  </si>
  <si>
    <t>转换器-1/Z7520</t>
  </si>
  <si>
    <t>穿刺器5.5-1/Z1026</t>
  </si>
  <si>
    <t>穿刺器10.5-1/Z1026</t>
  </si>
  <si>
    <t>剪刀-1/Z1029</t>
  </si>
  <si>
    <t>巾钳-2/Z1526</t>
  </si>
  <si>
    <t>持物钳罐-2/W6050</t>
  </si>
  <si>
    <t>S拉钩-1/Z1535</t>
  </si>
  <si>
    <t>器械包</t>
  </si>
  <si>
    <t>胃肠包</t>
  </si>
  <si>
    <t>手科-11/W6050</t>
  </si>
  <si>
    <t>阑尾包</t>
  </si>
  <si>
    <t>剥离质-1/Z7534</t>
  </si>
  <si>
    <t>蚊式包</t>
  </si>
  <si>
    <t>钢丝剪-1/W6050</t>
  </si>
  <si>
    <t>蚊式-5/W6050</t>
  </si>
  <si>
    <t>电钻-3件/W6050</t>
  </si>
  <si>
    <t>指针-10/z7537</t>
  </si>
  <si>
    <t>腹腔镜器械-9件/W6050</t>
  </si>
  <si>
    <t>小门诊包</t>
  </si>
  <si>
    <t>IV切开包</t>
  </si>
  <si>
    <t>驱血带(高温)/Z2032</t>
  </si>
  <si>
    <t>针盒-1(带针)/W6050</t>
  </si>
  <si>
    <t>刮勺-1/Z7537</t>
  </si>
  <si>
    <t>门诊包</t>
  </si>
  <si>
    <t>肛门包</t>
  </si>
  <si>
    <t>探针-2/Z1037</t>
  </si>
  <si>
    <t>套针-6/Z7537</t>
  </si>
  <si>
    <t>外科</t>
  </si>
  <si>
    <t>器械包(ZSD)</t>
  </si>
  <si>
    <t>缝合包</t>
  </si>
  <si>
    <t>棉球（棉布）</t>
  </si>
  <si>
    <t>无菌缸-3/W7050</t>
  </si>
  <si>
    <t>纱条（棉布）</t>
  </si>
  <si>
    <t>止血钳-2剪刀-1/Z1526</t>
  </si>
  <si>
    <t>无菌缸-4/W9050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</si>
</sst>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9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b/>
      <sz val="10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b/>
      <sz val="10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DFE3E8"/>
        <bgColor rgb="FFDFE3E8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9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8" fillId="0" borderId="0"/>
  </cellStyleXfs>
  <cellXfs count="33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0" fontId="4" fillId="0" borderId="0" xfId="49" applyNumberFormat="1" applyFont="1" applyFill="1" applyBorder="1" applyAlignment="1">
      <alignment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5" fillId="2" borderId="2" xfId="49" applyNumberFormat="1" applyFont="1" applyFill="1" applyBorder="1" applyAlignment="1">
      <alignment vertical="top" wrapText="1" readingOrder="1"/>
    </xf>
    <xf numFmtId="0" fontId="0" fillId="0" borderId="2" xfId="49" applyNumberFormat="1" applyFont="1" applyFill="1" applyBorder="1" applyAlignment="1">
      <alignment vertical="top" wrapText="1"/>
    </xf>
    <xf numFmtId="0" fontId="6" fillId="2" borderId="2" xfId="49" applyNumberFormat="1" applyFont="1" applyFill="1" applyBorder="1" applyAlignment="1">
      <alignment horizontal="center" vertical="top" wrapText="1" readingOrder="1"/>
    </xf>
    <xf numFmtId="176" fontId="6" fillId="2" borderId="2" xfId="49" applyNumberFormat="1" applyFont="1" applyFill="1" applyBorder="1" applyAlignment="1">
      <alignment horizontal="center" vertical="top" wrapText="1" readingOrder="1"/>
    </xf>
    <xf numFmtId="0" fontId="7" fillId="3" borderId="2" xfId="49" applyNumberFormat="1" applyFont="1" applyFill="1" applyBorder="1" applyAlignment="1">
      <alignment vertical="top" wrapText="1" readingOrder="1"/>
    </xf>
    <xf numFmtId="0" fontId="3" fillId="3" borderId="2" xfId="49" applyNumberFormat="1" applyFont="1" applyFill="1" applyBorder="1" applyAlignment="1">
      <alignment horizontal="center" vertical="top" wrapText="1" readingOrder="1"/>
    </xf>
    <xf numFmtId="176" fontId="3" fillId="3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left" vertical="top" wrapText="1" readingOrder="1"/>
    </xf>
    <xf numFmtId="0" fontId="7" fillId="4" borderId="2" xfId="49" applyNumberFormat="1" applyFont="1" applyFill="1" applyBorder="1" applyAlignment="1">
      <alignment horizontal="left" vertical="top" wrapText="1" readingOrder="1"/>
    </xf>
    <xf numFmtId="0" fontId="4" fillId="4" borderId="2" xfId="49" applyNumberFormat="1" applyFont="1" applyFill="1" applyBorder="1" applyAlignment="1">
      <alignment horizontal="left" vertical="top" wrapText="1" readingOrder="1"/>
    </xf>
    <xf numFmtId="0" fontId="4" fillId="4" borderId="2" xfId="49" applyNumberFormat="1" applyFont="1" applyFill="1" applyBorder="1" applyAlignment="1">
      <alignment vertical="top" wrapText="1" readingOrder="1"/>
    </xf>
    <xf numFmtId="0" fontId="3" fillId="4" borderId="2" xfId="49" applyNumberFormat="1" applyFont="1" applyFill="1" applyBorder="1" applyAlignment="1">
      <alignment horizontal="center" vertical="top" wrapText="1" readingOrder="1"/>
    </xf>
    <xf numFmtId="177" fontId="4" fillId="0" borderId="3" xfId="49" applyNumberFormat="1" applyFont="1" applyFill="1" applyBorder="1" applyAlignment="1">
      <alignment horizontal="left" vertical="top" wrapText="1" readingOrder="1"/>
    </xf>
    <xf numFmtId="0" fontId="4" fillId="0" borderId="3" xfId="49" applyNumberFormat="1" applyFont="1" applyFill="1" applyBorder="1" applyAlignment="1">
      <alignment horizontal="left" vertical="top" wrapText="1" readingOrder="1"/>
    </xf>
    <xf numFmtId="0" fontId="0" fillId="0" borderId="4" xfId="49" applyNumberFormat="1" applyFont="1" applyFill="1" applyBorder="1" applyAlignment="1">
      <alignment vertical="top" wrapText="1"/>
    </xf>
    <xf numFmtId="0" fontId="4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center" vertical="top" wrapText="1" readingOrder="1"/>
    </xf>
    <xf numFmtId="176" fontId="3" fillId="0" borderId="3" xfId="49" applyNumberFormat="1" applyFont="1" applyFill="1" applyBorder="1" applyAlignment="1">
      <alignment horizontal="center" vertical="top" wrapText="1" readingOrder="1"/>
    </xf>
    <xf numFmtId="0" fontId="0" fillId="5" borderId="0" xfId="49" applyFont="1" applyFill="1" applyBorder="1"/>
    <xf numFmtId="0" fontId="3" fillId="0" borderId="0" xfId="49" applyNumberFormat="1" applyFont="1" applyFill="1" applyBorder="1" applyAlignment="1">
      <alignment horizontal="center" vertical="top" wrapText="1" readingOrder="1"/>
    </xf>
    <xf numFmtId="177" fontId="4" fillId="5" borderId="3" xfId="49" applyNumberFormat="1" applyFont="1" applyFill="1" applyBorder="1" applyAlignment="1">
      <alignment horizontal="left" vertical="top" wrapText="1" readingOrder="1"/>
    </xf>
    <xf numFmtId="0" fontId="4" fillId="5" borderId="3" xfId="49" applyNumberFormat="1" applyFont="1" applyFill="1" applyBorder="1" applyAlignment="1">
      <alignment horizontal="left" vertical="top" wrapText="1" readingOrder="1"/>
    </xf>
    <xf numFmtId="0" fontId="0" fillId="5" borderId="4" xfId="49" applyNumberFormat="1" applyFont="1" applyFill="1" applyBorder="1" applyAlignment="1">
      <alignment vertical="top" wrapText="1"/>
    </xf>
    <xf numFmtId="0" fontId="4" fillId="5" borderId="3" xfId="49" applyNumberFormat="1" applyFont="1" applyFill="1" applyBorder="1" applyAlignment="1">
      <alignment vertical="top" wrapText="1" readingOrder="1"/>
    </xf>
    <xf numFmtId="0" fontId="3" fillId="5" borderId="3" xfId="49" applyNumberFormat="1" applyFont="1" applyFill="1" applyBorder="1" applyAlignment="1">
      <alignment horizontal="center" vertical="top" wrapText="1" readingOrder="1"/>
    </xf>
    <xf numFmtId="176" fontId="3" fillId="5" borderId="3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799AF"/>
      <rgbColor rgb="00FFFFFF"/>
      <rgbColor rgb="00BCC3CC"/>
      <rgbColor rgb="00D3D3D3"/>
      <rgbColor rgb="00808080"/>
      <rgbColor rgb="00DFE3E8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295275</xdr:colOff>
      <xdr:row>1</xdr:row>
      <xdr:rowOff>57150</xdr:rowOff>
    </xdr:from>
    <xdr:to>
      <xdr:col>13</xdr:col>
      <xdr:colOff>799077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8134350" y="228600"/>
          <a:ext cx="50355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0"/>
  <sheetViews>
    <sheetView showGridLines="0" tabSelected="1" topLeftCell="H1" workbookViewId="0">
      <pane ySplit="6" topLeftCell="A7" activePane="bottomLeft" state="frozen"/>
      <selection/>
      <selection pane="bottomLeft" activeCell="P9" sqref="P9:P16"/>
    </sheetView>
  </sheetViews>
  <sheetFormatPr defaultColWidth="9" defaultRowHeight="13.5"/>
  <cols>
    <col min="1" max="1" width="0.225" customWidth="1"/>
    <col min="2" max="2" width="0.791666666666667" customWidth="1"/>
    <col min="3" max="3" width="0.433333333333333" customWidth="1"/>
    <col min="4" max="4" width="1.19166666666667" customWidth="1"/>
    <col min="5" max="5" width="10.5" customWidth="1"/>
    <col min="6" max="6" width="3.33333333333333" customWidth="1"/>
    <col min="7" max="7" width="6.45833333333333" customWidth="1"/>
    <col min="8" max="8" width="9.4" customWidth="1"/>
    <col min="9" max="9" width="15.875" customWidth="1"/>
    <col min="10" max="10" width="10.5" customWidth="1"/>
    <col min="11" max="11" width="26" customWidth="1"/>
    <col min="12" max="12" width="7.75" customWidth="1"/>
    <col min="13" max="13" width="10.4166666666667" customWidth="1"/>
    <col min="14" max="14" width="11.875" customWidth="1"/>
  </cols>
  <sheetData>
    <row r="1" spans="1:16">
      <c r="B1" s="1" t="s">
        <v>0</v>
      </c>
    </row>
    <row r="2" ht="23.05" customHeight="1"/>
    <row r="3" ht="2" customHeight="1"/>
    <row r="4" ht="15.2" customHeight="1" spans="1:16">
      <c r="B4" s="2" t="s">
        <v>1</v>
      </c>
    </row>
    <row r="6" ht="2.05" customHeight="1"/>
    <row r="7" ht="1.9" customHeight="1" spans="1:16">
      <c r="A7" s="3" t="s">
        <v>2</v>
      </c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</row>
    <row r="8" spans="1:16">
      <c r="G8" s="4" t="s">
        <v>3</v>
      </c>
    </row>
    <row r="9" spans="1:16">
      <c r="P9">
        <v>1193.5</v>
      </c>
    </row>
    <row r="10" spans="1:16">
      <c r="P10">
        <v>610.5</v>
      </c>
    </row>
    <row r="11" ht="2.95" customHeight="1" spans="1:16">
      <c r="P11">
        <v>754</v>
      </c>
    </row>
    <row r="12" spans="1:16">
      <c r="A12" s="5" t="s">
        <v>2</v>
      </c>
      <c r="C12" s="5" t="s">
        <v>2</v>
      </c>
      <c r="D12" s="5" t="s">
        <v>2</v>
      </c>
      <c r="E12" s="5" t="s">
        <v>4</v>
      </c>
      <c r="F12" s="5" t="s">
        <v>5</v>
      </c>
      <c r="H12" s="5" t="s">
        <v>6</v>
      </c>
      <c r="I12" s="5" t="s">
        <v>7</v>
      </c>
      <c r="J12" s="5" t="s">
        <v>8</v>
      </c>
      <c r="K12" s="5" t="s">
        <v>9</v>
      </c>
      <c r="L12" s="6" t="s">
        <v>10</v>
      </c>
      <c r="M12" s="6" t="s">
        <v>11</v>
      </c>
      <c r="N12" s="6" t="s">
        <v>12</v>
      </c>
      <c r="P12">
        <v>269</v>
      </c>
    </row>
    <row r="13" ht="15" spans="1:16">
      <c r="A13" s="7" t="s">
        <v>2</v>
      </c>
      <c r="B13" s="8" t="s">
        <v>2</v>
      </c>
      <c r="C13" s="7" t="s">
        <v>2</v>
      </c>
      <c r="D13" s="7" t="s">
        <v>2</v>
      </c>
      <c r="E13" s="7" t="s">
        <v>13</v>
      </c>
      <c r="F13" s="8" t="s">
        <v>2</v>
      </c>
      <c r="G13" s="8" t="s">
        <v>2</v>
      </c>
      <c r="H13" s="8" t="s">
        <v>2</v>
      </c>
      <c r="I13" s="8" t="s">
        <v>2</v>
      </c>
      <c r="J13" s="8" t="s">
        <v>2</v>
      </c>
      <c r="K13" s="7" t="s">
        <v>2</v>
      </c>
      <c r="L13" s="9">
        <v>115</v>
      </c>
      <c r="M13" s="7" t="s">
        <v>2</v>
      </c>
      <c r="N13" s="10">
        <v>4119.5</v>
      </c>
      <c r="P13">
        <v>0</v>
      </c>
    </row>
    <row r="14" ht="14.25" spans="1:16">
      <c r="A14" s="5" t="s">
        <v>2</v>
      </c>
      <c r="C14" s="11" t="s">
        <v>2</v>
      </c>
      <c r="D14" s="11" t="s">
        <v>2</v>
      </c>
      <c r="E14" s="11" t="s">
        <v>14</v>
      </c>
      <c r="F14" s="8" t="s">
        <v>2</v>
      </c>
      <c r="G14" s="8" t="s">
        <v>2</v>
      </c>
      <c r="H14" s="8" t="s">
        <v>2</v>
      </c>
      <c r="I14" s="8" t="s">
        <v>2</v>
      </c>
      <c r="J14" s="8" t="s">
        <v>2</v>
      </c>
      <c r="K14" s="11" t="s">
        <v>2</v>
      </c>
      <c r="L14" s="12">
        <v>8</v>
      </c>
      <c r="M14" s="11" t="s">
        <v>2</v>
      </c>
      <c r="N14" s="13">
        <v>221.5</v>
      </c>
      <c r="P14">
        <v>46</v>
      </c>
    </row>
    <row r="15" ht="14.25" spans="1:16">
      <c r="C15" s="5" t="s">
        <v>2</v>
      </c>
      <c r="D15" s="14" t="s">
        <v>2</v>
      </c>
      <c r="E15" s="15" t="s">
        <v>15</v>
      </c>
      <c r="F15" s="8" t="s">
        <v>2</v>
      </c>
      <c r="G15" s="8" t="s">
        <v>2</v>
      </c>
      <c r="H15" s="16" t="s">
        <v>2</v>
      </c>
      <c r="I15" s="17" t="s">
        <v>2</v>
      </c>
      <c r="J15" s="16" t="s">
        <v>2</v>
      </c>
      <c r="K15" s="17" t="s">
        <v>2</v>
      </c>
      <c r="L15" s="18">
        <v>8</v>
      </c>
      <c r="M15" s="18" t="s">
        <v>2</v>
      </c>
      <c r="N15" s="18">
        <v>221.5</v>
      </c>
      <c r="P15">
        <v>32</v>
      </c>
    </row>
    <row r="16" spans="1:16">
      <c r="E16" s="19">
        <v>46036</v>
      </c>
      <c r="F16" s="20">
        <v>1570435</v>
      </c>
      <c r="G16" s="21" t="s">
        <v>2</v>
      </c>
      <c r="H16" s="20" t="s">
        <v>16</v>
      </c>
      <c r="I16" s="22" t="s">
        <v>16</v>
      </c>
      <c r="J16" s="20">
        <v>20009136</v>
      </c>
      <c r="K16" s="22" t="s">
        <v>17</v>
      </c>
      <c r="L16" s="23">
        <v>1</v>
      </c>
      <c r="M16" s="24">
        <v>16</v>
      </c>
      <c r="N16" s="24">
        <v>16</v>
      </c>
      <c r="P16">
        <v>362</v>
      </c>
    </row>
    <row r="17" spans="3:16">
      <c r="E17" s="19">
        <v>46036</v>
      </c>
      <c r="F17" s="20">
        <v>1570435</v>
      </c>
      <c r="G17" s="21" t="s">
        <v>2</v>
      </c>
      <c r="H17" s="20" t="s">
        <v>18</v>
      </c>
      <c r="I17" s="22" t="s">
        <v>19</v>
      </c>
      <c r="J17" s="20">
        <v>20012950</v>
      </c>
      <c r="K17" s="22" t="s">
        <v>20</v>
      </c>
      <c r="L17" s="23">
        <v>1</v>
      </c>
      <c r="M17" s="24">
        <v>8</v>
      </c>
      <c r="N17" s="24">
        <v>8</v>
      </c>
      <c r="P17" s="25">
        <f>7*50</f>
        <v>350</v>
      </c>
    </row>
    <row r="18" spans="3:16">
      <c r="E18" s="19">
        <v>46036</v>
      </c>
      <c r="F18" s="20">
        <v>1570435</v>
      </c>
      <c r="G18" s="21" t="s">
        <v>2</v>
      </c>
      <c r="H18" s="20" t="s">
        <v>16</v>
      </c>
      <c r="I18" s="22" t="s">
        <v>16</v>
      </c>
      <c r="J18" s="20">
        <v>20006140</v>
      </c>
      <c r="K18" s="22" t="s">
        <v>21</v>
      </c>
      <c r="L18" s="23">
        <v>1</v>
      </c>
      <c r="M18" s="24">
        <v>16</v>
      </c>
      <c r="N18" s="24">
        <v>16</v>
      </c>
      <c r="P18" s="25">
        <f>P17-3000</f>
        <v>-2650</v>
      </c>
    </row>
    <row r="19" spans="3:16">
      <c r="E19" s="19">
        <v>46036</v>
      </c>
      <c r="F19" s="20">
        <v>1570435</v>
      </c>
      <c r="G19" s="21" t="s">
        <v>2</v>
      </c>
      <c r="H19" s="20" t="s">
        <v>18</v>
      </c>
      <c r="I19" s="22" t="s">
        <v>22</v>
      </c>
      <c r="J19" s="20">
        <v>20311377</v>
      </c>
      <c r="K19" s="22" t="s">
        <v>23</v>
      </c>
      <c r="L19" s="23">
        <v>3</v>
      </c>
      <c r="M19" s="24">
        <v>33</v>
      </c>
      <c r="N19" s="24">
        <v>99</v>
      </c>
      <c r="P19" s="25"/>
    </row>
    <row r="20" spans="3:16">
      <c r="E20" s="19">
        <v>46043</v>
      </c>
      <c r="F20" s="20">
        <v>1572409</v>
      </c>
      <c r="G20" s="21" t="s">
        <v>2</v>
      </c>
      <c r="H20" s="20" t="s">
        <v>18</v>
      </c>
      <c r="I20" s="22" t="s">
        <v>22</v>
      </c>
      <c r="J20" s="20">
        <v>20311377</v>
      </c>
      <c r="K20" s="22" t="s">
        <v>23</v>
      </c>
      <c r="L20" s="23">
        <v>1</v>
      </c>
      <c r="M20" s="24">
        <v>33</v>
      </c>
      <c r="N20" s="24">
        <v>33</v>
      </c>
    </row>
    <row r="21" spans="3:16">
      <c r="E21" s="19">
        <v>46043</v>
      </c>
      <c r="F21" s="20">
        <v>1572409</v>
      </c>
      <c r="G21" s="21" t="s">
        <v>2</v>
      </c>
      <c r="H21" s="20" t="s">
        <v>18</v>
      </c>
      <c r="I21" s="22" t="s">
        <v>22</v>
      </c>
      <c r="J21" s="20">
        <v>20012085</v>
      </c>
      <c r="K21" s="22" t="s">
        <v>24</v>
      </c>
      <c r="L21" s="23">
        <v>1</v>
      </c>
      <c r="M21" s="24">
        <v>49.5</v>
      </c>
      <c r="N21" s="24">
        <v>49.5</v>
      </c>
    </row>
    <row r="22" spans="3:16">
      <c r="E22" s="14" t="s">
        <v>2</v>
      </c>
      <c r="F22" s="14" t="s">
        <v>2</v>
      </c>
      <c r="H22" s="14" t="s">
        <v>2</v>
      </c>
      <c r="I22" s="5" t="s">
        <v>2</v>
      </c>
      <c r="J22" s="14" t="s">
        <v>2</v>
      </c>
      <c r="K22" s="5" t="s">
        <v>2</v>
      </c>
      <c r="L22" s="26" t="s">
        <v>2</v>
      </c>
      <c r="M22" s="26" t="s">
        <v>2</v>
      </c>
      <c r="N22" s="26" t="s">
        <v>2</v>
      </c>
    </row>
    <row r="23" spans="3:16">
      <c r="C23" s="5" t="s">
        <v>2</v>
      </c>
      <c r="D23" s="5" t="s">
        <v>2</v>
      </c>
      <c r="E23" s="5" t="s">
        <v>2</v>
      </c>
      <c r="F23" s="5" t="s">
        <v>2</v>
      </c>
      <c r="H23" s="5" t="s">
        <v>2</v>
      </c>
      <c r="I23" s="5" t="s">
        <v>2</v>
      </c>
      <c r="J23" s="5" t="s">
        <v>2</v>
      </c>
      <c r="K23" s="5" t="s">
        <v>2</v>
      </c>
      <c r="L23" s="5" t="s">
        <v>2</v>
      </c>
      <c r="M23" s="5" t="s">
        <v>2</v>
      </c>
      <c r="N23" s="5" t="s">
        <v>2</v>
      </c>
    </row>
    <row r="24" ht="14.25" spans="3:16">
      <c r="C24" s="11" t="s">
        <v>2</v>
      </c>
      <c r="D24" s="11" t="s">
        <v>2</v>
      </c>
      <c r="E24" s="11" t="s">
        <v>25</v>
      </c>
      <c r="F24" s="8" t="s">
        <v>2</v>
      </c>
      <c r="G24" s="8" t="s">
        <v>2</v>
      </c>
      <c r="H24" s="8" t="s">
        <v>2</v>
      </c>
      <c r="I24" s="8" t="s">
        <v>2</v>
      </c>
      <c r="J24" s="8" t="s">
        <v>2</v>
      </c>
      <c r="K24" s="11" t="s">
        <v>2</v>
      </c>
      <c r="L24" s="12">
        <v>9</v>
      </c>
      <c r="M24" s="11" t="s">
        <v>2</v>
      </c>
      <c r="N24" s="13">
        <v>36</v>
      </c>
    </row>
    <row r="25" ht="14.25" spans="3:16">
      <c r="C25" s="5" t="s">
        <v>2</v>
      </c>
      <c r="D25" s="14" t="s">
        <v>2</v>
      </c>
      <c r="E25" s="15" t="s">
        <v>15</v>
      </c>
      <c r="F25" s="8" t="s">
        <v>2</v>
      </c>
      <c r="G25" s="8" t="s">
        <v>2</v>
      </c>
      <c r="H25" s="16" t="s">
        <v>2</v>
      </c>
      <c r="I25" s="17" t="s">
        <v>2</v>
      </c>
      <c r="J25" s="16" t="s">
        <v>2</v>
      </c>
      <c r="K25" s="17" t="s">
        <v>2</v>
      </c>
      <c r="L25" s="18">
        <v>9</v>
      </c>
      <c r="M25" s="18" t="s">
        <v>2</v>
      </c>
      <c r="N25" s="18">
        <v>36</v>
      </c>
    </row>
    <row r="26" spans="3:16">
      <c r="E26" s="19">
        <v>46043</v>
      </c>
      <c r="F26" s="20">
        <v>1572410</v>
      </c>
      <c r="G26" s="21" t="s">
        <v>2</v>
      </c>
      <c r="H26" s="20" t="s">
        <v>26</v>
      </c>
      <c r="I26" s="22" t="s">
        <v>27</v>
      </c>
      <c r="J26" s="20">
        <v>20353416</v>
      </c>
      <c r="K26" s="22" t="s">
        <v>28</v>
      </c>
      <c r="L26" s="23">
        <v>4</v>
      </c>
      <c r="M26" s="24">
        <v>4</v>
      </c>
      <c r="N26" s="24">
        <v>16</v>
      </c>
    </row>
    <row r="27" customHeight="1" spans="3:16">
      <c r="E27" s="19">
        <v>46043</v>
      </c>
      <c r="F27" s="20">
        <v>1572410</v>
      </c>
      <c r="G27" s="21" t="s">
        <v>2</v>
      </c>
      <c r="H27" s="20" t="s">
        <v>26</v>
      </c>
      <c r="I27" s="22" t="s">
        <v>27</v>
      </c>
      <c r="J27" s="20">
        <v>20378342</v>
      </c>
      <c r="K27" s="22" t="s">
        <v>29</v>
      </c>
      <c r="L27" s="23">
        <v>5</v>
      </c>
      <c r="M27" s="24">
        <v>4</v>
      </c>
      <c r="N27" s="24">
        <v>20</v>
      </c>
    </row>
    <row r="28" spans="3:16">
      <c r="E28" s="14" t="s">
        <v>2</v>
      </c>
      <c r="F28" s="14" t="s">
        <v>2</v>
      </c>
      <c r="H28" s="14" t="s">
        <v>2</v>
      </c>
      <c r="I28" s="5" t="s">
        <v>2</v>
      </c>
      <c r="J28" s="14" t="s">
        <v>2</v>
      </c>
      <c r="K28" s="5" t="s">
        <v>2</v>
      </c>
      <c r="L28" s="26" t="s">
        <v>2</v>
      </c>
      <c r="M28" s="26" t="s">
        <v>2</v>
      </c>
      <c r="N28" s="26" t="s">
        <v>2</v>
      </c>
    </row>
    <row r="29" spans="3:16">
      <c r="C29" s="5" t="s">
        <v>2</v>
      </c>
      <c r="D29" s="5" t="s">
        <v>2</v>
      </c>
      <c r="E29" s="5" t="s">
        <v>2</v>
      </c>
      <c r="F29" s="5" t="s">
        <v>2</v>
      </c>
      <c r="H29" s="5" t="s">
        <v>2</v>
      </c>
      <c r="I29" s="5" t="s">
        <v>2</v>
      </c>
      <c r="J29" s="5" t="s">
        <v>2</v>
      </c>
      <c r="K29" s="5" t="s">
        <v>2</v>
      </c>
      <c r="L29" s="5" t="s">
        <v>2</v>
      </c>
      <c r="M29" s="5" t="s">
        <v>2</v>
      </c>
      <c r="N29" s="5" t="s">
        <v>2</v>
      </c>
    </row>
    <row r="30" ht="14.25" spans="3:16">
      <c r="C30" s="11" t="s">
        <v>2</v>
      </c>
      <c r="D30" s="11" t="s">
        <v>2</v>
      </c>
      <c r="E30" s="11" t="s">
        <v>30</v>
      </c>
      <c r="F30" s="8" t="s">
        <v>2</v>
      </c>
      <c r="G30" s="8" t="s">
        <v>2</v>
      </c>
      <c r="H30" s="8" t="s">
        <v>2</v>
      </c>
      <c r="I30" s="8" t="s">
        <v>2</v>
      </c>
      <c r="J30" s="8" t="s">
        <v>2</v>
      </c>
      <c r="K30" s="11" t="s">
        <v>2</v>
      </c>
      <c r="L30" s="12">
        <v>66</v>
      </c>
      <c r="M30" s="11" t="s">
        <v>2</v>
      </c>
      <c r="N30" s="13">
        <v>2887</v>
      </c>
    </row>
    <row r="31" ht="14.25" spans="3:16">
      <c r="C31" s="5" t="s">
        <v>2</v>
      </c>
      <c r="D31" s="14" t="s">
        <v>2</v>
      </c>
      <c r="E31" s="15" t="s">
        <v>31</v>
      </c>
      <c r="F31" s="8" t="s">
        <v>2</v>
      </c>
      <c r="G31" s="8" t="s">
        <v>2</v>
      </c>
      <c r="H31" s="16" t="s">
        <v>2</v>
      </c>
      <c r="I31" s="17" t="s">
        <v>2</v>
      </c>
      <c r="J31" s="16" t="s">
        <v>2</v>
      </c>
      <c r="K31" s="17" t="s">
        <v>2</v>
      </c>
      <c r="L31" s="18">
        <v>13</v>
      </c>
      <c r="M31" s="18" t="s">
        <v>2</v>
      </c>
      <c r="N31" s="18">
        <v>362</v>
      </c>
    </row>
    <row r="32" customHeight="1" spans="3:16">
      <c r="E32" s="27">
        <v>46027</v>
      </c>
      <c r="F32" s="28">
        <v>1567776</v>
      </c>
      <c r="G32" s="29" t="s">
        <v>2</v>
      </c>
      <c r="H32" s="28" t="s">
        <v>18</v>
      </c>
      <c r="I32" s="30" t="s">
        <v>32</v>
      </c>
      <c r="J32" s="28">
        <v>20004917</v>
      </c>
      <c r="K32" s="30" t="s">
        <v>33</v>
      </c>
      <c r="L32" s="31">
        <v>1</v>
      </c>
      <c r="M32" s="32">
        <v>35</v>
      </c>
      <c r="N32" s="32">
        <v>35</v>
      </c>
    </row>
    <row r="33" customHeight="1" spans="4:14">
      <c r="E33" s="27">
        <v>46027</v>
      </c>
      <c r="F33" s="28">
        <v>1567776</v>
      </c>
      <c r="G33" s="29" t="s">
        <v>2</v>
      </c>
      <c r="H33" s="28" t="s">
        <v>18</v>
      </c>
      <c r="I33" s="30" t="s">
        <v>32</v>
      </c>
      <c r="J33" s="28">
        <v>20004921</v>
      </c>
      <c r="K33" s="30" t="s">
        <v>34</v>
      </c>
      <c r="L33" s="31">
        <v>1</v>
      </c>
      <c r="M33" s="32">
        <v>35</v>
      </c>
      <c r="N33" s="32">
        <v>35</v>
      </c>
    </row>
    <row r="34" customHeight="1" spans="4:14">
      <c r="E34" s="27">
        <v>46027</v>
      </c>
      <c r="F34" s="28">
        <v>1567776</v>
      </c>
      <c r="G34" s="29" t="s">
        <v>2</v>
      </c>
      <c r="H34" s="28" t="s">
        <v>18</v>
      </c>
      <c r="I34" s="30" t="s">
        <v>32</v>
      </c>
      <c r="J34" s="28">
        <v>20004918</v>
      </c>
      <c r="K34" s="30" t="s">
        <v>35</v>
      </c>
      <c r="L34" s="31">
        <v>1</v>
      </c>
      <c r="M34" s="32">
        <v>28</v>
      </c>
      <c r="N34" s="32">
        <v>28</v>
      </c>
    </row>
    <row r="35" customHeight="1" spans="4:14">
      <c r="E35" s="27">
        <v>46027</v>
      </c>
      <c r="F35" s="28">
        <v>1567776</v>
      </c>
      <c r="G35" s="29" t="s">
        <v>2</v>
      </c>
      <c r="H35" s="28" t="s">
        <v>18</v>
      </c>
      <c r="I35" s="30" t="s">
        <v>32</v>
      </c>
      <c r="J35" s="28">
        <v>20356923</v>
      </c>
      <c r="K35" s="30" t="s">
        <v>36</v>
      </c>
      <c r="L35" s="31">
        <v>1</v>
      </c>
      <c r="M35" s="32">
        <v>35</v>
      </c>
      <c r="N35" s="32">
        <v>35</v>
      </c>
    </row>
    <row r="36" customHeight="1" spans="4:14">
      <c r="E36" s="27">
        <v>46027</v>
      </c>
      <c r="F36" s="28">
        <v>1567776</v>
      </c>
      <c r="G36" s="29" t="s">
        <v>2</v>
      </c>
      <c r="H36" s="28" t="s">
        <v>18</v>
      </c>
      <c r="I36" s="30" t="s">
        <v>32</v>
      </c>
      <c r="J36" s="28">
        <v>20004919</v>
      </c>
      <c r="K36" s="30" t="s">
        <v>37</v>
      </c>
      <c r="L36" s="31">
        <v>1</v>
      </c>
      <c r="M36" s="32">
        <v>35</v>
      </c>
      <c r="N36" s="32">
        <v>35</v>
      </c>
    </row>
    <row r="37" customHeight="1" spans="4:14">
      <c r="E37" s="27">
        <v>46027</v>
      </c>
      <c r="F37" s="28">
        <v>1567776</v>
      </c>
      <c r="G37" s="29" t="s">
        <v>2</v>
      </c>
      <c r="H37" s="28" t="s">
        <v>18</v>
      </c>
      <c r="I37" s="30" t="s">
        <v>32</v>
      </c>
      <c r="J37" s="28">
        <v>20383285</v>
      </c>
      <c r="K37" s="30" t="s">
        <v>38</v>
      </c>
      <c r="L37" s="31">
        <v>1</v>
      </c>
      <c r="M37" s="32">
        <v>22</v>
      </c>
      <c r="N37" s="32">
        <v>22</v>
      </c>
    </row>
    <row r="38" customHeight="1" spans="4:14">
      <c r="E38" s="27">
        <v>46027</v>
      </c>
      <c r="F38" s="28">
        <v>1567776</v>
      </c>
      <c r="G38" s="29" t="s">
        <v>2</v>
      </c>
      <c r="H38" s="28" t="s">
        <v>18</v>
      </c>
      <c r="I38" s="30" t="s">
        <v>32</v>
      </c>
      <c r="J38" s="28">
        <v>20383290</v>
      </c>
      <c r="K38" s="30" t="s">
        <v>39</v>
      </c>
      <c r="L38" s="31">
        <v>1</v>
      </c>
      <c r="M38" s="32">
        <v>28</v>
      </c>
      <c r="N38" s="32">
        <v>28</v>
      </c>
    </row>
    <row r="39" customHeight="1" spans="4:14">
      <c r="E39" s="27">
        <v>46027</v>
      </c>
      <c r="F39" s="28">
        <v>1567776</v>
      </c>
      <c r="G39" s="29" t="s">
        <v>2</v>
      </c>
      <c r="H39" s="28" t="s">
        <v>18</v>
      </c>
      <c r="I39" s="30" t="s">
        <v>32</v>
      </c>
      <c r="J39" s="28">
        <v>20383291</v>
      </c>
      <c r="K39" s="30" t="s">
        <v>40</v>
      </c>
      <c r="L39" s="31">
        <v>1</v>
      </c>
      <c r="M39" s="32">
        <v>28</v>
      </c>
      <c r="N39" s="32">
        <v>28</v>
      </c>
    </row>
    <row r="40" customHeight="1" spans="4:14">
      <c r="E40" s="27">
        <v>46027</v>
      </c>
      <c r="F40" s="28">
        <v>1567776</v>
      </c>
      <c r="G40" s="29" t="s">
        <v>2</v>
      </c>
      <c r="H40" s="28" t="s">
        <v>18</v>
      </c>
      <c r="I40" s="30" t="s">
        <v>32</v>
      </c>
      <c r="J40" s="28">
        <v>20386402</v>
      </c>
      <c r="K40" s="30" t="s">
        <v>41</v>
      </c>
      <c r="L40" s="31">
        <v>1</v>
      </c>
      <c r="M40" s="32">
        <v>28</v>
      </c>
      <c r="N40" s="32">
        <v>28</v>
      </c>
    </row>
    <row r="41" customHeight="1" spans="4:14">
      <c r="E41" s="27">
        <v>46027</v>
      </c>
      <c r="F41" s="28">
        <v>1567776</v>
      </c>
      <c r="G41" s="29" t="s">
        <v>2</v>
      </c>
      <c r="H41" s="28" t="s">
        <v>18</v>
      </c>
      <c r="I41" s="30" t="s">
        <v>32</v>
      </c>
      <c r="J41" s="28">
        <v>20387791</v>
      </c>
      <c r="K41" s="30" t="s">
        <v>42</v>
      </c>
      <c r="L41" s="31">
        <v>1</v>
      </c>
      <c r="M41" s="32">
        <v>22</v>
      </c>
      <c r="N41" s="32">
        <v>22</v>
      </c>
    </row>
    <row r="42" customHeight="1" spans="4:14">
      <c r="E42" s="27">
        <v>46027</v>
      </c>
      <c r="F42" s="28">
        <v>1567776</v>
      </c>
      <c r="G42" s="29" t="s">
        <v>2</v>
      </c>
      <c r="H42" s="28" t="s">
        <v>18</v>
      </c>
      <c r="I42" s="30" t="s">
        <v>32</v>
      </c>
      <c r="J42" s="28">
        <v>20396304</v>
      </c>
      <c r="K42" s="30" t="s">
        <v>43</v>
      </c>
      <c r="L42" s="31">
        <v>1</v>
      </c>
      <c r="M42" s="32">
        <v>22</v>
      </c>
      <c r="N42" s="32">
        <v>22</v>
      </c>
    </row>
    <row r="43" customHeight="1" spans="4:14">
      <c r="E43" s="27">
        <v>46027</v>
      </c>
      <c r="F43" s="28">
        <v>1567776</v>
      </c>
      <c r="G43" s="29" t="s">
        <v>2</v>
      </c>
      <c r="H43" s="28" t="s">
        <v>18</v>
      </c>
      <c r="I43" s="30" t="s">
        <v>32</v>
      </c>
      <c r="J43" s="28">
        <v>20396305</v>
      </c>
      <c r="K43" s="30" t="s">
        <v>44</v>
      </c>
      <c r="L43" s="31">
        <v>2</v>
      </c>
      <c r="M43" s="32">
        <v>22</v>
      </c>
      <c r="N43" s="32">
        <v>44</v>
      </c>
    </row>
    <row r="44" spans="4:14">
      <c r="E44" s="14" t="s">
        <v>2</v>
      </c>
      <c r="F44" s="14" t="s">
        <v>2</v>
      </c>
      <c r="H44" s="14" t="s">
        <v>2</v>
      </c>
      <c r="I44" s="5" t="s">
        <v>2</v>
      </c>
      <c r="J44" s="14" t="s">
        <v>2</v>
      </c>
      <c r="K44" s="5" t="s">
        <v>2</v>
      </c>
      <c r="L44" s="26" t="s">
        <v>2</v>
      </c>
      <c r="M44" s="26" t="s">
        <v>2</v>
      </c>
      <c r="N44" s="26" t="s">
        <v>2</v>
      </c>
    </row>
    <row r="45" ht="14.25" spans="4:14">
      <c r="D45" s="14" t="s">
        <v>2</v>
      </c>
      <c r="E45" s="15" t="s">
        <v>15</v>
      </c>
      <c r="F45" s="8" t="s">
        <v>2</v>
      </c>
      <c r="G45" s="8" t="s">
        <v>2</v>
      </c>
      <c r="H45" s="16" t="s">
        <v>2</v>
      </c>
      <c r="I45" s="17" t="s">
        <v>2</v>
      </c>
      <c r="J45" s="16" t="s">
        <v>2</v>
      </c>
      <c r="K45" s="17" t="s">
        <v>2</v>
      </c>
      <c r="L45" s="18">
        <v>53</v>
      </c>
      <c r="M45" s="18" t="s">
        <v>2</v>
      </c>
      <c r="N45" s="18">
        <v>2525</v>
      </c>
    </row>
    <row r="46" spans="4:14">
      <c r="E46" s="27">
        <v>46027</v>
      </c>
      <c r="F46" s="28">
        <v>1567800</v>
      </c>
      <c r="G46" s="29" t="s">
        <v>2</v>
      </c>
      <c r="H46" s="28" t="s">
        <v>18</v>
      </c>
      <c r="I46" s="30" t="s">
        <v>19</v>
      </c>
      <c r="J46" s="28">
        <v>20006202</v>
      </c>
      <c r="K46" s="30" t="s">
        <v>45</v>
      </c>
      <c r="L46" s="31">
        <v>1</v>
      </c>
      <c r="M46" s="32">
        <v>8</v>
      </c>
      <c r="N46" s="32">
        <v>8</v>
      </c>
    </row>
    <row r="47" spans="4:14">
      <c r="E47" s="27">
        <v>46027</v>
      </c>
      <c r="F47" s="28">
        <v>1567800</v>
      </c>
      <c r="G47" s="29" t="s">
        <v>2</v>
      </c>
      <c r="H47" s="28" t="s">
        <v>18</v>
      </c>
      <c r="I47" s="30" t="s">
        <v>19</v>
      </c>
      <c r="J47" s="28">
        <v>20006128</v>
      </c>
      <c r="K47" s="30" t="s">
        <v>46</v>
      </c>
      <c r="L47" s="31">
        <v>1</v>
      </c>
      <c r="M47" s="32">
        <v>16.5</v>
      </c>
      <c r="N47" s="32">
        <v>16.5</v>
      </c>
    </row>
    <row r="48" spans="4:14">
      <c r="E48" s="27">
        <v>46027</v>
      </c>
      <c r="F48" s="28">
        <v>1567800</v>
      </c>
      <c r="G48" s="29" t="s">
        <v>2</v>
      </c>
      <c r="H48" s="28" t="s">
        <v>18</v>
      </c>
      <c r="I48" s="30" t="s">
        <v>22</v>
      </c>
      <c r="J48" s="28">
        <v>20006482</v>
      </c>
      <c r="K48" s="30" t="s">
        <v>47</v>
      </c>
      <c r="L48" s="31">
        <v>4</v>
      </c>
      <c r="M48" s="32">
        <v>16.5</v>
      </c>
      <c r="N48" s="32">
        <v>66</v>
      </c>
    </row>
    <row r="49" spans="5:16">
      <c r="E49" s="27">
        <v>46027</v>
      </c>
      <c r="F49" s="28">
        <v>1567800</v>
      </c>
      <c r="G49" s="29" t="s">
        <v>2</v>
      </c>
      <c r="H49" s="28" t="s">
        <v>18</v>
      </c>
      <c r="I49" s="30" t="s">
        <v>19</v>
      </c>
      <c r="J49" s="28">
        <v>20009712</v>
      </c>
      <c r="K49" s="30" t="s">
        <v>48</v>
      </c>
      <c r="L49" s="31">
        <v>2</v>
      </c>
      <c r="M49" s="32">
        <v>11</v>
      </c>
      <c r="N49" s="32">
        <v>22</v>
      </c>
    </row>
    <row r="50" spans="5:16">
      <c r="E50" s="27">
        <v>46027</v>
      </c>
      <c r="F50" s="28">
        <v>1567800</v>
      </c>
      <c r="G50" s="29" t="s">
        <v>2</v>
      </c>
      <c r="H50" s="28" t="s">
        <v>49</v>
      </c>
      <c r="I50" s="30" t="s">
        <v>49</v>
      </c>
      <c r="J50" s="28">
        <v>20006103</v>
      </c>
      <c r="K50" s="30" t="s">
        <v>50</v>
      </c>
      <c r="L50" s="31">
        <v>1</v>
      </c>
      <c r="M50" s="32">
        <v>176</v>
      </c>
      <c r="N50" s="32">
        <v>176</v>
      </c>
      <c r="O50">
        <v>1771</v>
      </c>
    </row>
    <row r="51" spans="5:16">
      <c r="E51" s="27">
        <v>46027</v>
      </c>
      <c r="F51" s="28">
        <v>1567800</v>
      </c>
      <c r="G51" s="29" t="s">
        <v>2</v>
      </c>
      <c r="H51" s="28" t="s">
        <v>18</v>
      </c>
      <c r="I51" s="30" t="s">
        <v>22</v>
      </c>
      <c r="J51" s="28">
        <v>20006059</v>
      </c>
      <c r="K51" s="30" t="s">
        <v>51</v>
      </c>
      <c r="L51" s="31">
        <v>1</v>
      </c>
      <c r="M51" s="32">
        <v>60.5</v>
      </c>
      <c r="N51" s="32">
        <v>60.5</v>
      </c>
    </row>
    <row r="52" spans="5:16">
      <c r="E52" s="27">
        <v>46027</v>
      </c>
      <c r="F52" s="28">
        <v>1567800</v>
      </c>
      <c r="G52" s="29" t="s">
        <v>2</v>
      </c>
      <c r="H52" s="28" t="s">
        <v>49</v>
      </c>
      <c r="I52" s="30" t="s">
        <v>49</v>
      </c>
      <c r="J52" s="28">
        <v>20006102</v>
      </c>
      <c r="K52" s="30" t="s">
        <v>52</v>
      </c>
      <c r="L52" s="31">
        <v>2</v>
      </c>
      <c r="M52" s="32">
        <v>159.5</v>
      </c>
      <c r="N52" s="32">
        <v>319</v>
      </c>
      <c r="O52" s="25">
        <f>O50/5.5</f>
        <v>322</v>
      </c>
      <c r="P52">
        <f>O52-315</f>
        <v>7</v>
      </c>
    </row>
    <row r="53" spans="5:16">
      <c r="E53" s="27">
        <v>46027</v>
      </c>
      <c r="F53" s="28">
        <v>1567800</v>
      </c>
      <c r="G53" s="29" t="s">
        <v>2</v>
      </c>
      <c r="H53" s="28" t="s">
        <v>18</v>
      </c>
      <c r="I53" s="30" t="s">
        <v>19</v>
      </c>
      <c r="J53" s="28">
        <v>20330123</v>
      </c>
      <c r="K53" s="30" t="s">
        <v>53</v>
      </c>
      <c r="L53" s="31">
        <v>1</v>
      </c>
      <c r="M53" s="32">
        <v>8</v>
      </c>
      <c r="N53" s="32">
        <v>8</v>
      </c>
    </row>
    <row r="54" spans="5:16">
      <c r="E54" s="27">
        <v>46027</v>
      </c>
      <c r="F54" s="28">
        <v>1567800</v>
      </c>
      <c r="G54" s="29" t="s">
        <v>2</v>
      </c>
      <c r="H54" s="28" t="s">
        <v>49</v>
      </c>
      <c r="I54" s="30" t="s">
        <v>49</v>
      </c>
      <c r="J54" s="28">
        <v>20006112</v>
      </c>
      <c r="K54" s="30" t="s">
        <v>54</v>
      </c>
      <c r="L54" s="31">
        <v>2</v>
      </c>
      <c r="M54" s="32">
        <v>104.5</v>
      </c>
      <c r="N54" s="32">
        <v>209</v>
      </c>
      <c r="O54">
        <f>315/15</f>
        <v>21</v>
      </c>
    </row>
    <row r="55" spans="5:16">
      <c r="E55" s="27">
        <v>46027</v>
      </c>
      <c r="F55" s="28">
        <v>1567800</v>
      </c>
      <c r="G55" s="29" t="s">
        <v>2</v>
      </c>
      <c r="H55" s="28" t="s">
        <v>18</v>
      </c>
      <c r="I55" s="30" t="s">
        <v>22</v>
      </c>
      <c r="J55" s="28">
        <v>20351672</v>
      </c>
      <c r="K55" s="30" t="s">
        <v>55</v>
      </c>
      <c r="L55" s="31">
        <v>1</v>
      </c>
      <c r="M55" s="32">
        <v>16.5</v>
      </c>
      <c r="N55" s="32">
        <v>16.5</v>
      </c>
    </row>
    <row r="56" spans="5:16">
      <c r="E56" s="27">
        <v>46027</v>
      </c>
      <c r="F56" s="28">
        <v>1567800</v>
      </c>
      <c r="G56" s="29" t="s">
        <v>2</v>
      </c>
      <c r="H56" s="28" t="s">
        <v>18</v>
      </c>
      <c r="I56" s="30" t="s">
        <v>22</v>
      </c>
      <c r="J56" s="28">
        <v>20013903</v>
      </c>
      <c r="K56" s="30" t="s">
        <v>56</v>
      </c>
      <c r="L56" s="31">
        <v>1</v>
      </c>
      <c r="M56" s="32">
        <v>27.5</v>
      </c>
      <c r="N56" s="32">
        <v>27.5</v>
      </c>
    </row>
    <row r="57" spans="5:16">
      <c r="E57" s="27">
        <v>46027</v>
      </c>
      <c r="F57" s="28">
        <v>1567800</v>
      </c>
      <c r="G57" s="29" t="s">
        <v>2</v>
      </c>
      <c r="H57" s="28" t="s">
        <v>18</v>
      </c>
      <c r="I57" s="30" t="s">
        <v>22</v>
      </c>
      <c r="J57" s="28">
        <v>20381397</v>
      </c>
      <c r="K57" s="30" t="s">
        <v>57</v>
      </c>
      <c r="L57" s="31">
        <v>1</v>
      </c>
      <c r="M57" s="32">
        <v>16.5</v>
      </c>
      <c r="N57" s="32">
        <v>16.5</v>
      </c>
    </row>
    <row r="58" spans="5:16">
      <c r="E58" s="27">
        <v>46027</v>
      </c>
      <c r="F58" s="28">
        <v>1567800</v>
      </c>
      <c r="G58" s="29" t="s">
        <v>2</v>
      </c>
      <c r="H58" s="28" t="s">
        <v>18</v>
      </c>
      <c r="I58" s="30" t="s">
        <v>19</v>
      </c>
      <c r="J58" s="28">
        <v>20384531</v>
      </c>
      <c r="K58" s="30" t="s">
        <v>58</v>
      </c>
      <c r="L58" s="31">
        <v>1</v>
      </c>
      <c r="M58" s="32">
        <v>13.5</v>
      </c>
      <c r="N58" s="32">
        <v>13.5</v>
      </c>
    </row>
    <row r="59" spans="5:16">
      <c r="E59" s="27">
        <v>46027</v>
      </c>
      <c r="F59" s="28">
        <v>1567800</v>
      </c>
      <c r="G59" s="29" t="s">
        <v>2</v>
      </c>
      <c r="H59" s="28" t="s">
        <v>18</v>
      </c>
      <c r="I59" s="30" t="s">
        <v>22</v>
      </c>
      <c r="J59" s="28">
        <v>20400567</v>
      </c>
      <c r="K59" s="30" t="s">
        <v>59</v>
      </c>
      <c r="L59" s="31">
        <v>1</v>
      </c>
      <c r="M59" s="32">
        <v>49.5</v>
      </c>
      <c r="N59" s="32">
        <v>49.5</v>
      </c>
    </row>
    <row r="60" spans="5:16">
      <c r="E60" s="27">
        <v>46031</v>
      </c>
      <c r="F60" s="28">
        <v>1569234</v>
      </c>
      <c r="G60" s="29" t="s">
        <v>2</v>
      </c>
      <c r="H60" s="28" t="s">
        <v>49</v>
      </c>
      <c r="I60" s="30" t="s">
        <v>49</v>
      </c>
      <c r="J60" s="28">
        <v>20006113</v>
      </c>
      <c r="K60" s="30" t="s">
        <v>60</v>
      </c>
      <c r="L60" s="31">
        <v>1</v>
      </c>
      <c r="M60" s="32">
        <v>71.5</v>
      </c>
      <c r="N60" s="32">
        <v>71.5</v>
      </c>
      <c r="O60" s="25">
        <f>O54*10+7</f>
        <v>217</v>
      </c>
    </row>
    <row r="61" spans="5:16">
      <c r="E61" s="27">
        <v>46031</v>
      </c>
      <c r="F61" s="28">
        <v>1569234</v>
      </c>
      <c r="G61" s="29" t="s">
        <v>2</v>
      </c>
      <c r="H61" s="28" t="s">
        <v>49</v>
      </c>
      <c r="I61" s="30" t="s">
        <v>49</v>
      </c>
      <c r="J61" s="28">
        <v>20006110</v>
      </c>
      <c r="K61" s="30" t="s">
        <v>61</v>
      </c>
      <c r="L61" s="31">
        <v>1</v>
      </c>
      <c r="M61" s="32">
        <v>137.5</v>
      </c>
      <c r="N61" s="32">
        <v>137.5</v>
      </c>
      <c r="O61" s="25">
        <f>O60*5.5</f>
        <v>1193.5</v>
      </c>
    </row>
    <row r="62" spans="5:16">
      <c r="E62" s="27">
        <v>46031</v>
      </c>
      <c r="F62" s="28">
        <v>1569234</v>
      </c>
      <c r="G62" s="29" t="s">
        <v>2</v>
      </c>
      <c r="H62" s="28" t="s">
        <v>18</v>
      </c>
      <c r="I62" s="30" t="s">
        <v>22</v>
      </c>
      <c r="J62" s="28">
        <v>20006482</v>
      </c>
      <c r="K62" s="30" t="s">
        <v>47</v>
      </c>
      <c r="L62" s="31">
        <v>2</v>
      </c>
      <c r="M62" s="32">
        <v>16.5</v>
      </c>
      <c r="N62" s="32">
        <v>33</v>
      </c>
    </row>
    <row r="63" spans="5:16">
      <c r="E63" s="27">
        <v>46031</v>
      </c>
      <c r="F63" s="28">
        <v>1569234</v>
      </c>
      <c r="G63" s="29" t="s">
        <v>2</v>
      </c>
      <c r="H63" s="28" t="s">
        <v>18</v>
      </c>
      <c r="I63" s="30" t="s">
        <v>22</v>
      </c>
      <c r="J63" s="28">
        <v>20006059</v>
      </c>
      <c r="K63" s="30" t="s">
        <v>51</v>
      </c>
      <c r="L63" s="31">
        <v>1</v>
      </c>
      <c r="M63" s="32">
        <v>60.5</v>
      </c>
      <c r="N63" s="32">
        <v>60.5</v>
      </c>
    </row>
    <row r="64" spans="5:16">
      <c r="E64" s="27">
        <v>46031</v>
      </c>
      <c r="F64" s="28">
        <v>1569234</v>
      </c>
      <c r="G64" s="29" t="s">
        <v>2</v>
      </c>
      <c r="H64" s="28" t="s">
        <v>49</v>
      </c>
      <c r="I64" s="30" t="s">
        <v>49</v>
      </c>
      <c r="J64" s="28">
        <v>20006102</v>
      </c>
      <c r="K64" s="30" t="s">
        <v>52</v>
      </c>
      <c r="L64" s="31">
        <v>1</v>
      </c>
      <c r="M64" s="32">
        <v>159.5</v>
      </c>
      <c r="N64" s="32">
        <v>159.5</v>
      </c>
    </row>
    <row r="65" spans="3:14">
      <c r="E65" s="27">
        <v>46031</v>
      </c>
      <c r="F65" s="28">
        <v>1569234</v>
      </c>
      <c r="G65" s="29" t="s">
        <v>2</v>
      </c>
      <c r="H65" s="28" t="s">
        <v>18</v>
      </c>
      <c r="I65" s="30" t="s">
        <v>19</v>
      </c>
      <c r="J65" s="28">
        <v>20013281</v>
      </c>
      <c r="K65" s="30" t="s">
        <v>62</v>
      </c>
      <c r="L65" s="31">
        <v>1</v>
      </c>
      <c r="M65" s="32">
        <v>13</v>
      </c>
      <c r="N65" s="32">
        <v>13</v>
      </c>
    </row>
    <row r="66" spans="3:14">
      <c r="E66" s="27">
        <v>46038</v>
      </c>
      <c r="F66" s="28">
        <v>1571173</v>
      </c>
      <c r="G66" s="29" t="s">
        <v>2</v>
      </c>
      <c r="H66" s="28" t="s">
        <v>18</v>
      </c>
      <c r="I66" s="30" t="s">
        <v>22</v>
      </c>
      <c r="J66" s="28">
        <v>20012341</v>
      </c>
      <c r="K66" s="30" t="s">
        <v>63</v>
      </c>
      <c r="L66" s="31">
        <v>2</v>
      </c>
      <c r="M66" s="32">
        <v>16.5</v>
      </c>
      <c r="N66" s="32">
        <v>33</v>
      </c>
    </row>
    <row r="67" spans="3:14">
      <c r="E67" s="27">
        <v>46038</v>
      </c>
      <c r="F67" s="28">
        <v>1571173</v>
      </c>
      <c r="G67" s="29" t="s">
        <v>2</v>
      </c>
      <c r="H67" s="28" t="s">
        <v>18</v>
      </c>
      <c r="I67" s="30" t="s">
        <v>19</v>
      </c>
      <c r="J67" s="28">
        <v>20012117</v>
      </c>
      <c r="K67" s="30" t="s">
        <v>64</v>
      </c>
      <c r="L67" s="31">
        <v>1</v>
      </c>
      <c r="M67" s="32">
        <v>8</v>
      </c>
      <c r="N67" s="32">
        <v>8</v>
      </c>
    </row>
    <row r="68" spans="3:14">
      <c r="E68" s="27">
        <v>46038</v>
      </c>
      <c r="F68" s="28">
        <v>1571173</v>
      </c>
      <c r="G68" s="29" t="s">
        <v>2</v>
      </c>
      <c r="H68" s="28" t="s">
        <v>18</v>
      </c>
      <c r="I68" s="30" t="s">
        <v>22</v>
      </c>
      <c r="J68" s="28">
        <v>20006482</v>
      </c>
      <c r="K68" s="30" t="s">
        <v>47</v>
      </c>
      <c r="L68" s="31">
        <v>2</v>
      </c>
      <c r="M68" s="32">
        <v>16.5</v>
      </c>
      <c r="N68" s="32">
        <v>33</v>
      </c>
    </row>
    <row r="69" spans="3:14">
      <c r="E69" s="27">
        <v>46038</v>
      </c>
      <c r="F69" s="28">
        <v>1571173</v>
      </c>
      <c r="G69" s="29" t="s">
        <v>2</v>
      </c>
      <c r="H69" s="28" t="s">
        <v>49</v>
      </c>
      <c r="I69" s="30" t="s">
        <v>49</v>
      </c>
      <c r="J69" s="28">
        <v>20006104</v>
      </c>
      <c r="K69" s="30" t="s">
        <v>65</v>
      </c>
      <c r="L69" s="31">
        <v>1</v>
      </c>
      <c r="M69" s="32">
        <v>137.5</v>
      </c>
      <c r="N69" s="32">
        <v>137.5</v>
      </c>
    </row>
    <row r="70" spans="3:14">
      <c r="E70" s="27">
        <v>46038</v>
      </c>
      <c r="F70" s="28">
        <v>1571173</v>
      </c>
      <c r="G70" s="29" t="s">
        <v>2</v>
      </c>
      <c r="H70" s="28" t="s">
        <v>49</v>
      </c>
      <c r="I70" s="30" t="s">
        <v>49</v>
      </c>
      <c r="J70" s="28">
        <v>20006111</v>
      </c>
      <c r="K70" s="30" t="s">
        <v>66</v>
      </c>
      <c r="L70" s="31">
        <v>1</v>
      </c>
      <c r="M70" s="32">
        <v>104.5</v>
      </c>
      <c r="N70" s="32">
        <v>104.5</v>
      </c>
    </row>
    <row r="71" spans="3:14">
      <c r="E71" s="27">
        <v>46038</v>
      </c>
      <c r="F71" s="28">
        <v>1571173</v>
      </c>
      <c r="G71" s="29" t="s">
        <v>2</v>
      </c>
      <c r="H71" s="28" t="s">
        <v>49</v>
      </c>
      <c r="I71" s="30" t="s">
        <v>49</v>
      </c>
      <c r="J71" s="28">
        <v>20006102</v>
      </c>
      <c r="K71" s="30" t="s">
        <v>52</v>
      </c>
      <c r="L71" s="31">
        <v>1</v>
      </c>
      <c r="M71" s="32">
        <v>159.5</v>
      </c>
      <c r="N71" s="32">
        <v>159.5</v>
      </c>
    </row>
    <row r="72" spans="3:14">
      <c r="E72" s="27">
        <v>46038</v>
      </c>
      <c r="F72" s="28">
        <v>1571173</v>
      </c>
      <c r="G72" s="29" t="s">
        <v>2</v>
      </c>
      <c r="H72" s="28" t="s">
        <v>18</v>
      </c>
      <c r="I72" s="30" t="s">
        <v>19</v>
      </c>
      <c r="J72" s="28">
        <v>20012195</v>
      </c>
      <c r="K72" s="30" t="s">
        <v>67</v>
      </c>
      <c r="L72" s="31">
        <v>1</v>
      </c>
      <c r="M72" s="32">
        <v>13.5</v>
      </c>
      <c r="N72" s="32">
        <v>13.5</v>
      </c>
    </row>
    <row r="73" spans="3:14">
      <c r="E73" s="27">
        <v>46041</v>
      </c>
      <c r="F73" s="28">
        <v>1571727</v>
      </c>
      <c r="G73" s="29" t="s">
        <v>2</v>
      </c>
      <c r="H73" s="28" t="s">
        <v>18</v>
      </c>
      <c r="I73" s="30" t="s">
        <v>22</v>
      </c>
      <c r="J73" s="28">
        <v>20006482</v>
      </c>
      <c r="K73" s="30" t="s">
        <v>47</v>
      </c>
      <c r="L73" s="31">
        <v>2</v>
      </c>
      <c r="M73" s="32">
        <v>16.5</v>
      </c>
      <c r="N73" s="32">
        <v>33</v>
      </c>
    </row>
    <row r="74" spans="3:14">
      <c r="E74" s="27">
        <v>46041</v>
      </c>
      <c r="F74" s="28">
        <v>1571727</v>
      </c>
      <c r="G74" s="29" t="s">
        <v>2</v>
      </c>
      <c r="H74" s="28" t="s">
        <v>49</v>
      </c>
      <c r="I74" s="30" t="s">
        <v>49</v>
      </c>
      <c r="J74" s="28">
        <v>20006104</v>
      </c>
      <c r="K74" s="30" t="s">
        <v>65</v>
      </c>
      <c r="L74" s="31">
        <v>1</v>
      </c>
      <c r="M74" s="32">
        <v>137.5</v>
      </c>
      <c r="N74" s="32">
        <v>137.5</v>
      </c>
    </row>
    <row r="75" spans="3:14">
      <c r="E75" s="27">
        <v>46041</v>
      </c>
      <c r="F75" s="28">
        <v>1571727</v>
      </c>
      <c r="G75" s="29" t="s">
        <v>2</v>
      </c>
      <c r="H75" s="28" t="s">
        <v>18</v>
      </c>
      <c r="I75" s="30" t="s">
        <v>22</v>
      </c>
      <c r="J75" s="28">
        <v>20006059</v>
      </c>
      <c r="K75" s="30" t="s">
        <v>51</v>
      </c>
      <c r="L75" s="31">
        <v>1</v>
      </c>
      <c r="M75" s="32">
        <v>60.5</v>
      </c>
      <c r="N75" s="32">
        <v>60.5</v>
      </c>
    </row>
    <row r="76" spans="3:14">
      <c r="E76" s="27">
        <v>46041</v>
      </c>
      <c r="F76" s="28">
        <v>1571727</v>
      </c>
      <c r="G76" s="29" t="s">
        <v>2</v>
      </c>
      <c r="H76" s="28" t="s">
        <v>49</v>
      </c>
      <c r="I76" s="30" t="s">
        <v>49</v>
      </c>
      <c r="J76" s="28">
        <v>20006102</v>
      </c>
      <c r="K76" s="30" t="s">
        <v>52</v>
      </c>
      <c r="L76" s="31">
        <v>1</v>
      </c>
      <c r="M76" s="32">
        <v>159.5</v>
      </c>
      <c r="N76" s="32">
        <v>159.5</v>
      </c>
    </row>
    <row r="77" spans="3:14">
      <c r="E77" s="27">
        <v>46041</v>
      </c>
      <c r="F77" s="28">
        <v>1571727</v>
      </c>
      <c r="G77" s="29" t="s">
        <v>2</v>
      </c>
      <c r="H77" s="28" t="s">
        <v>18</v>
      </c>
      <c r="I77" s="30" t="s">
        <v>19</v>
      </c>
      <c r="J77" s="28">
        <v>20006205</v>
      </c>
      <c r="K77" s="30" t="s">
        <v>68</v>
      </c>
      <c r="L77" s="31">
        <v>12</v>
      </c>
      <c r="M77" s="32">
        <v>13.5</v>
      </c>
      <c r="N77" s="32">
        <v>162</v>
      </c>
    </row>
    <row r="78" spans="3:14">
      <c r="E78" s="14" t="s">
        <v>2</v>
      </c>
      <c r="F78" s="14" t="s">
        <v>2</v>
      </c>
      <c r="H78" s="14" t="s">
        <v>2</v>
      </c>
      <c r="I78" s="5" t="s">
        <v>2</v>
      </c>
      <c r="J78" s="14" t="s">
        <v>2</v>
      </c>
      <c r="K78" s="5" t="s">
        <v>2</v>
      </c>
      <c r="L78" s="26" t="s">
        <v>2</v>
      </c>
      <c r="M78" s="26" t="s">
        <v>2</v>
      </c>
      <c r="N78" s="26" t="s">
        <v>2</v>
      </c>
    </row>
    <row r="79" spans="3:14">
      <c r="C79" s="5" t="s">
        <v>2</v>
      </c>
      <c r="D79" s="5" t="s">
        <v>2</v>
      </c>
      <c r="E79" s="5" t="s">
        <v>2</v>
      </c>
      <c r="F79" s="5" t="s">
        <v>2</v>
      </c>
      <c r="H79" s="5" t="s">
        <v>2</v>
      </c>
      <c r="I79" s="5" t="s">
        <v>2</v>
      </c>
      <c r="J79" s="5" t="s">
        <v>2</v>
      </c>
      <c r="K79" s="5" t="s">
        <v>2</v>
      </c>
      <c r="L79" s="5" t="s">
        <v>2</v>
      </c>
      <c r="M79" s="5" t="s">
        <v>2</v>
      </c>
      <c r="N79" s="5" t="s">
        <v>2</v>
      </c>
    </row>
    <row r="80" ht="14.25" spans="3:14">
      <c r="C80" s="11" t="s">
        <v>2</v>
      </c>
      <c r="D80" s="11" t="s">
        <v>2</v>
      </c>
      <c r="E80" s="11" t="s">
        <v>69</v>
      </c>
      <c r="F80" s="8" t="s">
        <v>2</v>
      </c>
      <c r="G80" s="8" t="s">
        <v>2</v>
      </c>
      <c r="H80" s="8" t="s">
        <v>2</v>
      </c>
      <c r="I80" s="8" t="s">
        <v>2</v>
      </c>
      <c r="J80" s="8" t="s">
        <v>2</v>
      </c>
      <c r="K80" s="11" t="s">
        <v>2</v>
      </c>
      <c r="L80" s="12">
        <v>32</v>
      </c>
      <c r="M80" s="11" t="s">
        <v>2</v>
      </c>
      <c r="N80" s="13">
        <v>975</v>
      </c>
    </row>
    <row r="81" ht="14.25" spans="3:15">
      <c r="C81" s="5" t="s">
        <v>2</v>
      </c>
      <c r="D81" s="14" t="s">
        <v>2</v>
      </c>
      <c r="E81" s="15" t="s">
        <v>15</v>
      </c>
      <c r="F81" s="8" t="s">
        <v>2</v>
      </c>
      <c r="G81" s="8" t="s">
        <v>2</v>
      </c>
      <c r="H81" s="16" t="s">
        <v>2</v>
      </c>
      <c r="I81" s="17" t="s">
        <v>2</v>
      </c>
      <c r="J81" s="16" t="s">
        <v>2</v>
      </c>
      <c r="K81" s="17" t="s">
        <v>2</v>
      </c>
      <c r="L81" s="18">
        <v>32</v>
      </c>
      <c r="M81" s="18" t="s">
        <v>2</v>
      </c>
      <c r="N81" s="18">
        <v>975</v>
      </c>
    </row>
    <row r="82" spans="3:15">
      <c r="E82" s="19">
        <v>46027</v>
      </c>
      <c r="F82" s="20">
        <v>1567801</v>
      </c>
      <c r="G82" s="21" t="s">
        <v>2</v>
      </c>
      <c r="H82" s="20" t="s">
        <v>49</v>
      </c>
      <c r="I82" s="22" t="s">
        <v>70</v>
      </c>
      <c r="J82" s="20">
        <v>20012823</v>
      </c>
      <c r="K82" s="22" t="s">
        <v>71</v>
      </c>
      <c r="L82" s="23">
        <v>4</v>
      </c>
      <c r="M82" s="24">
        <v>38.5</v>
      </c>
      <c r="N82" s="24">
        <v>154</v>
      </c>
      <c r="O82">
        <v>885.5</v>
      </c>
    </row>
    <row r="83" spans="3:15">
      <c r="E83" s="19">
        <v>46031</v>
      </c>
      <c r="F83" s="20">
        <v>1569235</v>
      </c>
      <c r="G83" s="21" t="s">
        <v>2</v>
      </c>
      <c r="H83" s="20" t="s">
        <v>26</v>
      </c>
      <c r="I83" s="22" t="s">
        <v>26</v>
      </c>
      <c r="J83" s="20">
        <v>20009146</v>
      </c>
      <c r="K83" s="22" t="s">
        <v>72</v>
      </c>
      <c r="L83" s="23">
        <v>1</v>
      </c>
      <c r="M83" s="24">
        <v>2.5</v>
      </c>
      <c r="N83" s="24">
        <v>2.5</v>
      </c>
    </row>
    <row r="84" spans="3:15">
      <c r="E84" s="19">
        <v>46031</v>
      </c>
      <c r="F84" s="20">
        <v>1569235</v>
      </c>
      <c r="G84" s="21" t="s">
        <v>2</v>
      </c>
      <c r="H84" s="20" t="s">
        <v>18</v>
      </c>
      <c r="I84" s="22" t="s">
        <v>19</v>
      </c>
      <c r="J84" s="20">
        <v>20012950</v>
      </c>
      <c r="K84" s="22" t="s">
        <v>20</v>
      </c>
      <c r="L84" s="23">
        <v>1</v>
      </c>
      <c r="M84" s="24">
        <v>8</v>
      </c>
      <c r="N84" s="24">
        <v>8</v>
      </c>
    </row>
    <row r="85" spans="3:15">
      <c r="E85" s="19">
        <v>46031</v>
      </c>
      <c r="F85" s="20">
        <v>1569235</v>
      </c>
      <c r="G85" s="21" t="s">
        <v>2</v>
      </c>
      <c r="H85" s="20" t="s">
        <v>49</v>
      </c>
      <c r="I85" s="22" t="s">
        <v>70</v>
      </c>
      <c r="J85" s="20">
        <v>20012823</v>
      </c>
      <c r="K85" s="22" t="s">
        <v>71</v>
      </c>
      <c r="L85" s="23">
        <v>4</v>
      </c>
      <c r="M85" s="24">
        <v>38.5</v>
      </c>
      <c r="N85" s="24">
        <v>154</v>
      </c>
      <c r="O85" s="25">
        <f>O82/5.5</f>
        <v>161</v>
      </c>
    </row>
    <row r="86" spans="3:15">
      <c r="E86" s="19">
        <v>46031</v>
      </c>
      <c r="F86" s="20">
        <v>1569235</v>
      </c>
      <c r="G86" s="21" t="s">
        <v>2</v>
      </c>
      <c r="H86" s="20" t="s">
        <v>18</v>
      </c>
      <c r="I86" s="22" t="s">
        <v>22</v>
      </c>
      <c r="J86" s="20">
        <v>20011832</v>
      </c>
      <c r="K86" s="22" t="s">
        <v>73</v>
      </c>
      <c r="L86" s="23">
        <v>1</v>
      </c>
      <c r="M86" s="24">
        <v>16.5</v>
      </c>
      <c r="N86" s="24">
        <v>16.5</v>
      </c>
    </row>
    <row r="87" spans="3:15">
      <c r="E87" s="19">
        <v>46031</v>
      </c>
      <c r="F87" s="20">
        <v>1569235</v>
      </c>
      <c r="G87" s="21" t="s">
        <v>2</v>
      </c>
      <c r="H87" s="20" t="s">
        <v>26</v>
      </c>
      <c r="I87" s="22" t="s">
        <v>26</v>
      </c>
      <c r="J87" s="20">
        <v>20388872</v>
      </c>
      <c r="K87" s="22" t="s">
        <v>74</v>
      </c>
      <c r="L87" s="23">
        <v>1</v>
      </c>
      <c r="M87" s="24">
        <v>2.5</v>
      </c>
      <c r="N87" s="24">
        <v>2.5</v>
      </c>
    </row>
    <row r="88" spans="3:15">
      <c r="E88" s="19">
        <v>46036</v>
      </c>
      <c r="F88" s="20">
        <v>1570436</v>
      </c>
      <c r="G88" s="21" t="s">
        <v>2</v>
      </c>
      <c r="H88" s="20" t="s">
        <v>49</v>
      </c>
      <c r="I88" s="22" t="s">
        <v>70</v>
      </c>
      <c r="J88" s="20">
        <v>20012823</v>
      </c>
      <c r="K88" s="22" t="s">
        <v>71</v>
      </c>
      <c r="L88" s="23">
        <v>3</v>
      </c>
      <c r="M88" s="24">
        <v>38.5</v>
      </c>
      <c r="N88" s="24">
        <v>115.5</v>
      </c>
      <c r="O88">
        <f>150/15</f>
        <v>10</v>
      </c>
    </row>
    <row r="89" spans="3:15">
      <c r="E89" s="19">
        <v>46038</v>
      </c>
      <c r="F89" s="20">
        <v>1571174</v>
      </c>
      <c r="G89" s="21" t="s">
        <v>2</v>
      </c>
      <c r="H89" s="20" t="s">
        <v>49</v>
      </c>
      <c r="I89" s="22" t="s">
        <v>70</v>
      </c>
      <c r="J89" s="20">
        <v>20012823</v>
      </c>
      <c r="K89" s="22" t="s">
        <v>71</v>
      </c>
      <c r="L89" s="23">
        <v>2</v>
      </c>
      <c r="M89" s="24">
        <v>38.5</v>
      </c>
      <c r="N89" s="24">
        <v>77</v>
      </c>
      <c r="O89" s="25">
        <f>O88*10+11</f>
        <v>111</v>
      </c>
    </row>
    <row r="90" spans="3:15">
      <c r="E90" s="19">
        <v>46041</v>
      </c>
      <c r="F90" s="20">
        <v>1571728</v>
      </c>
      <c r="G90" s="21" t="s">
        <v>2</v>
      </c>
      <c r="H90" s="20" t="s">
        <v>18</v>
      </c>
      <c r="I90" s="22" t="s">
        <v>19</v>
      </c>
      <c r="J90" s="20">
        <v>20012825</v>
      </c>
      <c r="K90" s="22" t="s">
        <v>75</v>
      </c>
      <c r="L90" s="23">
        <v>1</v>
      </c>
      <c r="M90" s="24">
        <v>16.5</v>
      </c>
      <c r="N90" s="24">
        <v>16.5</v>
      </c>
    </row>
    <row r="91" spans="3:15">
      <c r="E91" s="19">
        <v>46041</v>
      </c>
      <c r="F91" s="20">
        <v>1571728</v>
      </c>
      <c r="G91" s="21" t="s">
        <v>2</v>
      </c>
      <c r="H91" s="20" t="s">
        <v>49</v>
      </c>
      <c r="I91" s="22" t="s">
        <v>70</v>
      </c>
      <c r="J91" s="20">
        <v>20012823</v>
      </c>
      <c r="K91" s="22" t="s">
        <v>71</v>
      </c>
      <c r="L91" s="23">
        <v>6</v>
      </c>
      <c r="M91" s="24">
        <v>38.5</v>
      </c>
      <c r="N91" s="24">
        <v>231</v>
      </c>
      <c r="O91" s="25">
        <f>O89*5.5</f>
        <v>610.5</v>
      </c>
    </row>
    <row r="92" spans="3:15">
      <c r="E92" s="19">
        <v>46043</v>
      </c>
      <c r="F92" s="20">
        <v>1572411</v>
      </c>
      <c r="G92" s="21" t="s">
        <v>2</v>
      </c>
      <c r="H92" s="20" t="s">
        <v>26</v>
      </c>
      <c r="I92" s="22" t="s">
        <v>26</v>
      </c>
      <c r="J92" s="20">
        <v>20009146</v>
      </c>
      <c r="K92" s="22" t="s">
        <v>72</v>
      </c>
      <c r="L92" s="23">
        <v>1</v>
      </c>
      <c r="M92" s="24">
        <v>2.5</v>
      </c>
      <c r="N92" s="24">
        <v>2.5</v>
      </c>
    </row>
    <row r="93" spans="3:15">
      <c r="E93" s="19">
        <v>46043</v>
      </c>
      <c r="F93" s="20">
        <v>1572411</v>
      </c>
      <c r="G93" s="21" t="s">
        <v>2</v>
      </c>
      <c r="H93" s="20" t="s">
        <v>49</v>
      </c>
      <c r="I93" s="22" t="s">
        <v>70</v>
      </c>
      <c r="J93" s="20">
        <v>20012823</v>
      </c>
      <c r="K93" s="22" t="s">
        <v>71</v>
      </c>
      <c r="L93" s="23">
        <v>2</v>
      </c>
      <c r="M93" s="24">
        <v>38.5</v>
      </c>
      <c r="N93" s="24">
        <v>77</v>
      </c>
    </row>
    <row r="94" spans="3:15">
      <c r="E94" s="19">
        <v>46043</v>
      </c>
      <c r="F94" s="20">
        <v>1572411</v>
      </c>
      <c r="G94" s="21" t="s">
        <v>2</v>
      </c>
      <c r="H94" s="20" t="s">
        <v>18</v>
      </c>
      <c r="I94" s="22" t="s">
        <v>22</v>
      </c>
      <c r="J94" s="20">
        <v>20009220</v>
      </c>
      <c r="K94" s="22" t="s">
        <v>76</v>
      </c>
      <c r="L94" s="23">
        <v>1</v>
      </c>
      <c r="M94" s="24">
        <v>22</v>
      </c>
      <c r="N94" s="24">
        <v>22</v>
      </c>
    </row>
    <row r="95" spans="3:15">
      <c r="E95" s="19">
        <v>46043</v>
      </c>
      <c r="F95" s="20">
        <v>1572411</v>
      </c>
      <c r="G95" s="21" t="s">
        <v>2</v>
      </c>
      <c r="H95" s="20" t="s">
        <v>18</v>
      </c>
      <c r="I95" s="22" t="s">
        <v>22</v>
      </c>
      <c r="J95" s="20">
        <v>20011832</v>
      </c>
      <c r="K95" s="22" t="s">
        <v>73</v>
      </c>
      <c r="L95" s="23">
        <v>1</v>
      </c>
      <c r="M95" s="24">
        <v>16.5</v>
      </c>
      <c r="N95" s="24">
        <v>16.5</v>
      </c>
    </row>
    <row r="96" spans="3:15">
      <c r="E96" s="19">
        <v>46043</v>
      </c>
      <c r="F96" s="20">
        <v>1572411</v>
      </c>
      <c r="G96" s="21" t="s">
        <v>2</v>
      </c>
      <c r="H96" s="20" t="s">
        <v>26</v>
      </c>
      <c r="I96" s="22" t="s">
        <v>26</v>
      </c>
      <c r="J96" s="20">
        <v>20388872</v>
      </c>
      <c r="K96" s="22" t="s">
        <v>74</v>
      </c>
      <c r="L96" s="23">
        <v>1</v>
      </c>
      <c r="M96" s="24">
        <v>2.5</v>
      </c>
      <c r="N96" s="24">
        <v>2.5</v>
      </c>
    </row>
    <row r="97" spans="1:14">
      <c r="E97" s="19">
        <v>46045</v>
      </c>
      <c r="F97" s="20">
        <v>1573137</v>
      </c>
      <c r="G97" s="21" t="s">
        <v>2</v>
      </c>
      <c r="H97" s="20" t="s">
        <v>49</v>
      </c>
      <c r="I97" s="22" t="s">
        <v>70</v>
      </c>
      <c r="J97" s="20">
        <v>20012823</v>
      </c>
      <c r="K97" s="22" t="s">
        <v>71</v>
      </c>
      <c r="L97" s="23">
        <v>2</v>
      </c>
      <c r="M97" s="24">
        <v>38.5</v>
      </c>
      <c r="N97" s="24">
        <v>77</v>
      </c>
    </row>
    <row r="98" spans="1:14">
      <c r="E98" s="14" t="s">
        <v>2</v>
      </c>
      <c r="F98" s="14" t="s">
        <v>2</v>
      </c>
      <c r="H98" s="14" t="s">
        <v>2</v>
      </c>
      <c r="I98" s="5" t="s">
        <v>2</v>
      </c>
      <c r="J98" s="14" t="s">
        <v>2</v>
      </c>
      <c r="K98" s="5" t="s">
        <v>2</v>
      </c>
      <c r="L98" s="26" t="s">
        <v>2</v>
      </c>
      <c r="M98" s="26" t="s">
        <v>2</v>
      </c>
      <c r="N98" s="26" t="s">
        <v>2</v>
      </c>
    </row>
    <row r="99" spans="1:14">
      <c r="C99" s="5" t="s">
        <v>2</v>
      </c>
      <c r="D99" s="5" t="s">
        <v>2</v>
      </c>
      <c r="E99" s="5" t="s">
        <v>2</v>
      </c>
      <c r="F99" s="5" t="s">
        <v>2</v>
      </c>
      <c r="H99" s="5" t="s">
        <v>2</v>
      </c>
      <c r="I99" s="5" t="s">
        <v>2</v>
      </c>
      <c r="J99" s="5" t="s">
        <v>2</v>
      </c>
      <c r="K99" s="5" t="s">
        <v>2</v>
      </c>
      <c r="L99" s="5" t="s">
        <v>2</v>
      </c>
      <c r="M99" s="5" t="s">
        <v>2</v>
      </c>
      <c r="N99" s="5" t="s">
        <v>2</v>
      </c>
    </row>
    <row r="100" spans="1:14">
      <c r="A100" s="5" t="s">
        <v>2</v>
      </c>
      <c r="C100" s="5" t="s">
        <v>2</v>
      </c>
      <c r="D100" s="5" t="s">
        <v>2</v>
      </c>
      <c r="E100" s="5" t="s">
        <v>2</v>
      </c>
      <c r="F100" s="5" t="s">
        <v>2</v>
      </c>
      <c r="H100" s="5" t="s">
        <v>2</v>
      </c>
      <c r="I100" s="5" t="s">
        <v>2</v>
      </c>
      <c r="J100" s="5" t="s">
        <v>2</v>
      </c>
      <c r="K100" s="5" t="s">
        <v>2</v>
      </c>
      <c r="L100" s="5" t="s">
        <v>2</v>
      </c>
      <c r="M100" s="5" t="s">
        <v>2</v>
      </c>
      <c r="N100" s="5" t="s">
        <v>2</v>
      </c>
    </row>
  </sheetData>
  <autoFilter xmlns:etc="http://www.wps.cn/officeDocument/2017/etCustomData" ref="A12:N100" etc:filterBottomFollowUsedRange="0">
    <extLst/>
  </autoFilter>
  <mergeCells count="106">
    <mergeCell ref="A12:B12"/>
    <mergeCell ref="F12:G12"/>
    <mergeCell ref="A13:B13"/>
    <mergeCell ref="E13:J13"/>
    <mergeCell ref="E14:J14"/>
    <mergeCell ref="E15:G15"/>
    <mergeCell ref="F16:G16"/>
    <mergeCell ref="F17:G17"/>
    <mergeCell ref="F18:G18"/>
    <mergeCell ref="F19:G19"/>
    <mergeCell ref="F20:G20"/>
    <mergeCell ref="F21:G21"/>
    <mergeCell ref="F22:G22"/>
    <mergeCell ref="F23:G23"/>
    <mergeCell ref="E24:J24"/>
    <mergeCell ref="E25:G25"/>
    <mergeCell ref="F26:G26"/>
    <mergeCell ref="F27:G27"/>
    <mergeCell ref="F28:G28"/>
    <mergeCell ref="F29:G29"/>
    <mergeCell ref="E30:J30"/>
    <mergeCell ref="E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E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E80:J80"/>
    <mergeCell ref="E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A100:B100"/>
    <mergeCell ref="F100:G100"/>
    <mergeCell ref="C15:C22"/>
    <mergeCell ref="C25:C28"/>
    <mergeCell ref="C31:C78"/>
    <mergeCell ref="C81:C98"/>
    <mergeCell ref="D15:D22"/>
    <mergeCell ref="D25:D28"/>
    <mergeCell ref="D31:D44"/>
    <mergeCell ref="D45:D78"/>
    <mergeCell ref="D81:D98"/>
    <mergeCell ref="B1:K2"/>
    <mergeCell ref="B4:K5"/>
    <mergeCell ref="A14:B99"/>
    <mergeCell ref="G8:L9"/>
    <mergeCell ref="M9:N10"/>
  </mergeCells>
  <pageMargins left="0.814959842519685" right="0.814959842519685" top="0.814959842519685" bottom="1.37675984251969" header="0.814959842519685" footer="0.814959842519685"/>
  <pageSetup paperSize="9" orientation="portrait" horizontalDpi="300" verticalDpi="300"/>
  <headerFooter alignWithMargins="0">
    <oddFooter>&amp;L&amp;"Droid Sans Fallback,Bold"&amp;9 RPTGL-0018 
&amp;"-,Regular"执行用户: 
&amp;"-,Regular"销售内勤 &amp;C&amp;"Droid Sans Fallback,Regular"&amp;9 执行时间: 
&amp;"-,Regular"2026年1月27日 10:48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DeliveryNoteSummary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2026-01-27T02:49:00Z</dcterms:created>
  <dcterms:modified xsi:type="dcterms:W3CDTF">2026-01-27T06:21:20Z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EE92B9A6733C4D268340A5FFCCDC9813_13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