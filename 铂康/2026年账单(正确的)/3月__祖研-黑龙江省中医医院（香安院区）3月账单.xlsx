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汇总" sheetId="3" r:id="rId1"/>
    <sheet name="脾胃六（小箱）" sheetId="1" r:id="rId2"/>
    <sheet name="脾胃一（小箱）" sheetId="2" r:id="rId3"/>
  </sheets>
  <definedNames>
    <definedName name="_xlnm.Print_Titles" localSheetId="1">'脾胃六（小箱）'!$1:$6</definedName>
    <definedName name="_xlnm.Print_Titles" localSheetId="2">'脾胃一（小箱）'!$1:$6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<sst xmlns="http://schemas.openxmlformats.org/spreadsheetml/2006/main" count="101" uniqueCount="30">
  <si>
    <r>
      <rPr>
        <b/>
        <sz val="14"/>
        <color rgb="FF000000"/>
        <rFont val="宋体"/>
        <charset val="134"/>
      </rPr>
      <t>祖研-黑龙江省中医医院（香安院区）</t>
    </r>
    <r>
      <rPr>
        <b/>
        <sz val="14"/>
        <color rgb="FF000000"/>
        <rFont val="宋体"/>
        <charset val="134"/>
      </rPr>
      <t>各科室</t>
    </r>
    <r>
      <rPr>
        <b/>
        <sz val="14"/>
        <color rgb="FF000000"/>
        <rFont val="宋体"/>
        <charset val="134"/>
      </rPr>
      <t>2026年3月</t>
    </r>
    <r>
      <rPr>
        <b/>
        <sz val="14"/>
        <color rgb="FF000000"/>
        <rFont val="宋体"/>
        <charset val="134"/>
      </rPr>
      <t>灭菌价格汇总</t>
    </r>
  </si>
  <si>
    <t>科室</t>
  </si>
  <si>
    <t>价格</t>
  </si>
  <si>
    <t>供应室</t>
  </si>
  <si>
    <t>脾胃六（小箱）</t>
  </si>
  <si>
    <t>脾胃一（小箱）</t>
  </si>
  <si>
    <t>物流费</t>
  </si>
  <si>
    <t>合计</t>
  </si>
  <si>
    <t/>
  </si>
  <si>
    <t>制表人：　　　　　　　　　核算人：　　　　　　　　甲方核算人：</t>
  </si>
  <si>
    <t>黑龙江省铂康医疗灭菌有限公司
2026年3月31日</t>
  </si>
  <si>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</si>
  <si>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</si>
  <si>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r>
      <rPr>
        <sz val="12"/>
        <color rgb="FFFFFFFF"/>
        <rFont val="宋体"/>
        <charset val="134"/>
      </rPr>
      <t>祖研</t>
    </r>
    <r>
      <rPr>
        <sz val="12"/>
        <color rgb="FFFFFFFF"/>
        <rFont val="Droid Sans Fallback"/>
        <charset val="134"/>
      </rPr>
      <t>-</t>
    </r>
    <r>
      <rPr>
        <sz val="12"/>
        <color rgb="FFFFFFFF"/>
        <rFont val="宋体"/>
        <charset val="134"/>
      </rPr>
      <t>黑龙江省中医医院（香安院区）</t>
    </r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</si>
  <si>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</si>
  <si>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</si>
  <si>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</si>
  <si>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</si>
  <si>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</si>
  <si>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</si>
  <si>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</si>
  <si>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</si>
  <si>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器械包(ZSD)</t>
  </si>
  <si>
    <t>埋线包（二）</t>
  </si>
  <si>
    <t>埋线包（一）</t>
  </si>
  <si>
    <t>额外包(无纺布)</t>
  </si>
  <si>
    <t>开口器包-4件/W6050</t>
  </si>
  <si>
    <t>埋线包-4件/W6050</t>
  </si>
  <si>
    <t>单包装包</t>
  </si>
  <si>
    <t>埋线包（盘1镊子2剪刀1）/W6050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</si>
</sst>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DBNum2][$RMB]General;[Red][DBNum2][$RMB]General"/>
  </numFmts>
  <fonts count="32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</cellStyleXfs>
  <cellXfs count="2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6" fillId="3" borderId="3" xfId="49" applyNumberFormat="1" applyFont="1" applyFill="1" applyBorder="1" applyAlignment="1">
      <alignment horizontal="center" vertical="top" wrapText="1" readingOrder="1"/>
    </xf>
    <xf numFmtId="176" fontId="6" fillId="3" borderId="3" xfId="49" applyNumberFormat="1" applyFont="1" applyFill="1" applyBorder="1" applyAlignment="1">
      <alignment horizontal="center"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0" fontId="0" fillId="0" borderId="0" xfId="0" applyFont="1" applyFill="1" applyBorder="1" applyAlignment="1"/>
    <xf numFmtId="0" fontId="7" fillId="0" borderId="0" xfId="0" applyNumberFormat="1" applyFont="1" applyFill="1" applyBorder="1" applyAlignment="1">
      <alignment horizontal="center" vertical="center" wrapText="1" readingOrder="1"/>
    </xf>
    <xf numFmtId="0" fontId="8" fillId="0" borderId="6" xfId="0" applyNumberFormat="1" applyFont="1" applyFill="1" applyBorder="1" applyAlignment="1">
      <alignment horizontal="center" vertical="center" wrapText="1" readingOrder="1"/>
    </xf>
    <xf numFmtId="0" fontId="9" fillId="0" borderId="6" xfId="0" applyNumberFormat="1" applyFont="1" applyFill="1" applyBorder="1" applyAlignment="1">
      <alignment horizontal="center" vertical="center" wrapText="1" readingOrder="1"/>
    </xf>
    <xf numFmtId="176" fontId="9" fillId="0" borderId="6" xfId="0" applyNumberFormat="1" applyFont="1" applyFill="1" applyBorder="1" applyAlignment="1">
      <alignment horizontal="center" vertical="center" wrapText="1" readingOrder="1"/>
    </xf>
    <xf numFmtId="178" fontId="9" fillId="0" borderId="6" xfId="0" applyNumberFormat="1" applyFont="1" applyFill="1" applyBorder="1" applyAlignment="1">
      <alignment horizontal="center" vertical="center" wrapText="1" readingOrder="1"/>
    </xf>
    <xf numFmtId="178" fontId="0" fillId="0" borderId="7" xfId="0" applyNumberFormat="1" applyFont="1" applyFill="1" applyBorder="1" applyAlignment="1">
      <alignment vertical="top" wrapText="1"/>
    </xf>
    <xf numFmtId="0" fontId="10" fillId="0" borderId="0" xfId="0" applyNumberFormat="1" applyFont="1" applyFill="1" applyBorder="1" applyAlignment="1">
      <alignment horizontal="left" vertical="top" wrapText="1" readingOrder="1"/>
    </xf>
    <xf numFmtId="0" fontId="10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0</xdr:colOff>
      <xdr:row>1</xdr:row>
      <xdr:rowOff>0</xdr:rowOff>
    </xdr:from>
    <xdr:to>
      <xdr:col>11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721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1</xdr:row>
      <xdr:rowOff>57150</xdr:rowOff>
    </xdr:from>
    <xdr:to>
      <xdr:col>10</xdr:col>
      <xdr:colOff>786213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99275" y="2286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1"/>
  <sheetViews>
    <sheetView tabSelected="1" workbookViewId="0">
      <selection activeCell="D19" sqref="D19"/>
    </sheetView>
  </sheetViews>
  <sheetFormatPr defaultColWidth="9" defaultRowHeight="13.5" outlineLevelCol="4"/>
  <cols>
    <col min="1" max="1" width="1.69166666666667" style="19" customWidth="1"/>
    <col min="2" max="2" width="30.1916666666667" style="19" customWidth="1"/>
    <col min="3" max="3" width="12.8333333333333" style="19" customWidth="1"/>
    <col min="4" max="4" width="29.6" style="19" customWidth="1"/>
    <col min="5" max="5" width="12.5416666666667" style="19" customWidth="1"/>
    <col min="6" max="6" width="2" style="19" customWidth="1"/>
    <col min="7" max="16384" width="9" style="19"/>
  </cols>
  <sheetData>
    <row r="1" s="19" customFormat="1" ht="14.95" customHeight="1"/>
    <row r="2" s="19" customFormat="1" ht="36" customHeight="1" spans="2:5">
      <c r="B2" s="20" t="s">
        <v>0</v>
      </c>
    </row>
    <row r="3" s="19" customFormat="1" ht="30" customHeight="1" spans="2:5">
      <c r="B3" s="21" t="s">
        <v>1</v>
      </c>
      <c r="C3" s="21" t="s">
        <v>2</v>
      </c>
      <c r="D3" s="21" t="s">
        <v>1</v>
      </c>
      <c r="E3" s="21" t="s">
        <v>2</v>
      </c>
    </row>
    <row r="4" s="19" customFormat="1" ht="30" customHeight="1" spans="2:5">
      <c r="B4" s="22" t="s">
        <v>3</v>
      </c>
      <c r="C4" s="23">
        <v>0</v>
      </c>
      <c r="D4" s="22" t="s">
        <v>4</v>
      </c>
      <c r="E4" s="23">
        <v>115.5</v>
      </c>
    </row>
    <row r="5" s="19" customFormat="1" ht="30" customHeight="1" spans="2:5">
      <c r="B5" s="22" t="s">
        <v>5</v>
      </c>
      <c r="C5" s="23">
        <v>44</v>
      </c>
      <c r="D5" s="22" t="s">
        <v>6</v>
      </c>
      <c r="E5" s="22">
        <v>150</v>
      </c>
    </row>
    <row r="6" s="19" customFormat="1" ht="30" customHeight="1" spans="2:5">
      <c r="B6" s="21" t="s">
        <v>7</v>
      </c>
      <c r="C6" s="23">
        <f>E4+E5+C5</f>
        <v>309.5</v>
      </c>
      <c r="D6" s="24">
        <f>C6</f>
        <v>309.5</v>
      </c>
      <c r="E6" s="25" t="s">
        <v>8</v>
      </c>
    </row>
    <row r="7" s="19" customFormat="1" ht="30" customHeight="1" spans="2:5">
      <c r="B7" s="26" t="s">
        <v>8</v>
      </c>
      <c r="C7" s="26" t="s">
        <v>8</v>
      </c>
      <c r="D7" s="26" t="s">
        <v>8</v>
      </c>
      <c r="E7" s="26" t="s">
        <v>8</v>
      </c>
    </row>
    <row r="8" s="19" customFormat="1" ht="30" customHeight="1" spans="2:5">
      <c r="B8" s="26" t="s">
        <v>9</v>
      </c>
    </row>
    <row r="9" s="19" customFormat="1" ht="30" customHeight="1" spans="2:5">
      <c r="B9" s="27" t="s">
        <v>10</v>
      </c>
    </row>
    <row r="10" s="19" customFormat="1" ht="30" customHeight="1"/>
    <row r="11" ht="30" customHeight="1"/>
  </sheetData>
  <mergeCells count="4">
    <mergeCell ref="B2:E2"/>
    <mergeCell ref="D6:E6"/>
    <mergeCell ref="B8:E8"/>
    <mergeCell ref="B9:E9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showGridLines="0" workbookViewId="0">
      <pane ySplit="6" topLeftCell="A7" activePane="bottomLeft" state="frozen"/>
      <selection/>
      <selection pane="bottomLeft" activeCell="Q12" sqref="Q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3.99166666666667" customWidth="1"/>
    <col min="12" max="12" width="8.20833333333333" customWidth="1"/>
    <col min="13" max="13" width="0.275" customWidth="1"/>
    <col min="14" max="14" width="0.025" customWidth="1"/>
    <col min="15" max="15" width="0.141666666666667" customWidth="1"/>
  </cols>
  <sheetData>
    <row r="1" spans="2:13">
      <c r="C1" s="1" t="s">
        <v>11</v>
      </c>
    </row>
    <row r="2" ht="23.05" customHeight="1"/>
    <row r="3" ht="2" customHeight="1"/>
    <row r="4" ht="15.2" customHeight="1" spans="2:13">
      <c r="B4" s="2" t="s">
        <v>12</v>
      </c>
    </row>
    <row r="6" ht="2.95" customHeight="1"/>
    <row r="7" ht="3.95" customHeight="1" spans="2:13">
      <c r="B7" s="4" t="s">
        <v>8</v>
      </c>
      <c r="C7" s="4" t="s">
        <v>8</v>
      </c>
      <c r="D7" s="4" t="s">
        <v>8</v>
      </c>
      <c r="E7" s="4" t="s">
        <v>8</v>
      </c>
      <c r="F7" s="4" t="s">
        <v>8</v>
      </c>
      <c r="G7" s="4" t="s">
        <v>8</v>
      </c>
      <c r="H7" s="4" t="s">
        <v>8</v>
      </c>
      <c r="I7" s="4" t="s">
        <v>8</v>
      </c>
      <c r="J7" s="4" t="s">
        <v>8</v>
      </c>
      <c r="K7" s="4" t="s">
        <v>8</v>
      </c>
      <c r="L7" s="4" t="s">
        <v>8</v>
      </c>
      <c r="M7" s="4" t="s">
        <v>8</v>
      </c>
    </row>
    <row r="8" ht="15" spans="2:13">
      <c r="C8" s="3" t="s">
        <v>8</v>
      </c>
      <c r="D8" s="15" t="s">
        <v>13</v>
      </c>
      <c r="E8" s="8" t="s">
        <v>8</v>
      </c>
      <c r="F8" s="8" t="s">
        <v>8</v>
      </c>
      <c r="G8" s="8" t="s">
        <v>8</v>
      </c>
      <c r="H8" s="8" t="s">
        <v>8</v>
      </c>
      <c r="I8" s="16"/>
      <c r="J8" s="17"/>
      <c r="K8" s="17"/>
      <c r="L8" s="8"/>
      <c r="M8" s="18"/>
    </row>
    <row r="9" spans="2:13">
      <c r="C9" s="3" t="s">
        <v>8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8" t="s">
        <v>8</v>
      </c>
      <c r="M9" s="18" t="s">
        <v>8</v>
      </c>
    </row>
    <row r="10" ht="14.25" spans="2:13">
      <c r="D10" s="7" t="s">
        <v>4</v>
      </c>
      <c r="E10" s="8" t="s">
        <v>8</v>
      </c>
      <c r="F10" s="8" t="s">
        <v>8</v>
      </c>
      <c r="G10" s="8" t="s">
        <v>8</v>
      </c>
      <c r="H10" s="8" t="s">
        <v>8</v>
      </c>
      <c r="I10" s="9">
        <v>6</v>
      </c>
      <c r="J10" s="10"/>
      <c r="K10" s="10">
        <v>115.5</v>
      </c>
      <c r="L10" s="8" t="s">
        <v>8</v>
      </c>
      <c r="M10" s="18" t="s">
        <v>8</v>
      </c>
    </row>
    <row r="11" spans="2:13">
      <c r="D11" s="11">
        <v>46097</v>
      </c>
      <c r="E11" s="12">
        <v>1586409</v>
      </c>
      <c r="F11" s="12" t="s">
        <v>22</v>
      </c>
      <c r="G11" s="13">
        <v>20417265</v>
      </c>
      <c r="H11" s="12" t="s">
        <v>23</v>
      </c>
      <c r="I11" s="13">
        <v>1</v>
      </c>
      <c r="J11" s="14">
        <v>22</v>
      </c>
      <c r="K11" s="14">
        <v>22</v>
      </c>
      <c r="L11" s="8" t="s">
        <v>8</v>
      </c>
      <c r="M11" s="18" t="s">
        <v>8</v>
      </c>
    </row>
    <row r="12" spans="2:13">
      <c r="D12" s="11">
        <v>46097</v>
      </c>
      <c r="E12" s="12">
        <v>1586409</v>
      </c>
      <c r="F12" s="12" t="s">
        <v>22</v>
      </c>
      <c r="G12" s="13">
        <v>20410082</v>
      </c>
      <c r="H12" s="12" t="s">
        <v>24</v>
      </c>
      <c r="I12" s="13">
        <v>1</v>
      </c>
      <c r="J12" s="14">
        <v>16.5</v>
      </c>
      <c r="K12" s="14">
        <v>16.5</v>
      </c>
      <c r="L12" s="8" t="s">
        <v>8</v>
      </c>
      <c r="M12" s="18" t="s">
        <v>8</v>
      </c>
    </row>
    <row r="13" spans="2:13">
      <c r="D13" s="11">
        <v>46101</v>
      </c>
      <c r="E13" s="12">
        <v>1587873</v>
      </c>
      <c r="F13" s="12" t="s">
        <v>22</v>
      </c>
      <c r="G13" s="13">
        <v>20410082</v>
      </c>
      <c r="H13" s="12" t="s">
        <v>24</v>
      </c>
      <c r="I13" s="13">
        <v>1</v>
      </c>
      <c r="J13" s="14">
        <v>16.5</v>
      </c>
      <c r="K13" s="14">
        <v>16.5</v>
      </c>
      <c r="L13" s="8" t="s">
        <v>8</v>
      </c>
      <c r="M13" s="18" t="s">
        <v>8</v>
      </c>
    </row>
    <row r="14" spans="2:13">
      <c r="D14" s="11">
        <v>46101</v>
      </c>
      <c r="E14" s="12">
        <v>1587873</v>
      </c>
      <c r="F14" s="12" t="s">
        <v>25</v>
      </c>
      <c r="G14" s="13">
        <v>20418081</v>
      </c>
      <c r="H14" s="12" t="s">
        <v>26</v>
      </c>
      <c r="I14" s="13">
        <v>1</v>
      </c>
      <c r="J14" s="14">
        <v>22</v>
      </c>
      <c r="K14" s="14">
        <v>22</v>
      </c>
      <c r="L14" s="8" t="s">
        <v>8</v>
      </c>
      <c r="M14" s="18" t="s">
        <v>8</v>
      </c>
    </row>
    <row r="15" spans="2:13">
      <c r="D15" s="11">
        <v>46104</v>
      </c>
      <c r="E15" s="12">
        <v>1588395</v>
      </c>
      <c r="F15" s="12" t="s">
        <v>22</v>
      </c>
      <c r="G15" s="13">
        <v>20410082</v>
      </c>
      <c r="H15" s="12" t="s">
        <v>24</v>
      </c>
      <c r="I15" s="13">
        <v>1</v>
      </c>
      <c r="J15" s="14">
        <v>16.5</v>
      </c>
      <c r="K15" s="14">
        <v>16.5</v>
      </c>
      <c r="L15" s="8" t="s">
        <v>8</v>
      </c>
      <c r="M15" s="18" t="s">
        <v>8</v>
      </c>
    </row>
    <row r="16" spans="2:13">
      <c r="D16" s="11">
        <v>46108</v>
      </c>
      <c r="E16" s="12">
        <v>1589895</v>
      </c>
      <c r="F16" s="12" t="s">
        <v>22</v>
      </c>
      <c r="G16" s="13">
        <v>20417265</v>
      </c>
      <c r="H16" s="12" t="s">
        <v>23</v>
      </c>
      <c r="I16" s="13">
        <v>1</v>
      </c>
      <c r="J16" s="14">
        <v>22</v>
      </c>
      <c r="K16" s="14">
        <v>22</v>
      </c>
      <c r="L16" s="8" t="s">
        <v>8</v>
      </c>
      <c r="M16" s="18" t="s">
        <v>8</v>
      </c>
    </row>
    <row r="17" ht="0.05" customHeight="1"/>
  </sheetData>
  <mergeCells count="16">
    <mergeCell ref="D8:H8"/>
    <mergeCell ref="K8:M8"/>
    <mergeCell ref="K9:M9"/>
    <mergeCell ref="D10:H10"/>
    <mergeCell ref="K10:M10"/>
    <mergeCell ref="K11:M11"/>
    <mergeCell ref="K12:M12"/>
    <mergeCell ref="K13:M13"/>
    <mergeCell ref="K14:M14"/>
    <mergeCell ref="K15:M15"/>
    <mergeCell ref="K16:M16"/>
    <mergeCell ref="C9:C16"/>
    <mergeCell ref="L2:L4"/>
    <mergeCell ref="B4:H5"/>
    <mergeCell ref="C1:H2"/>
    <mergeCell ref="A8:B16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15:02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workbookViewId="0">
      <pane ySplit="6" topLeftCell="A7" activePane="bottomLeft" state="frozen"/>
      <selection/>
      <selection pane="bottomLeft" activeCell="O11" sqref="O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11</v>
      </c>
    </row>
    <row r="2" ht="23.05" customHeight="1"/>
    <row r="3" ht="2" customHeight="1"/>
    <row r="4" ht="15.2" customHeight="1" spans="1:11">
      <c r="B4" s="2" t="s">
        <v>12</v>
      </c>
    </row>
    <row r="6" ht="2.95" customHeight="1"/>
    <row r="7" spans="1:11">
      <c r="A7" s="3" t="s">
        <v>8</v>
      </c>
      <c r="B7" s="4" t="s">
        <v>8</v>
      </c>
      <c r="C7" s="5" t="s">
        <v>8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21</v>
      </c>
    </row>
    <row r="8" ht="14.25" spans="1:11">
      <c r="D8" s="7" t="s">
        <v>5</v>
      </c>
      <c r="E8" s="8" t="s">
        <v>8</v>
      </c>
      <c r="F8" s="8" t="s">
        <v>8</v>
      </c>
      <c r="G8" s="8" t="s">
        <v>8</v>
      </c>
      <c r="H8" s="8" t="s">
        <v>8</v>
      </c>
      <c r="I8" s="9">
        <v>2</v>
      </c>
      <c r="J8" s="10"/>
      <c r="K8" s="10">
        <v>44</v>
      </c>
    </row>
    <row r="9" spans="1:11">
      <c r="D9" s="11">
        <v>46100</v>
      </c>
      <c r="E9" s="12">
        <v>1587223</v>
      </c>
      <c r="F9" s="12" t="s">
        <v>25</v>
      </c>
      <c r="G9" s="13">
        <v>20417736</v>
      </c>
      <c r="H9" s="12" t="s">
        <v>27</v>
      </c>
      <c r="I9" s="13">
        <v>1</v>
      </c>
      <c r="J9" s="14">
        <v>22</v>
      </c>
      <c r="K9" s="14">
        <v>22</v>
      </c>
    </row>
    <row r="10" ht="25.5" spans="1:11">
      <c r="D10" s="11">
        <v>46111</v>
      </c>
      <c r="E10" s="12">
        <v>1590428</v>
      </c>
      <c r="F10" s="12" t="s">
        <v>28</v>
      </c>
      <c r="G10" s="13">
        <v>20417265</v>
      </c>
      <c r="H10" s="12" t="s">
        <v>29</v>
      </c>
      <c r="I10" s="13">
        <v>1</v>
      </c>
      <c r="J10" s="14">
        <v>22</v>
      </c>
      <c r="K10" s="14">
        <v>22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15:02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</vt:lpstr>
      <vt:lpstr>脾胃六（小箱）</vt:lpstr>
      <vt:lpstr>脾胃一（小箱）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2026-06-02T07:02:00Z</dcterms:created>
  <dcterms:modified xsi:type="dcterms:W3CDTF">2026-06-11T09:17:35Z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20AE13AC049345C7B196EE3166E79F1F_13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