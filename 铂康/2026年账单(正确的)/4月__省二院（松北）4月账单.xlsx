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 tabRatio="976" firstSheet="3" activeTab="24"/>
  </bookViews>
  <sheets>
    <sheet name="ICU" sheetId="1" r:id="rId1"/>
    <sheet name="导管室" sheetId="2" r:id="rId2"/>
    <sheet name="耳鼻喉" sheetId="3" r:id="rId3"/>
    <sheet name="妇科病房" sheetId="4" r:id="rId4"/>
    <sheet name="妇科手术室" sheetId="5" r:id="rId5"/>
    <sheet name="骨一科" sheetId="6" r:id="rId6"/>
    <sheet name="急诊" sheetId="7" r:id="rId7"/>
    <sheet name="静配中心" sheetId="8" r:id="rId8"/>
    <sheet name="美容（手术室）" sheetId="9" r:id="rId9"/>
    <sheet name="美容科病房" sheetId="10" r:id="rId10"/>
    <sheet name="泌尿外" sheetId="11" r:id="rId11"/>
    <sheet name="泌尿外科（一病区）" sheetId="12" r:id="rId12"/>
    <sheet name="普外科" sheetId="13" r:id="rId13"/>
    <sheet name="全科" sheetId="14" r:id="rId14"/>
    <sheet name="神经外科" sheetId="15" r:id="rId15"/>
    <sheet name="手术室" sheetId="16" r:id="rId16"/>
    <sheet name="物理诊断科" sheetId="17" r:id="rId17"/>
    <sheet name="眼科手术室" sheetId="18" r:id="rId18"/>
    <sheet name="中医科" sheetId="19" r:id="rId19"/>
    <sheet name="周围血管病" sheetId="20" r:id="rId20"/>
    <sheet name="外来器械" sheetId="26" r:id="rId21"/>
    <sheet name="外来加急" sheetId="27" r:id="rId22"/>
    <sheet name="加急" sheetId="28" r:id="rId23"/>
    <sheet name="费用调整" sheetId="25" r:id="rId24"/>
    <sheet name="异常物流" sheetId="24" r:id="rId25"/>
  </sheets>
  <definedNames>
    <definedName name="_xlnm._FilterDatabase" localSheetId="0" hidden="1">ICU!$A$9:$K$14</definedName>
    <definedName name="_xlnm._FilterDatabase" localSheetId="1" hidden="1">导管室!$A$7:$K$13</definedName>
    <definedName name="_xlnm._FilterDatabase" localSheetId="2" hidden="1">耳鼻喉!$A$7:$K$20</definedName>
    <definedName name="_xlnm._FilterDatabase" localSheetId="3" hidden="1">妇科病房!$A$7:$K$75</definedName>
    <definedName name="_xlnm._FilterDatabase" localSheetId="4" hidden="1">妇科手术室!$A$7:$K$20</definedName>
    <definedName name="_xlnm._FilterDatabase" localSheetId="5" hidden="1">骨一科!$A$7:$K$62</definedName>
    <definedName name="_xlnm._FilterDatabase" localSheetId="6" hidden="1">急诊!$A$7:$K$45</definedName>
    <definedName name="_xlnm._FilterDatabase" localSheetId="8" hidden="1">'美容（手术室）'!$A$7:$K$115</definedName>
    <definedName name="_xlnm._FilterDatabase" localSheetId="9" hidden="1">美容科病房!$A$7:$K$31</definedName>
    <definedName name="_xlnm._FilterDatabase" localSheetId="10" hidden="1">泌尿外!$A$7:$K$37</definedName>
    <definedName name="_xlnm._FilterDatabase" localSheetId="11" hidden="1">'泌尿外科（一病区）'!$A$7:$K$73</definedName>
    <definedName name="_xlnm._FilterDatabase" localSheetId="12" hidden="1">普外科!$A$7:$K$30</definedName>
    <definedName name="_xlnm._FilterDatabase" localSheetId="14" hidden="1">神经外科!$A$7:$K$19</definedName>
    <definedName name="_xlnm._FilterDatabase" localSheetId="15" hidden="1">手术室!$A$7:$K$951</definedName>
    <definedName name="_xlnm._FilterDatabase" localSheetId="17" hidden="1">眼科手术室!$A$7:$K$40</definedName>
    <definedName name="_xlnm._FilterDatabase" localSheetId="18" hidden="1">中医科!$A$7:$K$13</definedName>
    <definedName name="_xlnm._FilterDatabase" localSheetId="19" hidden="1">周围血管病!$A$7:$K$21</definedName>
    <definedName name="_xlnm._FilterDatabase" localSheetId="20" hidden="1">外来器械!$A$6:$J$31</definedName>
    <definedName name="_xlnm._FilterDatabase" localSheetId="21" hidden="1">外来加急!$A$45:$I$49</definedName>
    <definedName name="_xlnm._FilterDatabase" localSheetId="24" hidden="1">异常物流!$A$2:$F$29</definedName>
    <definedName name="_xlnm.Print_Titles" localSheetId="0">ICU!$1:$6</definedName>
    <definedName name="_xlnm.Print_Titles" localSheetId="1">导管室!$1:$6</definedName>
    <definedName name="_xlnm.Print_Titles" localSheetId="2">耳鼻喉!$1:$6</definedName>
    <definedName name="_xlnm.Print_Titles" localSheetId="3">妇科病房!$1:$6</definedName>
    <definedName name="_xlnm.Print_Titles" localSheetId="4">妇科手术室!$1:$6</definedName>
    <definedName name="_xlnm.Print_Titles" localSheetId="5">骨一科!$1:$6</definedName>
    <definedName name="_xlnm.Print_Titles" localSheetId="6">急诊!$1:$6</definedName>
    <definedName name="_xlnm.Print_Titles" localSheetId="7">静配中心!$1:$6</definedName>
    <definedName name="_xlnm.Print_Titles" localSheetId="8">'美容（手术室）'!$1:$6</definedName>
    <definedName name="_xlnm.Print_Titles" localSheetId="9">美容科病房!$1:$6</definedName>
    <definedName name="_xlnm.Print_Titles" localSheetId="10">泌尿外!$1:$6</definedName>
    <definedName name="_xlnm.Print_Titles" localSheetId="11">'泌尿外科（一病区）'!$1:$6</definedName>
    <definedName name="_xlnm.Print_Titles" localSheetId="12">普外科!$1:$6</definedName>
    <definedName name="_xlnm.Print_Titles" localSheetId="13">全科!$1:$6</definedName>
    <definedName name="_xlnm.Print_Titles" localSheetId="14">神经外科!$1:$6</definedName>
    <definedName name="_xlnm.Print_Titles" localSheetId="15">手术室!$1:$6</definedName>
    <definedName name="_xlnm.Print_Titles" localSheetId="16">物理诊断科!$1:$6</definedName>
    <definedName name="_xlnm.Print_Titles" localSheetId="17">眼科手术室!$1:$6</definedName>
    <definedName name="_xlnm.Print_Titles" localSheetId="18">中医科!$1:$6</definedName>
    <definedName name="_xlnm.Print_Titles" localSheetId="19">周围血管病!$1:$6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<sst xmlns="http://schemas.openxmlformats.org/spreadsheetml/2006/main" count="3852" uniqueCount="526">
  <si>
    <t>发货单汇总表-显示包装材料</t>
  </si>
  <si>
    <r>
      <rPr>
        <sz val="9"/>
        <color rgb="FF000000"/>
        <rFont val="Droid Sans Fallback"/>
        <charset val="134"/>
      </rPr>
      <t>从:</t>
    </r>
    <r>
      <rPr>
        <sz val="9"/>
        <color rgb="FF000000"/>
        <rFont val="Droid Sans Fallback"/>
        <charset val="134"/>
      </rPr>
      <t>2026/4/1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00:00:00</t>
    </r>
    <r>
      <rPr>
        <sz val="9"/>
        <color rgb="FF000000"/>
        <rFont val="Droid Sans Fallback"/>
        <charset val="134"/>
      </rPr>
      <t xml:space="preserve"> 至: </t>
    </r>
    <r>
      <rPr>
        <sz val="9"/>
        <color rgb="FF000000"/>
        <rFont val="Droid Sans Fallback"/>
        <charset val="134"/>
      </rPr>
      <t>2026/4/30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23:59:59.999</t>
    </r>
  </si>
  <si>
    <t/>
  </si>
  <si>
    <t>黑龙江省第二医院（松北区）</t>
  </si>
  <si>
    <t>发货日期</t>
  </si>
  <si>
    <t>发货单号</t>
  </si>
  <si>
    <t>类型</t>
  </si>
  <si>
    <t>包类别号</t>
  </si>
  <si>
    <t>包名</t>
  </si>
  <si>
    <t>包数</t>
  </si>
  <si>
    <t>单价</t>
  </si>
  <si>
    <t>总价</t>
  </si>
  <si>
    <t>ICU</t>
  </si>
  <si>
    <t>额外包(纸塑袋)</t>
  </si>
  <si>
    <t>剪刀-1/Z1026</t>
  </si>
  <si>
    <t>蚊式-1/Z1026</t>
  </si>
  <si>
    <t>额外包(ETO)</t>
  </si>
  <si>
    <t>简易呼吸器一套/Z3060</t>
  </si>
  <si>
    <t>敷料包(纸塑袋)</t>
  </si>
  <si>
    <t>棉球/Z2032</t>
  </si>
  <si>
    <t>导管室</t>
  </si>
  <si>
    <t>小拉钩-1/Z7526</t>
  </si>
  <si>
    <t>止血钳-1/Z1029</t>
  </si>
  <si>
    <t>器械包(ZSD)</t>
  </si>
  <si>
    <t>起博包</t>
  </si>
  <si>
    <t>额外包(无纺布)</t>
  </si>
  <si>
    <t>碗3盘1/W6050</t>
  </si>
  <si>
    <t>额外包(低温等离子)</t>
  </si>
  <si>
    <t>耳鼻喉</t>
  </si>
  <si>
    <t>穿刺针-1/Z7520</t>
  </si>
  <si>
    <t>耵聍勾-1/Z7526</t>
  </si>
  <si>
    <t>平镊小-1/Z7526</t>
  </si>
  <si>
    <t>枪状镊-1//Z7530</t>
  </si>
  <si>
    <t>吸引器管-1/Z7526</t>
  </si>
  <si>
    <t>小剪刀-1/Z7526</t>
  </si>
  <si>
    <t>妇科病房</t>
  </si>
  <si>
    <t>器械包</t>
  </si>
  <si>
    <t>流产包</t>
  </si>
  <si>
    <t>宫颈钳-1/Z1535</t>
  </si>
  <si>
    <t>窥器-1/Z1526</t>
  </si>
  <si>
    <t>扩棒-6件（4-6.5号）/Z1026</t>
  </si>
  <si>
    <t>镊子-1/Z7526</t>
  </si>
  <si>
    <t>取环钩-1/Z7537</t>
  </si>
  <si>
    <t>探针-1/Z7537</t>
  </si>
  <si>
    <t>吸头-3/Z1035</t>
  </si>
  <si>
    <t>阴道镜包</t>
  </si>
  <si>
    <t>单包装包</t>
  </si>
  <si>
    <t>换药缸-1/Z2530</t>
  </si>
  <si>
    <t>病理钳-1/Z2032</t>
  </si>
  <si>
    <t>长弯钳-1/Z1535</t>
  </si>
  <si>
    <t>换药碗-1/Z2530</t>
  </si>
  <si>
    <t>探针细-1/Z7537</t>
  </si>
  <si>
    <t>止血钳（小弯）-1/Z1026</t>
  </si>
  <si>
    <t>艾利斯（组织钳）-1/Z1026</t>
  </si>
  <si>
    <t>扩棒（8-10号）-5件/z1530</t>
  </si>
  <si>
    <t>扩棒3.5号-1/Z7526</t>
  </si>
  <si>
    <t>扩棒3号-1/Z7526</t>
  </si>
  <si>
    <t>扩棒4号-1/Z7526</t>
  </si>
  <si>
    <t>扩棒5.5号-1/Z7526</t>
  </si>
  <si>
    <t>扩棒5号-1/Z7526</t>
  </si>
  <si>
    <t>卵圆钳-1/Z1535</t>
  </si>
  <si>
    <t>换药缸</t>
  </si>
  <si>
    <t>钩镊-1/Z7526</t>
  </si>
  <si>
    <t>妇科手术室</t>
  </si>
  <si>
    <t>扩棒（7-9.5）-6/Z1026</t>
  </si>
  <si>
    <t>宫腔镜包</t>
  </si>
  <si>
    <t>（妇）电切环-1/Z1045</t>
  </si>
  <si>
    <t>电切配件-5件/Z2045</t>
  </si>
  <si>
    <t>电切线-1/Z3040</t>
  </si>
  <si>
    <t>单包装包(老肯低温)</t>
  </si>
  <si>
    <t>电切镜-1/Z2060</t>
  </si>
  <si>
    <t>单极配件-5/保Z2060</t>
  </si>
  <si>
    <t>电切环-1/Z1045</t>
  </si>
  <si>
    <t>骨一科</t>
  </si>
  <si>
    <t>持针器-1/Z1029</t>
  </si>
  <si>
    <t>刀柄-1/Z7526</t>
  </si>
  <si>
    <t>平镊-1/Z7534</t>
  </si>
  <si>
    <t>纱布（20CM以内！）</t>
  </si>
  <si>
    <t>无菌缸-1/Z2530</t>
  </si>
  <si>
    <t>剥离质-1/Z1029</t>
  </si>
  <si>
    <t>纱布/z2032</t>
  </si>
  <si>
    <t>骨科-缝合包</t>
  </si>
  <si>
    <t>急诊</t>
  </si>
  <si>
    <t>大外伤包</t>
  </si>
  <si>
    <t>小外伤包</t>
  </si>
  <si>
    <t>尿道探子-1/Z7534</t>
  </si>
  <si>
    <t>肌钩-1/Z7526</t>
  </si>
  <si>
    <t>巾钳子-1/Z1026</t>
  </si>
  <si>
    <t>气管牵开器-1/Z1526</t>
  </si>
  <si>
    <t>咬骨钳-1/双Z2032</t>
  </si>
  <si>
    <t>静配中心</t>
  </si>
  <si>
    <t>毛巾/z3032</t>
  </si>
  <si>
    <t>毛巾/（同颜色一包）Z2544</t>
  </si>
  <si>
    <t>美容（手术室）</t>
  </si>
  <si>
    <t>创伤缝合包</t>
  </si>
  <si>
    <t>电刀头-1/Z7526</t>
  </si>
  <si>
    <t>麻杯-1/Z1520</t>
  </si>
  <si>
    <t>双眼皮手术器械包</t>
  </si>
  <si>
    <t>眼袋手术器械包</t>
  </si>
  <si>
    <t>持物钳罐-2/W6050</t>
  </si>
  <si>
    <t>脂肪（吸脂）手术器械包-17/W6050</t>
  </si>
  <si>
    <t>离心机试管（蓝帽）-4/Z1530</t>
  </si>
  <si>
    <t>离心机套筒（金属）-4/Z1530</t>
  </si>
  <si>
    <t>换药碗-2/Z2530</t>
  </si>
  <si>
    <t>弯盘-2/Z2032</t>
  </si>
  <si>
    <t>美容缝合包</t>
  </si>
  <si>
    <t>显微器械-4件/W7050</t>
  </si>
  <si>
    <t>L-剥离器（单头）-1/z7530</t>
  </si>
  <si>
    <t>XZJ-注水三件套（2个胶套）/Z1535</t>
  </si>
  <si>
    <t>蚊式弯-1/Z1026</t>
  </si>
  <si>
    <t>吸脂架-1/W6050</t>
  </si>
  <si>
    <t>脂肪（吸脂）手术器械包-3/W6050</t>
  </si>
  <si>
    <t>XZJ-储脂罐-1（低温）/W6050</t>
  </si>
  <si>
    <t>L-鼻剥离器-1/z7526</t>
  </si>
  <si>
    <t>剥离子-1/Z1029</t>
  </si>
  <si>
    <t>双球拉钩-1/Z7526</t>
  </si>
  <si>
    <t>小肌钩-2/Z1026</t>
  </si>
  <si>
    <t>眼睑板-1/Z7520</t>
  </si>
  <si>
    <t>眼用测量规-1/Z1020</t>
  </si>
  <si>
    <t>K-乳晕环切刀（中）-1/W6050</t>
  </si>
  <si>
    <t>蚊式-2/z1526</t>
  </si>
  <si>
    <t>取皮刀片-1/Z7526</t>
  </si>
  <si>
    <t>显微器械-5件</t>
  </si>
  <si>
    <t>刮匙-1/Z1035</t>
  </si>
  <si>
    <t>睑板腺囊肿切除包-2/Z7526</t>
  </si>
  <si>
    <t>拉钩-1/z7530</t>
  </si>
  <si>
    <t>拉钩-2/Z7526</t>
  </si>
  <si>
    <t>皮肤拉钩-1/Z7526</t>
  </si>
  <si>
    <t>XZJ-吸脂6件套（2个胶套）/Z1537</t>
  </si>
  <si>
    <t>注水针-3/Z1029</t>
  </si>
  <si>
    <t>S拉钩大-2/W7050</t>
  </si>
  <si>
    <t>盆1碗2盘2/W9050</t>
  </si>
  <si>
    <t>吸脂包-13件/W7050</t>
  </si>
  <si>
    <t>XZJ-震动吸脂手柄-1/Z1045</t>
  </si>
  <si>
    <t>XZJ-震动吸脂管-1/Z3044</t>
  </si>
  <si>
    <t>离心机试管-4件/Z1526</t>
  </si>
  <si>
    <t>美容科病房</t>
  </si>
  <si>
    <t>剪刀1镊子1弯盘1（换药包）/z2032</t>
  </si>
  <si>
    <t>小镊子-1/Z7526</t>
  </si>
  <si>
    <t>泌尿外</t>
  </si>
  <si>
    <t>尿道探子（2 3 4 5 6 7）-6/Z1035</t>
  </si>
  <si>
    <t>尿道探子8.5-1/Z7534</t>
  </si>
  <si>
    <t>尿道探子8号-1/Z7534</t>
  </si>
  <si>
    <t>持针器直 窄-1/Z1029</t>
  </si>
  <si>
    <t>精细剪（弯）-1/Z7526</t>
  </si>
  <si>
    <t>拉钩-1/Z7520</t>
  </si>
  <si>
    <t>整形镊（125直 有齿 ）-1/Z7526</t>
  </si>
  <si>
    <t>胸腔镊-1/Z7534</t>
  </si>
  <si>
    <t>泌尿外科（一病区）</t>
  </si>
  <si>
    <t>F22镜鞘-2件/Z1545</t>
  </si>
  <si>
    <t>双通道操作器1/Z1545</t>
  </si>
  <si>
    <t>异物钳（低温）-1/Z2060</t>
  </si>
  <si>
    <t>膀胱镜0度-1/Z2060</t>
  </si>
  <si>
    <t>F16镜鞘-2件/Z1545</t>
  </si>
  <si>
    <t>F19镜鞘-2件/Z1545</t>
  </si>
  <si>
    <t>单通道操作器1/Z1526</t>
  </si>
  <si>
    <t>膀胱镜12度-1/z2060</t>
  </si>
  <si>
    <t>膀胱镜30度-1/z2060</t>
  </si>
  <si>
    <t>活检钳（过氧化氢）-1件/z1560</t>
  </si>
  <si>
    <t>F21镜鞘-2件/Z1545</t>
  </si>
  <si>
    <t>F19镜鞘-2件（盒1）/Z2060</t>
  </si>
  <si>
    <t>普外科</t>
  </si>
  <si>
    <t>普外二切开包</t>
  </si>
  <si>
    <t>全科</t>
  </si>
  <si>
    <t>简易呼吸器-1（低温）件/Z3060</t>
  </si>
  <si>
    <t>神经外科</t>
  </si>
  <si>
    <t>止血钳（中弯）-1/Z1029</t>
  </si>
  <si>
    <t>组织剪-1/Z1029</t>
  </si>
  <si>
    <t>简易呼吸器-1件/Z3060</t>
  </si>
  <si>
    <t>气管套管-3/Z1020</t>
  </si>
  <si>
    <t>手术室</t>
  </si>
  <si>
    <t>腹包</t>
  </si>
  <si>
    <t>腹部包</t>
  </si>
  <si>
    <t>肝脏拉钩包</t>
  </si>
  <si>
    <t>腔包</t>
  </si>
  <si>
    <t>手科包</t>
  </si>
  <si>
    <t>长针头-1/Z7526</t>
  </si>
  <si>
    <t>骨显微（直）-11件</t>
  </si>
  <si>
    <t>鞍钩-1/W6050</t>
  </si>
  <si>
    <t>骨电钻-3/W705060</t>
  </si>
  <si>
    <t>敷料包(无纺布包)</t>
  </si>
  <si>
    <t>手术衣/w12050</t>
  </si>
  <si>
    <t>咬钉剪-1/W605050</t>
  </si>
  <si>
    <t>超声刀线（低温）-1/z3040</t>
  </si>
  <si>
    <t>灯罩-1/Z3040</t>
  </si>
  <si>
    <t>电凝钩，导线-2/Z2060</t>
  </si>
  <si>
    <t>腹腔镜气腹管-1/Z3040</t>
  </si>
  <si>
    <t>肛门阻断带-4/Z1026</t>
  </si>
  <si>
    <t>剪刀-1/Z1560</t>
  </si>
  <si>
    <t>弯钳-1/Z2060</t>
  </si>
  <si>
    <t>无损伤钳-1/Z2060</t>
  </si>
  <si>
    <t>吸引器-1/Z1560</t>
  </si>
  <si>
    <t>STROZ腹腔镜-1（30度）/Z2060</t>
  </si>
  <si>
    <t>阑尾包</t>
  </si>
  <si>
    <t>小腔包</t>
  </si>
  <si>
    <t>滑槽-1/Z1526</t>
  </si>
  <si>
    <t>静脉探子-1/Z7534</t>
  </si>
  <si>
    <t>蓝钳-1/Z1535</t>
  </si>
  <si>
    <t>三通-1/Z1020</t>
  </si>
  <si>
    <t>小碗-2/Z2530</t>
  </si>
  <si>
    <t>手刷-2/z1526</t>
  </si>
  <si>
    <t>关节镜鞘-3件/Z1545</t>
  </si>
  <si>
    <t>光导纤维（带线盘）-1/Z3040</t>
  </si>
  <si>
    <t>输尿管镜钳-1/Z1560</t>
  </si>
  <si>
    <t>水管-1/Z3040</t>
  </si>
  <si>
    <t>关节镜-1/z2060</t>
  </si>
  <si>
    <t>输尿管镜-2件/w12050</t>
  </si>
  <si>
    <t>泌-光导纤维-1（带线盘）/Z3040</t>
  </si>
  <si>
    <t>乳腺包</t>
  </si>
  <si>
    <t>上肢钉盒</t>
  </si>
  <si>
    <t>上肢工具包-28件</t>
  </si>
  <si>
    <t>骨膜剥离子（双头）-1/双/Z1026</t>
  </si>
  <si>
    <t>止血钳-2/Z1530</t>
  </si>
  <si>
    <t>点式复位钳-2/保W6050</t>
  </si>
  <si>
    <t>骨电钻-2件/W7050</t>
  </si>
  <si>
    <t>甲状腺包</t>
  </si>
  <si>
    <t xml:space="preserve">pfna封帽-1/（双）z7520 </t>
  </si>
  <si>
    <t>扳手-1/Z1026</t>
  </si>
  <si>
    <t>补钉-1/双Z7530</t>
  </si>
  <si>
    <t>补钉-1件/双Z7520</t>
  </si>
  <si>
    <t>钢板-1/双/Z7526</t>
  </si>
  <si>
    <t>骨膜剥离子（宽）-1/双/Z1026</t>
  </si>
  <si>
    <t>克氏针1.0-1/双Z7530</t>
  </si>
  <si>
    <t>克氏针1.5-1/Z7530</t>
  </si>
  <si>
    <t>钛针-1/Z7530</t>
  </si>
  <si>
    <t>外架配件-1/双Z7534</t>
  </si>
  <si>
    <t>银夹钳-2件/Z1535</t>
  </si>
  <si>
    <t>组件-1/Z7526</t>
  </si>
  <si>
    <t>钻头-1/保Z7530</t>
  </si>
  <si>
    <t>开胸器-1/W6050</t>
  </si>
  <si>
    <t>银夹台-1/W6050</t>
  </si>
  <si>
    <t>爪钩-2（一样大小！）/W6050</t>
  </si>
  <si>
    <t>绷带/z1526</t>
  </si>
  <si>
    <t>手刷-1/Z1026</t>
  </si>
  <si>
    <t>膀胱镜配件粉色-3/拆分Z2045</t>
  </si>
  <si>
    <t>弹道-1/Z3040</t>
  </si>
  <si>
    <t>阑尾钳-1/Z2060</t>
  </si>
  <si>
    <t>连接管1  冲洗球1/Z2035</t>
  </si>
  <si>
    <t>肾镜-1/双Z2075</t>
  </si>
  <si>
    <t>肾镜鞘-1/z1535</t>
  </si>
  <si>
    <t>双极配件-5/保Z2060</t>
  </si>
  <si>
    <t>探杆-1/Z7560</t>
  </si>
  <si>
    <t>造瘘器-16号-4件/Z2045</t>
  </si>
  <si>
    <t>造瘘器-22号-4/Z2045</t>
  </si>
  <si>
    <t>植皮刀片（低温）-1/Z1026</t>
  </si>
  <si>
    <t>转换器（低温）-1/Z1026</t>
  </si>
  <si>
    <t>膀胱镜-30度/z2060</t>
  </si>
  <si>
    <t>电切镜25度/z2060</t>
  </si>
  <si>
    <t>驱血带-1/Z2030</t>
  </si>
  <si>
    <t>标准锁定螺钉 皮质骨螺钉</t>
  </si>
  <si>
    <t>骨膜剥离子（窄）-1/双/Z1026</t>
  </si>
  <si>
    <t>骨科租赁器械包-带植入物</t>
  </si>
  <si>
    <t>上肢钉盒（三）</t>
  </si>
  <si>
    <t>骨科器械包</t>
  </si>
  <si>
    <t>上肢器械-30件（筐1）</t>
  </si>
  <si>
    <t>复位钳-2/W605050</t>
  </si>
  <si>
    <t>J扁桃体包-25件</t>
  </si>
  <si>
    <t>长颌抓钳-1/Z2060</t>
  </si>
  <si>
    <t>持针器低温-1/Z1560</t>
  </si>
  <si>
    <t>戳卡-1套/Z1530</t>
  </si>
  <si>
    <t>肾镜钳-1/Z1560</t>
  </si>
  <si>
    <t>微克夹钳-1/Z2060</t>
  </si>
  <si>
    <t>造瘘器-18号-4件/Z2045</t>
  </si>
  <si>
    <t>电切镜-12度/z2060</t>
  </si>
  <si>
    <t>膀胱镜配件-3/Z1545</t>
  </si>
  <si>
    <t>G-支撑喉镜-带框18件</t>
  </si>
  <si>
    <t>复位钳-1/W605050</t>
  </si>
  <si>
    <t>郜主任支撑-4件/W7050</t>
  </si>
  <si>
    <t>儿童驱血带-1/Z2545</t>
  </si>
  <si>
    <t>郜主任支撑1/2（1件）/z2060</t>
  </si>
  <si>
    <t>转换器-1/z1026</t>
  </si>
  <si>
    <t>鼻内镜0度/z2045</t>
  </si>
  <si>
    <t>德美德 腹腔镜-1/z2060</t>
  </si>
  <si>
    <t>（骨二）下肢外固定架</t>
  </si>
  <si>
    <t>成像-1/Z3040</t>
  </si>
  <si>
    <t>冷光源-1/保Z3040</t>
  </si>
  <si>
    <t>外借光导-1/Z3040</t>
  </si>
  <si>
    <t>外借镜头-5/z2060</t>
  </si>
  <si>
    <t>外借剖刀-1/Z3040</t>
  </si>
  <si>
    <t>外借半月板滑槽-1/Z1026</t>
  </si>
  <si>
    <t>外借蓝钳-3件/W6050</t>
  </si>
  <si>
    <t>外借蓝钳-4件/W6050</t>
  </si>
  <si>
    <t>可吸收夹钳-1/Z2035</t>
  </si>
  <si>
    <t>7.3空心钉</t>
  </si>
  <si>
    <t>气切包</t>
  </si>
  <si>
    <t>滑槽-1/Z1026</t>
  </si>
  <si>
    <t>探钩-1/Z1035</t>
  </si>
  <si>
    <t>扎丝（0.8）-1/Z1026</t>
  </si>
  <si>
    <t>骨科租赁器械包-不带植入物</t>
  </si>
  <si>
    <t>取钉包</t>
  </si>
  <si>
    <t>扎丝（0.6）-1/Z1026</t>
  </si>
  <si>
    <t>双极钳 双极线-2/Z2060</t>
  </si>
  <si>
    <t>肺叶手术包</t>
  </si>
  <si>
    <t>尿道探子-6/Z1035</t>
  </si>
  <si>
    <t>肋骨剪刀-1件/W9050</t>
  </si>
  <si>
    <t>S拉钩小-2/W6050</t>
  </si>
  <si>
    <t>鞍钩-2/W6050</t>
  </si>
  <si>
    <t>腹腔镜剪刀-1/Z2060</t>
  </si>
  <si>
    <t>左弯钳-1/Z2060</t>
  </si>
  <si>
    <t>X-镜头-1/双Z2545</t>
  </si>
  <si>
    <t>超声刀连接线-1/Z3040</t>
  </si>
  <si>
    <t>造瘘器-24号-4件/Z2045</t>
  </si>
  <si>
    <t>方盘-1/W9050</t>
  </si>
  <si>
    <t>植皮刀架-1/W6050</t>
  </si>
  <si>
    <t>冲洗球-1/Z2035</t>
  </si>
  <si>
    <t>蓝钳子（右）-1件/z2035</t>
  </si>
  <si>
    <t>蓝钳子（左）-1件/z2035</t>
  </si>
  <si>
    <t>关节镜配件-3件/Z2035</t>
  </si>
  <si>
    <t>肩关节镜器械</t>
  </si>
  <si>
    <t>膝关节镜器械</t>
  </si>
  <si>
    <t>2.5吸引器-1/Z7530</t>
  </si>
  <si>
    <t>剥离子-1/Z7534</t>
  </si>
  <si>
    <t>关节镜穿刺器-2/z1026</t>
  </si>
  <si>
    <t>敷料包（无纺布）/w15050</t>
  </si>
  <si>
    <t>夹子-3/W6050</t>
  </si>
  <si>
    <t>潘博进电钻（BY2-1103）-4件/W9050</t>
  </si>
  <si>
    <t>乳突牵开器-1/W6050</t>
  </si>
  <si>
    <t>羊角钩-1/W6050</t>
  </si>
  <si>
    <t>潘老师刨刀手柄-1/Z2530</t>
  </si>
  <si>
    <t>潘老师关节镜30度-1/Z2060</t>
  </si>
  <si>
    <t>潘老师关节镜70度-1/Z2060</t>
  </si>
  <si>
    <t>神经剥离子-1/Z7534</t>
  </si>
  <si>
    <t>钻孔包</t>
  </si>
  <si>
    <t>动力系统-3件（筐1）/w1205060</t>
  </si>
  <si>
    <t>成人头钉-3/双保Z7520</t>
  </si>
  <si>
    <t>儿童头钉-4/双保Z7520</t>
  </si>
  <si>
    <t>头钉-3/双保/Z7520</t>
  </si>
  <si>
    <t>显微镊-1/Z7526</t>
  </si>
  <si>
    <t>导航系统-3/W905060</t>
  </si>
  <si>
    <t>手摇钻-5/W7050</t>
  </si>
  <si>
    <t>动脉瘤包-6件</t>
  </si>
  <si>
    <t>大弯钳-2/Z1535</t>
  </si>
  <si>
    <t>腹膜钳-2/Z1535</t>
  </si>
  <si>
    <t>开颅包（二）</t>
  </si>
  <si>
    <t>开颅包（一）</t>
  </si>
  <si>
    <t>电凝头-1/7530</t>
  </si>
  <si>
    <t>脑吸引管2.0带芯-1/保Z7534</t>
  </si>
  <si>
    <t>脑压板-1/Z7534</t>
  </si>
  <si>
    <t>显微剪刀直-1/保Z7526</t>
  </si>
  <si>
    <t>粘膜剥离子-1/保Z7534</t>
  </si>
  <si>
    <t>直角钩-1/Z7530</t>
  </si>
  <si>
    <t>软轴牵开器-1/W7050</t>
  </si>
  <si>
    <t>转接器（高温）-1/W6050</t>
  </si>
  <si>
    <t>电刀头-1/Z7520</t>
  </si>
  <si>
    <t>电切镜配件-5/Z2045</t>
  </si>
  <si>
    <t>克氏钳-1/W6050</t>
  </si>
  <si>
    <t>鼻手术包</t>
  </si>
  <si>
    <t>直角钳-2/Z1535</t>
  </si>
  <si>
    <t>S钩中-2/W6050</t>
  </si>
  <si>
    <t>3.6空心钉工具包</t>
  </si>
  <si>
    <t>穿刺器-1/z1026</t>
  </si>
  <si>
    <t>光导纤维-1/Z3040</t>
  </si>
  <si>
    <t>喉镜片-1/Z1026</t>
  </si>
  <si>
    <t>输尿管软镜-2/W1250</t>
  </si>
  <si>
    <t>神经钩-1/保/Z7530</t>
  </si>
  <si>
    <t>潘老师穿刺器-2/z1026</t>
  </si>
  <si>
    <t>骨科器械包1/2</t>
  </si>
  <si>
    <t>置换包</t>
  </si>
  <si>
    <t>肌钩-2/Z1026</t>
  </si>
  <si>
    <t>内六角-1/Z1035</t>
  </si>
  <si>
    <t>小切口除皱手术包-5/Z1530</t>
  </si>
  <si>
    <t>凿子-1/Z7530</t>
  </si>
  <si>
    <t>S拉钩中-2/W6050</t>
  </si>
  <si>
    <t>锤子-1/W6050</t>
  </si>
  <si>
    <t>光纤-1（带线盘）/Z3040</t>
  </si>
  <si>
    <t>奥林巴斯腹腔镜-1（30度）</t>
  </si>
  <si>
    <t>螺丝刀-1/保Z1029</t>
  </si>
  <si>
    <t>胸科外伤包</t>
  </si>
  <si>
    <t>骨锉-1/双Z7534</t>
  </si>
  <si>
    <t>肛门拉钩-2/W605050</t>
  </si>
  <si>
    <t>肾蒂钳-2/W6050</t>
  </si>
  <si>
    <t>直角钳（低温）-1/Z2060</t>
  </si>
  <si>
    <t>RUDOLF腹腔镜-1（30度）</t>
  </si>
  <si>
    <t>G扁桃体包（带筐）</t>
  </si>
  <si>
    <t>骨科器械包2/2</t>
  </si>
  <si>
    <t>上下肢外架-8（筐1）</t>
  </si>
  <si>
    <t>上肢外架配件-20（筐1）</t>
  </si>
  <si>
    <t>肛门探针-1/Z7526</t>
  </si>
  <si>
    <t>勾刀-1/保Z7526</t>
  </si>
  <si>
    <t>开口器-1/Z1026</t>
  </si>
  <si>
    <t>肋骨取骨钳-1/双Z2032</t>
  </si>
  <si>
    <t>脑吸引管-1/保Z7537</t>
  </si>
  <si>
    <t>取瘤镊-1/保Z7530</t>
  </si>
  <si>
    <t>尾帽-3/双Z7520</t>
  </si>
  <si>
    <t>线锯-1/Z1526</t>
  </si>
  <si>
    <t>线锯导板-1/Z7537</t>
  </si>
  <si>
    <t>线锯拉钩-2/Z1526</t>
  </si>
  <si>
    <t>普外血管器械9件</t>
  </si>
  <si>
    <t>鼻窦咬切钳-1/W6050</t>
  </si>
  <si>
    <t>胆道探子-6/W605050</t>
  </si>
  <si>
    <t>导航8小件/W6050</t>
  </si>
  <si>
    <t>骨掀-1/W6050</t>
  </si>
  <si>
    <t>韩-显微器械-10件/w6050</t>
  </si>
  <si>
    <t>颈动脉切开包-11件/W6050</t>
  </si>
  <si>
    <t>肋骨撑开钳-1/W6050</t>
  </si>
  <si>
    <t>配件-1/Z7520</t>
  </si>
  <si>
    <t>导航球-6/Z7520</t>
  </si>
  <si>
    <t>耳科耳钻钻头-8件/Z7520</t>
  </si>
  <si>
    <t>耳钻连接线，手柄-3/Z3040</t>
  </si>
  <si>
    <t>泌-异物钳-1/Z2035</t>
  </si>
  <si>
    <t>剖刀线-1/Z3040</t>
  </si>
  <si>
    <t>神外肛门阻断带-4/Z1026</t>
  </si>
  <si>
    <t>神外活检钳-1件/z1560</t>
  </si>
  <si>
    <t>神外剪刀-1件/z2060</t>
  </si>
  <si>
    <t>神外抓钳-1件/z2060</t>
  </si>
  <si>
    <t>转换器-1/Z7520</t>
  </si>
  <si>
    <t>器械包(低温等离子)</t>
  </si>
  <si>
    <t>泌尿显微-18件</t>
  </si>
  <si>
    <t>耳镜 0度-1 /z2045</t>
  </si>
  <si>
    <t>肾镜-16件/z4065</t>
  </si>
  <si>
    <t>单包装包(EO)</t>
  </si>
  <si>
    <t>胆道软镜-3件（筐1）/w1505060</t>
  </si>
  <si>
    <t>荷包钳-1/W6050</t>
  </si>
  <si>
    <t>下肢止血带-1（绿）/z2030</t>
  </si>
  <si>
    <t>直角钳-1/Z2060</t>
  </si>
  <si>
    <t>物理诊断科</t>
  </si>
  <si>
    <t>穿刺架-1/Z1029</t>
  </si>
  <si>
    <t>眼科手术室</t>
  </si>
  <si>
    <t>白内障手术包</t>
  </si>
  <si>
    <t>白内障手术包（黑）</t>
  </si>
  <si>
    <t>白内障总盒（二）</t>
  </si>
  <si>
    <t>白内障总盒（四）</t>
  </si>
  <si>
    <t>白内障总盒（五）</t>
  </si>
  <si>
    <t>白内障总盒（一）</t>
  </si>
  <si>
    <t>超乳手柄（黑）-3(高温)/W6050</t>
  </si>
  <si>
    <t>助推器-2/w6050</t>
  </si>
  <si>
    <t>超乳管道（高温）/Z3040</t>
  </si>
  <si>
    <t>显微镜套（颜色一致）-10/Z2025</t>
  </si>
  <si>
    <t>白内障总盒（三）</t>
  </si>
  <si>
    <t>玻璃体腔注药包</t>
  </si>
  <si>
    <t>霰粒肿手术包</t>
  </si>
  <si>
    <t>中医科</t>
  </si>
  <si>
    <t>镊子-1/z7534</t>
  </si>
  <si>
    <t>周围血管病</t>
  </si>
  <si>
    <t>蚊式1剪刀1/Z1026</t>
  </si>
  <si>
    <t>鹰嘴钳-1/Z1026</t>
  </si>
  <si>
    <t>蚊式1剪刀1镊子1/Z1535</t>
  </si>
  <si>
    <t>骨刮匙（双头）-1/Z7530</t>
  </si>
  <si>
    <t>发货单汇总表(可选科室)</t>
  </si>
  <si>
    <r>
      <rPr>
        <sz val="9"/>
        <color rgb="FF000000"/>
        <rFont val="Droid Sans Fallback"/>
        <charset val="134"/>
      </rPr>
      <t>从:</t>
    </r>
    <r>
      <rPr>
        <sz val="9"/>
        <color rgb="FF000000"/>
        <rFont val="Droid Sans Fallback"/>
        <charset val="134"/>
      </rPr>
      <t>2026/4/1</t>
    </r>
    <r>
      <rPr>
        <sz val="9"/>
        <color rgb="FF000000"/>
        <rFont val="Droid Sans Fallback"/>
        <charset val="134"/>
      </rPr>
      <t xml:space="preserve"> 至: </t>
    </r>
    <r>
      <rPr>
        <sz val="9"/>
        <color rgb="FF000000"/>
        <rFont val="Droid Sans Fallback"/>
        <charset val="134"/>
      </rPr>
      <t>2026/4/30</t>
    </r>
  </si>
  <si>
    <t>基本类型</t>
  </si>
  <si>
    <t>包编号</t>
  </si>
  <si>
    <t>包数量</t>
  </si>
  <si>
    <t>合计</t>
  </si>
  <si>
    <t>哈尔滨长硕医疗器械有限公司</t>
  </si>
  <si>
    <t>骨科租赁器械包</t>
  </si>
  <si>
    <t>秦玉英-左侧陈旧性股骨颈骨折1/4</t>
  </si>
  <si>
    <t>秦玉英-左侧陈旧性股骨颈骨折2/4</t>
  </si>
  <si>
    <t>秦玉英-左侧陈旧性股骨颈骨折3/4</t>
  </si>
  <si>
    <t>秦玉英-左侧陈旧性股骨颈骨折4/4</t>
  </si>
  <si>
    <t>黑龙江三铭医疗器械有限公司</t>
  </si>
  <si>
    <t>额外包</t>
  </si>
  <si>
    <t>组件-1/1026</t>
  </si>
  <si>
    <t>孙荣-肩袖损伤1/1</t>
  </si>
  <si>
    <t>杨洪臣-肩袖损伤1/1</t>
  </si>
  <si>
    <t>韩秀兰-肩袖损伤1/1</t>
  </si>
  <si>
    <t>镜头-5/Z2060</t>
  </si>
  <si>
    <t>组件-1/Z3040</t>
  </si>
  <si>
    <t>镜头-5/W9050</t>
  </si>
  <si>
    <t>组件-4/W7050</t>
  </si>
  <si>
    <t>组件-3/W7050</t>
  </si>
  <si>
    <t>吴孟周-膝关节十字韧带损伤1/1</t>
  </si>
  <si>
    <t>张桂兰-肩袖损伤1/1</t>
  </si>
  <si>
    <t>姚明慧-膝关节十字韧带损伤1/2</t>
  </si>
  <si>
    <t>姚明慧-膝关节十字韧带损伤2/2</t>
  </si>
  <si>
    <t>周晓-肩袖损伤1/1</t>
  </si>
  <si>
    <t>赫婉霖-膝关节前十字韧带损伤1/1</t>
  </si>
  <si>
    <t>黑龙江省第二医院2026年4月1-2026年4月30日加急灭菌费总计金额3904.81元。</t>
  </si>
  <si>
    <t>黑龙江省第二医院2026年4月8日加急灭菌费693+693*30%=900.9元.</t>
  </si>
  <si>
    <t>苑林-肩关节  1/1</t>
  </si>
  <si>
    <t>石向东-肩关节  1/1</t>
  </si>
  <si>
    <t>姚明慧-膝关节1/2</t>
  </si>
  <si>
    <t>姚明慧-膝关节2/2</t>
  </si>
  <si>
    <t>赵伟-膝关节2/2</t>
  </si>
  <si>
    <t>赵伟-膝关节1/2</t>
  </si>
  <si>
    <t>黑龙江省第二医院2026年4月14日加急灭菌费969.15+969.15*30%=1259.9元。</t>
  </si>
  <si>
    <t>金有-肩袖损伤1/1</t>
  </si>
  <si>
    <t>鞠秀英-肩袖损伤1/1</t>
  </si>
  <si>
    <t>金芬-肩袖损伤1/1</t>
  </si>
  <si>
    <t>黑龙江省第二医院2026年4月21日加急灭菌费960.75+960.75*30%=1248.98元。</t>
  </si>
  <si>
    <t>武文博-膝关节前十字韧带断裂 1/2</t>
  </si>
  <si>
    <t>武文博-膝关节前十字韧带断裂 2/2</t>
  </si>
  <si>
    <t>王贵忠-肩袖损伤1/1</t>
  </si>
  <si>
    <t>王久伟-肩袖损伤1/1</t>
  </si>
  <si>
    <t>张洪君-膝关节前十字韧带断裂 1/2</t>
  </si>
  <si>
    <t>张洪君-膝关节前十字韧带断裂 2/2</t>
  </si>
  <si>
    <t>黑龙江省第二医院2026年4月28日加急灭菌费380.8+380.8*30%=495.04元。</t>
  </si>
  <si>
    <t>黑龙江省第二医院2026年4月1-2026年4月30日加急灭菌费总计金额3555.37元。</t>
  </si>
  <si>
    <t>黑龙江省第二医院2026年4月8日加急灭菌费147+147*30%=191.1元.</t>
  </si>
  <si>
    <r>
      <rPr>
        <sz val="10"/>
        <color rgb="FF000000"/>
        <rFont val="Droid Sans Fallback"/>
        <charset val="134"/>
      </rPr>
      <t>额外包</t>
    </r>
    <r>
      <rPr>
        <sz val="10"/>
        <rFont val="Droid Sans Fallback"/>
        <charset val="134"/>
      </rPr>
      <t>(</t>
    </r>
    <r>
      <rPr>
        <sz val="10"/>
        <rFont val="宋体"/>
        <charset val="134"/>
      </rPr>
      <t>低温等离子</t>
    </r>
    <r>
      <rPr>
        <sz val="10"/>
        <rFont val="Droid Sans Fallback"/>
        <charset val="134"/>
      </rPr>
      <t>)</t>
    </r>
  </si>
  <si>
    <r>
      <rPr>
        <sz val="10"/>
        <color rgb="FF000000"/>
        <rFont val="Droid Sans Fallback"/>
        <charset val="134"/>
      </rPr>
      <t>外借成像</t>
    </r>
    <r>
      <rPr>
        <sz val="10"/>
        <rFont val="Droid Sans Fallback"/>
        <charset val="134"/>
      </rPr>
      <t>-1/Z3040</t>
    </r>
  </si>
  <si>
    <r>
      <rPr>
        <sz val="10"/>
        <color rgb="FF000000"/>
        <rFont val="Droid Sans Fallback"/>
        <charset val="134"/>
      </rPr>
      <t>外借光导</t>
    </r>
    <r>
      <rPr>
        <sz val="10"/>
        <rFont val="Droid Sans Fallback"/>
        <charset val="134"/>
      </rPr>
      <t>-1/Z3040</t>
    </r>
  </si>
  <si>
    <t>黑龙江省第二医院2026年4月13日加急灭菌费177.1+177.1*30%=230.23元.</t>
  </si>
  <si>
    <t>经皮肾镜（修）-1/双Z2060</t>
  </si>
  <si>
    <t>黑龙江省第二医院2026年4月18日加急灭菌费380.8+380.8*30%=495.04元.</t>
  </si>
  <si>
    <t>动脉瘤夹FT740T/双Z7520</t>
  </si>
  <si>
    <t>动脉瘤夹FT752T/双Z7520</t>
  </si>
  <si>
    <t>脑吸引管2.5带芯-1/保Z7526</t>
  </si>
  <si>
    <t>显微持针器-1/Z1029</t>
  </si>
  <si>
    <t>阻断夹-1/双Z7520</t>
  </si>
  <si>
    <t>黑龙江省第二医院2026年4月24日加急灭菌费573.65+573.65*30%=745.75元.</t>
  </si>
  <si>
    <t>黑龙江省第二医院2026年4月25日加急灭菌费548.45+548.45*30%=712.99元.</t>
  </si>
  <si>
    <t>黑龙江省第二医院2026年4月28日加急灭菌费147+147*30%=191.1元.</t>
  </si>
  <si>
    <t>黑龙江省第二医院2026年4月30日加急灭菌费760.9+760.9*30%=989.17元.</t>
  </si>
  <si>
    <t>关节镜鞘-2/Z1545</t>
  </si>
  <si>
    <t>剖刀手柄-1/z3040</t>
  </si>
  <si>
    <r>
      <rPr>
        <sz val="10"/>
        <color rgb="FF000000"/>
        <rFont val="宋体"/>
        <charset val="134"/>
      </rPr>
      <t>单包装包</t>
    </r>
    <r>
      <rPr>
        <sz val="10"/>
        <color rgb="FF000000"/>
        <rFont val="Droid Sans Fallback"/>
        <charset val="134"/>
      </rPr>
      <t>(</t>
    </r>
    <r>
      <rPr>
        <sz val="10"/>
        <color rgb="FF000000"/>
        <rFont val="宋体"/>
        <charset val="134"/>
      </rPr>
      <t>老肯低温</t>
    </r>
    <r>
      <rPr>
        <sz val="10"/>
        <color rgb="FF000000"/>
        <rFont val="Droid Sans Fallback"/>
        <charset val="134"/>
      </rPr>
      <t>)</t>
    </r>
  </si>
  <si>
    <t>电切环（球型）-1/Z1045</t>
  </si>
  <si>
    <t>双极镊1双极线1/Z3040</t>
  </si>
  <si>
    <t>从发票中删除-按客户</t>
  </si>
  <si>
    <r>
      <rPr>
        <sz val="9"/>
        <color rgb="FF000000"/>
        <rFont val="Droid Sans Fallback"/>
        <charset val="134"/>
      </rPr>
      <t>从:</t>
    </r>
    <r>
      <rPr>
        <sz val="9"/>
        <color rgb="FF000000"/>
        <rFont val="Droid Sans Fallback"/>
        <charset val="134"/>
      </rPr>
      <t>2026/5/7</t>
    </r>
    <r>
      <rPr>
        <sz val="9"/>
        <color rgb="FF000000"/>
        <rFont val="Droid Sans Fallback"/>
        <charset val="134"/>
      </rPr>
      <t xml:space="preserve"> 至: </t>
    </r>
    <r>
      <rPr>
        <sz val="9"/>
        <color rgb="FF000000"/>
        <rFont val="Droid Sans Fallback"/>
        <charset val="134"/>
      </rPr>
      <t>2026/5/7</t>
    </r>
  </si>
  <si>
    <t>处理序号</t>
  </si>
  <si>
    <t>发票操作时间</t>
  </si>
  <si>
    <t>原因</t>
  </si>
  <si>
    <t>处理序号完成时间</t>
  </si>
  <si>
    <t>包名称</t>
  </si>
  <si>
    <t>金额</t>
  </si>
  <si>
    <t>调整</t>
  </si>
  <si>
    <t>松北省二院2026年4月非常规时段及异常物流明细汇总</t>
  </si>
  <si>
    <t>序号</t>
  </si>
  <si>
    <t>日期</t>
  </si>
  <si>
    <t>当日次数</t>
  </si>
  <si>
    <t>物流单价（元）</t>
  </si>
  <si>
    <t>合计（元）</t>
  </si>
  <si>
    <t>备注</t>
  </si>
  <si>
    <t>黑龙江省铂康医疗灭菌有限公司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</si>
</sst>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0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&quot;年&quot;m&quot;月&quot;d&quot;日&quot;;@"/>
    <numFmt numFmtId="177" formatCode="[DBNum2][$RMB]General;[Red][DBNum2][$RMB]General"/>
    <numFmt numFmtId="178" formatCode="[$-10804]0.00"/>
    <numFmt numFmtId="179" formatCode="[$-10804]yyyy/m/d\ h:mm:ss"/>
    <numFmt numFmtId="180" formatCode="[$-10804]yyyy/m/d"/>
    <numFmt numFmtId="181" formatCode="[$-10804]0.00;\(0.00\)"/>
  </numFmts>
  <fonts count="40">
    <font>
      <sz val="11"/>
      <name val="宋体"/>
      <charset val="134"/>
      <scheme val="minor"/>
    </font>
    <font>
      <sz val="20"/>
      <color theme="1"/>
      <name val="黑体"/>
      <charset val="134"/>
    </font>
    <font>
      <b/>
      <sz val="14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2"/>
      <name val="宋体"/>
      <charset val="134"/>
    </font>
    <font>
      <sz val="14"/>
      <color theme="1"/>
      <name val="宋体"/>
      <charset val="134"/>
      <scheme val="minor"/>
    </font>
    <font>
      <sz val="14"/>
      <color rgb="FF000000"/>
      <name val="宋体"/>
      <charset val="134"/>
    </font>
    <font>
      <sz val="18"/>
      <color rgb="FF000000"/>
      <name val="Droid Sans Fallback"/>
      <charset val="134"/>
    </font>
    <font>
      <sz val="9"/>
      <color rgb="FF000000"/>
      <name val="Droid Sans Fallback"/>
      <charset val="134"/>
    </font>
    <font>
      <b/>
      <sz val="12"/>
      <color rgb="FFFFFFFF"/>
      <name val="Droid Sans Fallback"/>
      <charset val="134"/>
    </font>
    <font>
      <sz val="10"/>
      <color rgb="FF000000"/>
      <name val="Droid Sans Fallback"/>
      <charset val="134"/>
    </font>
    <font>
      <sz val="11"/>
      <color rgb="FF000000"/>
      <name val="Droid Sans Fallback"/>
      <charset val="134"/>
    </font>
    <font>
      <sz val="10"/>
      <color rgb="FF000000"/>
      <name val="宋体"/>
      <charset val="134"/>
    </font>
    <font>
      <b/>
      <sz val="14"/>
      <name val="宋体"/>
      <charset val="134"/>
      <scheme val="major"/>
    </font>
    <font>
      <b/>
      <sz val="12"/>
      <name val="宋体"/>
      <charset val="134"/>
      <scheme val="minor"/>
    </font>
    <font>
      <b/>
      <sz val="10"/>
      <color rgb="FF000000"/>
      <name val="Droid Sans Fallback"/>
      <charset val="134"/>
    </font>
    <font>
      <sz val="12"/>
      <color rgb="FFFFFFFF"/>
      <name val="Droid Sans Fallback"/>
      <charset val="134"/>
    </font>
    <font>
      <b/>
      <sz val="10"/>
      <color rgb="FFFFFFFF"/>
      <name val="Droid Sans Fallback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  <font>
      <sz val="10"/>
      <name val="Droid Sans Fallback"/>
      <charset val="134"/>
    </font>
    <font>
      <sz val="10"/>
      <name val="宋体"/>
      <charset val="134"/>
    </font>
  </fonts>
  <fills count="3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6799AF"/>
        <bgColor rgb="FF6799AF"/>
      </patternFill>
    </fill>
    <fill>
      <patternFill patternType="solid">
        <fgColor rgb="FFBCC3CC"/>
        <bgColor rgb="FFBCC3CC"/>
      </patternFill>
    </fill>
    <fill>
      <patternFill patternType="solid">
        <fgColor rgb="FFDFE3E8"/>
        <bgColor rgb="FFDFE3E8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FFFFFF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3" fillId="6" borderId="7" applyNumberFormat="0" applyFont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7" borderId="10" applyNumberFormat="0" applyAlignment="0" applyProtection="0">
      <alignment vertical="center"/>
    </xf>
    <xf numFmtId="0" fontId="27" fillId="8" borderId="11" applyNumberFormat="0" applyAlignment="0" applyProtection="0">
      <alignment vertical="center"/>
    </xf>
    <xf numFmtId="0" fontId="28" fillId="8" borderId="10" applyNumberFormat="0" applyAlignment="0" applyProtection="0">
      <alignment vertical="center"/>
    </xf>
    <xf numFmtId="0" fontId="29" fillId="9" borderId="12" applyNumberFormat="0" applyAlignment="0" applyProtection="0">
      <alignment vertical="center"/>
    </xf>
    <xf numFmtId="0" fontId="30" fillId="0" borderId="13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5" fillId="16" borderId="0" applyNumberFormat="0" applyBorder="0" applyAlignment="0" applyProtection="0">
      <alignment vertical="center"/>
    </xf>
    <xf numFmtId="0" fontId="35" fillId="17" borderId="0" applyNumberFormat="0" applyBorder="0" applyAlignment="0" applyProtection="0">
      <alignment vertical="center"/>
    </xf>
    <xf numFmtId="0" fontId="36" fillId="18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35" fillId="21" borderId="0" applyNumberFormat="0" applyBorder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36" fillId="23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5" fillId="25" borderId="0" applyNumberFormat="0" applyBorder="0" applyAlignment="0" applyProtection="0">
      <alignment vertical="center"/>
    </xf>
    <xf numFmtId="0" fontId="36" fillId="26" borderId="0" applyNumberFormat="0" applyBorder="0" applyAlignment="0" applyProtection="0">
      <alignment vertical="center"/>
    </xf>
    <xf numFmtId="0" fontId="36" fillId="27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5" fillId="29" borderId="0" applyNumberFormat="0" applyBorder="0" applyAlignment="0" applyProtection="0">
      <alignment vertical="center"/>
    </xf>
    <xf numFmtId="0" fontId="36" fillId="30" borderId="0" applyNumberFormat="0" applyBorder="0" applyAlignment="0" applyProtection="0">
      <alignment vertical="center"/>
    </xf>
    <xf numFmtId="0" fontId="36" fillId="31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5" fillId="33" borderId="0" applyNumberFormat="0" applyBorder="0" applyAlignment="0" applyProtection="0">
      <alignment vertical="center"/>
    </xf>
    <xf numFmtId="0" fontId="36" fillId="34" borderId="0" applyNumberFormat="0" applyBorder="0" applyAlignment="0" applyProtection="0">
      <alignment vertical="center"/>
    </xf>
    <xf numFmtId="0" fontId="36" fillId="35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  <xf numFmtId="0" fontId="37" fillId="0" borderId="0"/>
  </cellStyleXfs>
  <cellXfs count="72">
    <xf numFmtId="0" fontId="0" fillId="0" borderId="0" xfId="0" applyFont="1" applyFill="1" applyBorder="1" applyAlignment="1"/>
    <xf numFmtId="0" fontId="0" fillId="0" borderId="0" xfId="0" applyFont="1" applyFill="1" applyBorder="1" applyAlignment="1">
      <alignment horizontal="center"/>
    </xf>
    <xf numFmtId="0" fontId="1" fillId="2" borderId="0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176" fontId="4" fillId="0" borderId="1" xfId="0" applyNumberFormat="1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0" fillId="0" borderId="1" xfId="0" applyFont="1" applyFill="1" applyBorder="1" applyAlignment="1"/>
    <xf numFmtId="14" fontId="3" fillId="0" borderId="1" xfId="0" applyNumberFormat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/>
    </xf>
    <xf numFmtId="177" fontId="3" fillId="0" borderId="1" xfId="0" applyNumberFormat="1" applyFont="1" applyFill="1" applyBorder="1" applyAlignment="1">
      <alignment horizontal="center" vertical="center"/>
    </xf>
    <xf numFmtId="0" fontId="6" fillId="0" borderId="0" xfId="0" applyFont="1" applyFill="1" applyAlignment="1">
      <alignment horizontal="right" vertical="center"/>
    </xf>
    <xf numFmtId="0" fontId="6" fillId="0" borderId="0" xfId="0" applyFont="1" applyFill="1" applyAlignment="1">
      <alignment horizontal="center" vertical="center"/>
    </xf>
    <xf numFmtId="31" fontId="6" fillId="0" borderId="0" xfId="0" applyNumberFormat="1" applyFont="1" applyFill="1" applyAlignment="1">
      <alignment horizontal="right" vertical="center"/>
    </xf>
    <xf numFmtId="31" fontId="6" fillId="0" borderId="0" xfId="0" applyNumberFormat="1" applyFont="1" applyFill="1" applyAlignment="1">
      <alignment horizontal="center" vertical="center"/>
    </xf>
    <xf numFmtId="0" fontId="7" fillId="0" borderId="0" xfId="0" applyNumberFormat="1" applyFont="1" applyFill="1" applyBorder="1" applyAlignment="1">
      <alignment horizontal="left" vertical="top" wrapText="1" readingOrder="1"/>
    </xf>
    <xf numFmtId="0" fontId="8" fillId="0" borderId="0" xfId="0" applyNumberFormat="1" applyFont="1" applyFill="1" applyBorder="1" applyAlignment="1">
      <alignment vertical="top" wrapText="1" readingOrder="1"/>
    </xf>
    <xf numFmtId="0" fontId="0" fillId="0" borderId="2" xfId="0" applyNumberFormat="1" applyFont="1" applyFill="1" applyBorder="1" applyAlignment="1">
      <alignment vertical="top" wrapText="1"/>
    </xf>
    <xf numFmtId="0" fontId="0" fillId="0" borderId="3" xfId="0" applyNumberFormat="1" applyFont="1" applyFill="1" applyBorder="1" applyAlignment="1">
      <alignment vertical="top" wrapText="1"/>
    </xf>
    <xf numFmtId="0" fontId="9" fillId="3" borderId="3" xfId="0" applyNumberFormat="1" applyFont="1" applyFill="1" applyBorder="1" applyAlignment="1">
      <alignment vertical="top" wrapText="1" readingOrder="1"/>
    </xf>
    <xf numFmtId="0" fontId="10" fillId="3" borderId="3" xfId="0" applyNumberFormat="1" applyFont="1" applyFill="1" applyBorder="1" applyAlignment="1">
      <alignment vertical="top" wrapText="1" readingOrder="1"/>
    </xf>
    <xf numFmtId="178" fontId="10" fillId="3" borderId="3" xfId="0" applyNumberFormat="1" applyFont="1" applyFill="1" applyBorder="1" applyAlignment="1">
      <alignment vertical="top" wrapText="1" readingOrder="1"/>
    </xf>
    <xf numFmtId="0" fontId="10" fillId="4" borderId="3" xfId="0" applyNumberFormat="1" applyFont="1" applyFill="1" applyBorder="1" applyAlignment="1">
      <alignment vertical="top" wrapText="1" readingOrder="1"/>
    </xf>
    <xf numFmtId="0" fontId="11" fillId="4" borderId="3" xfId="0" applyNumberFormat="1" applyFont="1" applyFill="1" applyBorder="1" applyAlignment="1">
      <alignment vertical="top" wrapText="1" readingOrder="1"/>
    </xf>
    <xf numFmtId="178" fontId="10" fillId="4" borderId="3" xfId="0" applyNumberFormat="1" applyFont="1" applyFill="1" applyBorder="1" applyAlignment="1">
      <alignment vertical="top" wrapText="1" readingOrder="1"/>
    </xf>
    <xf numFmtId="0" fontId="10" fillId="5" borderId="3" xfId="0" applyNumberFormat="1" applyFont="1" applyFill="1" applyBorder="1" applyAlignment="1">
      <alignment horizontal="left" vertical="top" wrapText="1" readingOrder="1"/>
    </xf>
    <xf numFmtId="0" fontId="10" fillId="5" borderId="3" xfId="0" applyNumberFormat="1" applyFont="1" applyFill="1" applyBorder="1" applyAlignment="1">
      <alignment vertical="top" wrapText="1" readingOrder="1"/>
    </xf>
    <xf numFmtId="178" fontId="10" fillId="5" borderId="3" xfId="0" applyNumberFormat="1" applyFont="1" applyFill="1" applyBorder="1" applyAlignment="1">
      <alignment vertical="top" wrapText="1" readingOrder="1"/>
    </xf>
    <xf numFmtId="0" fontId="10" fillId="0" borderId="4" xfId="0" applyNumberFormat="1" applyFont="1" applyFill="1" applyBorder="1" applyAlignment="1">
      <alignment horizontal="left" vertical="top" wrapText="1" readingOrder="1"/>
    </xf>
    <xf numFmtId="179" fontId="10" fillId="0" borderId="4" xfId="0" applyNumberFormat="1" applyFont="1" applyFill="1" applyBorder="1" applyAlignment="1">
      <alignment horizontal="left" vertical="top" wrapText="1" readingOrder="1"/>
    </xf>
    <xf numFmtId="0" fontId="12" fillId="0" borderId="4" xfId="0" applyNumberFormat="1" applyFont="1" applyFill="1" applyBorder="1" applyAlignment="1">
      <alignment vertical="top" wrapText="1" readingOrder="1"/>
    </xf>
    <xf numFmtId="179" fontId="10" fillId="0" borderId="4" xfId="0" applyNumberFormat="1" applyFont="1" applyFill="1" applyBorder="1" applyAlignment="1">
      <alignment vertical="top" wrapText="1" readingOrder="1"/>
    </xf>
    <xf numFmtId="0" fontId="10" fillId="0" borderId="4" xfId="0" applyNumberFormat="1" applyFont="1" applyFill="1" applyBorder="1" applyAlignment="1">
      <alignment vertical="top" wrapText="1" readingOrder="1"/>
    </xf>
    <xf numFmtId="178" fontId="10" fillId="0" borderId="4" xfId="0" applyNumberFormat="1" applyFont="1" applyFill="1" applyBorder="1" applyAlignment="1">
      <alignment vertical="top" wrapText="1" readingOrder="1"/>
    </xf>
    <xf numFmtId="0" fontId="10" fillId="0" borderId="0" xfId="0" applyNumberFormat="1" applyFont="1" applyFill="1" applyBorder="1" applyAlignment="1">
      <alignment vertical="top" wrapText="1" readingOrder="1"/>
    </xf>
    <xf numFmtId="0" fontId="13" fillId="0" borderId="0" xfId="0" applyNumberFormat="1" applyFont="1" applyFill="1" applyAlignment="1">
      <alignment horizontal="center" vertical="center" wrapText="1" readingOrder="1"/>
    </xf>
    <xf numFmtId="0" fontId="13" fillId="0" borderId="0" xfId="0" applyNumberFormat="1" applyFont="1" applyFill="1" applyBorder="1" applyAlignment="1">
      <alignment horizontal="center" vertical="center" wrapText="1" readingOrder="1"/>
    </xf>
    <xf numFmtId="0" fontId="14" fillId="0" borderId="0" xfId="0" applyFont="1" applyFill="1" applyAlignment="1">
      <alignment horizontal="center" vertical="center" wrapText="1"/>
    </xf>
    <xf numFmtId="0" fontId="14" fillId="0" borderId="0" xfId="0" applyFont="1" applyFill="1" applyBorder="1" applyAlignment="1">
      <alignment horizontal="center" vertical="center" wrapText="1"/>
    </xf>
    <xf numFmtId="0" fontId="10" fillId="0" borderId="1" xfId="0" applyNumberFormat="1" applyFont="1" applyFill="1" applyBorder="1" applyAlignment="1">
      <alignment vertical="top" wrapText="1" readingOrder="1"/>
    </xf>
    <xf numFmtId="0" fontId="10" fillId="0" borderId="1" xfId="0" applyNumberFormat="1" applyFont="1" applyFill="1" applyBorder="1" applyAlignment="1">
      <alignment horizontal="center" vertical="top" wrapText="1" readingOrder="1"/>
    </xf>
    <xf numFmtId="180" fontId="10" fillId="0" borderId="1" xfId="0" applyNumberFormat="1" applyFont="1" applyFill="1" applyBorder="1" applyAlignment="1">
      <alignment horizontal="left" vertical="top" wrapText="1" readingOrder="1"/>
    </xf>
    <xf numFmtId="0" fontId="10" fillId="0" borderId="1" xfId="0" applyNumberFormat="1" applyFont="1" applyFill="1" applyBorder="1" applyAlignment="1">
      <alignment horizontal="left" vertical="top" wrapText="1" readingOrder="1"/>
    </xf>
    <xf numFmtId="181" fontId="10" fillId="0" borderId="1" xfId="0" applyNumberFormat="1" applyFont="1" applyFill="1" applyBorder="1" applyAlignment="1">
      <alignment vertical="top" wrapText="1" readingOrder="1"/>
    </xf>
    <xf numFmtId="180" fontId="10" fillId="0" borderId="1" xfId="0" applyNumberFormat="1" applyFont="1" applyFill="1" applyBorder="1" applyAlignment="1">
      <alignment horizontal="center" vertical="top" wrapText="1" readingOrder="1"/>
    </xf>
    <xf numFmtId="181" fontId="10" fillId="0" borderId="1" xfId="0" applyNumberFormat="1" applyFont="1" applyFill="1" applyBorder="1" applyAlignment="1">
      <alignment horizontal="right" vertical="top" wrapText="1" readingOrder="1"/>
    </xf>
    <xf numFmtId="180" fontId="10" fillId="0" borderId="1" xfId="0" applyNumberFormat="1" applyFont="1" applyFill="1" applyBorder="1" applyAlignment="1">
      <alignment vertical="top" wrapText="1" readingOrder="1"/>
    </xf>
    <xf numFmtId="0" fontId="12" fillId="0" borderId="1" xfId="0" applyNumberFormat="1" applyFont="1" applyFill="1" applyBorder="1" applyAlignment="1">
      <alignment horizontal="left" vertical="top" wrapText="1" readingOrder="1"/>
    </xf>
    <xf numFmtId="0" fontId="12" fillId="0" borderId="1" xfId="0" applyNumberFormat="1" applyFont="1" applyFill="1" applyBorder="1" applyAlignment="1">
      <alignment vertical="top" wrapText="1" readingOrder="1"/>
    </xf>
    <xf numFmtId="0" fontId="15" fillId="0" borderId="1" xfId="0" applyNumberFormat="1" applyFont="1" applyFill="1" applyBorder="1" applyAlignment="1">
      <alignment horizontal="center" vertical="top" wrapText="1" readingOrder="1"/>
    </xf>
    <xf numFmtId="181" fontId="15" fillId="0" borderId="1" xfId="0" applyNumberFormat="1" applyFont="1" applyFill="1" applyBorder="1" applyAlignment="1">
      <alignment vertical="top" wrapText="1" readingOrder="1"/>
    </xf>
    <xf numFmtId="0" fontId="10" fillId="0" borderId="0" xfId="0" applyNumberFormat="1" applyFont="1" applyFill="1" applyBorder="1" applyAlignment="1">
      <alignment horizontal="center" vertical="top" wrapText="1" readingOrder="1"/>
    </xf>
    <xf numFmtId="0" fontId="16" fillId="3" borderId="3" xfId="0" applyNumberFormat="1" applyFont="1" applyFill="1" applyBorder="1" applyAlignment="1">
      <alignment vertical="top" wrapText="1" readingOrder="1"/>
    </xf>
    <xf numFmtId="0" fontId="17" fillId="3" borderId="3" xfId="0" applyNumberFormat="1" applyFont="1" applyFill="1" applyBorder="1" applyAlignment="1">
      <alignment horizontal="center" vertical="top" wrapText="1" readingOrder="1"/>
    </xf>
    <xf numFmtId="181" fontId="17" fillId="3" borderId="3" xfId="0" applyNumberFormat="1" applyFont="1" applyFill="1" applyBorder="1" applyAlignment="1">
      <alignment vertical="top" wrapText="1" readingOrder="1"/>
    </xf>
    <xf numFmtId="0" fontId="15" fillId="4" borderId="3" xfId="0" applyNumberFormat="1" applyFont="1" applyFill="1" applyBorder="1" applyAlignment="1">
      <alignment horizontal="center" vertical="top" wrapText="1" readingOrder="1"/>
    </xf>
    <xf numFmtId="181" fontId="15" fillId="4" borderId="3" xfId="0" applyNumberFormat="1" applyFont="1" applyFill="1" applyBorder="1" applyAlignment="1">
      <alignment vertical="top" wrapText="1" readingOrder="1"/>
    </xf>
    <xf numFmtId="180" fontId="10" fillId="0" borderId="4" xfId="0" applyNumberFormat="1" applyFont="1" applyFill="1" applyBorder="1" applyAlignment="1">
      <alignment horizontal="left" vertical="top" wrapText="1" readingOrder="1"/>
    </xf>
    <xf numFmtId="0" fontId="15" fillId="0" borderId="4" xfId="0" applyNumberFormat="1" applyFont="1" applyFill="1" applyBorder="1" applyAlignment="1">
      <alignment horizontal="center" vertical="top" wrapText="1" readingOrder="1"/>
    </xf>
    <xf numFmtId="181" fontId="15" fillId="0" borderId="4" xfId="0" applyNumberFormat="1" applyFont="1" applyFill="1" applyBorder="1" applyAlignment="1">
      <alignment vertical="top" wrapText="1" readingOrder="1"/>
    </xf>
    <xf numFmtId="0" fontId="10" fillId="0" borderId="2" xfId="0" applyNumberFormat="1" applyFont="1" applyFill="1" applyBorder="1" applyAlignment="1">
      <alignment vertical="top" wrapText="1" readingOrder="1"/>
    </xf>
    <xf numFmtId="0" fontId="10" fillId="0" borderId="5" xfId="0" applyNumberFormat="1" applyFont="1" applyFill="1" applyBorder="1" applyAlignment="1">
      <alignment horizontal="center" vertical="top" wrapText="1" readingOrder="1"/>
    </xf>
    <xf numFmtId="0" fontId="11" fillId="4" borderId="4" xfId="0" applyNumberFormat="1" applyFont="1" applyFill="1" applyBorder="1" applyAlignment="1">
      <alignment vertical="top" wrapText="1" readingOrder="1"/>
    </xf>
    <xf numFmtId="0" fontId="0" fillId="0" borderId="6" xfId="0" applyNumberFormat="1" applyFont="1" applyFill="1" applyBorder="1" applyAlignment="1">
      <alignment vertical="top" wrapText="1"/>
    </xf>
    <xf numFmtId="0" fontId="11" fillId="4" borderId="4" xfId="0" applyNumberFormat="1" applyFont="1" applyFill="1" applyBorder="1" applyAlignment="1">
      <alignment horizontal="center" vertical="top" wrapText="1" readingOrder="1"/>
    </xf>
    <xf numFmtId="181" fontId="11" fillId="4" borderId="4" xfId="0" applyNumberFormat="1" applyFont="1" applyFill="1" applyBorder="1" applyAlignment="1">
      <alignment horizontal="center" vertical="top" wrapText="1" readingOrder="1"/>
    </xf>
    <xf numFmtId="180" fontId="10" fillId="0" borderId="4" xfId="0" applyNumberFormat="1" applyFont="1" applyFill="1" applyBorder="1" applyAlignment="1">
      <alignment vertical="top" wrapText="1" readingOrder="1"/>
    </xf>
    <xf numFmtId="0" fontId="10" fillId="0" borderId="4" xfId="0" applyNumberFormat="1" applyFont="1" applyFill="1" applyBorder="1" applyAlignment="1">
      <alignment horizontal="center" vertical="top" wrapText="1" readingOrder="1"/>
    </xf>
    <xf numFmtId="181" fontId="10" fillId="0" borderId="4" xfId="0" applyNumberFormat="1" applyFont="1" applyFill="1" applyBorder="1" applyAlignment="1">
      <alignment horizontal="center" vertical="top" wrapText="1" readingOrder="1"/>
    </xf>
    <xf numFmtId="0" fontId="16" fillId="3" borderId="4" xfId="0" applyNumberFormat="1" applyFont="1" applyFill="1" applyBorder="1" applyAlignment="1">
      <alignment vertical="top" wrapText="1" readingOrder="1"/>
    </xf>
    <xf numFmtId="0" fontId="16" fillId="3" borderId="4" xfId="0" applyNumberFormat="1" applyFont="1" applyFill="1" applyBorder="1" applyAlignment="1">
      <alignment horizontal="center" vertical="top" wrapText="1" readingOrder="1"/>
    </xf>
    <xf numFmtId="181" fontId="16" fillId="3" borderId="4" xfId="0" applyNumberFormat="1" applyFont="1" applyFill="1" applyBorder="1" applyAlignment="1">
      <alignment horizontal="center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808080"/>
      <rgbColor rgb="006799AF"/>
      <rgbColor rgb="00FFFFFF"/>
      <rgbColor rgb="00BCC3CC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8" Type="http://schemas.openxmlformats.org/officeDocument/2006/relationships/styles" Target="styles.xml"/><Relationship Id="rId27" Type="http://schemas.openxmlformats.org/officeDocument/2006/relationships/sharedStrings" Target="sharedStrings.xml"/><Relationship Id="rId26" Type="http://schemas.openxmlformats.org/officeDocument/2006/relationships/theme" Target="theme/theme1.xml"/><Relationship Id="rId25" Type="http://schemas.openxmlformats.org/officeDocument/2006/relationships/worksheet" Target="worksheets/sheet25.xml"/><Relationship Id="rId24" Type="http://schemas.openxmlformats.org/officeDocument/2006/relationships/worksheet" Target="worksheets/sheet24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247015</xdr:colOff>
      <xdr:row>1</xdr:row>
      <xdr:rowOff>0</xdr:rowOff>
    </xdr:from>
    <xdr:to>
      <xdr:col>10</xdr:col>
      <xdr:colOff>757003</xdr:colOff>
      <xdr:row>3</xdr:row>
      <xdr:rowOff>190500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870065" y="171450"/>
          <a:ext cx="509905" cy="50863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247015</xdr:colOff>
      <xdr:row>1</xdr:row>
      <xdr:rowOff>28575</xdr:rowOff>
    </xdr:from>
    <xdr:to>
      <xdr:col>10</xdr:col>
      <xdr:colOff>757003</xdr:colOff>
      <xdr:row>4</xdr:row>
      <xdr:rowOff>26035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870065" y="200025"/>
          <a:ext cx="509905" cy="50863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189865</xdr:colOff>
      <xdr:row>1</xdr:row>
      <xdr:rowOff>0</xdr:rowOff>
    </xdr:from>
    <xdr:to>
      <xdr:col>10</xdr:col>
      <xdr:colOff>699853</xdr:colOff>
      <xdr:row>3</xdr:row>
      <xdr:rowOff>190500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812915" y="171450"/>
          <a:ext cx="509905" cy="50863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256540</xdr:colOff>
      <xdr:row>0</xdr:row>
      <xdr:rowOff>152400</xdr:rowOff>
    </xdr:from>
    <xdr:to>
      <xdr:col>10</xdr:col>
      <xdr:colOff>766528</xdr:colOff>
      <xdr:row>3</xdr:row>
      <xdr:rowOff>171450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879590" y="152400"/>
          <a:ext cx="509905" cy="50863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227965</xdr:colOff>
      <xdr:row>1</xdr:row>
      <xdr:rowOff>57150</xdr:rowOff>
    </xdr:from>
    <xdr:to>
      <xdr:col>10</xdr:col>
      <xdr:colOff>737953</xdr:colOff>
      <xdr:row>4</xdr:row>
      <xdr:rowOff>54610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851015" y="228600"/>
          <a:ext cx="509905" cy="50863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275590</xdr:colOff>
      <xdr:row>1</xdr:row>
      <xdr:rowOff>9525</xdr:rowOff>
    </xdr:from>
    <xdr:to>
      <xdr:col>10</xdr:col>
      <xdr:colOff>785578</xdr:colOff>
      <xdr:row>4</xdr:row>
      <xdr:rowOff>6985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898640" y="180975"/>
          <a:ext cx="509905" cy="50863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227965</xdr:colOff>
      <xdr:row>0</xdr:row>
      <xdr:rowOff>161925</xdr:rowOff>
    </xdr:from>
    <xdr:to>
      <xdr:col>10</xdr:col>
      <xdr:colOff>737953</xdr:colOff>
      <xdr:row>3</xdr:row>
      <xdr:rowOff>180975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851015" y="161925"/>
          <a:ext cx="509905" cy="50863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247015</xdr:colOff>
      <xdr:row>1</xdr:row>
      <xdr:rowOff>57150</xdr:rowOff>
    </xdr:from>
    <xdr:to>
      <xdr:col>10</xdr:col>
      <xdr:colOff>757003</xdr:colOff>
      <xdr:row>4</xdr:row>
      <xdr:rowOff>54610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870065" y="228600"/>
          <a:ext cx="509905" cy="50863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294640</xdr:colOff>
      <xdr:row>1</xdr:row>
      <xdr:rowOff>57150</xdr:rowOff>
    </xdr:from>
    <xdr:to>
      <xdr:col>10</xdr:col>
      <xdr:colOff>804628</xdr:colOff>
      <xdr:row>4</xdr:row>
      <xdr:rowOff>54610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917690" y="228600"/>
          <a:ext cx="509905" cy="50863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323215</xdr:colOff>
      <xdr:row>1</xdr:row>
      <xdr:rowOff>28575</xdr:rowOff>
    </xdr:from>
    <xdr:to>
      <xdr:col>10</xdr:col>
      <xdr:colOff>833203</xdr:colOff>
      <xdr:row>4</xdr:row>
      <xdr:rowOff>26035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946265" y="200025"/>
          <a:ext cx="509905" cy="508635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227965</xdr:colOff>
      <xdr:row>1</xdr:row>
      <xdr:rowOff>0</xdr:rowOff>
    </xdr:from>
    <xdr:to>
      <xdr:col>10</xdr:col>
      <xdr:colOff>737953</xdr:colOff>
      <xdr:row>3</xdr:row>
      <xdr:rowOff>190500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851015" y="171450"/>
          <a:ext cx="509905" cy="508635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313690</xdr:colOff>
      <xdr:row>1</xdr:row>
      <xdr:rowOff>9525</xdr:rowOff>
    </xdr:from>
    <xdr:to>
      <xdr:col>10</xdr:col>
      <xdr:colOff>823678</xdr:colOff>
      <xdr:row>4</xdr:row>
      <xdr:rowOff>6985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936740" y="180975"/>
          <a:ext cx="509905" cy="508635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227965</xdr:colOff>
      <xdr:row>1</xdr:row>
      <xdr:rowOff>47625</xdr:rowOff>
    </xdr:from>
    <xdr:to>
      <xdr:col>10</xdr:col>
      <xdr:colOff>737953</xdr:colOff>
      <xdr:row>4</xdr:row>
      <xdr:rowOff>45085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851015" y="219075"/>
          <a:ext cx="509905" cy="508635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266065</xdr:colOff>
      <xdr:row>1</xdr:row>
      <xdr:rowOff>28575</xdr:rowOff>
    </xdr:from>
    <xdr:to>
      <xdr:col>10</xdr:col>
      <xdr:colOff>776053</xdr:colOff>
      <xdr:row>4</xdr:row>
      <xdr:rowOff>26035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889115" y="200025"/>
          <a:ext cx="509905" cy="508635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218440</xdr:colOff>
      <xdr:row>1</xdr:row>
      <xdr:rowOff>19050</xdr:rowOff>
    </xdr:from>
    <xdr:to>
      <xdr:col>10</xdr:col>
      <xdr:colOff>728428</xdr:colOff>
      <xdr:row>4</xdr:row>
      <xdr:rowOff>16510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841490" y="190500"/>
          <a:ext cx="509905" cy="508635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247015</xdr:colOff>
      <xdr:row>1</xdr:row>
      <xdr:rowOff>57150</xdr:rowOff>
    </xdr:from>
    <xdr:to>
      <xdr:col>10</xdr:col>
      <xdr:colOff>757003</xdr:colOff>
      <xdr:row>4</xdr:row>
      <xdr:rowOff>54610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870065" y="228600"/>
          <a:ext cx="509905" cy="508635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199390</xdr:colOff>
      <xdr:row>1</xdr:row>
      <xdr:rowOff>19050</xdr:rowOff>
    </xdr:from>
    <xdr:to>
      <xdr:col>10</xdr:col>
      <xdr:colOff>709378</xdr:colOff>
      <xdr:row>4</xdr:row>
      <xdr:rowOff>16510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822440" y="190500"/>
          <a:ext cx="509905" cy="508635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237490</xdr:colOff>
      <xdr:row>1</xdr:row>
      <xdr:rowOff>28575</xdr:rowOff>
    </xdr:from>
    <xdr:to>
      <xdr:col>10</xdr:col>
      <xdr:colOff>747478</xdr:colOff>
      <xdr:row>4</xdr:row>
      <xdr:rowOff>26035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860540" y="200025"/>
          <a:ext cx="509905" cy="508635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256540</xdr:colOff>
      <xdr:row>1</xdr:row>
      <xdr:rowOff>0</xdr:rowOff>
    </xdr:from>
    <xdr:to>
      <xdr:col>10</xdr:col>
      <xdr:colOff>766528</xdr:colOff>
      <xdr:row>3</xdr:row>
      <xdr:rowOff>190500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879590" y="171450"/>
          <a:ext cx="509905" cy="508635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256540</xdr:colOff>
      <xdr:row>1</xdr:row>
      <xdr:rowOff>19050</xdr:rowOff>
    </xdr:from>
    <xdr:to>
      <xdr:col>10</xdr:col>
      <xdr:colOff>766528</xdr:colOff>
      <xdr:row>4</xdr:row>
      <xdr:rowOff>16510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879590" y="190500"/>
          <a:ext cx="509905" cy="508635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251460</xdr:colOff>
      <xdr:row>1</xdr:row>
      <xdr:rowOff>123825</xdr:rowOff>
    </xdr:from>
    <xdr:to>
      <xdr:col>9</xdr:col>
      <xdr:colOff>761448</xdr:colOff>
      <xdr:row>4</xdr:row>
      <xdr:rowOff>121285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7653655" y="295275"/>
          <a:ext cx="509905" cy="508635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7</xdr:col>
      <xdr:colOff>588010</xdr:colOff>
      <xdr:row>0</xdr:row>
      <xdr:rowOff>76835</xdr:rowOff>
    </xdr:from>
    <xdr:to>
      <xdr:col>7</xdr:col>
      <xdr:colOff>1097998</xdr:colOff>
      <xdr:row>3</xdr:row>
      <xdr:rowOff>67310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7051675" y="76835"/>
          <a:ext cx="509905" cy="5016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5"/>
  <sheetViews>
    <sheetView showGridLines="0" view="pageBreakPreview" zoomScaleNormal="100" workbookViewId="0">
      <pane ySplit="6" topLeftCell="A7" activePane="bottomLeft" state="frozen"/>
      <selection/>
      <selection pane="bottomLeft" activeCell="L10" sqref="L10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625" customWidth="1"/>
    <col min="12" max="12" width="9.375"/>
  </cols>
  <sheetData>
    <row r="1" spans="2:12">
      <c r="C1" s="15" t="s">
        <v>0</v>
      </c>
    </row>
    <row r="2" ht="23.05" customHeight="1"/>
    <row r="3" ht="2" customHeight="1"/>
    <row r="4" ht="15.2" customHeight="1" spans="2:12">
      <c r="B4" s="16" t="s">
        <v>1</v>
      </c>
    </row>
    <row r="6" ht="2.95" customHeight="1"/>
    <row r="7" ht="3.95" customHeight="1" spans="2:12">
      <c r="B7" s="17" t="s">
        <v>2</v>
      </c>
      <c r="C7" s="17" t="s">
        <v>2</v>
      </c>
      <c r="D7" s="17" t="s">
        <v>2</v>
      </c>
      <c r="E7" s="17" t="s">
        <v>2</v>
      </c>
      <c r="F7" s="17" t="s">
        <v>2</v>
      </c>
      <c r="G7" s="17" t="s">
        <v>2</v>
      </c>
      <c r="H7" s="17" t="s">
        <v>2</v>
      </c>
      <c r="I7" s="17" t="s">
        <v>2</v>
      </c>
      <c r="J7" s="17" t="s">
        <v>2</v>
      </c>
      <c r="K7" s="17" t="s">
        <v>2</v>
      </c>
    </row>
    <row r="8" ht="15" spans="2:12">
      <c r="C8" s="34" t="s">
        <v>2</v>
      </c>
      <c r="D8" s="69" t="s">
        <v>3</v>
      </c>
      <c r="E8" s="63" t="s">
        <v>2</v>
      </c>
      <c r="F8" s="63" t="s">
        <v>2</v>
      </c>
      <c r="G8" s="63" t="s">
        <v>2</v>
      </c>
      <c r="H8" s="63" t="s">
        <v>2</v>
      </c>
      <c r="I8" s="70"/>
      <c r="J8" s="71"/>
      <c r="K8" s="71"/>
    </row>
    <row r="9" spans="2:12">
      <c r="C9" s="34" t="s">
        <v>2</v>
      </c>
      <c r="D9" s="67" t="s">
        <v>4</v>
      </c>
      <c r="E9" s="67" t="s">
        <v>5</v>
      </c>
      <c r="F9" s="67" t="s">
        <v>6</v>
      </c>
      <c r="G9" s="67" t="s">
        <v>7</v>
      </c>
      <c r="H9" s="67" t="s">
        <v>8</v>
      </c>
      <c r="I9" s="67" t="s">
        <v>9</v>
      </c>
      <c r="J9" s="67" t="s">
        <v>10</v>
      </c>
      <c r="K9" s="67" t="s">
        <v>11</v>
      </c>
      <c r="L9">
        <f>K10+导管室!K8+耳鼻喉!K8+妇科病房!K8+妇科手术室!K8+骨一科!K8+急诊!K8+静配中心!K8+'美容（手术室）'!K8+美容科病房!K8+泌尿外!K8+'泌尿外科（一病区）'!K8+普外科!K8+全科!K8+神经外科!K8+手术室!K8+物理诊断科!K8+眼科手术室!K8+中医科!K8+周围血管病!K8</f>
        <v>66294.5499999999</v>
      </c>
    </row>
    <row r="10" ht="14.25" spans="2:12">
      <c r="D10" s="62" t="s">
        <v>12</v>
      </c>
      <c r="E10" s="63" t="s">
        <v>2</v>
      </c>
      <c r="F10" s="63" t="s">
        <v>2</v>
      </c>
      <c r="G10" s="63" t="s">
        <v>2</v>
      </c>
      <c r="H10" s="63" t="s">
        <v>2</v>
      </c>
      <c r="I10" s="64">
        <v>13</v>
      </c>
      <c r="J10" s="65"/>
      <c r="K10" s="65">
        <v>63.7</v>
      </c>
    </row>
    <row r="11" spans="2:12">
      <c r="D11" s="66">
        <v>46128</v>
      </c>
      <c r="E11" s="32">
        <v>1595532</v>
      </c>
      <c r="F11" s="32" t="s">
        <v>13</v>
      </c>
      <c r="G11" s="67">
        <v>20008322</v>
      </c>
      <c r="H11" s="32" t="s">
        <v>14</v>
      </c>
      <c r="I11" s="67">
        <v>1</v>
      </c>
      <c r="J11" s="68">
        <v>5.6</v>
      </c>
      <c r="K11" s="68">
        <v>5.6</v>
      </c>
    </row>
    <row r="12" spans="2:12">
      <c r="D12" s="66">
        <v>46128</v>
      </c>
      <c r="E12" s="32">
        <v>1595532</v>
      </c>
      <c r="F12" s="32" t="s">
        <v>13</v>
      </c>
      <c r="G12" s="67">
        <v>20011545</v>
      </c>
      <c r="H12" s="32" t="s">
        <v>15</v>
      </c>
      <c r="I12" s="67">
        <v>1</v>
      </c>
      <c r="J12" s="68">
        <v>5.6</v>
      </c>
      <c r="K12" s="68">
        <v>5.6</v>
      </c>
    </row>
    <row r="13" spans="2:12">
      <c r="D13" s="66">
        <v>46129</v>
      </c>
      <c r="E13" s="32">
        <v>1595704</v>
      </c>
      <c r="F13" s="32" t="s">
        <v>16</v>
      </c>
      <c r="G13" s="67">
        <v>20405396</v>
      </c>
      <c r="H13" s="32" t="s">
        <v>17</v>
      </c>
      <c r="I13" s="67">
        <v>1</v>
      </c>
      <c r="J13" s="68">
        <v>24.5</v>
      </c>
      <c r="K13" s="68">
        <v>24.5</v>
      </c>
    </row>
    <row r="14" spans="2:12">
      <c r="D14" s="66">
        <v>46129</v>
      </c>
      <c r="E14" s="32">
        <v>1595964</v>
      </c>
      <c r="F14" s="32" t="s">
        <v>18</v>
      </c>
      <c r="G14" s="67">
        <v>20012761</v>
      </c>
      <c r="H14" s="32" t="s">
        <v>19</v>
      </c>
      <c r="I14" s="67">
        <v>10</v>
      </c>
      <c r="J14" s="68">
        <v>2.8</v>
      </c>
      <c r="K14" s="68">
        <v>28</v>
      </c>
    </row>
    <row r="15" ht="0.05" customHeight="1"/>
  </sheetData>
  <autoFilter xmlns:etc="http://www.wps.cn/officeDocument/2017/etCustomData" ref="A9:K14" etc:filterBottomFollowUsedRange="0">
    <extLst/>
  </autoFilter>
  <mergeCells count="6">
    <mergeCell ref="D8:H8"/>
    <mergeCell ref="D10:H10"/>
    <mergeCell ref="C9:C14"/>
    <mergeCell ref="B4:H5"/>
    <mergeCell ref="C1:H2"/>
    <mergeCell ref="A8:B14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&amp;"-,Regular"2026年5月6日 8:42 
&amp;"-,Bold"&amp;10 黑龙江省铂康医疗灭菌有限公司 &amp;R&amp;"Droid Sans Fallback"&amp;9第&amp;P页，共&amp;N页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3"/>
  <sheetViews>
    <sheetView showGridLines="0" view="pageBreakPreview" zoomScaleNormal="100" workbookViewId="0">
      <pane ySplit="6" topLeftCell="A7" activePane="bottomLeft" state="frozen"/>
      <selection/>
      <selection pane="bottomLeft" activeCell="K9" sqref="K9:K13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5" customWidth="1"/>
  </cols>
  <sheetData>
    <row r="1" spans="1:12">
      <c r="C1" s="15" t="s">
        <v>0</v>
      </c>
    </row>
    <row r="2" ht="23.05" customHeight="1"/>
    <row r="3" ht="2" customHeight="1"/>
    <row r="4" ht="15.2" customHeight="1" spans="1:12">
      <c r="B4" s="16" t="s">
        <v>1</v>
      </c>
    </row>
    <row r="6" ht="2.95" customHeight="1"/>
    <row r="7" spans="1:12">
      <c r="A7" s="34" t="s">
        <v>2</v>
      </c>
      <c r="B7" s="17" t="s">
        <v>2</v>
      </c>
      <c r="C7" s="60" t="s">
        <v>2</v>
      </c>
      <c r="D7" s="61" t="s">
        <v>4</v>
      </c>
      <c r="E7" s="61" t="s">
        <v>5</v>
      </c>
      <c r="F7" s="61" t="s">
        <v>6</v>
      </c>
      <c r="G7" s="61" t="s">
        <v>7</v>
      </c>
      <c r="H7" s="61" t="s">
        <v>8</v>
      </c>
      <c r="I7" s="61" t="s">
        <v>9</v>
      </c>
      <c r="J7" s="61" t="s">
        <v>10</v>
      </c>
      <c r="K7" s="61" t="s">
        <v>11</v>
      </c>
    </row>
    <row r="8" ht="14.25" spans="1:12">
      <c r="D8" s="62" t="s">
        <v>20</v>
      </c>
      <c r="E8" s="63" t="s">
        <v>2</v>
      </c>
      <c r="F8" s="63" t="s">
        <v>2</v>
      </c>
      <c r="G8" s="63" t="s">
        <v>2</v>
      </c>
      <c r="H8" s="63" t="s">
        <v>2</v>
      </c>
      <c r="I8" s="64">
        <v>6</v>
      </c>
      <c r="J8" s="65"/>
      <c r="K8" s="65">
        <v>114.45</v>
      </c>
    </row>
    <row r="9" spans="1:12">
      <c r="D9" s="66">
        <v>46119</v>
      </c>
      <c r="E9" s="32">
        <v>1592583</v>
      </c>
      <c r="F9" s="32" t="s">
        <v>13</v>
      </c>
      <c r="G9" s="67">
        <v>20357510</v>
      </c>
      <c r="H9" s="32" t="s">
        <v>21</v>
      </c>
      <c r="I9" s="67">
        <v>1</v>
      </c>
      <c r="J9" s="68">
        <v>5.6</v>
      </c>
      <c r="K9" s="68">
        <v>5.6</v>
      </c>
      <c r="L9">
        <f>J9/0.7</f>
        <v>8</v>
      </c>
    </row>
    <row r="10" spans="1:12">
      <c r="D10" s="66">
        <v>46119</v>
      </c>
      <c r="E10" s="32">
        <v>1592583</v>
      </c>
      <c r="F10" s="32" t="s">
        <v>13</v>
      </c>
      <c r="G10" s="67">
        <v>20014828</v>
      </c>
      <c r="H10" s="32" t="s">
        <v>22</v>
      </c>
      <c r="I10" s="67">
        <v>2</v>
      </c>
      <c r="J10" s="68">
        <v>5.6</v>
      </c>
      <c r="K10" s="68">
        <v>11.2</v>
      </c>
      <c r="L10">
        <f>J10/0.7</f>
        <v>8</v>
      </c>
    </row>
    <row r="11" spans="1:12">
      <c r="D11" s="66">
        <v>46119</v>
      </c>
      <c r="E11" s="32">
        <v>1592583</v>
      </c>
      <c r="F11" s="32" t="s">
        <v>23</v>
      </c>
      <c r="G11" s="67">
        <v>20012647</v>
      </c>
      <c r="H11" s="32" t="s">
        <v>24</v>
      </c>
      <c r="I11" s="67">
        <v>1</v>
      </c>
      <c r="J11" s="68">
        <v>57.75</v>
      </c>
      <c r="K11" s="68">
        <v>57.75</v>
      </c>
      <c r="L11">
        <f>J11/0.7</f>
        <v>82.5</v>
      </c>
    </row>
    <row r="12" spans="1:12">
      <c r="D12" s="66">
        <v>46119</v>
      </c>
      <c r="E12" s="32">
        <v>1592583</v>
      </c>
      <c r="F12" s="32" t="s">
        <v>25</v>
      </c>
      <c r="G12" s="67">
        <v>20008815</v>
      </c>
      <c r="H12" s="32" t="s">
        <v>26</v>
      </c>
      <c r="I12" s="67">
        <v>1</v>
      </c>
      <c r="J12" s="68">
        <v>15.4</v>
      </c>
      <c r="K12" s="68">
        <v>15.4</v>
      </c>
      <c r="L12">
        <f>J12/0.7</f>
        <v>22</v>
      </c>
    </row>
    <row r="13" spans="1:12">
      <c r="D13" s="66">
        <v>46136</v>
      </c>
      <c r="E13" s="32">
        <v>1597758</v>
      </c>
      <c r="F13" s="32" t="s">
        <v>27</v>
      </c>
      <c r="G13" s="67">
        <v>20405799</v>
      </c>
      <c r="H13" s="32" t="s">
        <v>17</v>
      </c>
      <c r="I13" s="67">
        <v>1</v>
      </c>
      <c r="J13" s="68">
        <v>24.5</v>
      </c>
      <c r="K13" s="68">
        <v>24.5</v>
      </c>
      <c r="L13">
        <f>J13/0.7</f>
        <v>35</v>
      </c>
    </row>
  </sheetData>
  <autoFilter xmlns:etc="http://www.wps.cn/officeDocument/2017/etCustomData" ref="A7:K13" etc:filterBottomFollowUsedRange="0">
    <extLst/>
  </autoFilter>
  <mergeCells count="5">
    <mergeCell ref="D8:H8"/>
    <mergeCell ref="C7:C13"/>
    <mergeCell ref="B4:H5"/>
    <mergeCell ref="A7:B13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&amp;"-,Regular"2026年5月6日 8:42 
&amp;"-,Bold"&amp;10 黑龙江省铂康医疗灭菌有限公司 &amp;R&amp;"Droid Sans Fallback"&amp;9第&amp;P页，共&amp;N页 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1"/>
  <sheetViews>
    <sheetView showGridLines="0" view="pageBreakPreview" zoomScaleNormal="100" workbookViewId="0">
      <pane ySplit="6" topLeftCell="A7" activePane="bottomLeft" state="frozen"/>
      <selection/>
      <selection pane="bottomLeft" activeCell="K9" sqref="K9:K20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625" customWidth="1"/>
  </cols>
  <sheetData>
    <row r="1" spans="1:11">
      <c r="C1" s="15" t="s">
        <v>0</v>
      </c>
    </row>
    <row r="2" ht="23.05" customHeight="1"/>
    <row r="3" ht="2" customHeight="1"/>
    <row r="4" ht="15.2" customHeight="1" spans="1:11">
      <c r="B4" s="16" t="s">
        <v>1</v>
      </c>
    </row>
    <row r="6" ht="2.95" customHeight="1"/>
    <row r="7" spans="1:11">
      <c r="A7" s="34" t="s">
        <v>2</v>
      </c>
      <c r="B7" s="17" t="s">
        <v>2</v>
      </c>
      <c r="C7" s="60" t="s">
        <v>2</v>
      </c>
      <c r="D7" s="61" t="s">
        <v>4</v>
      </c>
      <c r="E7" s="61" t="s">
        <v>5</v>
      </c>
      <c r="F7" s="61" t="s">
        <v>6</v>
      </c>
      <c r="G7" s="61" t="s">
        <v>7</v>
      </c>
      <c r="H7" s="61" t="s">
        <v>8</v>
      </c>
      <c r="I7" s="61" t="s">
        <v>9</v>
      </c>
      <c r="J7" s="61" t="s">
        <v>10</v>
      </c>
      <c r="K7" s="61" t="s">
        <v>11</v>
      </c>
    </row>
    <row r="8" ht="14.25" spans="1:11">
      <c r="D8" s="62" t="s">
        <v>28</v>
      </c>
      <c r="E8" s="63" t="s">
        <v>2</v>
      </c>
      <c r="F8" s="63" t="s">
        <v>2</v>
      </c>
      <c r="G8" s="63" t="s">
        <v>2</v>
      </c>
      <c r="H8" s="63" t="s">
        <v>2</v>
      </c>
      <c r="I8" s="64">
        <v>52</v>
      </c>
      <c r="J8" s="65"/>
      <c r="K8" s="65">
        <v>291.2</v>
      </c>
    </row>
    <row r="9" spans="1:11">
      <c r="D9" s="66">
        <v>46122</v>
      </c>
      <c r="E9" s="32">
        <v>1593472</v>
      </c>
      <c r="F9" s="32" t="s">
        <v>13</v>
      </c>
      <c r="G9" s="67">
        <v>20008490</v>
      </c>
      <c r="H9" s="32" t="s">
        <v>29</v>
      </c>
      <c r="I9" s="67">
        <v>2</v>
      </c>
      <c r="J9" s="68">
        <v>5.6</v>
      </c>
      <c r="K9" s="68">
        <v>11.2</v>
      </c>
    </row>
    <row r="10" spans="1:11">
      <c r="D10" s="66">
        <v>46122</v>
      </c>
      <c r="E10" s="32">
        <v>1593472</v>
      </c>
      <c r="F10" s="32" t="s">
        <v>13</v>
      </c>
      <c r="G10" s="67">
        <v>20006522</v>
      </c>
      <c r="H10" s="32" t="s">
        <v>30</v>
      </c>
      <c r="I10" s="67">
        <v>1</v>
      </c>
      <c r="J10" s="68">
        <v>5.6</v>
      </c>
      <c r="K10" s="68">
        <v>5.6</v>
      </c>
    </row>
    <row r="11" spans="1:11">
      <c r="D11" s="66">
        <v>46122</v>
      </c>
      <c r="E11" s="32">
        <v>1593472</v>
      </c>
      <c r="F11" s="32" t="s">
        <v>13</v>
      </c>
      <c r="G11" s="67">
        <v>20014092</v>
      </c>
      <c r="H11" s="32" t="s">
        <v>31</v>
      </c>
      <c r="I11" s="67">
        <v>1</v>
      </c>
      <c r="J11" s="68">
        <v>5.6</v>
      </c>
      <c r="K11" s="68">
        <v>5.6</v>
      </c>
    </row>
    <row r="12" spans="1:11">
      <c r="D12" s="66">
        <v>46122</v>
      </c>
      <c r="E12" s="32">
        <v>1593472</v>
      </c>
      <c r="F12" s="32" t="s">
        <v>13</v>
      </c>
      <c r="G12" s="67">
        <v>20008816</v>
      </c>
      <c r="H12" s="32" t="s">
        <v>32</v>
      </c>
      <c r="I12" s="67">
        <v>7</v>
      </c>
      <c r="J12" s="68">
        <v>5.6</v>
      </c>
      <c r="K12" s="68">
        <v>39.2</v>
      </c>
    </row>
    <row r="13" spans="1:11">
      <c r="D13" s="66">
        <v>46122</v>
      </c>
      <c r="E13" s="32">
        <v>1593472</v>
      </c>
      <c r="F13" s="32" t="s">
        <v>13</v>
      </c>
      <c r="G13" s="67">
        <v>20006523</v>
      </c>
      <c r="H13" s="32" t="s">
        <v>33</v>
      </c>
      <c r="I13" s="67">
        <v>7</v>
      </c>
      <c r="J13" s="68">
        <v>5.6</v>
      </c>
      <c r="K13" s="68">
        <v>39.2</v>
      </c>
    </row>
    <row r="14" spans="1:11">
      <c r="D14" s="66">
        <v>46122</v>
      </c>
      <c r="E14" s="32">
        <v>1593472</v>
      </c>
      <c r="F14" s="32" t="s">
        <v>13</v>
      </c>
      <c r="G14" s="67">
        <v>20006840</v>
      </c>
      <c r="H14" s="32" t="s">
        <v>34</v>
      </c>
      <c r="I14" s="67">
        <v>1</v>
      </c>
      <c r="J14" s="68">
        <v>5.6</v>
      </c>
      <c r="K14" s="68">
        <v>5.6</v>
      </c>
    </row>
    <row r="15" spans="1:11">
      <c r="D15" s="66">
        <v>46122</v>
      </c>
      <c r="E15" s="32">
        <v>1593472</v>
      </c>
      <c r="F15" s="32" t="s">
        <v>13</v>
      </c>
      <c r="G15" s="67">
        <v>20014828</v>
      </c>
      <c r="H15" s="32" t="s">
        <v>22</v>
      </c>
      <c r="I15" s="67">
        <v>4</v>
      </c>
      <c r="J15" s="68">
        <v>5.6</v>
      </c>
      <c r="K15" s="68">
        <v>22.4</v>
      </c>
    </row>
    <row r="16" spans="1:11">
      <c r="D16" s="66">
        <v>46140</v>
      </c>
      <c r="E16" s="32">
        <v>1598918</v>
      </c>
      <c r="F16" s="32" t="s">
        <v>13</v>
      </c>
      <c r="G16" s="67">
        <v>20006522</v>
      </c>
      <c r="H16" s="32" t="s">
        <v>30</v>
      </c>
      <c r="I16" s="67">
        <v>3</v>
      </c>
      <c r="J16" s="68">
        <v>5.6</v>
      </c>
      <c r="K16" s="68">
        <v>16.8</v>
      </c>
    </row>
    <row r="17" spans="4:11">
      <c r="D17" s="66">
        <v>46140</v>
      </c>
      <c r="E17" s="32">
        <v>1598918</v>
      </c>
      <c r="F17" s="32" t="s">
        <v>13</v>
      </c>
      <c r="G17" s="67">
        <v>20014092</v>
      </c>
      <c r="H17" s="32" t="s">
        <v>31</v>
      </c>
      <c r="I17" s="67">
        <v>1</v>
      </c>
      <c r="J17" s="68">
        <v>5.6</v>
      </c>
      <c r="K17" s="68">
        <v>5.6</v>
      </c>
    </row>
    <row r="18" spans="4:11">
      <c r="D18" s="66">
        <v>46140</v>
      </c>
      <c r="E18" s="32">
        <v>1598918</v>
      </c>
      <c r="F18" s="32" t="s">
        <v>13</v>
      </c>
      <c r="G18" s="67">
        <v>20008816</v>
      </c>
      <c r="H18" s="32" t="s">
        <v>32</v>
      </c>
      <c r="I18" s="67">
        <v>10</v>
      </c>
      <c r="J18" s="68">
        <v>5.6</v>
      </c>
      <c r="K18" s="68">
        <v>56</v>
      </c>
    </row>
    <row r="19" spans="4:11">
      <c r="D19" s="66">
        <v>46140</v>
      </c>
      <c r="E19" s="32">
        <v>1598918</v>
      </c>
      <c r="F19" s="32" t="s">
        <v>13</v>
      </c>
      <c r="G19" s="67">
        <v>20006523</v>
      </c>
      <c r="H19" s="32" t="s">
        <v>33</v>
      </c>
      <c r="I19" s="67">
        <v>11</v>
      </c>
      <c r="J19" s="68">
        <v>5.6</v>
      </c>
      <c r="K19" s="68">
        <v>61.6</v>
      </c>
    </row>
    <row r="20" spans="4:11">
      <c r="D20" s="66">
        <v>46140</v>
      </c>
      <c r="E20" s="32">
        <v>1598918</v>
      </c>
      <c r="F20" s="32" t="s">
        <v>13</v>
      </c>
      <c r="G20" s="67">
        <v>20014828</v>
      </c>
      <c r="H20" s="32" t="s">
        <v>22</v>
      </c>
      <c r="I20" s="67">
        <v>4</v>
      </c>
      <c r="J20" s="68">
        <v>5.6</v>
      </c>
      <c r="K20" s="68">
        <v>22.4</v>
      </c>
    </row>
    <row r="21" ht="0.05" customHeight="1"/>
  </sheetData>
  <autoFilter xmlns:etc="http://www.wps.cn/officeDocument/2017/etCustomData" ref="A7:K20" etc:filterBottomFollowUsedRange="0">
    <extLst/>
  </autoFilter>
  <mergeCells count="5">
    <mergeCell ref="D8:H8"/>
    <mergeCell ref="C7:C20"/>
    <mergeCell ref="B4:H5"/>
    <mergeCell ref="A7:B20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&amp;"-,Regular"2026年5月6日 8:42 
&amp;"-,Bold"&amp;10 黑龙江省铂康医疗灭菌有限公司 &amp;R&amp;"Droid Sans Fallback"&amp;9第&amp;P页，共&amp;N页 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76"/>
  <sheetViews>
    <sheetView showGridLines="0" view="pageBreakPreview" zoomScaleNormal="100" workbookViewId="0">
      <pane ySplit="6" topLeftCell="A7" activePane="bottomLeft" state="frozen"/>
      <selection/>
      <selection pane="bottomLeft" activeCell="K9" sqref="K9:K77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625" customWidth="1"/>
  </cols>
  <sheetData>
    <row r="1" spans="1:12">
      <c r="C1" s="15" t="s">
        <v>0</v>
      </c>
    </row>
    <row r="2" ht="23.05" customHeight="1"/>
    <row r="3" ht="2" customHeight="1"/>
    <row r="4" ht="15.2" customHeight="1" spans="1:12">
      <c r="B4" s="16" t="s">
        <v>1</v>
      </c>
    </row>
    <row r="6" ht="2.95" customHeight="1"/>
    <row r="7" spans="1:12">
      <c r="A7" s="34" t="s">
        <v>2</v>
      </c>
      <c r="B7" s="17" t="s">
        <v>2</v>
      </c>
      <c r="C7" s="60" t="s">
        <v>2</v>
      </c>
      <c r="D7" s="61" t="s">
        <v>4</v>
      </c>
      <c r="E7" s="61" t="s">
        <v>5</v>
      </c>
      <c r="F7" s="61" t="s">
        <v>6</v>
      </c>
      <c r="G7" s="61" t="s">
        <v>7</v>
      </c>
      <c r="H7" s="61" t="s">
        <v>8</v>
      </c>
      <c r="I7" s="61" t="s">
        <v>9</v>
      </c>
      <c r="J7" s="61" t="s">
        <v>10</v>
      </c>
      <c r="K7" s="61" t="s">
        <v>11</v>
      </c>
    </row>
    <row r="8" ht="14.25" spans="1:12">
      <c r="D8" s="62" t="s">
        <v>35</v>
      </c>
      <c r="E8" s="63" t="s">
        <v>2</v>
      </c>
      <c r="F8" s="63" t="s">
        <v>2</v>
      </c>
      <c r="G8" s="63" t="s">
        <v>2</v>
      </c>
      <c r="H8" s="63" t="s">
        <v>2</v>
      </c>
      <c r="I8" s="64">
        <v>146</v>
      </c>
      <c r="J8" s="65"/>
      <c r="K8" s="65">
        <v>3927.7</v>
      </c>
    </row>
    <row r="9" spans="1:12">
      <c r="D9" s="66">
        <v>46114</v>
      </c>
      <c r="E9" s="32">
        <v>1591543</v>
      </c>
      <c r="F9" s="32" t="s">
        <v>36</v>
      </c>
      <c r="G9" s="67">
        <v>20013604</v>
      </c>
      <c r="H9" s="32" t="s">
        <v>37</v>
      </c>
      <c r="I9" s="67">
        <v>4</v>
      </c>
      <c r="J9" s="68">
        <v>65.45</v>
      </c>
      <c r="K9" s="68">
        <v>261.8</v>
      </c>
      <c r="L9">
        <f>J9/0.7</f>
        <v>93.5</v>
      </c>
    </row>
    <row r="10" spans="1:12">
      <c r="D10" s="66">
        <v>46114</v>
      </c>
      <c r="E10" s="32">
        <v>1591556</v>
      </c>
      <c r="F10" s="32" t="s">
        <v>13</v>
      </c>
      <c r="G10" s="67">
        <v>20006828</v>
      </c>
      <c r="H10" s="32" t="s">
        <v>38</v>
      </c>
      <c r="I10" s="67">
        <v>1</v>
      </c>
      <c r="J10" s="68">
        <v>7.7</v>
      </c>
      <c r="K10" s="68">
        <v>7.7</v>
      </c>
      <c r="L10">
        <f t="shared" ref="L10:L41" si="0">J10/0.7</f>
        <v>11</v>
      </c>
    </row>
    <row r="11" spans="1:12">
      <c r="D11" s="66">
        <v>46114</v>
      </c>
      <c r="E11" s="32">
        <v>1591556</v>
      </c>
      <c r="F11" s="32" t="s">
        <v>13</v>
      </c>
      <c r="G11" s="67">
        <v>20006824</v>
      </c>
      <c r="H11" s="32" t="s">
        <v>39</v>
      </c>
      <c r="I11" s="67">
        <v>1</v>
      </c>
      <c r="J11" s="68">
        <v>7.7</v>
      </c>
      <c r="K11" s="68">
        <v>7.7</v>
      </c>
      <c r="L11">
        <f t="shared" si="0"/>
        <v>11</v>
      </c>
    </row>
    <row r="12" spans="1:12">
      <c r="D12" s="66">
        <v>46114</v>
      </c>
      <c r="E12" s="32">
        <v>1591556</v>
      </c>
      <c r="F12" s="32" t="s">
        <v>13</v>
      </c>
      <c r="G12" s="67">
        <v>20415308</v>
      </c>
      <c r="H12" s="32" t="s">
        <v>40</v>
      </c>
      <c r="I12" s="67">
        <v>1</v>
      </c>
      <c r="J12" s="68">
        <v>23.1</v>
      </c>
      <c r="K12" s="68">
        <v>23.1</v>
      </c>
      <c r="L12">
        <f t="shared" si="0"/>
        <v>33</v>
      </c>
    </row>
    <row r="13" spans="1:12">
      <c r="D13" s="66">
        <v>46114</v>
      </c>
      <c r="E13" s="32">
        <v>1591556</v>
      </c>
      <c r="F13" s="32" t="s">
        <v>13</v>
      </c>
      <c r="G13" s="67">
        <v>20321383</v>
      </c>
      <c r="H13" s="32" t="s">
        <v>41</v>
      </c>
      <c r="I13" s="67">
        <v>2</v>
      </c>
      <c r="J13" s="68">
        <v>5.6</v>
      </c>
      <c r="K13" s="68">
        <v>11.2</v>
      </c>
      <c r="L13">
        <f t="shared" si="0"/>
        <v>8</v>
      </c>
    </row>
    <row r="14" spans="1:12">
      <c r="D14" s="66">
        <v>46114</v>
      </c>
      <c r="E14" s="32">
        <v>1591556</v>
      </c>
      <c r="F14" s="32" t="s">
        <v>13</v>
      </c>
      <c r="G14" s="67">
        <v>20006817</v>
      </c>
      <c r="H14" s="32" t="s">
        <v>42</v>
      </c>
      <c r="I14" s="67">
        <v>2</v>
      </c>
      <c r="J14" s="68">
        <v>5.6</v>
      </c>
      <c r="K14" s="68">
        <v>11.2</v>
      </c>
      <c r="L14">
        <f t="shared" si="0"/>
        <v>8</v>
      </c>
    </row>
    <row r="15" spans="1:12">
      <c r="D15" s="66">
        <v>46114</v>
      </c>
      <c r="E15" s="32">
        <v>1591556</v>
      </c>
      <c r="F15" s="32" t="s">
        <v>13</v>
      </c>
      <c r="G15" s="67">
        <v>20006829</v>
      </c>
      <c r="H15" s="32" t="s">
        <v>43</v>
      </c>
      <c r="I15" s="67">
        <v>1</v>
      </c>
      <c r="J15" s="68">
        <v>5.6</v>
      </c>
      <c r="K15" s="68">
        <v>5.6</v>
      </c>
      <c r="L15">
        <f t="shared" si="0"/>
        <v>8</v>
      </c>
    </row>
    <row r="16" spans="1:12">
      <c r="D16" s="66">
        <v>46114</v>
      </c>
      <c r="E16" s="32">
        <v>1591556</v>
      </c>
      <c r="F16" s="32" t="s">
        <v>13</v>
      </c>
      <c r="G16" s="67">
        <v>20013919</v>
      </c>
      <c r="H16" s="32" t="s">
        <v>44</v>
      </c>
      <c r="I16" s="67">
        <v>1</v>
      </c>
      <c r="J16" s="68">
        <v>11.55</v>
      </c>
      <c r="K16" s="68">
        <v>11.55</v>
      </c>
      <c r="L16">
        <f t="shared" si="0"/>
        <v>16.5</v>
      </c>
    </row>
    <row r="17" spans="4:12">
      <c r="D17" s="66">
        <v>46119</v>
      </c>
      <c r="E17" s="32">
        <v>1592584</v>
      </c>
      <c r="F17" s="32" t="s">
        <v>36</v>
      </c>
      <c r="G17" s="67">
        <v>20013604</v>
      </c>
      <c r="H17" s="32" t="s">
        <v>37</v>
      </c>
      <c r="I17" s="67">
        <v>7</v>
      </c>
      <c r="J17" s="68">
        <v>65.45</v>
      </c>
      <c r="K17" s="68">
        <v>458.15</v>
      </c>
      <c r="L17">
        <f t="shared" si="0"/>
        <v>93.5</v>
      </c>
    </row>
    <row r="18" spans="4:12">
      <c r="D18" s="66">
        <v>46119</v>
      </c>
      <c r="E18" s="32">
        <v>1592584</v>
      </c>
      <c r="F18" s="32" t="s">
        <v>36</v>
      </c>
      <c r="G18" s="67">
        <v>20014203</v>
      </c>
      <c r="H18" s="32" t="s">
        <v>45</v>
      </c>
      <c r="I18" s="67">
        <v>1</v>
      </c>
      <c r="J18" s="68">
        <v>19.25</v>
      </c>
      <c r="K18" s="68">
        <v>19.25</v>
      </c>
      <c r="L18">
        <f t="shared" si="0"/>
        <v>27.5</v>
      </c>
    </row>
    <row r="19" spans="4:12">
      <c r="D19" s="66">
        <v>46119</v>
      </c>
      <c r="E19" s="32">
        <v>1592584</v>
      </c>
      <c r="F19" s="32" t="s">
        <v>46</v>
      </c>
      <c r="G19" s="67">
        <v>20010992</v>
      </c>
      <c r="H19" s="32" t="s">
        <v>47</v>
      </c>
      <c r="I19" s="67">
        <v>2</v>
      </c>
      <c r="J19" s="68">
        <v>11.2</v>
      </c>
      <c r="K19" s="68">
        <v>22.4</v>
      </c>
      <c r="L19">
        <f t="shared" si="0"/>
        <v>16</v>
      </c>
    </row>
    <row r="20" spans="4:12">
      <c r="D20" s="66">
        <v>46119</v>
      </c>
      <c r="E20" s="32">
        <v>1592584</v>
      </c>
      <c r="F20" s="32" t="s">
        <v>13</v>
      </c>
      <c r="G20" s="67">
        <v>20006825</v>
      </c>
      <c r="H20" s="32" t="s">
        <v>48</v>
      </c>
      <c r="I20" s="67">
        <v>2</v>
      </c>
      <c r="J20" s="68">
        <v>9.1</v>
      </c>
      <c r="K20" s="68">
        <v>18.2</v>
      </c>
      <c r="L20">
        <f t="shared" si="0"/>
        <v>13</v>
      </c>
    </row>
    <row r="21" spans="4:12">
      <c r="D21" s="66">
        <v>46119</v>
      </c>
      <c r="E21" s="32">
        <v>1592584</v>
      </c>
      <c r="F21" s="32" t="s">
        <v>13</v>
      </c>
      <c r="G21" s="67">
        <v>20006827</v>
      </c>
      <c r="H21" s="32" t="s">
        <v>49</v>
      </c>
      <c r="I21" s="67">
        <v>1</v>
      </c>
      <c r="J21" s="68">
        <v>7.7</v>
      </c>
      <c r="K21" s="68">
        <v>7.7</v>
      </c>
      <c r="L21">
        <f t="shared" si="0"/>
        <v>11</v>
      </c>
    </row>
    <row r="22" spans="4:12">
      <c r="D22" s="66">
        <v>46119</v>
      </c>
      <c r="E22" s="32">
        <v>1592584</v>
      </c>
      <c r="F22" s="32" t="s">
        <v>13</v>
      </c>
      <c r="G22" s="67">
        <v>20323157</v>
      </c>
      <c r="H22" s="32" t="s">
        <v>50</v>
      </c>
      <c r="I22" s="67">
        <v>1</v>
      </c>
      <c r="J22" s="68">
        <v>11.2</v>
      </c>
      <c r="K22" s="68">
        <v>11.2</v>
      </c>
      <c r="L22">
        <f t="shared" si="0"/>
        <v>16</v>
      </c>
    </row>
    <row r="23" spans="4:12">
      <c r="D23" s="66">
        <v>46119</v>
      </c>
      <c r="E23" s="32">
        <v>1592584</v>
      </c>
      <c r="F23" s="32" t="s">
        <v>13</v>
      </c>
      <c r="G23" s="67">
        <v>20321383</v>
      </c>
      <c r="H23" s="32" t="s">
        <v>41</v>
      </c>
      <c r="I23" s="67">
        <v>3</v>
      </c>
      <c r="J23" s="68">
        <v>5.6</v>
      </c>
      <c r="K23" s="68">
        <v>16.8</v>
      </c>
      <c r="L23">
        <f t="shared" si="0"/>
        <v>8</v>
      </c>
    </row>
    <row r="24" spans="4:12">
      <c r="D24" s="66">
        <v>46119</v>
      </c>
      <c r="E24" s="32">
        <v>1592584</v>
      </c>
      <c r="F24" s="32" t="s">
        <v>13</v>
      </c>
      <c r="G24" s="67">
        <v>20006817</v>
      </c>
      <c r="H24" s="32" t="s">
        <v>42</v>
      </c>
      <c r="I24" s="67">
        <v>2</v>
      </c>
      <c r="J24" s="68">
        <v>5.6</v>
      </c>
      <c r="K24" s="68">
        <v>11.2</v>
      </c>
      <c r="L24">
        <f t="shared" si="0"/>
        <v>8</v>
      </c>
    </row>
    <row r="25" spans="4:12">
      <c r="D25" s="66">
        <v>46119</v>
      </c>
      <c r="E25" s="32">
        <v>1592584</v>
      </c>
      <c r="F25" s="32" t="s">
        <v>13</v>
      </c>
      <c r="G25" s="67">
        <v>20006717</v>
      </c>
      <c r="H25" s="32" t="s">
        <v>51</v>
      </c>
      <c r="I25" s="67">
        <v>1</v>
      </c>
      <c r="J25" s="68">
        <v>5.6</v>
      </c>
      <c r="K25" s="68">
        <v>5.6</v>
      </c>
      <c r="L25">
        <f t="shared" si="0"/>
        <v>8</v>
      </c>
    </row>
    <row r="26" spans="4:12">
      <c r="D26" s="66">
        <v>46119</v>
      </c>
      <c r="E26" s="32">
        <v>1592584</v>
      </c>
      <c r="F26" s="32" t="s">
        <v>13</v>
      </c>
      <c r="G26" s="67">
        <v>20321510</v>
      </c>
      <c r="H26" s="32" t="s">
        <v>52</v>
      </c>
      <c r="I26" s="67">
        <v>1</v>
      </c>
      <c r="J26" s="68">
        <v>5.6</v>
      </c>
      <c r="K26" s="68">
        <v>5.6</v>
      </c>
      <c r="L26">
        <f t="shared" si="0"/>
        <v>8</v>
      </c>
    </row>
    <row r="27" spans="4:12">
      <c r="D27" s="66">
        <v>46121</v>
      </c>
      <c r="E27" s="32">
        <v>1593358</v>
      </c>
      <c r="F27" s="32" t="s">
        <v>36</v>
      </c>
      <c r="G27" s="67">
        <v>20013604</v>
      </c>
      <c r="H27" s="32" t="s">
        <v>37</v>
      </c>
      <c r="I27" s="67">
        <v>6</v>
      </c>
      <c r="J27" s="68">
        <v>65.45</v>
      </c>
      <c r="K27" s="68">
        <v>392.7</v>
      </c>
      <c r="L27">
        <f t="shared" si="0"/>
        <v>93.5</v>
      </c>
    </row>
    <row r="28" spans="4:12">
      <c r="D28" s="66">
        <v>46121</v>
      </c>
      <c r="E28" s="32">
        <v>1593358</v>
      </c>
      <c r="F28" s="32" t="s">
        <v>13</v>
      </c>
      <c r="G28" s="67">
        <v>20008322</v>
      </c>
      <c r="H28" s="32" t="s">
        <v>14</v>
      </c>
      <c r="I28" s="67">
        <v>1</v>
      </c>
      <c r="J28" s="68">
        <v>5.6</v>
      </c>
      <c r="K28" s="68">
        <v>5.6</v>
      </c>
      <c r="L28">
        <f t="shared" si="0"/>
        <v>8</v>
      </c>
    </row>
    <row r="29" spans="4:12">
      <c r="D29" s="66">
        <v>46121</v>
      </c>
      <c r="E29" s="32">
        <v>1593358</v>
      </c>
      <c r="F29" s="32" t="s">
        <v>13</v>
      </c>
      <c r="G29" s="67">
        <v>20006817</v>
      </c>
      <c r="H29" s="32" t="s">
        <v>42</v>
      </c>
      <c r="I29" s="67">
        <v>1</v>
      </c>
      <c r="J29" s="68">
        <v>5.6</v>
      </c>
      <c r="K29" s="68">
        <v>5.6</v>
      </c>
      <c r="L29">
        <f t="shared" si="0"/>
        <v>8</v>
      </c>
    </row>
    <row r="30" spans="4:12">
      <c r="D30" s="66">
        <v>46121</v>
      </c>
      <c r="E30" s="32">
        <v>1593358</v>
      </c>
      <c r="F30" s="32" t="s">
        <v>13</v>
      </c>
      <c r="G30" s="67">
        <v>20006829</v>
      </c>
      <c r="H30" s="32" t="s">
        <v>43</v>
      </c>
      <c r="I30" s="67">
        <v>1</v>
      </c>
      <c r="J30" s="68">
        <v>5.6</v>
      </c>
      <c r="K30" s="68">
        <v>5.6</v>
      </c>
      <c r="L30">
        <f t="shared" si="0"/>
        <v>8</v>
      </c>
    </row>
    <row r="31" spans="4:12">
      <c r="D31" s="66">
        <v>46126</v>
      </c>
      <c r="E31" s="32">
        <v>1594756</v>
      </c>
      <c r="F31" s="32" t="s">
        <v>36</v>
      </c>
      <c r="G31" s="67">
        <v>20013604</v>
      </c>
      <c r="H31" s="32" t="s">
        <v>37</v>
      </c>
      <c r="I31" s="67">
        <v>6</v>
      </c>
      <c r="J31" s="68">
        <v>65.45</v>
      </c>
      <c r="K31" s="68">
        <v>392.7</v>
      </c>
      <c r="L31">
        <f t="shared" si="0"/>
        <v>93.5</v>
      </c>
    </row>
    <row r="32" spans="4:12">
      <c r="D32" s="66">
        <v>46126</v>
      </c>
      <c r="E32" s="32">
        <v>1594756</v>
      </c>
      <c r="F32" s="32" t="s">
        <v>13</v>
      </c>
      <c r="G32" s="67">
        <v>20006827</v>
      </c>
      <c r="H32" s="32" t="s">
        <v>49</v>
      </c>
      <c r="I32" s="67">
        <v>3</v>
      </c>
      <c r="J32" s="68">
        <v>7.7</v>
      </c>
      <c r="K32" s="68">
        <v>23.1</v>
      </c>
      <c r="L32">
        <f t="shared" si="0"/>
        <v>11</v>
      </c>
    </row>
    <row r="33" spans="4:12">
      <c r="D33" s="66">
        <v>46126</v>
      </c>
      <c r="E33" s="32">
        <v>1594756</v>
      </c>
      <c r="F33" s="32" t="s">
        <v>13</v>
      </c>
      <c r="G33" s="67">
        <v>20006828</v>
      </c>
      <c r="H33" s="32" t="s">
        <v>38</v>
      </c>
      <c r="I33" s="67">
        <v>1</v>
      </c>
      <c r="J33" s="68">
        <v>7.7</v>
      </c>
      <c r="K33" s="68">
        <v>7.7</v>
      </c>
      <c r="L33">
        <f t="shared" si="0"/>
        <v>11</v>
      </c>
    </row>
    <row r="34" spans="4:12">
      <c r="D34" s="66">
        <v>46126</v>
      </c>
      <c r="E34" s="32">
        <v>1594756</v>
      </c>
      <c r="F34" s="32" t="s">
        <v>13</v>
      </c>
      <c r="G34" s="67">
        <v>20008322</v>
      </c>
      <c r="H34" s="32" t="s">
        <v>14</v>
      </c>
      <c r="I34" s="67">
        <v>1</v>
      </c>
      <c r="J34" s="68">
        <v>5.6</v>
      </c>
      <c r="K34" s="68">
        <v>5.6</v>
      </c>
      <c r="L34">
        <f t="shared" si="0"/>
        <v>8</v>
      </c>
    </row>
    <row r="35" spans="4:12">
      <c r="D35" s="66">
        <v>46126</v>
      </c>
      <c r="E35" s="32">
        <v>1594756</v>
      </c>
      <c r="F35" s="32" t="s">
        <v>13</v>
      </c>
      <c r="G35" s="67">
        <v>20006824</v>
      </c>
      <c r="H35" s="32" t="s">
        <v>39</v>
      </c>
      <c r="I35" s="67">
        <v>4</v>
      </c>
      <c r="J35" s="68">
        <v>7.7</v>
      </c>
      <c r="K35" s="68">
        <v>30.8</v>
      </c>
      <c r="L35">
        <f t="shared" si="0"/>
        <v>11</v>
      </c>
    </row>
    <row r="36" spans="4:12">
      <c r="D36" s="66">
        <v>46126</v>
      </c>
      <c r="E36" s="32">
        <v>1594756</v>
      </c>
      <c r="F36" s="32" t="s">
        <v>13</v>
      </c>
      <c r="G36" s="67">
        <v>20321383</v>
      </c>
      <c r="H36" s="32" t="s">
        <v>41</v>
      </c>
      <c r="I36" s="67">
        <v>6</v>
      </c>
      <c r="J36" s="68">
        <v>5.6</v>
      </c>
      <c r="K36" s="68">
        <v>33.6</v>
      </c>
      <c r="L36">
        <f t="shared" si="0"/>
        <v>8</v>
      </c>
    </row>
    <row r="37" spans="4:12">
      <c r="D37" s="66">
        <v>46126</v>
      </c>
      <c r="E37" s="32">
        <v>1594756</v>
      </c>
      <c r="F37" s="32" t="s">
        <v>13</v>
      </c>
      <c r="G37" s="67">
        <v>20006817</v>
      </c>
      <c r="H37" s="32" t="s">
        <v>42</v>
      </c>
      <c r="I37" s="67">
        <v>4</v>
      </c>
      <c r="J37" s="68">
        <v>5.6</v>
      </c>
      <c r="K37" s="68">
        <v>22.4</v>
      </c>
      <c r="L37">
        <f t="shared" si="0"/>
        <v>8</v>
      </c>
    </row>
    <row r="38" spans="4:12">
      <c r="D38" s="66">
        <v>46128</v>
      </c>
      <c r="E38" s="32">
        <v>1595533</v>
      </c>
      <c r="F38" s="32" t="s">
        <v>36</v>
      </c>
      <c r="G38" s="67">
        <v>20013604</v>
      </c>
      <c r="H38" s="32" t="s">
        <v>37</v>
      </c>
      <c r="I38" s="67">
        <v>4</v>
      </c>
      <c r="J38" s="68">
        <v>65.45</v>
      </c>
      <c r="K38" s="68">
        <v>261.8</v>
      </c>
      <c r="L38">
        <f t="shared" si="0"/>
        <v>93.5</v>
      </c>
    </row>
    <row r="39" spans="4:12">
      <c r="D39" s="66">
        <v>46128</v>
      </c>
      <c r="E39" s="32">
        <v>1595533</v>
      </c>
      <c r="F39" s="32" t="s">
        <v>13</v>
      </c>
      <c r="G39" s="67">
        <v>20006827</v>
      </c>
      <c r="H39" s="32" t="s">
        <v>49</v>
      </c>
      <c r="I39" s="67">
        <v>1</v>
      </c>
      <c r="J39" s="68">
        <v>7.7</v>
      </c>
      <c r="K39" s="68">
        <v>7.7</v>
      </c>
      <c r="L39">
        <f t="shared" si="0"/>
        <v>11</v>
      </c>
    </row>
    <row r="40" spans="4:12">
      <c r="D40" s="66">
        <v>46128</v>
      </c>
      <c r="E40" s="32">
        <v>1595533</v>
      </c>
      <c r="F40" s="32" t="s">
        <v>13</v>
      </c>
      <c r="G40" s="67">
        <v>20006828</v>
      </c>
      <c r="H40" s="32" t="s">
        <v>38</v>
      </c>
      <c r="I40" s="67">
        <v>1</v>
      </c>
      <c r="J40" s="68">
        <v>7.7</v>
      </c>
      <c r="K40" s="68">
        <v>7.7</v>
      </c>
      <c r="L40">
        <f t="shared" si="0"/>
        <v>11</v>
      </c>
    </row>
    <row r="41" spans="4:12">
      <c r="D41" s="66">
        <v>46128</v>
      </c>
      <c r="E41" s="32">
        <v>1595533</v>
      </c>
      <c r="F41" s="32" t="s">
        <v>13</v>
      </c>
      <c r="G41" s="67">
        <v>20006817</v>
      </c>
      <c r="H41" s="32" t="s">
        <v>42</v>
      </c>
      <c r="I41" s="67">
        <v>2</v>
      </c>
      <c r="J41" s="68">
        <v>5.6</v>
      </c>
      <c r="K41" s="68">
        <v>11.2</v>
      </c>
      <c r="L41">
        <f t="shared" si="0"/>
        <v>8</v>
      </c>
    </row>
    <row r="42" spans="4:12">
      <c r="D42" s="66">
        <v>46133</v>
      </c>
      <c r="E42" s="32">
        <v>1596811</v>
      </c>
      <c r="F42" s="32" t="s">
        <v>36</v>
      </c>
      <c r="G42" s="67">
        <v>20013604</v>
      </c>
      <c r="H42" s="32" t="s">
        <v>37</v>
      </c>
      <c r="I42" s="67">
        <v>8</v>
      </c>
      <c r="J42" s="68">
        <v>65.45</v>
      </c>
      <c r="K42" s="68">
        <v>523.6</v>
      </c>
      <c r="L42">
        <f t="shared" ref="L42:L75" si="1">J42/0.7</f>
        <v>93.5</v>
      </c>
    </row>
    <row r="43" spans="4:12">
      <c r="D43" s="66">
        <v>46133</v>
      </c>
      <c r="E43" s="32">
        <v>1596811</v>
      </c>
      <c r="F43" s="32" t="s">
        <v>36</v>
      </c>
      <c r="G43" s="67">
        <v>20014203</v>
      </c>
      <c r="H43" s="32" t="s">
        <v>45</v>
      </c>
      <c r="I43" s="67">
        <v>1</v>
      </c>
      <c r="J43" s="68">
        <v>19.25</v>
      </c>
      <c r="K43" s="68">
        <v>19.25</v>
      </c>
      <c r="L43">
        <f t="shared" si="1"/>
        <v>27.5</v>
      </c>
    </row>
    <row r="44" spans="4:12">
      <c r="D44" s="66">
        <v>46133</v>
      </c>
      <c r="E44" s="32">
        <v>1596811</v>
      </c>
      <c r="F44" s="32" t="s">
        <v>13</v>
      </c>
      <c r="G44" s="67">
        <v>20008409</v>
      </c>
      <c r="H44" s="32" t="s">
        <v>53</v>
      </c>
      <c r="I44" s="67">
        <v>3</v>
      </c>
      <c r="J44" s="68">
        <v>5.6</v>
      </c>
      <c r="K44" s="68">
        <v>16.8</v>
      </c>
      <c r="L44">
        <f t="shared" si="1"/>
        <v>8</v>
      </c>
    </row>
    <row r="45" spans="4:12">
      <c r="D45" s="66">
        <v>46133</v>
      </c>
      <c r="E45" s="32">
        <v>1596811</v>
      </c>
      <c r="F45" s="32" t="s">
        <v>13</v>
      </c>
      <c r="G45" s="67">
        <v>20006825</v>
      </c>
      <c r="H45" s="32" t="s">
        <v>48</v>
      </c>
      <c r="I45" s="67">
        <v>1</v>
      </c>
      <c r="J45" s="68">
        <v>9.1</v>
      </c>
      <c r="K45" s="68">
        <v>9.1</v>
      </c>
      <c r="L45">
        <f t="shared" si="1"/>
        <v>13</v>
      </c>
    </row>
    <row r="46" spans="4:12">
      <c r="D46" s="66">
        <v>46133</v>
      </c>
      <c r="E46" s="32">
        <v>1596811</v>
      </c>
      <c r="F46" s="32" t="s">
        <v>13</v>
      </c>
      <c r="G46" s="67">
        <v>20006827</v>
      </c>
      <c r="H46" s="32" t="s">
        <v>49</v>
      </c>
      <c r="I46" s="67">
        <v>2</v>
      </c>
      <c r="J46" s="68">
        <v>7.7</v>
      </c>
      <c r="K46" s="68">
        <v>15.4</v>
      </c>
      <c r="L46">
        <f t="shared" si="1"/>
        <v>11</v>
      </c>
    </row>
    <row r="47" spans="4:12">
      <c r="D47" s="66">
        <v>46133</v>
      </c>
      <c r="E47" s="32">
        <v>1596811</v>
      </c>
      <c r="F47" s="32" t="s">
        <v>13</v>
      </c>
      <c r="G47" s="67">
        <v>20006828</v>
      </c>
      <c r="H47" s="32" t="s">
        <v>38</v>
      </c>
      <c r="I47" s="67">
        <v>2</v>
      </c>
      <c r="J47" s="68">
        <v>7.7</v>
      </c>
      <c r="K47" s="68">
        <v>15.4</v>
      </c>
      <c r="L47">
        <f t="shared" si="1"/>
        <v>11</v>
      </c>
    </row>
    <row r="48" spans="4:12">
      <c r="D48" s="66">
        <v>46133</v>
      </c>
      <c r="E48" s="32">
        <v>1596811</v>
      </c>
      <c r="F48" s="32" t="s">
        <v>13</v>
      </c>
      <c r="G48" s="67">
        <v>20323157</v>
      </c>
      <c r="H48" s="32" t="s">
        <v>50</v>
      </c>
      <c r="I48" s="67">
        <v>1</v>
      </c>
      <c r="J48" s="68">
        <v>11.2</v>
      </c>
      <c r="K48" s="68">
        <v>11.2</v>
      </c>
      <c r="L48">
        <f t="shared" si="1"/>
        <v>16</v>
      </c>
    </row>
    <row r="49" spans="4:12">
      <c r="D49" s="66">
        <v>46133</v>
      </c>
      <c r="E49" s="32">
        <v>1596811</v>
      </c>
      <c r="F49" s="32" t="s">
        <v>13</v>
      </c>
      <c r="G49" s="67">
        <v>20006824</v>
      </c>
      <c r="H49" s="32" t="s">
        <v>39</v>
      </c>
      <c r="I49" s="67">
        <v>2</v>
      </c>
      <c r="J49" s="68">
        <v>7.7</v>
      </c>
      <c r="K49" s="68">
        <v>15.4</v>
      </c>
      <c r="L49">
        <f t="shared" si="1"/>
        <v>11</v>
      </c>
    </row>
    <row r="50" customFormat="1" spans="4:12">
      <c r="D50" s="66">
        <v>46133</v>
      </c>
      <c r="E50" s="32">
        <v>1596811</v>
      </c>
      <c r="F50" s="32" t="s">
        <v>13</v>
      </c>
      <c r="G50" s="67">
        <v>20390844</v>
      </c>
      <c r="H50" s="32" t="s">
        <v>54</v>
      </c>
      <c r="I50" s="67">
        <v>1</v>
      </c>
      <c r="J50" s="68">
        <v>19.25</v>
      </c>
      <c r="K50" s="68">
        <f>J50*I50</f>
        <v>19.25</v>
      </c>
      <c r="L50">
        <f t="shared" si="1"/>
        <v>27.5</v>
      </c>
    </row>
    <row r="51" spans="4:12">
      <c r="D51" s="66">
        <v>46133</v>
      </c>
      <c r="E51" s="32">
        <v>1596811</v>
      </c>
      <c r="F51" s="32" t="s">
        <v>13</v>
      </c>
      <c r="G51" s="67">
        <v>20006819</v>
      </c>
      <c r="H51" s="32" t="s">
        <v>55</v>
      </c>
      <c r="I51" s="67">
        <v>1</v>
      </c>
      <c r="J51" s="68">
        <v>5.6</v>
      </c>
      <c r="K51" s="68">
        <v>5.6</v>
      </c>
      <c r="L51">
        <f t="shared" si="1"/>
        <v>8</v>
      </c>
    </row>
    <row r="52" spans="4:12">
      <c r="D52" s="66">
        <v>46133</v>
      </c>
      <c r="E52" s="32">
        <v>1596811</v>
      </c>
      <c r="F52" s="32" t="s">
        <v>13</v>
      </c>
      <c r="G52" s="67">
        <v>20006818</v>
      </c>
      <c r="H52" s="32" t="s">
        <v>56</v>
      </c>
      <c r="I52" s="67">
        <v>1</v>
      </c>
      <c r="J52" s="68">
        <v>5.6</v>
      </c>
      <c r="K52" s="68">
        <v>5.6</v>
      </c>
      <c r="L52">
        <f t="shared" si="1"/>
        <v>8</v>
      </c>
    </row>
    <row r="53" spans="4:12">
      <c r="D53" s="66">
        <v>46133</v>
      </c>
      <c r="E53" s="32">
        <v>1596811</v>
      </c>
      <c r="F53" s="32" t="s">
        <v>13</v>
      </c>
      <c r="G53" s="67">
        <v>20006820</v>
      </c>
      <c r="H53" s="32" t="s">
        <v>57</v>
      </c>
      <c r="I53" s="67">
        <v>2</v>
      </c>
      <c r="J53" s="68">
        <v>5.6</v>
      </c>
      <c r="K53" s="68">
        <v>11.2</v>
      </c>
      <c r="L53">
        <f t="shared" si="1"/>
        <v>8</v>
      </c>
    </row>
    <row r="54" spans="4:12">
      <c r="D54" s="66">
        <v>46133</v>
      </c>
      <c r="E54" s="32">
        <v>1596811</v>
      </c>
      <c r="F54" s="32" t="s">
        <v>13</v>
      </c>
      <c r="G54" s="67">
        <v>20006823</v>
      </c>
      <c r="H54" s="32" t="s">
        <v>58</v>
      </c>
      <c r="I54" s="67">
        <v>1</v>
      </c>
      <c r="J54" s="68">
        <v>5.6</v>
      </c>
      <c r="K54" s="68">
        <v>5.6</v>
      </c>
      <c r="L54">
        <f t="shared" si="1"/>
        <v>8</v>
      </c>
    </row>
    <row r="55" spans="4:12">
      <c r="D55" s="66">
        <v>46133</v>
      </c>
      <c r="E55" s="32">
        <v>1596811</v>
      </c>
      <c r="F55" s="32" t="s">
        <v>13</v>
      </c>
      <c r="G55" s="67">
        <v>20006822</v>
      </c>
      <c r="H55" s="32" t="s">
        <v>59</v>
      </c>
      <c r="I55" s="67">
        <v>1</v>
      </c>
      <c r="J55" s="68">
        <v>5.6</v>
      </c>
      <c r="K55" s="68">
        <v>5.6</v>
      </c>
      <c r="L55">
        <f t="shared" si="1"/>
        <v>8</v>
      </c>
    </row>
    <row r="56" spans="4:12">
      <c r="D56" s="66">
        <v>46133</v>
      </c>
      <c r="E56" s="32">
        <v>1596811</v>
      </c>
      <c r="F56" s="32" t="s">
        <v>13</v>
      </c>
      <c r="G56" s="67">
        <v>20009483</v>
      </c>
      <c r="H56" s="32" t="s">
        <v>60</v>
      </c>
      <c r="I56" s="67">
        <v>2</v>
      </c>
      <c r="J56" s="68">
        <v>7.7</v>
      </c>
      <c r="K56" s="68">
        <v>15.4</v>
      </c>
      <c r="L56">
        <f t="shared" si="1"/>
        <v>11</v>
      </c>
    </row>
    <row r="57" spans="4:12">
      <c r="D57" s="66">
        <v>46133</v>
      </c>
      <c r="E57" s="32">
        <v>1596811</v>
      </c>
      <c r="F57" s="32" t="s">
        <v>13</v>
      </c>
      <c r="G57" s="67">
        <v>20321383</v>
      </c>
      <c r="H57" s="32" t="s">
        <v>41</v>
      </c>
      <c r="I57" s="67">
        <v>2</v>
      </c>
      <c r="J57" s="68">
        <v>5.6</v>
      </c>
      <c r="K57" s="68">
        <v>11.2</v>
      </c>
      <c r="L57">
        <f t="shared" si="1"/>
        <v>8</v>
      </c>
    </row>
    <row r="58" spans="4:12">
      <c r="D58" s="66">
        <v>46133</v>
      </c>
      <c r="E58" s="32">
        <v>1596811</v>
      </c>
      <c r="F58" s="32" t="s">
        <v>13</v>
      </c>
      <c r="G58" s="67">
        <v>20006817</v>
      </c>
      <c r="H58" s="32" t="s">
        <v>42</v>
      </c>
      <c r="I58" s="67">
        <v>4</v>
      </c>
      <c r="J58" s="68">
        <v>5.6</v>
      </c>
      <c r="K58" s="68">
        <v>22.4</v>
      </c>
      <c r="L58">
        <f t="shared" si="1"/>
        <v>8</v>
      </c>
    </row>
    <row r="59" spans="4:12">
      <c r="D59" s="66">
        <v>46133</v>
      </c>
      <c r="E59" s="32">
        <v>1596811</v>
      </c>
      <c r="F59" s="32" t="s">
        <v>13</v>
      </c>
      <c r="G59" s="67">
        <v>20006829</v>
      </c>
      <c r="H59" s="32" t="s">
        <v>43</v>
      </c>
      <c r="I59" s="67">
        <v>2</v>
      </c>
      <c r="J59" s="68">
        <v>5.6</v>
      </c>
      <c r="K59" s="68">
        <v>11.2</v>
      </c>
      <c r="L59">
        <f t="shared" si="1"/>
        <v>8</v>
      </c>
    </row>
    <row r="60" spans="4:12">
      <c r="D60" s="66">
        <v>46133</v>
      </c>
      <c r="E60" s="32">
        <v>1596811</v>
      </c>
      <c r="F60" s="32" t="s">
        <v>13</v>
      </c>
      <c r="G60" s="67">
        <v>20321510</v>
      </c>
      <c r="H60" s="32" t="s">
        <v>52</v>
      </c>
      <c r="I60" s="67">
        <v>1</v>
      </c>
      <c r="J60" s="68">
        <v>5.6</v>
      </c>
      <c r="K60" s="68">
        <v>5.6</v>
      </c>
      <c r="L60">
        <f t="shared" si="1"/>
        <v>8</v>
      </c>
    </row>
    <row r="61" spans="4:12">
      <c r="D61" s="66">
        <v>46135</v>
      </c>
      <c r="E61" s="32">
        <v>1597599</v>
      </c>
      <c r="F61" s="32" t="s">
        <v>36</v>
      </c>
      <c r="G61" s="67">
        <v>20013604</v>
      </c>
      <c r="H61" s="32" t="s">
        <v>37</v>
      </c>
      <c r="I61" s="67">
        <v>6</v>
      </c>
      <c r="J61" s="68">
        <v>65.45</v>
      </c>
      <c r="K61" s="68">
        <v>392.7</v>
      </c>
      <c r="L61">
        <f t="shared" si="1"/>
        <v>93.5</v>
      </c>
    </row>
    <row r="62" spans="4:12">
      <c r="D62" s="66">
        <v>46135</v>
      </c>
      <c r="E62" s="32">
        <v>1597599</v>
      </c>
      <c r="F62" s="32" t="s">
        <v>46</v>
      </c>
      <c r="G62" s="67">
        <v>20009315</v>
      </c>
      <c r="H62" s="32" t="s">
        <v>61</v>
      </c>
      <c r="I62" s="67">
        <v>1</v>
      </c>
      <c r="J62" s="68">
        <v>9.1</v>
      </c>
      <c r="K62" s="68">
        <v>9.1</v>
      </c>
      <c r="L62">
        <f t="shared" si="1"/>
        <v>13</v>
      </c>
    </row>
    <row r="63" spans="4:12">
      <c r="D63" s="66">
        <v>46135</v>
      </c>
      <c r="E63" s="32">
        <v>1597599</v>
      </c>
      <c r="F63" s="32" t="s">
        <v>46</v>
      </c>
      <c r="G63" s="67">
        <v>20010992</v>
      </c>
      <c r="H63" s="32" t="s">
        <v>47</v>
      </c>
      <c r="I63" s="67">
        <v>2</v>
      </c>
      <c r="J63" s="68">
        <v>11.2</v>
      </c>
      <c r="K63" s="68">
        <v>22.4</v>
      </c>
      <c r="L63">
        <f t="shared" si="1"/>
        <v>16</v>
      </c>
    </row>
    <row r="64" spans="4:12">
      <c r="D64" s="66">
        <v>46135</v>
      </c>
      <c r="E64" s="32">
        <v>1597599</v>
      </c>
      <c r="F64" s="32" t="s">
        <v>13</v>
      </c>
      <c r="G64" s="67">
        <v>20006827</v>
      </c>
      <c r="H64" s="32" t="s">
        <v>49</v>
      </c>
      <c r="I64" s="67">
        <v>1</v>
      </c>
      <c r="J64" s="68">
        <v>7.7</v>
      </c>
      <c r="K64" s="68">
        <v>7.7</v>
      </c>
      <c r="L64">
        <f t="shared" si="1"/>
        <v>11</v>
      </c>
    </row>
    <row r="65" spans="4:12">
      <c r="D65" s="66">
        <v>46135</v>
      </c>
      <c r="E65" s="32">
        <v>1597599</v>
      </c>
      <c r="F65" s="32" t="s">
        <v>13</v>
      </c>
      <c r="G65" s="67">
        <v>20006817</v>
      </c>
      <c r="H65" s="32" t="s">
        <v>42</v>
      </c>
      <c r="I65" s="67">
        <v>5</v>
      </c>
      <c r="J65" s="68">
        <v>5.6</v>
      </c>
      <c r="K65" s="68">
        <v>28</v>
      </c>
      <c r="L65">
        <f t="shared" si="1"/>
        <v>8</v>
      </c>
    </row>
    <row r="66" spans="4:12">
      <c r="D66" s="66">
        <v>46140</v>
      </c>
      <c r="E66" s="32">
        <v>1598919</v>
      </c>
      <c r="F66" s="32" t="s">
        <v>36</v>
      </c>
      <c r="G66" s="67">
        <v>20013604</v>
      </c>
      <c r="H66" s="32" t="s">
        <v>37</v>
      </c>
      <c r="I66" s="67">
        <v>5</v>
      </c>
      <c r="J66" s="68">
        <v>65.45</v>
      </c>
      <c r="K66" s="68">
        <v>327.25</v>
      </c>
      <c r="L66">
        <f t="shared" si="1"/>
        <v>93.5</v>
      </c>
    </row>
    <row r="67" spans="4:12">
      <c r="D67" s="66">
        <v>46140</v>
      </c>
      <c r="E67" s="32">
        <v>1598919</v>
      </c>
      <c r="F67" s="32" t="s">
        <v>36</v>
      </c>
      <c r="G67" s="67">
        <v>20014203</v>
      </c>
      <c r="H67" s="32" t="s">
        <v>45</v>
      </c>
      <c r="I67" s="67">
        <v>1</v>
      </c>
      <c r="J67" s="68">
        <v>19.25</v>
      </c>
      <c r="K67" s="68">
        <v>19.25</v>
      </c>
      <c r="L67">
        <f t="shared" si="1"/>
        <v>27.5</v>
      </c>
    </row>
    <row r="68" spans="4:12">
      <c r="D68" s="66">
        <v>46140</v>
      </c>
      <c r="E68" s="32">
        <v>1598919</v>
      </c>
      <c r="F68" s="32" t="s">
        <v>13</v>
      </c>
      <c r="G68" s="67">
        <v>20006825</v>
      </c>
      <c r="H68" s="32" t="s">
        <v>48</v>
      </c>
      <c r="I68" s="67">
        <v>1</v>
      </c>
      <c r="J68" s="68">
        <v>9.1</v>
      </c>
      <c r="K68" s="68">
        <v>9.1</v>
      </c>
      <c r="L68">
        <f t="shared" si="1"/>
        <v>13</v>
      </c>
    </row>
    <row r="69" spans="4:12">
      <c r="D69" s="66">
        <v>46140</v>
      </c>
      <c r="E69" s="32">
        <v>1598919</v>
      </c>
      <c r="F69" s="32" t="s">
        <v>13</v>
      </c>
      <c r="G69" s="67">
        <v>20006827</v>
      </c>
      <c r="H69" s="32" t="s">
        <v>49</v>
      </c>
      <c r="I69" s="67">
        <v>1</v>
      </c>
      <c r="J69" s="68">
        <v>7.7</v>
      </c>
      <c r="K69" s="68">
        <v>7.7</v>
      </c>
      <c r="L69">
        <f t="shared" si="1"/>
        <v>11</v>
      </c>
    </row>
    <row r="70" spans="4:12">
      <c r="D70" s="66">
        <v>46140</v>
      </c>
      <c r="E70" s="32">
        <v>1598919</v>
      </c>
      <c r="F70" s="32" t="s">
        <v>13</v>
      </c>
      <c r="G70" s="67">
        <v>20330575</v>
      </c>
      <c r="H70" s="32" t="s">
        <v>62</v>
      </c>
      <c r="I70" s="67">
        <v>1</v>
      </c>
      <c r="J70" s="68">
        <v>5.6</v>
      </c>
      <c r="K70" s="68">
        <v>5.6</v>
      </c>
      <c r="L70">
        <f t="shared" si="1"/>
        <v>8</v>
      </c>
    </row>
    <row r="71" spans="4:12">
      <c r="D71" s="66">
        <v>46140</v>
      </c>
      <c r="E71" s="32">
        <v>1598919</v>
      </c>
      <c r="F71" s="32" t="s">
        <v>13</v>
      </c>
      <c r="G71" s="67">
        <v>20008322</v>
      </c>
      <c r="H71" s="32" t="s">
        <v>14</v>
      </c>
      <c r="I71" s="67">
        <v>1</v>
      </c>
      <c r="J71" s="68">
        <v>5.6</v>
      </c>
      <c r="K71" s="68">
        <v>5.6</v>
      </c>
      <c r="L71">
        <f t="shared" si="1"/>
        <v>8</v>
      </c>
    </row>
    <row r="72" spans="4:12">
      <c r="D72" s="66">
        <v>46140</v>
      </c>
      <c r="E72" s="32">
        <v>1598919</v>
      </c>
      <c r="F72" s="32" t="s">
        <v>13</v>
      </c>
      <c r="G72" s="67">
        <v>20321383</v>
      </c>
      <c r="H72" s="32" t="s">
        <v>41</v>
      </c>
      <c r="I72" s="67">
        <v>1</v>
      </c>
      <c r="J72" s="68">
        <v>5.6</v>
      </c>
      <c r="K72" s="68">
        <v>5.6</v>
      </c>
      <c r="L72">
        <f t="shared" si="1"/>
        <v>8</v>
      </c>
    </row>
    <row r="73" spans="4:12">
      <c r="D73" s="66">
        <v>46140</v>
      </c>
      <c r="E73" s="32">
        <v>1598919</v>
      </c>
      <c r="F73" s="32" t="s">
        <v>13</v>
      </c>
      <c r="G73" s="67">
        <v>20006817</v>
      </c>
      <c r="H73" s="32" t="s">
        <v>42</v>
      </c>
      <c r="I73" s="67">
        <v>2</v>
      </c>
      <c r="J73" s="68">
        <v>5.6</v>
      </c>
      <c r="K73" s="68">
        <v>11.2</v>
      </c>
      <c r="L73">
        <f t="shared" si="1"/>
        <v>8</v>
      </c>
    </row>
    <row r="74" spans="4:12">
      <c r="D74" s="66">
        <v>46142</v>
      </c>
      <c r="E74" s="32">
        <v>1599634</v>
      </c>
      <c r="F74" s="32" t="s">
        <v>36</v>
      </c>
      <c r="G74" s="67">
        <v>20013604</v>
      </c>
      <c r="H74" s="32" t="s">
        <v>37</v>
      </c>
      <c r="I74" s="67">
        <v>3</v>
      </c>
      <c r="J74" s="68">
        <v>65.45</v>
      </c>
      <c r="K74" s="68">
        <v>196.35</v>
      </c>
      <c r="L74">
        <f t="shared" si="1"/>
        <v>93.5</v>
      </c>
    </row>
    <row r="75" spans="4:12">
      <c r="D75" s="66">
        <v>46142</v>
      </c>
      <c r="E75" s="32">
        <v>1599634</v>
      </c>
      <c r="F75" s="32" t="s">
        <v>13</v>
      </c>
      <c r="G75" s="67">
        <v>20006817</v>
      </c>
      <c r="H75" s="32" t="s">
        <v>42</v>
      </c>
      <c r="I75" s="67">
        <v>1</v>
      </c>
      <c r="J75" s="68">
        <v>5.6</v>
      </c>
      <c r="K75" s="68">
        <v>5.6</v>
      </c>
      <c r="L75">
        <f t="shared" si="1"/>
        <v>8</v>
      </c>
    </row>
    <row r="76" ht="0.05" customHeight="1"/>
  </sheetData>
  <autoFilter xmlns:etc="http://www.wps.cn/officeDocument/2017/etCustomData" ref="A7:K75" etc:filterBottomFollowUsedRange="0">
    <extLst/>
  </autoFilter>
  <mergeCells count="5">
    <mergeCell ref="D8:H8"/>
    <mergeCell ref="C7:C75"/>
    <mergeCell ref="B4:H5"/>
    <mergeCell ref="A7:B75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&amp;"-,Regular"2026年5月6日 8:42 
&amp;"-,Bold"&amp;10 黑龙江省铂康医疗灭菌有限公司 &amp;R&amp;"Droid Sans Fallback"&amp;9第&amp;P页，共&amp;N页 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1"/>
  <sheetViews>
    <sheetView showGridLines="0" view="pageBreakPreview" zoomScaleNormal="100" topLeftCell="B1" workbookViewId="0">
      <pane ySplit="6" topLeftCell="A7" activePane="bottomLeft" state="frozen"/>
      <selection/>
      <selection pane="bottomLeft" activeCell="K9" sqref="K9:K24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375" customWidth="1"/>
  </cols>
  <sheetData>
    <row r="1" spans="1:12">
      <c r="C1" s="15" t="s">
        <v>0</v>
      </c>
    </row>
    <row r="2" ht="23.05" customHeight="1"/>
    <row r="3" ht="2" customHeight="1"/>
    <row r="4" ht="15.2" customHeight="1" spans="1:12">
      <c r="B4" s="16" t="s">
        <v>1</v>
      </c>
    </row>
    <row r="6" ht="2.95" customHeight="1"/>
    <row r="7" spans="1:12">
      <c r="A7" s="34" t="s">
        <v>2</v>
      </c>
      <c r="B7" s="17" t="s">
        <v>2</v>
      </c>
      <c r="C7" s="60" t="s">
        <v>2</v>
      </c>
      <c r="D7" s="61" t="s">
        <v>4</v>
      </c>
      <c r="E7" s="61" t="s">
        <v>5</v>
      </c>
      <c r="F7" s="61" t="s">
        <v>6</v>
      </c>
      <c r="G7" s="61" t="s">
        <v>7</v>
      </c>
      <c r="H7" s="61" t="s">
        <v>8</v>
      </c>
      <c r="I7" s="61" t="s">
        <v>9</v>
      </c>
      <c r="J7" s="61" t="s">
        <v>10</v>
      </c>
      <c r="K7" s="61" t="s">
        <v>11</v>
      </c>
    </row>
    <row r="8" ht="14.25" spans="1:12">
      <c r="D8" s="62" t="s">
        <v>63</v>
      </c>
      <c r="E8" s="63" t="s">
        <v>2</v>
      </c>
      <c r="F8" s="63" t="s">
        <v>2</v>
      </c>
      <c r="G8" s="63" t="s">
        <v>2</v>
      </c>
      <c r="H8" s="63" t="s">
        <v>2</v>
      </c>
      <c r="I8" s="64">
        <v>12</v>
      </c>
      <c r="J8" s="65"/>
      <c r="K8" s="65">
        <v>373.1</v>
      </c>
    </row>
    <row r="9" spans="1:12">
      <c r="D9" s="66">
        <v>46142</v>
      </c>
      <c r="E9" s="32">
        <v>1599434</v>
      </c>
      <c r="F9" s="32" t="s">
        <v>13</v>
      </c>
      <c r="G9" s="67">
        <v>20391281</v>
      </c>
      <c r="H9" s="32" t="s">
        <v>64</v>
      </c>
      <c r="I9" s="67">
        <v>1</v>
      </c>
      <c r="J9" s="68">
        <v>23.1</v>
      </c>
      <c r="K9" s="68">
        <v>23.1</v>
      </c>
      <c r="L9">
        <f>J9/0.7</f>
        <v>33</v>
      </c>
    </row>
    <row r="10" spans="1:12">
      <c r="D10" s="66">
        <v>46142</v>
      </c>
      <c r="E10" s="32">
        <v>1599434</v>
      </c>
      <c r="F10" s="32" t="s">
        <v>23</v>
      </c>
      <c r="G10" s="67">
        <v>20391163</v>
      </c>
      <c r="H10" s="32" t="s">
        <v>65</v>
      </c>
      <c r="I10" s="67">
        <v>1</v>
      </c>
      <c r="J10" s="68">
        <v>42.35</v>
      </c>
      <c r="K10" s="68">
        <v>42.35</v>
      </c>
      <c r="L10">
        <f t="shared" ref="L10:L20" si="0">J10/0.7</f>
        <v>60.5</v>
      </c>
    </row>
    <row r="11" spans="1:12">
      <c r="D11" s="66">
        <v>46142</v>
      </c>
      <c r="E11" s="32">
        <v>1599494</v>
      </c>
      <c r="F11" s="32" t="s">
        <v>27</v>
      </c>
      <c r="G11" s="67">
        <v>20404181</v>
      </c>
      <c r="H11" s="32" t="s">
        <v>66</v>
      </c>
      <c r="I11" s="67">
        <v>1</v>
      </c>
      <c r="J11" s="68">
        <v>15.4</v>
      </c>
      <c r="K11" s="68">
        <v>15.4</v>
      </c>
      <c r="L11">
        <f t="shared" si="0"/>
        <v>22</v>
      </c>
    </row>
    <row r="12" spans="1:12">
      <c r="D12" s="66">
        <v>46142</v>
      </c>
      <c r="E12" s="32">
        <v>1599494</v>
      </c>
      <c r="F12" s="32" t="s">
        <v>27</v>
      </c>
      <c r="G12" s="67">
        <v>20406847</v>
      </c>
      <c r="H12" s="32" t="s">
        <v>67</v>
      </c>
      <c r="I12" s="67">
        <v>1</v>
      </c>
      <c r="J12" s="68">
        <v>61.6</v>
      </c>
      <c r="K12" s="68">
        <v>61.6</v>
      </c>
      <c r="L12">
        <f t="shared" si="0"/>
        <v>88</v>
      </c>
    </row>
    <row r="13" spans="1:12">
      <c r="D13" s="66">
        <v>46142</v>
      </c>
      <c r="E13" s="32">
        <v>1599494</v>
      </c>
      <c r="F13" s="32" t="s">
        <v>27</v>
      </c>
      <c r="G13" s="67">
        <v>20007633</v>
      </c>
      <c r="H13" s="32" t="s">
        <v>68</v>
      </c>
      <c r="I13" s="67">
        <v>1</v>
      </c>
      <c r="J13" s="68">
        <v>24.5</v>
      </c>
      <c r="K13" s="68">
        <v>24.5</v>
      </c>
      <c r="L13">
        <f t="shared" si="0"/>
        <v>35</v>
      </c>
    </row>
    <row r="14" spans="1:12">
      <c r="D14" s="66">
        <v>46142</v>
      </c>
      <c r="E14" s="32">
        <v>1599494</v>
      </c>
      <c r="F14" s="32" t="s">
        <v>69</v>
      </c>
      <c r="G14" s="67">
        <v>20390423</v>
      </c>
      <c r="H14" s="32" t="s">
        <v>70</v>
      </c>
      <c r="I14" s="67">
        <v>1</v>
      </c>
      <c r="J14" s="68">
        <v>19.6</v>
      </c>
      <c r="K14" s="68">
        <v>19.6</v>
      </c>
      <c r="L14">
        <f t="shared" si="0"/>
        <v>28</v>
      </c>
    </row>
    <row r="15" spans="1:12">
      <c r="D15" s="66">
        <v>46142</v>
      </c>
      <c r="E15" s="32">
        <v>1599893</v>
      </c>
      <c r="F15" s="32" t="s">
        <v>13</v>
      </c>
      <c r="G15" s="67">
        <v>20391281</v>
      </c>
      <c r="H15" s="32" t="s">
        <v>64</v>
      </c>
      <c r="I15" s="67">
        <v>1</v>
      </c>
      <c r="J15" s="68">
        <v>23.1</v>
      </c>
      <c r="K15" s="68">
        <v>23.1</v>
      </c>
      <c r="L15">
        <f t="shared" si="0"/>
        <v>33</v>
      </c>
    </row>
    <row r="16" spans="1:12">
      <c r="D16" s="66">
        <v>46142</v>
      </c>
      <c r="E16" s="32">
        <v>1599893</v>
      </c>
      <c r="F16" s="32" t="s">
        <v>23</v>
      </c>
      <c r="G16" s="67">
        <v>20391163</v>
      </c>
      <c r="H16" s="32" t="s">
        <v>65</v>
      </c>
      <c r="I16" s="67">
        <v>1</v>
      </c>
      <c r="J16" s="68">
        <v>42.35</v>
      </c>
      <c r="K16" s="68">
        <v>42.35</v>
      </c>
      <c r="L16">
        <f t="shared" si="0"/>
        <v>60.5</v>
      </c>
    </row>
    <row r="17" spans="4:12">
      <c r="D17" s="66">
        <v>46142</v>
      </c>
      <c r="E17" s="32">
        <v>1599918</v>
      </c>
      <c r="F17" s="32" t="s">
        <v>27</v>
      </c>
      <c r="G17" s="67">
        <v>20365405</v>
      </c>
      <c r="H17" s="32" t="s">
        <v>71</v>
      </c>
      <c r="I17" s="67">
        <v>1</v>
      </c>
      <c r="J17" s="68">
        <v>61.6</v>
      </c>
      <c r="K17" s="68">
        <v>61.6</v>
      </c>
      <c r="L17">
        <f t="shared" si="0"/>
        <v>88</v>
      </c>
    </row>
    <row r="18" spans="4:12">
      <c r="D18" s="66">
        <v>46142</v>
      </c>
      <c r="E18" s="32">
        <v>1599918</v>
      </c>
      <c r="F18" s="32" t="s">
        <v>27</v>
      </c>
      <c r="G18" s="67">
        <v>20008623</v>
      </c>
      <c r="H18" s="32" t="s">
        <v>72</v>
      </c>
      <c r="I18" s="67">
        <v>1</v>
      </c>
      <c r="J18" s="68">
        <v>15.4</v>
      </c>
      <c r="K18" s="68">
        <v>15.4</v>
      </c>
      <c r="L18">
        <f t="shared" si="0"/>
        <v>22</v>
      </c>
    </row>
    <row r="19" spans="4:12">
      <c r="D19" s="66">
        <v>46142</v>
      </c>
      <c r="E19" s="32">
        <v>1599918</v>
      </c>
      <c r="F19" s="32" t="s">
        <v>27</v>
      </c>
      <c r="G19" s="67">
        <v>20007633</v>
      </c>
      <c r="H19" s="32" t="s">
        <v>68</v>
      </c>
      <c r="I19" s="67">
        <v>1</v>
      </c>
      <c r="J19" s="68">
        <v>24.5</v>
      </c>
      <c r="K19" s="68">
        <v>24.5</v>
      </c>
      <c r="L19">
        <f t="shared" si="0"/>
        <v>35</v>
      </c>
    </row>
    <row r="20" spans="4:12">
      <c r="D20" s="66">
        <v>46142</v>
      </c>
      <c r="E20" s="32">
        <v>1599918</v>
      </c>
      <c r="F20" s="32" t="s">
        <v>69</v>
      </c>
      <c r="G20" s="67">
        <v>20390423</v>
      </c>
      <c r="H20" s="32" t="s">
        <v>70</v>
      </c>
      <c r="I20" s="67">
        <v>1</v>
      </c>
      <c r="J20" s="68">
        <v>19.6</v>
      </c>
      <c r="K20" s="68">
        <v>19.6</v>
      </c>
      <c r="L20">
        <f t="shared" si="0"/>
        <v>28</v>
      </c>
    </row>
    <row r="21" ht="0.05" customHeight="1"/>
  </sheetData>
  <autoFilter xmlns:etc="http://www.wps.cn/officeDocument/2017/etCustomData" ref="A7:K20" etc:filterBottomFollowUsedRange="0">
    <extLst/>
  </autoFilter>
  <mergeCells count="5">
    <mergeCell ref="D8:H8"/>
    <mergeCell ref="C7:C20"/>
    <mergeCell ref="B4:H5"/>
    <mergeCell ref="A7:B20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&amp;"-,Regular"2026年5月6日 8:42 
&amp;"-,Bold"&amp;10 黑龙江省铂康医疗灭菌有限公司 &amp;R&amp;"Droid Sans Fallback"&amp;9第&amp;P页，共&amp;N页 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62"/>
  <sheetViews>
    <sheetView showGridLines="0" view="pageBreakPreview" zoomScaleNormal="100" workbookViewId="0">
      <pane ySplit="6" topLeftCell="A7" activePane="bottomLeft" state="frozen"/>
      <selection/>
      <selection pane="bottomLeft" activeCell="K9" sqref="K9:K64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5" customWidth="1"/>
  </cols>
  <sheetData>
    <row r="1" spans="1:12">
      <c r="C1" s="15" t="s">
        <v>0</v>
      </c>
    </row>
    <row r="2" ht="23.05" customHeight="1"/>
    <row r="3" ht="2" customHeight="1"/>
    <row r="4" ht="15.2" customHeight="1" spans="1:12">
      <c r="B4" s="16" t="s">
        <v>1</v>
      </c>
    </row>
    <row r="6" ht="2.95" customHeight="1"/>
    <row r="7" spans="1:12">
      <c r="A7" s="34" t="s">
        <v>2</v>
      </c>
      <c r="B7" s="17" t="s">
        <v>2</v>
      </c>
      <c r="C7" s="60" t="s">
        <v>2</v>
      </c>
      <c r="D7" s="61" t="s">
        <v>4</v>
      </c>
      <c r="E7" s="61" t="s">
        <v>5</v>
      </c>
      <c r="F7" s="61" t="s">
        <v>6</v>
      </c>
      <c r="G7" s="61" t="s">
        <v>7</v>
      </c>
      <c r="H7" s="61" t="s">
        <v>8</v>
      </c>
      <c r="I7" s="61" t="s">
        <v>9</v>
      </c>
      <c r="J7" s="61" t="s">
        <v>10</v>
      </c>
      <c r="K7" s="61" t="s">
        <v>11</v>
      </c>
    </row>
    <row r="8" ht="14.25" spans="1:12">
      <c r="D8" s="62" t="s">
        <v>73</v>
      </c>
      <c r="E8" s="63" t="s">
        <v>2</v>
      </c>
      <c r="F8" s="63" t="s">
        <v>2</v>
      </c>
      <c r="G8" s="63" t="s">
        <v>2</v>
      </c>
      <c r="H8" s="63" t="s">
        <v>2</v>
      </c>
      <c r="I8" s="64">
        <v>202</v>
      </c>
      <c r="J8" s="65"/>
      <c r="K8" s="65">
        <v>881.65</v>
      </c>
    </row>
    <row r="9" spans="1:12">
      <c r="D9" s="66">
        <v>46119</v>
      </c>
      <c r="E9" s="32">
        <v>1592585</v>
      </c>
      <c r="F9" s="32" t="s">
        <v>46</v>
      </c>
      <c r="G9" s="67">
        <v>20010992</v>
      </c>
      <c r="H9" s="32" t="s">
        <v>47</v>
      </c>
      <c r="I9" s="67">
        <v>3</v>
      </c>
      <c r="J9" s="68">
        <v>11.2</v>
      </c>
      <c r="K9" s="68">
        <v>33.6</v>
      </c>
      <c r="L9">
        <f>J9/0.7</f>
        <v>16</v>
      </c>
    </row>
    <row r="10" spans="1:12">
      <c r="D10" s="66">
        <v>46119</v>
      </c>
      <c r="E10" s="32">
        <v>1592585</v>
      </c>
      <c r="F10" s="32" t="s">
        <v>13</v>
      </c>
      <c r="G10" s="67">
        <v>20008409</v>
      </c>
      <c r="H10" s="32" t="s">
        <v>53</v>
      </c>
      <c r="I10" s="67">
        <v>1</v>
      </c>
      <c r="J10" s="68">
        <v>5.6</v>
      </c>
      <c r="K10" s="68">
        <v>5.6</v>
      </c>
      <c r="L10">
        <f t="shared" ref="L10:L41" si="0">J10/0.7</f>
        <v>8</v>
      </c>
    </row>
    <row r="11" spans="1:12">
      <c r="D11" s="66">
        <v>46119</v>
      </c>
      <c r="E11" s="32">
        <v>1592585</v>
      </c>
      <c r="F11" s="32" t="s">
        <v>13</v>
      </c>
      <c r="G11" s="67">
        <v>20011204</v>
      </c>
      <c r="H11" s="32" t="s">
        <v>74</v>
      </c>
      <c r="I11" s="67">
        <v>1</v>
      </c>
      <c r="J11" s="68">
        <v>5.6</v>
      </c>
      <c r="K11" s="68">
        <v>5.6</v>
      </c>
      <c r="L11">
        <f t="shared" si="0"/>
        <v>8</v>
      </c>
    </row>
    <row r="12" spans="1:12">
      <c r="D12" s="66">
        <v>46119</v>
      </c>
      <c r="E12" s="32">
        <v>1592585</v>
      </c>
      <c r="F12" s="32" t="s">
        <v>13</v>
      </c>
      <c r="G12" s="67">
        <v>20012489</v>
      </c>
      <c r="H12" s="32" t="s">
        <v>75</v>
      </c>
      <c r="I12" s="67">
        <v>1</v>
      </c>
      <c r="J12" s="68">
        <v>5.6</v>
      </c>
      <c r="K12" s="68">
        <v>5.6</v>
      </c>
      <c r="L12">
        <f t="shared" si="0"/>
        <v>8</v>
      </c>
    </row>
    <row r="13" spans="1:12">
      <c r="D13" s="66">
        <v>46119</v>
      </c>
      <c r="E13" s="32">
        <v>1592585</v>
      </c>
      <c r="F13" s="32" t="s">
        <v>13</v>
      </c>
      <c r="G13" s="67">
        <v>20330575</v>
      </c>
      <c r="H13" s="32" t="s">
        <v>62</v>
      </c>
      <c r="I13" s="67">
        <v>3</v>
      </c>
      <c r="J13" s="68">
        <v>5.6</v>
      </c>
      <c r="K13" s="68">
        <v>16.8</v>
      </c>
      <c r="L13">
        <f t="shared" si="0"/>
        <v>8</v>
      </c>
    </row>
    <row r="14" spans="1:12">
      <c r="D14" s="66">
        <v>46119</v>
      </c>
      <c r="E14" s="32">
        <v>1592585</v>
      </c>
      <c r="F14" s="32" t="s">
        <v>13</v>
      </c>
      <c r="G14" s="67">
        <v>20008322</v>
      </c>
      <c r="H14" s="32" t="s">
        <v>14</v>
      </c>
      <c r="I14" s="67">
        <v>1</v>
      </c>
      <c r="J14" s="68">
        <v>5.6</v>
      </c>
      <c r="K14" s="68">
        <v>5.6</v>
      </c>
      <c r="L14">
        <f t="shared" si="0"/>
        <v>8</v>
      </c>
    </row>
    <row r="15" spans="1:12">
      <c r="D15" s="66">
        <v>46119</v>
      </c>
      <c r="E15" s="32">
        <v>1592585</v>
      </c>
      <c r="F15" s="32" t="s">
        <v>13</v>
      </c>
      <c r="G15" s="67">
        <v>20316670</v>
      </c>
      <c r="H15" s="32" t="s">
        <v>76</v>
      </c>
      <c r="I15" s="67">
        <v>9</v>
      </c>
      <c r="J15" s="68">
        <v>5.6</v>
      </c>
      <c r="K15" s="68">
        <v>50.4</v>
      </c>
      <c r="L15">
        <f t="shared" si="0"/>
        <v>8</v>
      </c>
    </row>
    <row r="16" spans="1:12">
      <c r="D16" s="66">
        <v>46119</v>
      </c>
      <c r="E16" s="32">
        <v>1592585</v>
      </c>
      <c r="F16" s="32" t="s">
        <v>13</v>
      </c>
      <c r="G16" s="67">
        <v>20014828</v>
      </c>
      <c r="H16" s="32" t="s">
        <v>22</v>
      </c>
      <c r="I16" s="67">
        <v>2</v>
      </c>
      <c r="J16" s="68">
        <v>5.6</v>
      </c>
      <c r="K16" s="68">
        <v>11.2</v>
      </c>
      <c r="L16">
        <f t="shared" si="0"/>
        <v>8</v>
      </c>
    </row>
    <row r="17" spans="4:12">
      <c r="D17" s="66">
        <v>46121</v>
      </c>
      <c r="E17" s="32">
        <v>1593359</v>
      </c>
      <c r="F17" s="32" t="s">
        <v>46</v>
      </c>
      <c r="G17" s="67">
        <v>20010992</v>
      </c>
      <c r="H17" s="32" t="s">
        <v>47</v>
      </c>
      <c r="I17" s="67">
        <v>1</v>
      </c>
      <c r="J17" s="68">
        <v>11.2</v>
      </c>
      <c r="K17" s="68">
        <v>11.2</v>
      </c>
      <c r="L17">
        <f t="shared" si="0"/>
        <v>16</v>
      </c>
    </row>
    <row r="18" spans="4:12">
      <c r="D18" s="66">
        <v>46121</v>
      </c>
      <c r="E18" s="32">
        <v>1593359</v>
      </c>
      <c r="F18" s="32" t="s">
        <v>13</v>
      </c>
      <c r="G18" s="67">
        <v>20008409</v>
      </c>
      <c r="H18" s="32" t="s">
        <v>53</v>
      </c>
      <c r="I18" s="67">
        <v>2</v>
      </c>
      <c r="J18" s="68">
        <v>5.6</v>
      </c>
      <c r="K18" s="68">
        <v>11.2</v>
      </c>
      <c r="L18">
        <f t="shared" si="0"/>
        <v>8</v>
      </c>
    </row>
    <row r="19" spans="4:12">
      <c r="D19" s="66">
        <v>46121</v>
      </c>
      <c r="E19" s="32">
        <v>1593359</v>
      </c>
      <c r="F19" s="32" t="s">
        <v>13</v>
      </c>
      <c r="G19" s="67">
        <v>20011204</v>
      </c>
      <c r="H19" s="32" t="s">
        <v>74</v>
      </c>
      <c r="I19" s="67">
        <v>2</v>
      </c>
      <c r="J19" s="68">
        <v>5.6</v>
      </c>
      <c r="K19" s="68">
        <v>11.2</v>
      </c>
      <c r="L19">
        <f t="shared" si="0"/>
        <v>8</v>
      </c>
    </row>
    <row r="20" spans="4:12">
      <c r="D20" s="66">
        <v>46121</v>
      </c>
      <c r="E20" s="32">
        <v>1593359</v>
      </c>
      <c r="F20" s="32" t="s">
        <v>13</v>
      </c>
      <c r="G20" s="67">
        <v>20012489</v>
      </c>
      <c r="H20" s="32" t="s">
        <v>75</v>
      </c>
      <c r="I20" s="67">
        <v>1</v>
      </c>
      <c r="J20" s="68">
        <v>5.6</v>
      </c>
      <c r="K20" s="68">
        <v>5.6</v>
      </c>
      <c r="L20">
        <f t="shared" si="0"/>
        <v>8</v>
      </c>
    </row>
    <row r="21" spans="4:12">
      <c r="D21" s="66">
        <v>46121</v>
      </c>
      <c r="E21" s="32">
        <v>1593359</v>
      </c>
      <c r="F21" s="32" t="s">
        <v>13</v>
      </c>
      <c r="G21" s="67">
        <v>20330575</v>
      </c>
      <c r="H21" s="32" t="s">
        <v>62</v>
      </c>
      <c r="I21" s="67">
        <v>3</v>
      </c>
      <c r="J21" s="68">
        <v>5.6</v>
      </c>
      <c r="K21" s="68">
        <v>16.8</v>
      </c>
      <c r="L21">
        <f t="shared" si="0"/>
        <v>8</v>
      </c>
    </row>
    <row r="22" spans="4:12">
      <c r="D22" s="66">
        <v>46121</v>
      </c>
      <c r="E22" s="32">
        <v>1593359</v>
      </c>
      <c r="F22" s="32" t="s">
        <v>13</v>
      </c>
      <c r="G22" s="67">
        <v>20008322</v>
      </c>
      <c r="H22" s="32" t="s">
        <v>14</v>
      </c>
      <c r="I22" s="67">
        <v>2</v>
      </c>
      <c r="J22" s="68">
        <v>5.6</v>
      </c>
      <c r="K22" s="68">
        <v>11.2</v>
      </c>
      <c r="L22">
        <f t="shared" si="0"/>
        <v>8</v>
      </c>
    </row>
    <row r="23" spans="4:12">
      <c r="D23" s="66">
        <v>46121</v>
      </c>
      <c r="E23" s="32">
        <v>1593359</v>
      </c>
      <c r="F23" s="32" t="s">
        <v>13</v>
      </c>
      <c r="G23" s="67">
        <v>20316670</v>
      </c>
      <c r="H23" s="32" t="s">
        <v>76</v>
      </c>
      <c r="I23" s="67">
        <v>4</v>
      </c>
      <c r="J23" s="68">
        <v>5.6</v>
      </c>
      <c r="K23" s="68">
        <v>22.4</v>
      </c>
      <c r="L23">
        <f t="shared" si="0"/>
        <v>8</v>
      </c>
    </row>
    <row r="24" spans="4:12">
      <c r="D24" s="66">
        <v>46121</v>
      </c>
      <c r="E24" s="32">
        <v>1593359</v>
      </c>
      <c r="F24" s="32" t="s">
        <v>13</v>
      </c>
      <c r="G24" s="67">
        <v>20011545</v>
      </c>
      <c r="H24" s="32" t="s">
        <v>15</v>
      </c>
      <c r="I24" s="67">
        <v>2</v>
      </c>
      <c r="J24" s="68">
        <v>5.6</v>
      </c>
      <c r="K24" s="68">
        <v>11.2</v>
      </c>
      <c r="L24">
        <f t="shared" si="0"/>
        <v>8</v>
      </c>
    </row>
    <row r="25" spans="4:12">
      <c r="D25" s="66">
        <v>46121</v>
      </c>
      <c r="E25" s="32">
        <v>1593359</v>
      </c>
      <c r="F25" s="32" t="s">
        <v>18</v>
      </c>
      <c r="G25" s="67">
        <v>20012184</v>
      </c>
      <c r="H25" s="32" t="s">
        <v>77</v>
      </c>
      <c r="I25" s="67">
        <v>15</v>
      </c>
      <c r="J25" s="68">
        <v>1.75</v>
      </c>
      <c r="K25" s="68">
        <v>26.25</v>
      </c>
      <c r="L25">
        <f t="shared" si="0"/>
        <v>2.5</v>
      </c>
    </row>
    <row r="26" spans="4:12">
      <c r="D26" s="66">
        <v>46126</v>
      </c>
      <c r="E26" s="32">
        <v>1594757</v>
      </c>
      <c r="F26" s="32" t="s">
        <v>46</v>
      </c>
      <c r="G26" s="67">
        <v>20009022</v>
      </c>
      <c r="H26" s="32" t="s">
        <v>78</v>
      </c>
      <c r="I26" s="67">
        <v>1</v>
      </c>
      <c r="J26" s="68">
        <v>11.2</v>
      </c>
      <c r="K26" s="68">
        <v>11.2</v>
      </c>
      <c r="L26">
        <f t="shared" si="0"/>
        <v>16</v>
      </c>
    </row>
    <row r="27" spans="4:12">
      <c r="D27" s="66">
        <v>46126</v>
      </c>
      <c r="E27" s="32">
        <v>1594757</v>
      </c>
      <c r="F27" s="32" t="s">
        <v>13</v>
      </c>
      <c r="G27" s="67">
        <v>20008409</v>
      </c>
      <c r="H27" s="32" t="s">
        <v>53</v>
      </c>
      <c r="I27" s="67">
        <v>1</v>
      </c>
      <c r="J27" s="68">
        <v>5.6</v>
      </c>
      <c r="K27" s="68">
        <v>5.6</v>
      </c>
      <c r="L27">
        <f t="shared" si="0"/>
        <v>8</v>
      </c>
    </row>
    <row r="28" spans="4:12">
      <c r="D28" s="66">
        <v>46126</v>
      </c>
      <c r="E28" s="32">
        <v>1594757</v>
      </c>
      <c r="F28" s="32" t="s">
        <v>13</v>
      </c>
      <c r="G28" s="67">
        <v>20006816</v>
      </c>
      <c r="H28" s="32" t="s">
        <v>79</v>
      </c>
      <c r="I28" s="67">
        <v>1</v>
      </c>
      <c r="J28" s="68">
        <v>5.6</v>
      </c>
      <c r="K28" s="68">
        <v>5.6</v>
      </c>
      <c r="L28">
        <f t="shared" si="0"/>
        <v>8</v>
      </c>
    </row>
    <row r="29" spans="4:12">
      <c r="D29" s="66">
        <v>46126</v>
      </c>
      <c r="E29" s="32">
        <v>1594757</v>
      </c>
      <c r="F29" s="32" t="s">
        <v>13</v>
      </c>
      <c r="G29" s="67">
        <v>20011204</v>
      </c>
      <c r="H29" s="32" t="s">
        <v>74</v>
      </c>
      <c r="I29" s="67">
        <v>1</v>
      </c>
      <c r="J29" s="68">
        <v>5.6</v>
      </c>
      <c r="K29" s="68">
        <v>5.6</v>
      </c>
      <c r="L29">
        <f t="shared" si="0"/>
        <v>8</v>
      </c>
    </row>
    <row r="30" spans="4:12">
      <c r="D30" s="66">
        <v>46126</v>
      </c>
      <c r="E30" s="32">
        <v>1594757</v>
      </c>
      <c r="F30" s="32" t="s">
        <v>13</v>
      </c>
      <c r="G30" s="67">
        <v>20330575</v>
      </c>
      <c r="H30" s="32" t="s">
        <v>62</v>
      </c>
      <c r="I30" s="67">
        <v>4</v>
      </c>
      <c r="J30" s="68">
        <v>5.6</v>
      </c>
      <c r="K30" s="68">
        <v>22.4</v>
      </c>
      <c r="L30">
        <f t="shared" si="0"/>
        <v>8</v>
      </c>
    </row>
    <row r="31" spans="4:12">
      <c r="D31" s="66">
        <v>46126</v>
      </c>
      <c r="E31" s="32">
        <v>1594757</v>
      </c>
      <c r="F31" s="32" t="s">
        <v>13</v>
      </c>
      <c r="G31" s="67">
        <v>20008322</v>
      </c>
      <c r="H31" s="32" t="s">
        <v>14</v>
      </c>
      <c r="I31" s="67">
        <v>1</v>
      </c>
      <c r="J31" s="68">
        <v>5.6</v>
      </c>
      <c r="K31" s="68">
        <v>5.6</v>
      </c>
      <c r="L31">
        <f t="shared" si="0"/>
        <v>8</v>
      </c>
    </row>
    <row r="32" spans="4:12">
      <c r="D32" s="66">
        <v>46126</v>
      </c>
      <c r="E32" s="32">
        <v>1594757</v>
      </c>
      <c r="F32" s="32" t="s">
        <v>13</v>
      </c>
      <c r="G32" s="67">
        <v>20316670</v>
      </c>
      <c r="H32" s="32" t="s">
        <v>76</v>
      </c>
      <c r="I32" s="67">
        <v>3</v>
      </c>
      <c r="J32" s="68">
        <v>5.6</v>
      </c>
      <c r="K32" s="68">
        <v>16.8</v>
      </c>
      <c r="L32">
        <f t="shared" si="0"/>
        <v>8</v>
      </c>
    </row>
    <row r="33" spans="4:12">
      <c r="D33" s="66">
        <v>46126</v>
      </c>
      <c r="E33" s="32">
        <v>1594757</v>
      </c>
      <c r="F33" s="32" t="s">
        <v>13</v>
      </c>
      <c r="G33" s="67">
        <v>20011545</v>
      </c>
      <c r="H33" s="32" t="s">
        <v>15</v>
      </c>
      <c r="I33" s="67">
        <v>2</v>
      </c>
      <c r="J33" s="68">
        <v>5.6</v>
      </c>
      <c r="K33" s="68">
        <v>11.2</v>
      </c>
      <c r="L33">
        <f t="shared" si="0"/>
        <v>8</v>
      </c>
    </row>
    <row r="34" spans="4:12">
      <c r="D34" s="66">
        <v>46126</v>
      </c>
      <c r="E34" s="32">
        <v>1594757</v>
      </c>
      <c r="F34" s="32" t="s">
        <v>13</v>
      </c>
      <c r="G34" s="67">
        <v>20014828</v>
      </c>
      <c r="H34" s="32" t="s">
        <v>22</v>
      </c>
      <c r="I34" s="67">
        <v>4</v>
      </c>
      <c r="J34" s="68">
        <v>5.6</v>
      </c>
      <c r="K34" s="68">
        <v>22.4</v>
      </c>
      <c r="L34">
        <f t="shared" si="0"/>
        <v>8</v>
      </c>
    </row>
    <row r="35" spans="4:12">
      <c r="D35" s="66">
        <v>46126</v>
      </c>
      <c r="E35" s="32">
        <v>1594769</v>
      </c>
      <c r="F35" s="32" t="s">
        <v>18</v>
      </c>
      <c r="G35" s="67">
        <v>20381585</v>
      </c>
      <c r="H35" s="32" t="s">
        <v>80</v>
      </c>
      <c r="I35" s="67">
        <v>32</v>
      </c>
      <c r="J35" s="68">
        <v>1.75</v>
      </c>
      <c r="K35" s="68">
        <v>56</v>
      </c>
      <c r="L35">
        <f t="shared" si="0"/>
        <v>2.5</v>
      </c>
    </row>
    <row r="36" spans="4:12">
      <c r="D36" s="66">
        <v>46128</v>
      </c>
      <c r="E36" s="32">
        <v>1595534</v>
      </c>
      <c r="F36" s="32" t="s">
        <v>46</v>
      </c>
      <c r="G36" s="67">
        <v>20010992</v>
      </c>
      <c r="H36" s="32" t="s">
        <v>47</v>
      </c>
      <c r="I36" s="67">
        <v>1</v>
      </c>
      <c r="J36" s="68">
        <v>11.2</v>
      </c>
      <c r="K36" s="68">
        <v>11.2</v>
      </c>
      <c r="L36">
        <f t="shared" si="0"/>
        <v>16</v>
      </c>
    </row>
    <row r="37" spans="4:12">
      <c r="D37" s="66">
        <v>46128</v>
      </c>
      <c r="E37" s="32">
        <v>1595534</v>
      </c>
      <c r="F37" s="32" t="s">
        <v>13</v>
      </c>
      <c r="G37" s="67">
        <v>20008409</v>
      </c>
      <c r="H37" s="32" t="s">
        <v>53</v>
      </c>
      <c r="I37" s="67">
        <v>2</v>
      </c>
      <c r="J37" s="68">
        <v>5.6</v>
      </c>
      <c r="K37" s="68">
        <v>11.2</v>
      </c>
      <c r="L37">
        <f t="shared" si="0"/>
        <v>8</v>
      </c>
    </row>
    <row r="38" spans="4:12">
      <c r="D38" s="66">
        <v>46128</v>
      </c>
      <c r="E38" s="32">
        <v>1595534</v>
      </c>
      <c r="F38" s="32" t="s">
        <v>13</v>
      </c>
      <c r="G38" s="67">
        <v>20011204</v>
      </c>
      <c r="H38" s="32" t="s">
        <v>74</v>
      </c>
      <c r="I38" s="67">
        <v>1</v>
      </c>
      <c r="J38" s="68">
        <v>5.6</v>
      </c>
      <c r="K38" s="68">
        <v>5.6</v>
      </c>
      <c r="L38">
        <f t="shared" si="0"/>
        <v>8</v>
      </c>
    </row>
    <row r="39" spans="4:12">
      <c r="D39" s="66">
        <v>46128</v>
      </c>
      <c r="E39" s="32">
        <v>1595534</v>
      </c>
      <c r="F39" s="32" t="s">
        <v>13</v>
      </c>
      <c r="G39" s="67">
        <v>20012489</v>
      </c>
      <c r="H39" s="32" t="s">
        <v>75</v>
      </c>
      <c r="I39" s="67">
        <v>1</v>
      </c>
      <c r="J39" s="68">
        <v>5.6</v>
      </c>
      <c r="K39" s="68">
        <v>5.6</v>
      </c>
      <c r="L39">
        <f t="shared" si="0"/>
        <v>8</v>
      </c>
    </row>
    <row r="40" spans="4:12">
      <c r="D40" s="66">
        <v>46128</v>
      </c>
      <c r="E40" s="32">
        <v>1595534</v>
      </c>
      <c r="F40" s="32" t="s">
        <v>13</v>
      </c>
      <c r="G40" s="67">
        <v>20330575</v>
      </c>
      <c r="H40" s="32" t="s">
        <v>62</v>
      </c>
      <c r="I40" s="67">
        <v>2</v>
      </c>
      <c r="J40" s="68">
        <v>5.6</v>
      </c>
      <c r="K40" s="68">
        <v>11.2</v>
      </c>
      <c r="L40">
        <f t="shared" si="0"/>
        <v>8</v>
      </c>
    </row>
    <row r="41" spans="4:12">
      <c r="D41" s="66">
        <v>46128</v>
      </c>
      <c r="E41" s="32">
        <v>1595534</v>
      </c>
      <c r="F41" s="32" t="s">
        <v>13</v>
      </c>
      <c r="G41" s="67">
        <v>20008322</v>
      </c>
      <c r="H41" s="32" t="s">
        <v>14</v>
      </c>
      <c r="I41" s="67">
        <v>1</v>
      </c>
      <c r="J41" s="68">
        <v>5.6</v>
      </c>
      <c r="K41" s="68">
        <v>5.6</v>
      </c>
      <c r="L41">
        <f t="shared" si="0"/>
        <v>8</v>
      </c>
    </row>
    <row r="42" spans="4:12">
      <c r="D42" s="66">
        <v>46128</v>
      </c>
      <c r="E42" s="32">
        <v>1595534</v>
      </c>
      <c r="F42" s="32" t="s">
        <v>13</v>
      </c>
      <c r="G42" s="67">
        <v>20316670</v>
      </c>
      <c r="H42" s="32" t="s">
        <v>76</v>
      </c>
      <c r="I42" s="67">
        <v>5</v>
      </c>
      <c r="J42" s="68">
        <v>5.6</v>
      </c>
      <c r="K42" s="68">
        <v>28</v>
      </c>
      <c r="L42">
        <f t="shared" ref="L42:L62" si="1">J42/0.7</f>
        <v>8</v>
      </c>
    </row>
    <row r="43" spans="4:12">
      <c r="D43" s="66">
        <v>46128</v>
      </c>
      <c r="E43" s="32">
        <v>1595534</v>
      </c>
      <c r="F43" s="32" t="s">
        <v>23</v>
      </c>
      <c r="G43" s="67">
        <v>20006846</v>
      </c>
      <c r="H43" s="32" t="s">
        <v>81</v>
      </c>
      <c r="I43" s="67">
        <v>1</v>
      </c>
      <c r="J43" s="68">
        <v>42.35</v>
      </c>
      <c r="K43" s="68">
        <v>42.35</v>
      </c>
      <c r="L43">
        <f t="shared" si="1"/>
        <v>60.5</v>
      </c>
    </row>
    <row r="44" spans="4:12">
      <c r="D44" s="66">
        <v>46133</v>
      </c>
      <c r="E44" s="32">
        <v>1596812</v>
      </c>
      <c r="F44" s="32" t="s">
        <v>13</v>
      </c>
      <c r="G44" s="67">
        <v>20011204</v>
      </c>
      <c r="H44" s="32" t="s">
        <v>74</v>
      </c>
      <c r="I44" s="67">
        <v>1</v>
      </c>
      <c r="J44" s="68">
        <v>5.6</v>
      </c>
      <c r="K44" s="68">
        <v>5.6</v>
      </c>
      <c r="L44">
        <f t="shared" si="1"/>
        <v>8</v>
      </c>
    </row>
    <row r="45" spans="4:12">
      <c r="D45" s="66">
        <v>46133</v>
      </c>
      <c r="E45" s="32">
        <v>1596812</v>
      </c>
      <c r="F45" s="32" t="s">
        <v>13</v>
      </c>
      <c r="G45" s="67">
        <v>20330575</v>
      </c>
      <c r="H45" s="32" t="s">
        <v>62</v>
      </c>
      <c r="I45" s="67">
        <v>3</v>
      </c>
      <c r="J45" s="68">
        <v>5.6</v>
      </c>
      <c r="K45" s="68">
        <v>16.8</v>
      </c>
      <c r="L45">
        <f t="shared" si="1"/>
        <v>8</v>
      </c>
    </row>
    <row r="46" spans="4:12">
      <c r="D46" s="66">
        <v>46133</v>
      </c>
      <c r="E46" s="32">
        <v>1596812</v>
      </c>
      <c r="F46" s="32" t="s">
        <v>13</v>
      </c>
      <c r="G46" s="67">
        <v>20316670</v>
      </c>
      <c r="H46" s="32" t="s">
        <v>76</v>
      </c>
      <c r="I46" s="67">
        <v>4</v>
      </c>
      <c r="J46" s="68">
        <v>5.6</v>
      </c>
      <c r="K46" s="68">
        <v>22.4</v>
      </c>
      <c r="L46">
        <f t="shared" si="1"/>
        <v>8</v>
      </c>
    </row>
    <row r="47" spans="4:12">
      <c r="D47" s="66">
        <v>46133</v>
      </c>
      <c r="E47" s="32">
        <v>1596812</v>
      </c>
      <c r="F47" s="32" t="s">
        <v>13</v>
      </c>
      <c r="G47" s="67">
        <v>20014828</v>
      </c>
      <c r="H47" s="32" t="s">
        <v>22</v>
      </c>
      <c r="I47" s="67">
        <v>2</v>
      </c>
      <c r="J47" s="68">
        <v>5.6</v>
      </c>
      <c r="K47" s="68">
        <v>11.2</v>
      </c>
      <c r="L47">
        <f t="shared" si="1"/>
        <v>8</v>
      </c>
    </row>
    <row r="48" spans="4:12">
      <c r="D48" s="66">
        <v>46133</v>
      </c>
      <c r="E48" s="32">
        <v>1596812</v>
      </c>
      <c r="F48" s="32" t="s">
        <v>18</v>
      </c>
      <c r="G48" s="67">
        <v>20012184</v>
      </c>
      <c r="H48" s="32" t="s">
        <v>77</v>
      </c>
      <c r="I48" s="67">
        <v>20</v>
      </c>
      <c r="J48" s="68">
        <v>1.75</v>
      </c>
      <c r="K48" s="68">
        <v>35</v>
      </c>
      <c r="L48">
        <f t="shared" si="1"/>
        <v>2.5</v>
      </c>
    </row>
    <row r="49" spans="4:12">
      <c r="D49" s="66">
        <v>46140</v>
      </c>
      <c r="E49" s="32">
        <v>1598824</v>
      </c>
      <c r="F49" s="32" t="s">
        <v>18</v>
      </c>
      <c r="G49" s="67">
        <v>20012184</v>
      </c>
      <c r="H49" s="32" t="s">
        <v>77</v>
      </c>
      <c r="I49" s="67">
        <v>30</v>
      </c>
      <c r="J49" s="68">
        <v>1.75</v>
      </c>
      <c r="K49" s="68">
        <v>52.5</v>
      </c>
      <c r="L49">
        <f t="shared" si="1"/>
        <v>2.5</v>
      </c>
    </row>
    <row r="50" spans="4:12">
      <c r="D50" s="66">
        <v>46140</v>
      </c>
      <c r="E50" s="32">
        <v>1598920</v>
      </c>
      <c r="F50" s="32" t="s">
        <v>46</v>
      </c>
      <c r="G50" s="67">
        <v>20010992</v>
      </c>
      <c r="H50" s="32" t="s">
        <v>47</v>
      </c>
      <c r="I50" s="67">
        <v>2</v>
      </c>
      <c r="J50" s="68">
        <v>11.2</v>
      </c>
      <c r="K50" s="68">
        <v>22.4</v>
      </c>
      <c r="L50">
        <f t="shared" si="1"/>
        <v>16</v>
      </c>
    </row>
    <row r="51" spans="4:12">
      <c r="D51" s="66">
        <v>46140</v>
      </c>
      <c r="E51" s="32">
        <v>1598920</v>
      </c>
      <c r="F51" s="32" t="s">
        <v>13</v>
      </c>
      <c r="G51" s="67">
        <v>20008409</v>
      </c>
      <c r="H51" s="32" t="s">
        <v>53</v>
      </c>
      <c r="I51" s="67">
        <v>1</v>
      </c>
      <c r="J51" s="68">
        <v>5.6</v>
      </c>
      <c r="K51" s="68">
        <v>5.6</v>
      </c>
      <c r="L51">
        <f t="shared" si="1"/>
        <v>8</v>
      </c>
    </row>
    <row r="52" spans="4:12">
      <c r="D52" s="66">
        <v>46140</v>
      </c>
      <c r="E52" s="32">
        <v>1598920</v>
      </c>
      <c r="F52" s="32" t="s">
        <v>13</v>
      </c>
      <c r="G52" s="67">
        <v>20012489</v>
      </c>
      <c r="H52" s="32" t="s">
        <v>75</v>
      </c>
      <c r="I52" s="67">
        <v>1</v>
      </c>
      <c r="J52" s="68">
        <v>5.6</v>
      </c>
      <c r="K52" s="68">
        <v>5.6</v>
      </c>
      <c r="L52">
        <f t="shared" si="1"/>
        <v>8</v>
      </c>
    </row>
    <row r="53" spans="4:12">
      <c r="D53" s="66">
        <v>46140</v>
      </c>
      <c r="E53" s="32">
        <v>1598920</v>
      </c>
      <c r="F53" s="32" t="s">
        <v>13</v>
      </c>
      <c r="G53" s="67">
        <v>20330575</v>
      </c>
      <c r="H53" s="32" t="s">
        <v>62</v>
      </c>
      <c r="I53" s="67">
        <v>4</v>
      </c>
      <c r="J53" s="68">
        <v>5.6</v>
      </c>
      <c r="K53" s="68">
        <v>22.4</v>
      </c>
      <c r="L53">
        <f t="shared" si="1"/>
        <v>8</v>
      </c>
    </row>
    <row r="54" spans="4:12">
      <c r="D54" s="66">
        <v>46140</v>
      </c>
      <c r="E54" s="32">
        <v>1598920</v>
      </c>
      <c r="F54" s="32" t="s">
        <v>13</v>
      </c>
      <c r="G54" s="67">
        <v>20316670</v>
      </c>
      <c r="H54" s="32" t="s">
        <v>76</v>
      </c>
      <c r="I54" s="67">
        <v>7</v>
      </c>
      <c r="J54" s="68">
        <v>5.6</v>
      </c>
      <c r="K54" s="68">
        <v>39.2</v>
      </c>
      <c r="L54">
        <f t="shared" si="1"/>
        <v>8</v>
      </c>
    </row>
    <row r="55" spans="4:12">
      <c r="D55" s="66">
        <v>46140</v>
      </c>
      <c r="E55" s="32">
        <v>1598920</v>
      </c>
      <c r="F55" s="32" t="s">
        <v>13</v>
      </c>
      <c r="G55" s="67">
        <v>20011545</v>
      </c>
      <c r="H55" s="32" t="s">
        <v>15</v>
      </c>
      <c r="I55" s="67">
        <v>2</v>
      </c>
      <c r="J55" s="68">
        <v>5.6</v>
      </c>
      <c r="K55" s="68">
        <v>11.2</v>
      </c>
      <c r="L55">
        <f t="shared" si="1"/>
        <v>8</v>
      </c>
    </row>
    <row r="56" spans="4:12">
      <c r="D56" s="66">
        <v>46140</v>
      </c>
      <c r="E56" s="32">
        <v>1598920</v>
      </c>
      <c r="F56" s="32" t="s">
        <v>13</v>
      </c>
      <c r="G56" s="67">
        <v>20014828</v>
      </c>
      <c r="H56" s="32" t="s">
        <v>22</v>
      </c>
      <c r="I56" s="67">
        <v>1</v>
      </c>
      <c r="J56" s="68">
        <v>5.6</v>
      </c>
      <c r="K56" s="68">
        <v>5.6</v>
      </c>
      <c r="L56">
        <f t="shared" si="1"/>
        <v>8</v>
      </c>
    </row>
    <row r="57" spans="4:12">
      <c r="D57" s="66">
        <v>46140</v>
      </c>
      <c r="E57" s="32">
        <v>1598920</v>
      </c>
      <c r="F57" s="32" t="s">
        <v>23</v>
      </c>
      <c r="G57" s="67">
        <v>20006846</v>
      </c>
      <c r="H57" s="32" t="s">
        <v>81</v>
      </c>
      <c r="I57" s="67">
        <v>1</v>
      </c>
      <c r="J57" s="68">
        <v>42.35</v>
      </c>
      <c r="K57" s="68">
        <v>42.35</v>
      </c>
      <c r="L57">
        <f t="shared" si="1"/>
        <v>60.5</v>
      </c>
    </row>
    <row r="58" spans="4:12">
      <c r="D58" s="66">
        <v>46142</v>
      </c>
      <c r="E58" s="32">
        <v>1599635</v>
      </c>
      <c r="F58" s="32" t="s">
        <v>46</v>
      </c>
      <c r="G58" s="67">
        <v>20010992</v>
      </c>
      <c r="H58" s="32" t="s">
        <v>47</v>
      </c>
      <c r="I58" s="67">
        <v>1</v>
      </c>
      <c r="J58" s="68">
        <v>11.2</v>
      </c>
      <c r="K58" s="68">
        <v>11.2</v>
      </c>
      <c r="L58">
        <f t="shared" si="1"/>
        <v>16</v>
      </c>
    </row>
    <row r="59" spans="4:12">
      <c r="D59" s="66">
        <v>46142</v>
      </c>
      <c r="E59" s="32">
        <v>1599635</v>
      </c>
      <c r="F59" s="32" t="s">
        <v>13</v>
      </c>
      <c r="G59" s="67">
        <v>20011204</v>
      </c>
      <c r="H59" s="32" t="s">
        <v>74</v>
      </c>
      <c r="I59" s="67">
        <v>1</v>
      </c>
      <c r="J59" s="68">
        <v>5.6</v>
      </c>
      <c r="K59" s="68">
        <v>5.6</v>
      </c>
      <c r="L59">
        <f t="shared" si="1"/>
        <v>8</v>
      </c>
    </row>
    <row r="60" spans="4:12">
      <c r="D60" s="66">
        <v>46142</v>
      </c>
      <c r="E60" s="32">
        <v>1599635</v>
      </c>
      <c r="F60" s="32" t="s">
        <v>13</v>
      </c>
      <c r="G60" s="67">
        <v>20008322</v>
      </c>
      <c r="H60" s="32" t="s">
        <v>14</v>
      </c>
      <c r="I60" s="67">
        <v>1</v>
      </c>
      <c r="J60" s="68">
        <v>5.6</v>
      </c>
      <c r="K60" s="68">
        <v>5.6</v>
      </c>
      <c r="L60">
        <f t="shared" si="1"/>
        <v>8</v>
      </c>
    </row>
    <row r="61" spans="4:12">
      <c r="D61" s="66">
        <v>46142</v>
      </c>
      <c r="E61" s="32">
        <v>1599635</v>
      </c>
      <c r="F61" s="32" t="s">
        <v>13</v>
      </c>
      <c r="G61" s="67">
        <v>20316670</v>
      </c>
      <c r="H61" s="32" t="s">
        <v>76</v>
      </c>
      <c r="I61" s="67">
        <v>2</v>
      </c>
      <c r="J61" s="68">
        <v>5.6</v>
      </c>
      <c r="K61" s="68">
        <v>11.2</v>
      </c>
      <c r="L61">
        <f t="shared" si="1"/>
        <v>8</v>
      </c>
    </row>
    <row r="62" spans="4:12">
      <c r="D62" s="66">
        <v>46142</v>
      </c>
      <c r="E62" s="32">
        <v>1599635</v>
      </c>
      <c r="F62" s="32" t="s">
        <v>13</v>
      </c>
      <c r="G62" s="67">
        <v>20014828</v>
      </c>
      <c r="H62" s="32" t="s">
        <v>22</v>
      </c>
      <c r="I62" s="67">
        <v>1</v>
      </c>
      <c r="J62" s="68">
        <v>5.6</v>
      </c>
      <c r="K62" s="68">
        <v>5.6</v>
      </c>
      <c r="L62">
        <f t="shared" si="1"/>
        <v>8</v>
      </c>
    </row>
  </sheetData>
  <autoFilter xmlns:etc="http://www.wps.cn/officeDocument/2017/etCustomData" ref="A7:K62" etc:filterBottomFollowUsedRange="0">
    <extLst/>
  </autoFilter>
  <mergeCells count="5">
    <mergeCell ref="D8:H8"/>
    <mergeCell ref="C7:C62"/>
    <mergeCell ref="B4:H5"/>
    <mergeCell ref="A7:B62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&amp;"-,Regular"2026年5月6日 8:42 
&amp;"-,Bold"&amp;10 黑龙江省铂康医疗灭菌有限公司 &amp;R&amp;"Droid Sans Fallback"&amp;9第&amp;P页，共&amp;N页 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45"/>
  <sheetViews>
    <sheetView showGridLines="0" view="pageBreakPreview" zoomScaleNormal="100" workbookViewId="0">
      <pane ySplit="6" topLeftCell="A7" activePane="bottomLeft" state="frozen"/>
      <selection/>
      <selection pane="bottomLeft" activeCell="K9" sqref="K9:K47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375" customWidth="1"/>
  </cols>
  <sheetData>
    <row r="1" spans="1:12">
      <c r="C1" s="15" t="s">
        <v>0</v>
      </c>
    </row>
    <row r="2" ht="23.05" customHeight="1"/>
    <row r="3" ht="2" customHeight="1"/>
    <row r="4" ht="15.2" customHeight="1" spans="1:12">
      <c r="B4" s="16" t="s">
        <v>1</v>
      </c>
    </row>
    <row r="6" ht="2.95" customHeight="1"/>
    <row r="7" spans="1:12">
      <c r="A7" s="34" t="s">
        <v>2</v>
      </c>
      <c r="B7" s="17" t="s">
        <v>2</v>
      </c>
      <c r="C7" s="60" t="s">
        <v>2</v>
      </c>
      <c r="D7" s="61" t="s">
        <v>4</v>
      </c>
      <c r="E7" s="61" t="s">
        <v>5</v>
      </c>
      <c r="F7" s="61" t="s">
        <v>6</v>
      </c>
      <c r="G7" s="61" t="s">
        <v>7</v>
      </c>
      <c r="H7" s="61" t="s">
        <v>8</v>
      </c>
      <c r="I7" s="61" t="s">
        <v>9</v>
      </c>
      <c r="J7" s="61" t="s">
        <v>10</v>
      </c>
      <c r="K7" s="61" t="s">
        <v>11</v>
      </c>
    </row>
    <row r="8" ht="14.25" spans="1:12">
      <c r="D8" s="62" t="s">
        <v>82</v>
      </c>
      <c r="E8" s="63" t="s">
        <v>2</v>
      </c>
      <c r="F8" s="63" t="s">
        <v>2</v>
      </c>
      <c r="G8" s="63" t="s">
        <v>2</v>
      </c>
      <c r="H8" s="63" t="s">
        <v>2</v>
      </c>
      <c r="I8" s="64">
        <v>150</v>
      </c>
      <c r="J8" s="65"/>
      <c r="K8" s="65">
        <v>1986.6</v>
      </c>
    </row>
    <row r="9" spans="1:12">
      <c r="D9" s="66">
        <v>46114</v>
      </c>
      <c r="E9" s="32">
        <v>1591544</v>
      </c>
      <c r="F9" s="32" t="s">
        <v>23</v>
      </c>
      <c r="G9" s="67">
        <v>20323253</v>
      </c>
      <c r="H9" s="32" t="s">
        <v>83</v>
      </c>
      <c r="I9" s="67">
        <v>1</v>
      </c>
      <c r="J9" s="68">
        <v>42.35</v>
      </c>
      <c r="K9" s="68">
        <v>42.35</v>
      </c>
      <c r="L9">
        <f>J9/0.7</f>
        <v>60.5</v>
      </c>
    </row>
    <row r="10" spans="1:12">
      <c r="D10" s="66">
        <v>46114</v>
      </c>
      <c r="E10" s="32">
        <v>1591544</v>
      </c>
      <c r="F10" s="32" t="s">
        <v>23</v>
      </c>
      <c r="G10" s="67">
        <v>20323252</v>
      </c>
      <c r="H10" s="32" t="s">
        <v>84</v>
      </c>
      <c r="I10" s="67">
        <v>11</v>
      </c>
      <c r="J10" s="68">
        <v>30.8</v>
      </c>
      <c r="K10" s="68">
        <v>338.8</v>
      </c>
      <c r="L10">
        <f t="shared" ref="L10:L45" si="0">J10/0.7</f>
        <v>44</v>
      </c>
    </row>
    <row r="11" spans="1:12">
      <c r="D11" s="66">
        <v>46115</v>
      </c>
      <c r="E11" s="32">
        <v>1591706</v>
      </c>
      <c r="F11" s="32" t="s">
        <v>46</v>
      </c>
      <c r="G11" s="67">
        <v>20010992</v>
      </c>
      <c r="H11" s="32" t="s">
        <v>47</v>
      </c>
      <c r="I11" s="67">
        <v>1</v>
      </c>
      <c r="J11" s="68">
        <v>11.2</v>
      </c>
      <c r="K11" s="68">
        <v>11.2</v>
      </c>
      <c r="L11">
        <f t="shared" si="0"/>
        <v>16</v>
      </c>
    </row>
    <row r="12" spans="1:12">
      <c r="D12" s="66">
        <v>46115</v>
      </c>
      <c r="E12" s="32">
        <v>1591706</v>
      </c>
      <c r="F12" s="32" t="s">
        <v>13</v>
      </c>
      <c r="G12" s="67">
        <v>20008322</v>
      </c>
      <c r="H12" s="32" t="s">
        <v>14</v>
      </c>
      <c r="I12" s="67">
        <v>6</v>
      </c>
      <c r="J12" s="68">
        <v>5.6</v>
      </c>
      <c r="K12" s="68">
        <v>33.6</v>
      </c>
      <c r="L12">
        <f t="shared" si="0"/>
        <v>8</v>
      </c>
    </row>
    <row r="13" spans="1:12">
      <c r="D13" s="66">
        <v>46115</v>
      </c>
      <c r="E13" s="32">
        <v>1591706</v>
      </c>
      <c r="F13" s="32" t="s">
        <v>13</v>
      </c>
      <c r="G13" s="67">
        <v>20008746</v>
      </c>
      <c r="H13" s="32" t="s">
        <v>85</v>
      </c>
      <c r="I13" s="67">
        <v>2</v>
      </c>
      <c r="J13" s="68">
        <v>5.6</v>
      </c>
      <c r="K13" s="68">
        <v>11.2</v>
      </c>
      <c r="L13">
        <f t="shared" si="0"/>
        <v>8</v>
      </c>
    </row>
    <row r="14" spans="1:12">
      <c r="D14" s="66">
        <v>46115</v>
      </c>
      <c r="E14" s="32">
        <v>1591706</v>
      </c>
      <c r="F14" s="32" t="s">
        <v>13</v>
      </c>
      <c r="G14" s="67">
        <v>20014828</v>
      </c>
      <c r="H14" s="32" t="s">
        <v>22</v>
      </c>
      <c r="I14" s="67">
        <v>8</v>
      </c>
      <c r="J14" s="68">
        <v>5.6</v>
      </c>
      <c r="K14" s="68">
        <v>44.8</v>
      </c>
      <c r="L14">
        <f t="shared" si="0"/>
        <v>8</v>
      </c>
    </row>
    <row r="15" spans="1:12">
      <c r="D15" s="66">
        <v>46121</v>
      </c>
      <c r="E15" s="32">
        <v>1593360</v>
      </c>
      <c r="F15" s="32" t="s">
        <v>46</v>
      </c>
      <c r="G15" s="67">
        <v>20010992</v>
      </c>
      <c r="H15" s="32" t="s">
        <v>47</v>
      </c>
      <c r="I15" s="67">
        <v>1</v>
      </c>
      <c r="J15" s="68">
        <v>11.2</v>
      </c>
      <c r="K15" s="68">
        <v>11.2</v>
      </c>
      <c r="L15">
        <f t="shared" si="0"/>
        <v>16</v>
      </c>
    </row>
    <row r="16" spans="1:12">
      <c r="D16" s="66">
        <v>46121</v>
      </c>
      <c r="E16" s="32">
        <v>1593360</v>
      </c>
      <c r="F16" s="32" t="s">
        <v>13</v>
      </c>
      <c r="G16" s="67">
        <v>20323330</v>
      </c>
      <c r="H16" s="32" t="s">
        <v>86</v>
      </c>
      <c r="I16" s="67">
        <v>2</v>
      </c>
      <c r="J16" s="68">
        <v>5.6</v>
      </c>
      <c r="K16" s="68">
        <v>11.2</v>
      </c>
      <c r="L16">
        <f t="shared" si="0"/>
        <v>8</v>
      </c>
    </row>
    <row r="17" spans="4:12">
      <c r="D17" s="66">
        <v>46121</v>
      </c>
      <c r="E17" s="32">
        <v>1593360</v>
      </c>
      <c r="F17" s="32" t="s">
        <v>13</v>
      </c>
      <c r="G17" s="67">
        <v>20008322</v>
      </c>
      <c r="H17" s="32" t="s">
        <v>14</v>
      </c>
      <c r="I17" s="67">
        <v>8</v>
      </c>
      <c r="J17" s="68">
        <v>5.6</v>
      </c>
      <c r="K17" s="68">
        <v>44.8</v>
      </c>
      <c r="L17">
        <f t="shared" si="0"/>
        <v>8</v>
      </c>
    </row>
    <row r="18" spans="4:12">
      <c r="D18" s="66">
        <v>46121</v>
      </c>
      <c r="E18" s="32">
        <v>1593360</v>
      </c>
      <c r="F18" s="32" t="s">
        <v>13</v>
      </c>
      <c r="G18" s="67">
        <v>20011203</v>
      </c>
      <c r="H18" s="32" t="s">
        <v>87</v>
      </c>
      <c r="I18" s="67">
        <v>2</v>
      </c>
      <c r="J18" s="68">
        <v>5.6</v>
      </c>
      <c r="K18" s="68">
        <v>11.2</v>
      </c>
      <c r="L18">
        <f t="shared" si="0"/>
        <v>8</v>
      </c>
    </row>
    <row r="19" spans="4:12">
      <c r="D19" s="66">
        <v>46121</v>
      </c>
      <c r="E19" s="32">
        <v>1593360</v>
      </c>
      <c r="F19" s="32" t="s">
        <v>13</v>
      </c>
      <c r="G19" s="67">
        <v>20321383</v>
      </c>
      <c r="H19" s="32" t="s">
        <v>41</v>
      </c>
      <c r="I19" s="67">
        <v>2</v>
      </c>
      <c r="J19" s="68">
        <v>5.6</v>
      </c>
      <c r="K19" s="68">
        <v>11.2</v>
      </c>
      <c r="L19">
        <f t="shared" si="0"/>
        <v>8</v>
      </c>
    </row>
    <row r="20" spans="4:12">
      <c r="D20" s="66">
        <v>46121</v>
      </c>
      <c r="E20" s="32">
        <v>1593360</v>
      </c>
      <c r="F20" s="32" t="s">
        <v>13</v>
      </c>
      <c r="G20" s="67">
        <v>20323701</v>
      </c>
      <c r="H20" s="32" t="s">
        <v>88</v>
      </c>
      <c r="I20" s="67">
        <v>1</v>
      </c>
      <c r="J20" s="68">
        <v>7.7</v>
      </c>
      <c r="K20" s="68">
        <v>7.7</v>
      </c>
      <c r="L20">
        <f t="shared" si="0"/>
        <v>11</v>
      </c>
    </row>
    <row r="21" spans="4:12">
      <c r="D21" s="66">
        <v>46121</v>
      </c>
      <c r="E21" s="32">
        <v>1593360</v>
      </c>
      <c r="F21" s="32" t="s">
        <v>13</v>
      </c>
      <c r="G21" s="67">
        <v>20006829</v>
      </c>
      <c r="H21" s="32" t="s">
        <v>43</v>
      </c>
      <c r="I21" s="67">
        <v>2</v>
      </c>
      <c r="J21" s="68">
        <v>5.6</v>
      </c>
      <c r="K21" s="68">
        <v>11.2</v>
      </c>
      <c r="L21">
        <f t="shared" si="0"/>
        <v>8</v>
      </c>
    </row>
    <row r="22" spans="4:12">
      <c r="D22" s="66">
        <v>46121</v>
      </c>
      <c r="E22" s="32">
        <v>1593360</v>
      </c>
      <c r="F22" s="32" t="s">
        <v>13</v>
      </c>
      <c r="G22" s="67">
        <v>20014828</v>
      </c>
      <c r="H22" s="32" t="s">
        <v>22</v>
      </c>
      <c r="I22" s="67">
        <v>14</v>
      </c>
      <c r="J22" s="68">
        <v>5.6</v>
      </c>
      <c r="K22" s="68">
        <v>78.4</v>
      </c>
      <c r="L22">
        <f t="shared" si="0"/>
        <v>8</v>
      </c>
    </row>
    <row r="23" spans="4:12">
      <c r="D23" s="66">
        <v>46121</v>
      </c>
      <c r="E23" s="32">
        <v>1593360</v>
      </c>
      <c r="F23" s="32" t="s">
        <v>23</v>
      </c>
      <c r="G23" s="67">
        <v>20323252</v>
      </c>
      <c r="H23" s="32" t="s">
        <v>84</v>
      </c>
      <c r="I23" s="67">
        <v>3</v>
      </c>
      <c r="J23" s="68">
        <v>30.8</v>
      </c>
      <c r="K23" s="68">
        <v>92.4</v>
      </c>
      <c r="L23">
        <f t="shared" si="0"/>
        <v>44</v>
      </c>
    </row>
    <row r="24" spans="4:12">
      <c r="D24" s="66">
        <v>46126</v>
      </c>
      <c r="E24" s="32">
        <v>1594758</v>
      </c>
      <c r="F24" s="32" t="s">
        <v>46</v>
      </c>
      <c r="G24" s="67">
        <v>20010992</v>
      </c>
      <c r="H24" s="32" t="s">
        <v>47</v>
      </c>
      <c r="I24" s="67">
        <v>1</v>
      </c>
      <c r="J24" s="68">
        <v>11.2</v>
      </c>
      <c r="K24" s="68">
        <v>11.2</v>
      </c>
      <c r="L24">
        <f t="shared" si="0"/>
        <v>16</v>
      </c>
    </row>
    <row r="25" spans="4:12">
      <c r="D25" s="66">
        <v>46126</v>
      </c>
      <c r="E25" s="32">
        <v>1594758</v>
      </c>
      <c r="F25" s="32" t="s">
        <v>13</v>
      </c>
      <c r="G25" s="67">
        <v>20011204</v>
      </c>
      <c r="H25" s="32" t="s">
        <v>74</v>
      </c>
      <c r="I25" s="67">
        <v>1</v>
      </c>
      <c r="J25" s="68">
        <v>5.6</v>
      </c>
      <c r="K25" s="68">
        <v>5.6</v>
      </c>
      <c r="L25">
        <f t="shared" si="0"/>
        <v>8</v>
      </c>
    </row>
    <row r="26" spans="4:12">
      <c r="D26" s="66">
        <v>46126</v>
      </c>
      <c r="E26" s="32">
        <v>1594758</v>
      </c>
      <c r="F26" s="32" t="s">
        <v>13</v>
      </c>
      <c r="G26" s="67">
        <v>20012489</v>
      </c>
      <c r="H26" s="32" t="s">
        <v>75</v>
      </c>
      <c r="I26" s="67">
        <v>1</v>
      </c>
      <c r="J26" s="68">
        <v>5.6</v>
      </c>
      <c r="K26" s="68">
        <v>5.6</v>
      </c>
      <c r="L26">
        <f t="shared" si="0"/>
        <v>8</v>
      </c>
    </row>
    <row r="27" spans="4:12">
      <c r="D27" s="66">
        <v>46126</v>
      </c>
      <c r="E27" s="32">
        <v>1594758</v>
      </c>
      <c r="F27" s="32" t="s">
        <v>13</v>
      </c>
      <c r="G27" s="67">
        <v>20008322</v>
      </c>
      <c r="H27" s="32" t="s">
        <v>14</v>
      </c>
      <c r="I27" s="67">
        <v>7</v>
      </c>
      <c r="J27" s="68">
        <v>5.6</v>
      </c>
      <c r="K27" s="68">
        <v>39.2</v>
      </c>
      <c r="L27">
        <f t="shared" si="0"/>
        <v>8</v>
      </c>
    </row>
    <row r="28" spans="4:12">
      <c r="D28" s="66">
        <v>46126</v>
      </c>
      <c r="E28" s="32">
        <v>1594758</v>
      </c>
      <c r="F28" s="32" t="s">
        <v>13</v>
      </c>
      <c r="G28" s="67">
        <v>20321383</v>
      </c>
      <c r="H28" s="32" t="s">
        <v>41</v>
      </c>
      <c r="I28" s="67">
        <v>1</v>
      </c>
      <c r="J28" s="68">
        <v>5.6</v>
      </c>
      <c r="K28" s="68">
        <v>5.6</v>
      </c>
      <c r="L28">
        <f t="shared" si="0"/>
        <v>8</v>
      </c>
    </row>
    <row r="29" spans="4:12">
      <c r="D29" s="66">
        <v>46126</v>
      </c>
      <c r="E29" s="32">
        <v>1594758</v>
      </c>
      <c r="F29" s="32" t="s">
        <v>13</v>
      </c>
      <c r="G29" s="67">
        <v>20014828</v>
      </c>
      <c r="H29" s="32" t="s">
        <v>22</v>
      </c>
      <c r="I29" s="67">
        <v>8</v>
      </c>
      <c r="J29" s="68">
        <v>5.6</v>
      </c>
      <c r="K29" s="68">
        <v>44.8</v>
      </c>
      <c r="L29">
        <f t="shared" si="0"/>
        <v>8</v>
      </c>
    </row>
    <row r="30" spans="4:12">
      <c r="D30" s="66">
        <v>46126</v>
      </c>
      <c r="E30" s="32">
        <v>1594758</v>
      </c>
      <c r="F30" s="32" t="s">
        <v>23</v>
      </c>
      <c r="G30" s="67">
        <v>20323253</v>
      </c>
      <c r="H30" s="32" t="s">
        <v>83</v>
      </c>
      <c r="I30" s="67">
        <v>1</v>
      </c>
      <c r="J30" s="68">
        <v>42.35</v>
      </c>
      <c r="K30" s="68">
        <v>42.35</v>
      </c>
      <c r="L30">
        <f t="shared" si="0"/>
        <v>60.5</v>
      </c>
    </row>
    <row r="31" spans="4:12">
      <c r="D31" s="66">
        <v>46126</v>
      </c>
      <c r="E31" s="32">
        <v>1594758</v>
      </c>
      <c r="F31" s="32" t="s">
        <v>23</v>
      </c>
      <c r="G31" s="67">
        <v>20323252</v>
      </c>
      <c r="H31" s="32" t="s">
        <v>84</v>
      </c>
      <c r="I31" s="67">
        <v>6</v>
      </c>
      <c r="J31" s="68">
        <v>30.8</v>
      </c>
      <c r="K31" s="68">
        <v>184.8</v>
      </c>
      <c r="L31">
        <f t="shared" si="0"/>
        <v>44</v>
      </c>
    </row>
    <row r="32" spans="4:12">
      <c r="D32" s="66">
        <v>46133</v>
      </c>
      <c r="E32" s="32">
        <v>1596813</v>
      </c>
      <c r="F32" s="32" t="s">
        <v>46</v>
      </c>
      <c r="G32" s="67">
        <v>20010992</v>
      </c>
      <c r="H32" s="32" t="s">
        <v>47</v>
      </c>
      <c r="I32" s="67">
        <v>1</v>
      </c>
      <c r="J32" s="68">
        <v>11.2</v>
      </c>
      <c r="K32" s="68">
        <v>11.2</v>
      </c>
      <c r="L32">
        <f t="shared" si="0"/>
        <v>16</v>
      </c>
    </row>
    <row r="33" spans="4:12">
      <c r="D33" s="66">
        <v>46133</v>
      </c>
      <c r="E33" s="32">
        <v>1596813</v>
      </c>
      <c r="F33" s="32" t="s">
        <v>13</v>
      </c>
      <c r="G33" s="67">
        <v>20011204</v>
      </c>
      <c r="H33" s="32" t="s">
        <v>74</v>
      </c>
      <c r="I33" s="67">
        <v>2</v>
      </c>
      <c r="J33" s="68">
        <v>5.6</v>
      </c>
      <c r="K33" s="68">
        <v>11.2</v>
      </c>
      <c r="L33">
        <f t="shared" si="0"/>
        <v>8</v>
      </c>
    </row>
    <row r="34" spans="4:12">
      <c r="D34" s="66">
        <v>46133</v>
      </c>
      <c r="E34" s="32">
        <v>1596813</v>
      </c>
      <c r="F34" s="32" t="s">
        <v>13</v>
      </c>
      <c r="G34" s="67">
        <v>20012489</v>
      </c>
      <c r="H34" s="32" t="s">
        <v>75</v>
      </c>
      <c r="I34" s="67">
        <v>1</v>
      </c>
      <c r="J34" s="68">
        <v>5.6</v>
      </c>
      <c r="K34" s="68">
        <v>5.6</v>
      </c>
      <c r="L34">
        <f t="shared" si="0"/>
        <v>8</v>
      </c>
    </row>
    <row r="35" spans="4:12">
      <c r="D35" s="66">
        <v>46133</v>
      </c>
      <c r="E35" s="32">
        <v>1596813</v>
      </c>
      <c r="F35" s="32" t="s">
        <v>13</v>
      </c>
      <c r="G35" s="67">
        <v>20008322</v>
      </c>
      <c r="H35" s="32" t="s">
        <v>14</v>
      </c>
      <c r="I35" s="67">
        <v>4</v>
      </c>
      <c r="J35" s="68">
        <v>5.6</v>
      </c>
      <c r="K35" s="68">
        <v>22.4</v>
      </c>
      <c r="L35">
        <f t="shared" si="0"/>
        <v>8</v>
      </c>
    </row>
    <row r="36" spans="4:12">
      <c r="D36" s="66">
        <v>46133</v>
      </c>
      <c r="E36" s="32">
        <v>1596813</v>
      </c>
      <c r="F36" s="32" t="s">
        <v>13</v>
      </c>
      <c r="G36" s="67">
        <v>20321383</v>
      </c>
      <c r="H36" s="32" t="s">
        <v>41</v>
      </c>
      <c r="I36" s="67">
        <v>2</v>
      </c>
      <c r="J36" s="68">
        <v>5.6</v>
      </c>
      <c r="K36" s="68">
        <v>11.2</v>
      </c>
      <c r="L36">
        <f t="shared" si="0"/>
        <v>8</v>
      </c>
    </row>
    <row r="37" spans="4:12">
      <c r="D37" s="66">
        <v>46133</v>
      </c>
      <c r="E37" s="32">
        <v>1596813</v>
      </c>
      <c r="F37" s="32" t="s">
        <v>13</v>
      </c>
      <c r="G37" s="67">
        <v>20014828</v>
      </c>
      <c r="H37" s="32" t="s">
        <v>22</v>
      </c>
      <c r="I37" s="67">
        <v>8</v>
      </c>
      <c r="J37" s="68">
        <v>5.6</v>
      </c>
      <c r="K37" s="68">
        <v>44.8</v>
      </c>
      <c r="L37">
        <f t="shared" si="0"/>
        <v>8</v>
      </c>
    </row>
    <row r="38" spans="4:12">
      <c r="D38" s="66">
        <v>46133</v>
      </c>
      <c r="E38" s="32">
        <v>1596813</v>
      </c>
      <c r="F38" s="32" t="s">
        <v>23</v>
      </c>
      <c r="G38" s="67">
        <v>20323253</v>
      </c>
      <c r="H38" s="32" t="s">
        <v>83</v>
      </c>
      <c r="I38" s="67">
        <v>1</v>
      </c>
      <c r="J38" s="68">
        <v>42.35</v>
      </c>
      <c r="K38" s="68">
        <v>42.35</v>
      </c>
      <c r="L38">
        <f t="shared" si="0"/>
        <v>60.5</v>
      </c>
    </row>
    <row r="39" spans="4:12">
      <c r="D39" s="66">
        <v>46133</v>
      </c>
      <c r="E39" s="32">
        <v>1596813</v>
      </c>
      <c r="F39" s="32" t="s">
        <v>23</v>
      </c>
      <c r="G39" s="67">
        <v>20323252</v>
      </c>
      <c r="H39" s="32" t="s">
        <v>84</v>
      </c>
      <c r="I39" s="67">
        <v>9</v>
      </c>
      <c r="J39" s="68">
        <v>30.8</v>
      </c>
      <c r="K39" s="68">
        <v>277.2</v>
      </c>
      <c r="L39">
        <f t="shared" si="0"/>
        <v>44</v>
      </c>
    </row>
    <row r="40" spans="4:12">
      <c r="D40" s="66">
        <v>46142</v>
      </c>
      <c r="E40" s="32">
        <v>1599636</v>
      </c>
      <c r="F40" s="32" t="s">
        <v>13</v>
      </c>
      <c r="G40" s="67">
        <v>20011204</v>
      </c>
      <c r="H40" s="32" t="s">
        <v>74</v>
      </c>
      <c r="I40" s="67">
        <v>1</v>
      </c>
      <c r="J40" s="68">
        <v>5.6</v>
      </c>
      <c r="K40" s="68">
        <v>5.6</v>
      </c>
      <c r="L40">
        <f t="shared" si="0"/>
        <v>8</v>
      </c>
    </row>
    <row r="41" spans="4:12">
      <c r="D41" s="66">
        <v>46142</v>
      </c>
      <c r="E41" s="32">
        <v>1599636</v>
      </c>
      <c r="F41" s="32" t="s">
        <v>13</v>
      </c>
      <c r="G41" s="67">
        <v>20008322</v>
      </c>
      <c r="H41" s="32" t="s">
        <v>14</v>
      </c>
      <c r="I41" s="67">
        <v>7</v>
      </c>
      <c r="J41" s="68">
        <v>5.6</v>
      </c>
      <c r="K41" s="68">
        <v>39.2</v>
      </c>
      <c r="L41">
        <f t="shared" si="0"/>
        <v>8</v>
      </c>
    </row>
    <row r="42" customFormat="1" spans="4:12">
      <c r="D42" s="66">
        <v>46142</v>
      </c>
      <c r="E42" s="32">
        <v>1599636</v>
      </c>
      <c r="F42" s="32" t="s">
        <v>13</v>
      </c>
      <c r="G42" s="67">
        <v>20013461</v>
      </c>
      <c r="H42" s="32" t="s">
        <v>89</v>
      </c>
      <c r="I42" s="67">
        <v>1</v>
      </c>
      <c r="J42" s="68">
        <v>11.55</v>
      </c>
      <c r="K42" s="68">
        <f>J42*I42</f>
        <v>11.55</v>
      </c>
      <c r="L42">
        <f t="shared" si="0"/>
        <v>16.5</v>
      </c>
    </row>
    <row r="43" spans="4:12">
      <c r="D43" s="66">
        <v>46142</v>
      </c>
      <c r="E43" s="32">
        <v>1599636</v>
      </c>
      <c r="F43" s="32" t="s">
        <v>13</v>
      </c>
      <c r="G43" s="67">
        <v>20014828</v>
      </c>
      <c r="H43" s="32" t="s">
        <v>22</v>
      </c>
      <c r="I43" s="67">
        <v>13</v>
      </c>
      <c r="J43" s="68">
        <v>5.6</v>
      </c>
      <c r="K43" s="68">
        <v>72.8</v>
      </c>
      <c r="L43">
        <f t="shared" si="0"/>
        <v>8</v>
      </c>
    </row>
    <row r="44" spans="4:12">
      <c r="D44" s="66">
        <v>46142</v>
      </c>
      <c r="E44" s="32">
        <v>1599636</v>
      </c>
      <c r="F44" s="32" t="s">
        <v>23</v>
      </c>
      <c r="G44" s="67">
        <v>20323253</v>
      </c>
      <c r="H44" s="32" t="s">
        <v>83</v>
      </c>
      <c r="I44" s="67">
        <v>2</v>
      </c>
      <c r="J44" s="68">
        <v>42.35</v>
      </c>
      <c r="K44" s="68">
        <v>84.7</v>
      </c>
      <c r="L44">
        <f t="shared" si="0"/>
        <v>60.5</v>
      </c>
    </row>
    <row r="45" spans="4:12">
      <c r="D45" s="66">
        <v>46142</v>
      </c>
      <c r="E45" s="32">
        <v>1599636</v>
      </c>
      <c r="F45" s="32" t="s">
        <v>23</v>
      </c>
      <c r="G45" s="67">
        <v>20323252</v>
      </c>
      <c r="H45" s="32" t="s">
        <v>84</v>
      </c>
      <c r="I45" s="67">
        <v>8</v>
      </c>
      <c r="J45" s="68">
        <v>30.8</v>
      </c>
      <c r="K45" s="68">
        <v>246.4</v>
      </c>
      <c r="L45">
        <f t="shared" si="0"/>
        <v>44</v>
      </c>
    </row>
  </sheetData>
  <autoFilter xmlns:etc="http://www.wps.cn/officeDocument/2017/etCustomData" ref="A7:K45" etc:filterBottomFollowUsedRange="0">
    <extLst/>
  </autoFilter>
  <mergeCells count="5">
    <mergeCell ref="D8:H8"/>
    <mergeCell ref="C7:C45"/>
    <mergeCell ref="B4:H5"/>
    <mergeCell ref="A7:B45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&amp;"-,Regular"2026年5月6日 8:42 
&amp;"-,Bold"&amp;10 黑龙江省铂康医疗灭菌有限公司 &amp;R&amp;"Droid Sans Fallback"&amp;9第&amp;P页，共&amp;N页 </oddFooter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8"/>
  <sheetViews>
    <sheetView showGridLines="0" view="pageBreakPreview" zoomScaleNormal="100" workbookViewId="0">
      <pane ySplit="6" topLeftCell="A7" activePane="bottomLeft" state="frozen"/>
      <selection/>
      <selection pane="bottomLeft" activeCell="K9" sqref="K9:K17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375" customWidth="1"/>
  </cols>
  <sheetData>
    <row r="1" spans="1:11">
      <c r="C1" s="15" t="s">
        <v>0</v>
      </c>
    </row>
    <row r="2" ht="23.05" customHeight="1"/>
    <row r="3" ht="2" customHeight="1"/>
    <row r="4" ht="15.2" customHeight="1" spans="1:11">
      <c r="B4" s="16" t="s">
        <v>1</v>
      </c>
    </row>
    <row r="6" ht="2.95" customHeight="1"/>
    <row r="7" spans="1:11">
      <c r="A7" s="34" t="s">
        <v>2</v>
      </c>
      <c r="B7" s="17" t="s">
        <v>2</v>
      </c>
      <c r="C7" s="60" t="s">
        <v>2</v>
      </c>
      <c r="D7" s="61" t="s">
        <v>4</v>
      </c>
      <c r="E7" s="61" t="s">
        <v>5</v>
      </c>
      <c r="F7" s="61" t="s">
        <v>6</v>
      </c>
      <c r="G7" s="61" t="s">
        <v>7</v>
      </c>
      <c r="H7" s="61" t="s">
        <v>8</v>
      </c>
      <c r="I7" s="61" t="s">
        <v>9</v>
      </c>
      <c r="J7" s="61" t="s">
        <v>10</v>
      </c>
      <c r="K7" s="61" t="s">
        <v>11</v>
      </c>
    </row>
    <row r="8" ht="14.25" spans="1:11">
      <c r="D8" s="62" t="s">
        <v>90</v>
      </c>
      <c r="E8" s="63" t="s">
        <v>2</v>
      </c>
      <c r="F8" s="63" t="s">
        <v>2</v>
      </c>
      <c r="G8" s="63" t="s">
        <v>2</v>
      </c>
      <c r="H8" s="63" t="s">
        <v>2</v>
      </c>
      <c r="I8" s="64">
        <v>39</v>
      </c>
      <c r="J8" s="65"/>
      <c r="K8" s="65">
        <v>109.2</v>
      </c>
    </row>
    <row r="9" spans="1:11">
      <c r="D9" s="66">
        <v>46114</v>
      </c>
      <c r="E9" s="32">
        <v>1591545</v>
      </c>
      <c r="F9" s="32" t="s">
        <v>18</v>
      </c>
      <c r="G9" s="67">
        <v>20361390</v>
      </c>
      <c r="H9" s="32" t="s">
        <v>91</v>
      </c>
      <c r="I9" s="67">
        <v>3</v>
      </c>
      <c r="J9" s="68">
        <v>2.8</v>
      </c>
      <c r="K9" s="68">
        <v>8.4</v>
      </c>
    </row>
    <row r="10" spans="1:11">
      <c r="D10" s="66">
        <v>46119</v>
      </c>
      <c r="E10" s="32">
        <v>1592586</v>
      </c>
      <c r="F10" s="32" t="s">
        <v>18</v>
      </c>
      <c r="G10" s="67">
        <v>20361390</v>
      </c>
      <c r="H10" s="32" t="s">
        <v>91</v>
      </c>
      <c r="I10" s="67">
        <v>5</v>
      </c>
      <c r="J10" s="68">
        <v>2.8</v>
      </c>
      <c r="K10" s="68">
        <v>14</v>
      </c>
    </row>
    <row r="11" spans="1:11">
      <c r="D11" s="66">
        <v>46121</v>
      </c>
      <c r="E11" s="32">
        <v>1593361</v>
      </c>
      <c r="F11" s="32" t="s">
        <v>18</v>
      </c>
      <c r="G11" s="67">
        <v>20361390</v>
      </c>
      <c r="H11" s="32" t="s">
        <v>91</v>
      </c>
      <c r="I11" s="67">
        <v>3</v>
      </c>
      <c r="J11" s="68">
        <v>2.8</v>
      </c>
      <c r="K11" s="68">
        <v>8.4</v>
      </c>
    </row>
    <row r="12" spans="1:11">
      <c r="D12" s="66">
        <v>46126</v>
      </c>
      <c r="E12" s="32">
        <v>1594759</v>
      </c>
      <c r="F12" s="32" t="s">
        <v>18</v>
      </c>
      <c r="G12" s="67">
        <v>20361390</v>
      </c>
      <c r="H12" s="32" t="s">
        <v>91</v>
      </c>
      <c r="I12" s="67">
        <v>5</v>
      </c>
      <c r="J12" s="68">
        <v>2.8</v>
      </c>
      <c r="K12" s="68">
        <v>14</v>
      </c>
    </row>
    <row r="13" spans="1:11">
      <c r="D13" s="66">
        <v>46128</v>
      </c>
      <c r="E13" s="32">
        <v>1595535</v>
      </c>
      <c r="F13" s="32" t="s">
        <v>18</v>
      </c>
      <c r="G13" s="67">
        <v>20361390</v>
      </c>
      <c r="H13" s="32" t="s">
        <v>91</v>
      </c>
      <c r="I13" s="67">
        <v>4</v>
      </c>
      <c r="J13" s="68">
        <v>2.8</v>
      </c>
      <c r="K13" s="68">
        <v>11.2</v>
      </c>
    </row>
    <row r="14" spans="1:11">
      <c r="D14" s="66">
        <v>46133</v>
      </c>
      <c r="E14" s="32">
        <v>1596814</v>
      </c>
      <c r="F14" s="32" t="s">
        <v>18</v>
      </c>
      <c r="G14" s="67">
        <v>20361390</v>
      </c>
      <c r="H14" s="32" t="s">
        <v>91</v>
      </c>
      <c r="I14" s="67">
        <v>6</v>
      </c>
      <c r="J14" s="68">
        <v>2.8</v>
      </c>
      <c r="K14" s="68">
        <v>16.8</v>
      </c>
    </row>
    <row r="15" spans="1:11">
      <c r="D15" s="66">
        <v>46135</v>
      </c>
      <c r="E15" s="32">
        <v>1597600</v>
      </c>
      <c r="F15" s="32" t="s">
        <v>18</v>
      </c>
      <c r="G15" s="67">
        <v>20361390</v>
      </c>
      <c r="H15" s="32" t="s">
        <v>91</v>
      </c>
      <c r="I15" s="67">
        <v>3</v>
      </c>
      <c r="J15" s="68">
        <v>2.8</v>
      </c>
      <c r="K15" s="68">
        <v>8.4</v>
      </c>
    </row>
    <row r="16" spans="1:11">
      <c r="D16" s="66">
        <v>46140</v>
      </c>
      <c r="E16" s="32">
        <v>1598821</v>
      </c>
      <c r="F16" s="32" t="s">
        <v>18</v>
      </c>
      <c r="G16" s="67">
        <v>20353663</v>
      </c>
      <c r="H16" s="32" t="s">
        <v>92</v>
      </c>
      <c r="I16" s="67">
        <v>6</v>
      </c>
      <c r="J16" s="68">
        <v>2.8</v>
      </c>
      <c r="K16" s="68">
        <v>16.8</v>
      </c>
    </row>
    <row r="17" spans="4:11">
      <c r="D17" s="66">
        <v>46142</v>
      </c>
      <c r="E17" s="32">
        <v>1599637</v>
      </c>
      <c r="F17" s="32" t="s">
        <v>18</v>
      </c>
      <c r="G17" s="67">
        <v>20361390</v>
      </c>
      <c r="H17" s="32" t="s">
        <v>91</v>
      </c>
      <c r="I17" s="67">
        <v>4</v>
      </c>
      <c r="J17" s="68">
        <v>2.8</v>
      </c>
      <c r="K17" s="68">
        <v>11.2</v>
      </c>
    </row>
    <row r="18" ht="0.05" customHeight="1"/>
  </sheetData>
  <mergeCells count="5">
    <mergeCell ref="D8:H8"/>
    <mergeCell ref="C7:C17"/>
    <mergeCell ref="B4:H5"/>
    <mergeCell ref="A7:B17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&amp;"-,Regular"2026年5月6日 8:42 
&amp;"-,Bold"&amp;10 黑龙江省铂康医疗灭菌有限公司 &amp;R&amp;"Droid Sans Fallback"&amp;9第&amp;P页，共&amp;N页 </oddFooter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16"/>
  <sheetViews>
    <sheetView showGridLines="0" view="pageBreakPreview" zoomScaleNormal="100" workbookViewId="0">
      <pane ySplit="6" topLeftCell="A7" activePane="bottomLeft" state="frozen"/>
      <selection/>
      <selection pane="bottomLeft" activeCell="K9" sqref="K9:K118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25" customWidth="1"/>
  </cols>
  <sheetData>
    <row r="1" spans="1:12">
      <c r="C1" s="15" t="s">
        <v>0</v>
      </c>
    </row>
    <row r="2" ht="23.05" customHeight="1"/>
    <row r="3" ht="2" customHeight="1"/>
    <row r="4" ht="15.2" customHeight="1" spans="1:12">
      <c r="B4" s="16" t="s">
        <v>1</v>
      </c>
    </row>
    <row r="6" ht="2.95" customHeight="1"/>
    <row r="7" spans="1:12">
      <c r="A7" s="34" t="s">
        <v>2</v>
      </c>
      <c r="B7" s="17" t="s">
        <v>2</v>
      </c>
      <c r="C7" s="60" t="s">
        <v>2</v>
      </c>
      <c r="D7" s="61" t="s">
        <v>4</v>
      </c>
      <c r="E7" s="61" t="s">
        <v>5</v>
      </c>
      <c r="F7" s="61" t="s">
        <v>6</v>
      </c>
      <c r="G7" s="61" t="s">
        <v>7</v>
      </c>
      <c r="H7" s="61" t="s">
        <v>8</v>
      </c>
      <c r="I7" s="61" t="s">
        <v>9</v>
      </c>
      <c r="J7" s="61" t="s">
        <v>10</v>
      </c>
      <c r="K7" s="61" t="s">
        <v>11</v>
      </c>
    </row>
    <row r="8" ht="14.25" spans="1:12">
      <c r="D8" s="62" t="s">
        <v>93</v>
      </c>
      <c r="E8" s="63" t="s">
        <v>2</v>
      </c>
      <c r="F8" s="63" t="s">
        <v>2</v>
      </c>
      <c r="G8" s="63" t="s">
        <v>2</v>
      </c>
      <c r="H8" s="63" t="s">
        <v>2</v>
      </c>
      <c r="I8" s="64">
        <v>141</v>
      </c>
      <c r="J8" s="65"/>
      <c r="K8" s="65">
        <v>3377.15</v>
      </c>
    </row>
    <row r="9" spans="1:12">
      <c r="D9" s="66">
        <v>46113</v>
      </c>
      <c r="E9" s="32">
        <v>1590897</v>
      </c>
      <c r="F9" s="32" t="s">
        <v>13</v>
      </c>
      <c r="G9" s="67">
        <v>20008409</v>
      </c>
      <c r="H9" s="32" t="s">
        <v>53</v>
      </c>
      <c r="I9" s="67">
        <v>1</v>
      </c>
      <c r="J9" s="68">
        <v>5.6</v>
      </c>
      <c r="K9" s="68">
        <v>5.6</v>
      </c>
      <c r="L9">
        <f>J9/0.7</f>
        <v>8</v>
      </c>
    </row>
    <row r="10" spans="1:12">
      <c r="D10" s="66">
        <v>46113</v>
      </c>
      <c r="E10" s="32">
        <v>1590897</v>
      </c>
      <c r="F10" s="32" t="s">
        <v>23</v>
      </c>
      <c r="G10" s="67">
        <v>20338693</v>
      </c>
      <c r="H10" s="32" t="s">
        <v>94</v>
      </c>
      <c r="I10" s="67">
        <v>3</v>
      </c>
      <c r="J10" s="68">
        <v>34.65</v>
      </c>
      <c r="K10" s="68">
        <v>103.95</v>
      </c>
      <c r="L10">
        <f t="shared" ref="L10:L41" si="0">J10/0.7</f>
        <v>49.5</v>
      </c>
    </row>
    <row r="11" spans="1:12">
      <c r="D11" s="66">
        <v>46113</v>
      </c>
      <c r="E11" s="32">
        <v>1591265</v>
      </c>
      <c r="F11" s="32" t="s">
        <v>23</v>
      </c>
      <c r="G11" s="67">
        <v>20338693</v>
      </c>
      <c r="H11" s="32" t="s">
        <v>94</v>
      </c>
      <c r="I11" s="67">
        <v>1</v>
      </c>
      <c r="J11" s="68">
        <v>34.65</v>
      </c>
      <c r="K11" s="68">
        <v>34.65</v>
      </c>
      <c r="L11">
        <f t="shared" si="0"/>
        <v>49.5</v>
      </c>
    </row>
    <row r="12" spans="1:12">
      <c r="D12" s="66">
        <v>46115</v>
      </c>
      <c r="E12" s="32">
        <v>1591707</v>
      </c>
      <c r="F12" s="32" t="s">
        <v>23</v>
      </c>
      <c r="G12" s="67">
        <v>20338693</v>
      </c>
      <c r="H12" s="32" t="s">
        <v>94</v>
      </c>
      <c r="I12" s="67">
        <v>2</v>
      </c>
      <c r="J12" s="68">
        <v>34.65</v>
      </c>
      <c r="K12" s="68">
        <v>69.3</v>
      </c>
      <c r="L12">
        <f t="shared" si="0"/>
        <v>49.5</v>
      </c>
    </row>
    <row r="13" spans="1:12">
      <c r="D13" s="66">
        <v>46115</v>
      </c>
      <c r="E13" s="32">
        <v>1591826</v>
      </c>
      <c r="F13" s="32" t="s">
        <v>27</v>
      </c>
      <c r="G13" s="67">
        <v>20008622</v>
      </c>
      <c r="H13" s="32" t="s">
        <v>95</v>
      </c>
      <c r="I13" s="67">
        <v>3</v>
      </c>
      <c r="J13" s="68">
        <v>15.4</v>
      </c>
      <c r="K13" s="68">
        <v>46.2</v>
      </c>
      <c r="L13">
        <f t="shared" si="0"/>
        <v>22</v>
      </c>
    </row>
    <row r="14" spans="1:12">
      <c r="D14" s="66">
        <v>46115</v>
      </c>
      <c r="E14" s="32">
        <v>1591835</v>
      </c>
      <c r="F14" s="32" t="s">
        <v>13</v>
      </c>
      <c r="G14" s="67">
        <v>20320412</v>
      </c>
      <c r="H14" s="32" t="s">
        <v>96</v>
      </c>
      <c r="I14" s="67">
        <v>1</v>
      </c>
      <c r="J14" s="68">
        <v>7.7</v>
      </c>
      <c r="K14" s="68">
        <v>7.7</v>
      </c>
      <c r="L14">
        <f t="shared" si="0"/>
        <v>11</v>
      </c>
    </row>
    <row r="15" spans="1:12">
      <c r="D15" s="66">
        <v>46115</v>
      </c>
      <c r="E15" s="32">
        <v>1591835</v>
      </c>
      <c r="F15" s="32" t="s">
        <v>23</v>
      </c>
      <c r="G15" s="67">
        <v>20329862</v>
      </c>
      <c r="H15" s="32" t="s">
        <v>97</v>
      </c>
      <c r="I15" s="67">
        <v>1</v>
      </c>
      <c r="J15" s="68">
        <v>96.25</v>
      </c>
      <c r="K15" s="68">
        <v>96.25</v>
      </c>
      <c r="L15">
        <f t="shared" si="0"/>
        <v>137.5</v>
      </c>
    </row>
    <row r="16" spans="1:12">
      <c r="D16" s="66">
        <v>46115</v>
      </c>
      <c r="E16" s="32">
        <v>1591835</v>
      </c>
      <c r="F16" s="32" t="s">
        <v>23</v>
      </c>
      <c r="G16" s="67">
        <v>20329864</v>
      </c>
      <c r="H16" s="32" t="s">
        <v>98</v>
      </c>
      <c r="I16" s="67">
        <v>1</v>
      </c>
      <c r="J16" s="68">
        <v>96.25</v>
      </c>
      <c r="K16" s="68">
        <v>96.25</v>
      </c>
      <c r="L16">
        <f t="shared" si="0"/>
        <v>137.5</v>
      </c>
    </row>
    <row r="17" spans="4:12">
      <c r="D17" s="66">
        <v>46115</v>
      </c>
      <c r="E17" s="32">
        <v>1591835</v>
      </c>
      <c r="F17" s="32" t="s">
        <v>25</v>
      </c>
      <c r="G17" s="67">
        <v>20008214</v>
      </c>
      <c r="H17" s="32" t="s">
        <v>99</v>
      </c>
      <c r="I17" s="67">
        <v>1</v>
      </c>
      <c r="J17" s="68">
        <v>11.55</v>
      </c>
      <c r="K17" s="68">
        <v>11.55</v>
      </c>
      <c r="L17">
        <f t="shared" si="0"/>
        <v>16.5</v>
      </c>
    </row>
    <row r="18" spans="4:12">
      <c r="D18" s="66">
        <v>46117</v>
      </c>
      <c r="E18" s="32">
        <v>1592232</v>
      </c>
      <c r="F18" s="32" t="s">
        <v>13</v>
      </c>
      <c r="G18" s="67">
        <v>20009483</v>
      </c>
      <c r="H18" s="32" t="s">
        <v>60</v>
      </c>
      <c r="I18" s="67">
        <v>1</v>
      </c>
      <c r="J18" s="68">
        <v>7.7</v>
      </c>
      <c r="K18" s="68">
        <v>7.7</v>
      </c>
      <c r="L18">
        <f t="shared" si="0"/>
        <v>11</v>
      </c>
    </row>
    <row r="19" spans="4:12">
      <c r="D19" s="66">
        <v>46117</v>
      </c>
      <c r="E19" s="32">
        <v>1592232</v>
      </c>
      <c r="F19" s="32" t="s">
        <v>23</v>
      </c>
      <c r="G19" s="67">
        <v>20338693</v>
      </c>
      <c r="H19" s="32" t="s">
        <v>94</v>
      </c>
      <c r="I19" s="67">
        <v>3</v>
      </c>
      <c r="J19" s="68">
        <v>34.65</v>
      </c>
      <c r="K19" s="68">
        <v>103.95</v>
      </c>
      <c r="L19">
        <f t="shared" si="0"/>
        <v>49.5</v>
      </c>
    </row>
    <row r="20" ht="25.5" spans="4:12">
      <c r="D20" s="66">
        <v>46117</v>
      </c>
      <c r="E20" s="32">
        <v>1592232</v>
      </c>
      <c r="F20" s="32" t="s">
        <v>25</v>
      </c>
      <c r="G20" s="67">
        <v>20329924</v>
      </c>
      <c r="H20" s="32" t="s">
        <v>100</v>
      </c>
      <c r="I20" s="67">
        <v>1</v>
      </c>
      <c r="J20" s="68">
        <v>65.45</v>
      </c>
      <c r="K20" s="68">
        <v>65.45</v>
      </c>
      <c r="L20">
        <f t="shared" si="0"/>
        <v>93.5</v>
      </c>
    </row>
    <row r="21" spans="4:12">
      <c r="D21" s="66">
        <v>46117</v>
      </c>
      <c r="E21" s="32">
        <v>1592234</v>
      </c>
      <c r="F21" s="32" t="s">
        <v>27</v>
      </c>
      <c r="G21" s="67">
        <v>20362051</v>
      </c>
      <c r="H21" s="32" t="s">
        <v>101</v>
      </c>
      <c r="I21" s="67">
        <v>3</v>
      </c>
      <c r="J21" s="68">
        <v>61.6</v>
      </c>
      <c r="K21" s="68">
        <v>184.8</v>
      </c>
      <c r="L21">
        <f t="shared" si="0"/>
        <v>88</v>
      </c>
    </row>
    <row r="22" spans="4:12">
      <c r="D22" s="66">
        <v>46117</v>
      </c>
      <c r="E22" s="32">
        <v>1592234</v>
      </c>
      <c r="F22" s="32" t="s">
        <v>27</v>
      </c>
      <c r="G22" s="67">
        <v>20362050</v>
      </c>
      <c r="H22" s="32" t="s">
        <v>102</v>
      </c>
      <c r="I22" s="67">
        <v>2</v>
      </c>
      <c r="J22" s="68">
        <v>61.6</v>
      </c>
      <c r="K22" s="68">
        <v>123.2</v>
      </c>
      <c r="L22">
        <f t="shared" si="0"/>
        <v>88</v>
      </c>
    </row>
    <row r="23" spans="4:12">
      <c r="D23" s="66">
        <v>46119</v>
      </c>
      <c r="E23" s="32">
        <v>1592463</v>
      </c>
      <c r="F23" s="32" t="s">
        <v>13</v>
      </c>
      <c r="G23" s="67">
        <v>20006845</v>
      </c>
      <c r="H23" s="32" t="s">
        <v>103</v>
      </c>
      <c r="I23" s="67">
        <v>2</v>
      </c>
      <c r="J23" s="68">
        <v>11.55</v>
      </c>
      <c r="K23" s="68">
        <v>23.1</v>
      </c>
      <c r="L23">
        <f t="shared" si="0"/>
        <v>16.5</v>
      </c>
    </row>
    <row r="24" spans="4:12">
      <c r="D24" s="66">
        <v>46119</v>
      </c>
      <c r="E24" s="32">
        <v>1592463</v>
      </c>
      <c r="F24" s="32" t="s">
        <v>13</v>
      </c>
      <c r="G24" s="67">
        <v>20320412</v>
      </c>
      <c r="H24" s="32" t="s">
        <v>96</v>
      </c>
      <c r="I24" s="67">
        <v>1</v>
      </c>
      <c r="J24" s="68">
        <v>7.7</v>
      </c>
      <c r="K24" s="68">
        <v>7.7</v>
      </c>
      <c r="L24">
        <f t="shared" si="0"/>
        <v>11</v>
      </c>
    </row>
    <row r="25" spans="4:12">
      <c r="D25" s="66">
        <v>46119</v>
      </c>
      <c r="E25" s="32">
        <v>1592463</v>
      </c>
      <c r="F25" s="32" t="s">
        <v>13</v>
      </c>
      <c r="G25" s="67">
        <v>20008491</v>
      </c>
      <c r="H25" s="32" t="s">
        <v>104</v>
      </c>
      <c r="I25" s="67">
        <v>1</v>
      </c>
      <c r="J25" s="68">
        <v>11.55</v>
      </c>
      <c r="K25" s="68">
        <v>11.55</v>
      </c>
      <c r="L25">
        <f t="shared" si="0"/>
        <v>16.5</v>
      </c>
    </row>
    <row r="26" spans="4:12">
      <c r="D26" s="66">
        <v>46119</v>
      </c>
      <c r="E26" s="32">
        <v>1592463</v>
      </c>
      <c r="F26" s="32" t="s">
        <v>23</v>
      </c>
      <c r="G26" s="67">
        <v>20338693</v>
      </c>
      <c r="H26" s="32" t="s">
        <v>94</v>
      </c>
      <c r="I26" s="67">
        <v>4</v>
      </c>
      <c r="J26" s="68">
        <v>34.65</v>
      </c>
      <c r="K26" s="68">
        <v>138.6</v>
      </c>
      <c r="L26">
        <f t="shared" si="0"/>
        <v>49.5</v>
      </c>
    </row>
    <row r="27" spans="4:12">
      <c r="D27" s="66">
        <v>46119</v>
      </c>
      <c r="E27" s="32">
        <v>1592463</v>
      </c>
      <c r="F27" s="32" t="s">
        <v>23</v>
      </c>
      <c r="G27" s="67">
        <v>20329564</v>
      </c>
      <c r="H27" s="32" t="s">
        <v>105</v>
      </c>
      <c r="I27" s="67">
        <v>1</v>
      </c>
      <c r="J27" s="68">
        <v>34.65</v>
      </c>
      <c r="K27" s="68">
        <v>34.65</v>
      </c>
      <c r="L27">
        <f t="shared" si="0"/>
        <v>49.5</v>
      </c>
    </row>
    <row r="28" spans="4:12">
      <c r="D28" s="66">
        <v>46119</v>
      </c>
      <c r="E28" s="32">
        <v>1592463</v>
      </c>
      <c r="F28" s="32" t="s">
        <v>25</v>
      </c>
      <c r="G28" s="67">
        <v>20403984</v>
      </c>
      <c r="H28" s="32" t="s">
        <v>106</v>
      </c>
      <c r="I28" s="67">
        <v>1</v>
      </c>
      <c r="J28" s="68">
        <v>15.4</v>
      </c>
      <c r="K28" s="68">
        <v>15.4</v>
      </c>
      <c r="L28">
        <f t="shared" si="0"/>
        <v>22</v>
      </c>
    </row>
    <row r="29" spans="4:12">
      <c r="D29" s="66">
        <v>46120</v>
      </c>
      <c r="E29" s="32">
        <v>1592706</v>
      </c>
      <c r="F29" s="32" t="s">
        <v>13</v>
      </c>
      <c r="G29" s="67">
        <v>20355205</v>
      </c>
      <c r="H29" s="32" t="s">
        <v>107</v>
      </c>
      <c r="I29" s="67">
        <v>1</v>
      </c>
      <c r="J29" s="68">
        <v>5.6</v>
      </c>
      <c r="K29" s="68">
        <v>5.6</v>
      </c>
      <c r="L29">
        <f t="shared" si="0"/>
        <v>8</v>
      </c>
    </row>
    <row r="30" ht="25.5" spans="4:12">
      <c r="D30" s="66">
        <v>46120</v>
      </c>
      <c r="E30" s="32">
        <v>1592706</v>
      </c>
      <c r="F30" s="32" t="s">
        <v>13</v>
      </c>
      <c r="G30" s="67">
        <v>20346592</v>
      </c>
      <c r="H30" s="32" t="s">
        <v>108</v>
      </c>
      <c r="I30" s="67">
        <v>1</v>
      </c>
      <c r="J30" s="68">
        <v>11.55</v>
      </c>
      <c r="K30" s="68">
        <v>11.55</v>
      </c>
      <c r="L30">
        <f t="shared" si="0"/>
        <v>16.5</v>
      </c>
    </row>
    <row r="31" spans="4:12">
      <c r="D31" s="66">
        <v>46120</v>
      </c>
      <c r="E31" s="32">
        <v>1592706</v>
      </c>
      <c r="F31" s="32" t="s">
        <v>13</v>
      </c>
      <c r="G31" s="67">
        <v>20012489</v>
      </c>
      <c r="H31" s="32" t="s">
        <v>75</v>
      </c>
      <c r="I31" s="67">
        <v>2</v>
      </c>
      <c r="J31" s="68">
        <v>5.6</v>
      </c>
      <c r="K31" s="68">
        <v>11.2</v>
      </c>
      <c r="L31">
        <f t="shared" si="0"/>
        <v>8</v>
      </c>
    </row>
    <row r="32" spans="4:12">
      <c r="D32" s="66">
        <v>46120</v>
      </c>
      <c r="E32" s="32">
        <v>1592706</v>
      </c>
      <c r="F32" s="32" t="s">
        <v>13</v>
      </c>
      <c r="G32" s="67">
        <v>20008322</v>
      </c>
      <c r="H32" s="32" t="s">
        <v>14</v>
      </c>
      <c r="I32" s="67">
        <v>1</v>
      </c>
      <c r="J32" s="68">
        <v>5.6</v>
      </c>
      <c r="K32" s="68">
        <v>5.6</v>
      </c>
      <c r="L32">
        <f t="shared" si="0"/>
        <v>8</v>
      </c>
    </row>
    <row r="33" spans="4:12">
      <c r="D33" s="66">
        <v>46120</v>
      </c>
      <c r="E33" s="32">
        <v>1592706</v>
      </c>
      <c r="F33" s="32" t="s">
        <v>13</v>
      </c>
      <c r="G33" s="67">
        <v>20011203</v>
      </c>
      <c r="H33" s="32" t="s">
        <v>87</v>
      </c>
      <c r="I33" s="67">
        <v>1</v>
      </c>
      <c r="J33" s="68">
        <v>5.6</v>
      </c>
      <c r="K33" s="68">
        <v>5.6</v>
      </c>
      <c r="L33">
        <f t="shared" si="0"/>
        <v>8</v>
      </c>
    </row>
    <row r="34" spans="4:12">
      <c r="D34" s="66">
        <v>46120</v>
      </c>
      <c r="E34" s="32">
        <v>1592706</v>
      </c>
      <c r="F34" s="32" t="s">
        <v>13</v>
      </c>
      <c r="G34" s="67">
        <v>20320412</v>
      </c>
      <c r="H34" s="32" t="s">
        <v>96</v>
      </c>
      <c r="I34" s="67">
        <v>1</v>
      </c>
      <c r="J34" s="68">
        <v>7.7</v>
      </c>
      <c r="K34" s="68">
        <v>7.7</v>
      </c>
      <c r="L34">
        <f t="shared" si="0"/>
        <v>11</v>
      </c>
    </row>
    <row r="35" spans="4:12">
      <c r="D35" s="66">
        <v>46120</v>
      </c>
      <c r="E35" s="32">
        <v>1592706</v>
      </c>
      <c r="F35" s="32" t="s">
        <v>13</v>
      </c>
      <c r="G35" s="67">
        <v>20336122</v>
      </c>
      <c r="H35" s="32" t="s">
        <v>109</v>
      </c>
      <c r="I35" s="67">
        <v>1</v>
      </c>
      <c r="J35" s="68">
        <v>5.6</v>
      </c>
      <c r="K35" s="68">
        <v>5.6</v>
      </c>
      <c r="L35">
        <f t="shared" si="0"/>
        <v>8</v>
      </c>
    </row>
    <row r="36" spans="4:12">
      <c r="D36" s="66">
        <v>46120</v>
      </c>
      <c r="E36" s="32">
        <v>1592706</v>
      </c>
      <c r="F36" s="32" t="s">
        <v>23</v>
      </c>
      <c r="G36" s="67">
        <v>20329862</v>
      </c>
      <c r="H36" s="32" t="s">
        <v>97</v>
      </c>
      <c r="I36" s="67">
        <v>1</v>
      </c>
      <c r="J36" s="68">
        <v>96.25</v>
      </c>
      <c r="K36" s="68">
        <v>96.25</v>
      </c>
      <c r="L36">
        <f t="shared" si="0"/>
        <v>137.5</v>
      </c>
    </row>
    <row r="37" spans="4:12">
      <c r="D37" s="66">
        <v>46120</v>
      </c>
      <c r="E37" s="32">
        <v>1592706</v>
      </c>
      <c r="F37" s="32" t="s">
        <v>25</v>
      </c>
      <c r="G37" s="67">
        <v>20375464</v>
      </c>
      <c r="H37" s="32" t="s">
        <v>110</v>
      </c>
      <c r="I37" s="67">
        <v>1</v>
      </c>
      <c r="J37" s="68">
        <v>11.55</v>
      </c>
      <c r="K37" s="68">
        <v>11.55</v>
      </c>
      <c r="L37">
        <f t="shared" si="0"/>
        <v>16.5</v>
      </c>
    </row>
    <row r="38" ht="25.5" spans="4:12">
      <c r="D38" s="66">
        <v>46120</v>
      </c>
      <c r="E38" s="32">
        <v>1592706</v>
      </c>
      <c r="F38" s="32" t="s">
        <v>25</v>
      </c>
      <c r="G38" s="67">
        <v>20396968</v>
      </c>
      <c r="H38" s="32" t="s">
        <v>111</v>
      </c>
      <c r="I38" s="67">
        <v>1</v>
      </c>
      <c r="J38" s="68">
        <v>11.55</v>
      </c>
      <c r="K38" s="68">
        <v>11.55</v>
      </c>
      <c r="L38">
        <f t="shared" si="0"/>
        <v>16.5</v>
      </c>
    </row>
    <row r="39" spans="4:12">
      <c r="D39" s="66">
        <v>46120</v>
      </c>
      <c r="E39" s="32">
        <v>1592733</v>
      </c>
      <c r="F39" s="32" t="s">
        <v>27</v>
      </c>
      <c r="G39" s="67">
        <v>20361324</v>
      </c>
      <c r="H39" s="32" t="s">
        <v>112</v>
      </c>
      <c r="I39" s="67">
        <v>1</v>
      </c>
      <c r="J39" s="68">
        <v>24.5</v>
      </c>
      <c r="K39" s="68">
        <v>24.5</v>
      </c>
      <c r="L39">
        <f t="shared" si="0"/>
        <v>35</v>
      </c>
    </row>
    <row r="40" spans="4:12">
      <c r="D40" s="66">
        <v>46122</v>
      </c>
      <c r="E40" s="32">
        <v>1593862</v>
      </c>
      <c r="F40" s="32" t="s">
        <v>23</v>
      </c>
      <c r="G40" s="67">
        <v>20338693</v>
      </c>
      <c r="H40" s="32" t="s">
        <v>94</v>
      </c>
      <c r="I40" s="67">
        <v>2</v>
      </c>
      <c r="J40" s="68">
        <v>34.65</v>
      </c>
      <c r="K40" s="68">
        <v>69.3</v>
      </c>
      <c r="L40">
        <f t="shared" si="0"/>
        <v>49.5</v>
      </c>
    </row>
    <row r="41" spans="4:12">
      <c r="D41" s="66">
        <v>46123</v>
      </c>
      <c r="E41" s="32">
        <v>1593930</v>
      </c>
      <c r="F41" s="32" t="s">
        <v>13</v>
      </c>
      <c r="G41" s="67">
        <v>20006845</v>
      </c>
      <c r="H41" s="32" t="s">
        <v>103</v>
      </c>
      <c r="I41" s="67">
        <v>1</v>
      </c>
      <c r="J41" s="68">
        <v>11.55</v>
      </c>
      <c r="K41" s="68">
        <v>11.55</v>
      </c>
      <c r="L41">
        <f t="shared" si="0"/>
        <v>16.5</v>
      </c>
    </row>
    <row r="42" spans="4:12">
      <c r="D42" s="66">
        <v>46123</v>
      </c>
      <c r="E42" s="32">
        <v>1593930</v>
      </c>
      <c r="F42" s="32" t="s">
        <v>13</v>
      </c>
      <c r="G42" s="67">
        <v>20009483</v>
      </c>
      <c r="H42" s="32" t="s">
        <v>60</v>
      </c>
      <c r="I42" s="67">
        <v>1</v>
      </c>
      <c r="J42" s="68">
        <v>7.7</v>
      </c>
      <c r="K42" s="68">
        <v>7.7</v>
      </c>
      <c r="L42">
        <f t="shared" ref="L42:L73" si="1">J42/0.7</f>
        <v>11</v>
      </c>
    </row>
    <row r="43" spans="4:12">
      <c r="D43" s="66">
        <v>46123</v>
      </c>
      <c r="E43" s="32">
        <v>1593930</v>
      </c>
      <c r="F43" s="32" t="s">
        <v>13</v>
      </c>
      <c r="G43" s="67">
        <v>20008491</v>
      </c>
      <c r="H43" s="32" t="s">
        <v>104</v>
      </c>
      <c r="I43" s="67">
        <v>1</v>
      </c>
      <c r="J43" s="68">
        <v>11.55</v>
      </c>
      <c r="K43" s="68">
        <v>11.55</v>
      </c>
      <c r="L43">
        <f t="shared" si="1"/>
        <v>16.5</v>
      </c>
    </row>
    <row r="44" spans="4:12">
      <c r="D44" s="66">
        <v>46124</v>
      </c>
      <c r="E44" s="32">
        <v>1594108</v>
      </c>
      <c r="F44" s="32" t="s">
        <v>23</v>
      </c>
      <c r="G44" s="67">
        <v>20338693</v>
      </c>
      <c r="H44" s="32" t="s">
        <v>94</v>
      </c>
      <c r="I44" s="67">
        <v>2</v>
      </c>
      <c r="J44" s="68">
        <v>34.65</v>
      </c>
      <c r="K44" s="68">
        <v>69.3</v>
      </c>
      <c r="L44">
        <f t="shared" si="1"/>
        <v>49.5</v>
      </c>
    </row>
    <row r="45" spans="4:12">
      <c r="D45" s="66">
        <v>46125</v>
      </c>
      <c r="E45" s="32">
        <v>1594436</v>
      </c>
      <c r="F45" s="32" t="s">
        <v>13</v>
      </c>
      <c r="G45" s="67">
        <v>20377994</v>
      </c>
      <c r="H45" s="32" t="s">
        <v>113</v>
      </c>
      <c r="I45" s="67">
        <v>1</v>
      </c>
      <c r="J45" s="68">
        <v>5.6</v>
      </c>
      <c r="K45" s="68">
        <v>5.6</v>
      </c>
      <c r="L45">
        <f t="shared" si="1"/>
        <v>8</v>
      </c>
    </row>
    <row r="46" spans="4:12">
      <c r="D46" s="66">
        <v>46125</v>
      </c>
      <c r="E46" s="32">
        <v>1594436</v>
      </c>
      <c r="F46" s="32" t="s">
        <v>13</v>
      </c>
      <c r="G46" s="67">
        <v>20400097</v>
      </c>
      <c r="H46" s="32" t="s">
        <v>114</v>
      </c>
      <c r="I46" s="67">
        <v>1</v>
      </c>
      <c r="J46" s="68">
        <v>5.6</v>
      </c>
      <c r="K46" s="68">
        <v>5.6</v>
      </c>
      <c r="L46">
        <f t="shared" si="1"/>
        <v>8</v>
      </c>
    </row>
    <row r="47" spans="4:12">
      <c r="D47" s="66">
        <v>46125</v>
      </c>
      <c r="E47" s="32">
        <v>1594436</v>
      </c>
      <c r="F47" s="32" t="s">
        <v>13</v>
      </c>
      <c r="G47" s="67">
        <v>20379077</v>
      </c>
      <c r="H47" s="32" t="s">
        <v>115</v>
      </c>
      <c r="I47" s="67">
        <v>1</v>
      </c>
      <c r="J47" s="68">
        <v>5.6</v>
      </c>
      <c r="K47" s="68">
        <v>5.6</v>
      </c>
      <c r="L47">
        <f t="shared" si="1"/>
        <v>8</v>
      </c>
    </row>
    <row r="48" spans="4:12">
      <c r="D48" s="66">
        <v>46125</v>
      </c>
      <c r="E48" s="32">
        <v>1594436</v>
      </c>
      <c r="F48" s="32" t="s">
        <v>13</v>
      </c>
      <c r="G48" s="67">
        <v>20008204</v>
      </c>
      <c r="H48" s="32" t="s">
        <v>116</v>
      </c>
      <c r="I48" s="67">
        <v>1</v>
      </c>
      <c r="J48" s="68">
        <v>9.45</v>
      </c>
      <c r="K48" s="68">
        <v>9.45</v>
      </c>
      <c r="L48">
        <f t="shared" si="1"/>
        <v>13.5</v>
      </c>
    </row>
    <row r="49" spans="4:12">
      <c r="D49" s="66">
        <v>46125</v>
      </c>
      <c r="E49" s="32">
        <v>1594436</v>
      </c>
      <c r="F49" s="32" t="s">
        <v>13</v>
      </c>
      <c r="G49" s="67">
        <v>20421339</v>
      </c>
      <c r="H49" s="32" t="s">
        <v>117</v>
      </c>
      <c r="I49" s="67">
        <v>1</v>
      </c>
      <c r="J49" s="68">
        <v>5.6</v>
      </c>
      <c r="K49" s="68">
        <v>5.6</v>
      </c>
      <c r="L49">
        <f t="shared" si="1"/>
        <v>8</v>
      </c>
    </row>
    <row r="50" spans="4:12">
      <c r="D50" s="66">
        <v>46125</v>
      </c>
      <c r="E50" s="32">
        <v>1594436</v>
      </c>
      <c r="F50" s="32" t="s">
        <v>13</v>
      </c>
      <c r="G50" s="67">
        <v>20360100</v>
      </c>
      <c r="H50" s="32" t="s">
        <v>118</v>
      </c>
      <c r="I50" s="67">
        <v>2</v>
      </c>
      <c r="J50" s="68">
        <v>5.6</v>
      </c>
      <c r="K50" s="68">
        <v>11.2</v>
      </c>
      <c r="L50">
        <f t="shared" si="1"/>
        <v>8</v>
      </c>
    </row>
    <row r="51" spans="4:12">
      <c r="D51" s="66">
        <v>46125</v>
      </c>
      <c r="E51" s="32">
        <v>1594436</v>
      </c>
      <c r="F51" s="32" t="s">
        <v>25</v>
      </c>
      <c r="G51" s="67">
        <v>20356767</v>
      </c>
      <c r="H51" s="32" t="s">
        <v>119</v>
      </c>
      <c r="I51" s="67">
        <v>1</v>
      </c>
      <c r="J51" s="68">
        <v>11.55</v>
      </c>
      <c r="K51" s="68">
        <v>11.55</v>
      </c>
      <c r="L51">
        <f t="shared" si="1"/>
        <v>16.5</v>
      </c>
    </row>
    <row r="52" spans="4:12">
      <c r="D52" s="66">
        <v>46127</v>
      </c>
      <c r="E52" s="32">
        <v>1594898</v>
      </c>
      <c r="F52" s="32" t="s">
        <v>23</v>
      </c>
      <c r="G52" s="67">
        <v>20338693</v>
      </c>
      <c r="H52" s="32" t="s">
        <v>94</v>
      </c>
      <c r="I52" s="67">
        <v>1</v>
      </c>
      <c r="J52" s="68">
        <v>34.65</v>
      </c>
      <c r="K52" s="68">
        <v>34.65</v>
      </c>
      <c r="L52">
        <f t="shared" si="1"/>
        <v>49.5</v>
      </c>
    </row>
    <row r="53" spans="4:12">
      <c r="D53" s="66">
        <v>46127</v>
      </c>
      <c r="E53" s="32">
        <v>1595200</v>
      </c>
      <c r="F53" s="32" t="s">
        <v>13</v>
      </c>
      <c r="G53" s="67">
        <v>20011861</v>
      </c>
      <c r="H53" s="32" t="s">
        <v>120</v>
      </c>
      <c r="I53" s="67">
        <v>1</v>
      </c>
      <c r="J53" s="68">
        <v>11.55</v>
      </c>
      <c r="K53" s="68">
        <v>11.55</v>
      </c>
      <c r="L53">
        <f t="shared" si="1"/>
        <v>16.5</v>
      </c>
    </row>
    <row r="54" spans="4:12">
      <c r="D54" s="66">
        <v>46127</v>
      </c>
      <c r="E54" s="32">
        <v>1595200</v>
      </c>
      <c r="F54" s="32" t="s">
        <v>23</v>
      </c>
      <c r="G54" s="67">
        <v>20338693</v>
      </c>
      <c r="H54" s="32" t="s">
        <v>94</v>
      </c>
      <c r="I54" s="67">
        <v>2</v>
      </c>
      <c r="J54" s="68">
        <v>34.65</v>
      </c>
      <c r="K54" s="68">
        <v>69.3</v>
      </c>
      <c r="L54">
        <f t="shared" si="1"/>
        <v>49.5</v>
      </c>
    </row>
    <row r="55" spans="4:12">
      <c r="D55" s="66">
        <v>46127</v>
      </c>
      <c r="E55" s="32">
        <v>1595200</v>
      </c>
      <c r="F55" s="32" t="s">
        <v>25</v>
      </c>
      <c r="G55" s="67">
        <v>20008214</v>
      </c>
      <c r="H55" s="32" t="s">
        <v>99</v>
      </c>
      <c r="I55" s="67">
        <v>1</v>
      </c>
      <c r="J55" s="68">
        <v>11.55</v>
      </c>
      <c r="K55" s="68">
        <v>11.55</v>
      </c>
      <c r="L55">
        <f t="shared" si="1"/>
        <v>16.5</v>
      </c>
    </row>
    <row r="56" spans="4:12">
      <c r="D56" s="66">
        <v>46129</v>
      </c>
      <c r="E56" s="32">
        <v>1595683</v>
      </c>
      <c r="F56" s="32" t="s">
        <v>13</v>
      </c>
      <c r="G56" s="67">
        <v>20006845</v>
      </c>
      <c r="H56" s="32" t="s">
        <v>103</v>
      </c>
      <c r="I56" s="67">
        <v>1</v>
      </c>
      <c r="J56" s="68">
        <v>11.55</v>
      </c>
      <c r="K56" s="68">
        <v>11.55</v>
      </c>
      <c r="L56">
        <f t="shared" si="1"/>
        <v>16.5</v>
      </c>
    </row>
    <row r="57" spans="4:12">
      <c r="D57" s="66">
        <v>46129</v>
      </c>
      <c r="E57" s="32">
        <v>1595683</v>
      </c>
      <c r="F57" s="32" t="s">
        <v>13</v>
      </c>
      <c r="G57" s="67">
        <v>20321383</v>
      </c>
      <c r="H57" s="32" t="s">
        <v>41</v>
      </c>
      <c r="I57" s="67">
        <v>1</v>
      </c>
      <c r="J57" s="68">
        <v>5.6</v>
      </c>
      <c r="K57" s="68">
        <v>5.6</v>
      </c>
      <c r="L57">
        <f t="shared" si="1"/>
        <v>8</v>
      </c>
    </row>
    <row r="58" spans="4:12">
      <c r="D58" s="66">
        <v>46129</v>
      </c>
      <c r="E58" s="32">
        <v>1595683</v>
      </c>
      <c r="F58" s="32" t="s">
        <v>13</v>
      </c>
      <c r="G58" s="67">
        <v>20006840</v>
      </c>
      <c r="H58" s="32" t="s">
        <v>34</v>
      </c>
      <c r="I58" s="67">
        <v>1</v>
      </c>
      <c r="J58" s="68">
        <v>5.6</v>
      </c>
      <c r="K58" s="68">
        <v>5.6</v>
      </c>
      <c r="L58">
        <f t="shared" si="1"/>
        <v>8</v>
      </c>
    </row>
    <row r="59" spans="4:12">
      <c r="D59" s="66">
        <v>46129</v>
      </c>
      <c r="E59" s="32">
        <v>1595683</v>
      </c>
      <c r="F59" s="32" t="s">
        <v>23</v>
      </c>
      <c r="G59" s="67">
        <v>20338693</v>
      </c>
      <c r="H59" s="32" t="s">
        <v>94</v>
      </c>
      <c r="I59" s="67">
        <v>1</v>
      </c>
      <c r="J59" s="68">
        <v>34.65</v>
      </c>
      <c r="K59" s="68">
        <v>34.65</v>
      </c>
      <c r="L59">
        <f t="shared" si="1"/>
        <v>49.5</v>
      </c>
    </row>
    <row r="60" spans="4:12">
      <c r="D60" s="66">
        <v>46129</v>
      </c>
      <c r="E60" s="32">
        <v>1595683</v>
      </c>
      <c r="F60" s="32" t="s">
        <v>23</v>
      </c>
      <c r="G60" s="67">
        <v>20329564</v>
      </c>
      <c r="H60" s="32" t="s">
        <v>105</v>
      </c>
      <c r="I60" s="67">
        <v>1</v>
      </c>
      <c r="J60" s="68">
        <v>34.65</v>
      </c>
      <c r="K60" s="68">
        <v>34.65</v>
      </c>
      <c r="L60">
        <f t="shared" si="1"/>
        <v>49.5</v>
      </c>
    </row>
    <row r="61" spans="4:12">
      <c r="D61" s="66">
        <v>46129</v>
      </c>
      <c r="E61" s="32">
        <v>1595683</v>
      </c>
      <c r="F61" s="32" t="s">
        <v>25</v>
      </c>
      <c r="G61" s="67">
        <v>20008214</v>
      </c>
      <c r="H61" s="32" t="s">
        <v>99</v>
      </c>
      <c r="I61" s="67">
        <v>1</v>
      </c>
      <c r="J61" s="68">
        <v>11.55</v>
      </c>
      <c r="K61" s="68">
        <v>11.55</v>
      </c>
      <c r="L61">
        <f t="shared" si="1"/>
        <v>16.5</v>
      </c>
    </row>
    <row r="62" spans="4:12">
      <c r="D62" s="66">
        <v>46129</v>
      </c>
      <c r="E62" s="32">
        <v>1595694</v>
      </c>
      <c r="F62" s="32" t="s">
        <v>27</v>
      </c>
      <c r="G62" s="67">
        <v>20342352</v>
      </c>
      <c r="H62" s="32" t="s">
        <v>121</v>
      </c>
      <c r="I62" s="67">
        <v>2</v>
      </c>
      <c r="J62" s="68">
        <v>15.4</v>
      </c>
      <c r="K62" s="68">
        <v>30.8</v>
      </c>
      <c r="L62">
        <f t="shared" si="1"/>
        <v>22</v>
      </c>
    </row>
    <row r="63" spans="4:12">
      <c r="D63" s="66">
        <v>46131</v>
      </c>
      <c r="E63" s="32">
        <v>1596207</v>
      </c>
      <c r="F63" s="32" t="s">
        <v>13</v>
      </c>
      <c r="G63" s="67">
        <v>20006845</v>
      </c>
      <c r="H63" s="32" t="s">
        <v>103</v>
      </c>
      <c r="I63" s="67">
        <v>1</v>
      </c>
      <c r="J63" s="68">
        <v>11.55</v>
      </c>
      <c r="K63" s="68">
        <v>11.55</v>
      </c>
      <c r="L63">
        <f t="shared" si="1"/>
        <v>16.5</v>
      </c>
    </row>
    <row r="64" spans="4:12">
      <c r="D64" s="66">
        <v>46131</v>
      </c>
      <c r="E64" s="32">
        <v>1596207</v>
      </c>
      <c r="F64" s="32" t="s">
        <v>13</v>
      </c>
      <c r="G64" s="67">
        <v>20009483</v>
      </c>
      <c r="H64" s="32" t="s">
        <v>60</v>
      </c>
      <c r="I64" s="67">
        <v>1</v>
      </c>
      <c r="J64" s="68">
        <v>7.7</v>
      </c>
      <c r="K64" s="68">
        <v>7.7</v>
      </c>
      <c r="L64">
        <f t="shared" si="1"/>
        <v>11</v>
      </c>
    </row>
    <row r="65" spans="4:12">
      <c r="D65" s="66">
        <v>46131</v>
      </c>
      <c r="E65" s="32">
        <v>1596207</v>
      </c>
      <c r="F65" s="32" t="s">
        <v>23</v>
      </c>
      <c r="G65" s="67">
        <v>20338693</v>
      </c>
      <c r="H65" s="32" t="s">
        <v>94</v>
      </c>
      <c r="I65" s="67">
        <v>2</v>
      </c>
      <c r="J65" s="68">
        <v>34.65</v>
      </c>
      <c r="K65" s="68">
        <v>69.3</v>
      </c>
      <c r="L65">
        <f t="shared" si="1"/>
        <v>49.5</v>
      </c>
    </row>
    <row r="66" spans="4:12">
      <c r="D66" s="66">
        <v>46131</v>
      </c>
      <c r="E66" s="32">
        <v>1596207</v>
      </c>
      <c r="F66" s="32" t="s">
        <v>23</v>
      </c>
      <c r="G66" s="67">
        <v>20329862</v>
      </c>
      <c r="H66" s="32" t="s">
        <v>97</v>
      </c>
      <c r="I66" s="67">
        <v>2</v>
      </c>
      <c r="J66" s="68">
        <v>96.25</v>
      </c>
      <c r="K66" s="68">
        <v>192.5</v>
      </c>
      <c r="L66">
        <f t="shared" si="1"/>
        <v>137.5</v>
      </c>
    </row>
    <row r="67" spans="4:12">
      <c r="D67" s="66">
        <v>46131</v>
      </c>
      <c r="E67" s="32">
        <v>1596216</v>
      </c>
      <c r="F67" s="32" t="s">
        <v>27</v>
      </c>
      <c r="G67" s="67">
        <v>20008622</v>
      </c>
      <c r="H67" s="32" t="s">
        <v>95</v>
      </c>
      <c r="I67" s="67">
        <v>2</v>
      </c>
      <c r="J67" s="68">
        <v>15.4</v>
      </c>
      <c r="K67" s="68">
        <v>30.8</v>
      </c>
      <c r="L67">
        <f t="shared" si="1"/>
        <v>22</v>
      </c>
    </row>
    <row r="68" spans="4:12">
      <c r="D68" s="66">
        <v>46132</v>
      </c>
      <c r="E68" s="32">
        <v>1596305</v>
      </c>
      <c r="F68" s="32" t="s">
        <v>36</v>
      </c>
      <c r="G68" s="67">
        <v>20341889</v>
      </c>
      <c r="H68" s="32" t="s">
        <v>122</v>
      </c>
      <c r="I68" s="67">
        <v>1</v>
      </c>
      <c r="J68" s="68">
        <v>19.25</v>
      </c>
      <c r="K68" s="68">
        <v>19.25</v>
      </c>
      <c r="L68">
        <f t="shared" si="1"/>
        <v>27.5</v>
      </c>
    </row>
    <row r="69" spans="4:12">
      <c r="D69" s="66">
        <v>46132</v>
      </c>
      <c r="E69" s="32">
        <v>1596305</v>
      </c>
      <c r="F69" s="32" t="s">
        <v>23</v>
      </c>
      <c r="G69" s="67">
        <v>20338693</v>
      </c>
      <c r="H69" s="32" t="s">
        <v>94</v>
      </c>
      <c r="I69" s="67">
        <v>1</v>
      </c>
      <c r="J69" s="68">
        <v>34.65</v>
      </c>
      <c r="K69" s="68">
        <v>34.65</v>
      </c>
      <c r="L69">
        <f t="shared" si="1"/>
        <v>49.5</v>
      </c>
    </row>
    <row r="70" spans="4:12">
      <c r="D70" s="66">
        <v>46133</v>
      </c>
      <c r="E70" s="32">
        <v>1596706</v>
      </c>
      <c r="F70" s="32" t="s">
        <v>23</v>
      </c>
      <c r="G70" s="67">
        <v>20338693</v>
      </c>
      <c r="H70" s="32" t="s">
        <v>94</v>
      </c>
      <c r="I70" s="67">
        <v>1</v>
      </c>
      <c r="J70" s="68">
        <v>34.65</v>
      </c>
      <c r="K70" s="68">
        <v>34.65</v>
      </c>
      <c r="L70">
        <f t="shared" si="1"/>
        <v>49.5</v>
      </c>
    </row>
    <row r="71" spans="4:12">
      <c r="D71" s="66">
        <v>46133</v>
      </c>
      <c r="E71" s="32">
        <v>1596706</v>
      </c>
      <c r="F71" s="32" t="s">
        <v>23</v>
      </c>
      <c r="G71" s="67">
        <v>20329564</v>
      </c>
      <c r="H71" s="32" t="s">
        <v>105</v>
      </c>
      <c r="I71" s="67">
        <v>1</v>
      </c>
      <c r="J71" s="68">
        <v>34.65</v>
      </c>
      <c r="K71" s="68">
        <v>34.65</v>
      </c>
      <c r="L71">
        <f t="shared" si="1"/>
        <v>49.5</v>
      </c>
    </row>
    <row r="72" spans="4:12">
      <c r="D72" s="66">
        <v>46133</v>
      </c>
      <c r="E72" s="32">
        <v>1596706</v>
      </c>
      <c r="F72" s="32" t="s">
        <v>25</v>
      </c>
      <c r="G72" s="67">
        <v>20403984</v>
      </c>
      <c r="H72" s="32" t="s">
        <v>106</v>
      </c>
      <c r="I72" s="67">
        <v>1</v>
      </c>
      <c r="J72" s="68">
        <v>15.4</v>
      </c>
      <c r="K72" s="68">
        <v>15.4</v>
      </c>
      <c r="L72">
        <f t="shared" si="1"/>
        <v>22</v>
      </c>
    </row>
    <row r="73" spans="4:12">
      <c r="D73" s="66">
        <v>46135</v>
      </c>
      <c r="E73" s="32">
        <v>1597357</v>
      </c>
      <c r="F73" s="32" t="s">
        <v>23</v>
      </c>
      <c r="G73" s="67">
        <v>20338693</v>
      </c>
      <c r="H73" s="32" t="s">
        <v>94</v>
      </c>
      <c r="I73" s="67">
        <v>1</v>
      </c>
      <c r="J73" s="68">
        <v>34.65</v>
      </c>
      <c r="K73" s="68">
        <v>34.65</v>
      </c>
      <c r="L73">
        <f t="shared" si="1"/>
        <v>49.5</v>
      </c>
    </row>
    <row r="74" spans="4:12">
      <c r="D74" s="66">
        <v>46135</v>
      </c>
      <c r="E74" s="32">
        <v>1597474</v>
      </c>
      <c r="F74" s="32" t="s">
        <v>23</v>
      </c>
      <c r="G74" s="67">
        <v>20338693</v>
      </c>
      <c r="H74" s="32" t="s">
        <v>94</v>
      </c>
      <c r="I74" s="67">
        <v>1</v>
      </c>
      <c r="J74" s="68">
        <v>34.65</v>
      </c>
      <c r="K74" s="68">
        <v>34.65</v>
      </c>
      <c r="L74">
        <f t="shared" ref="L74:L115" si="2">J74/0.7</f>
        <v>49.5</v>
      </c>
    </row>
    <row r="75" spans="4:12">
      <c r="D75" s="66">
        <v>46136</v>
      </c>
      <c r="E75" s="32">
        <v>1597709</v>
      </c>
      <c r="F75" s="32" t="s">
        <v>23</v>
      </c>
      <c r="G75" s="67">
        <v>20338693</v>
      </c>
      <c r="H75" s="32" t="s">
        <v>94</v>
      </c>
      <c r="I75" s="67">
        <v>1</v>
      </c>
      <c r="J75" s="68">
        <v>34.65</v>
      </c>
      <c r="K75" s="68">
        <v>34.65</v>
      </c>
      <c r="L75">
        <f t="shared" si="2"/>
        <v>49.5</v>
      </c>
    </row>
    <row r="76" spans="4:12">
      <c r="D76" s="66">
        <v>46137</v>
      </c>
      <c r="E76" s="32">
        <v>1598128</v>
      </c>
      <c r="F76" s="32" t="s">
        <v>13</v>
      </c>
      <c r="G76" s="67">
        <v>20320412</v>
      </c>
      <c r="H76" s="32" t="s">
        <v>96</v>
      </c>
      <c r="I76" s="67">
        <v>1</v>
      </c>
      <c r="J76" s="68">
        <v>7.7</v>
      </c>
      <c r="K76" s="68">
        <v>7.7</v>
      </c>
      <c r="L76">
        <f t="shared" si="2"/>
        <v>11</v>
      </c>
    </row>
    <row r="77" spans="4:12">
      <c r="D77" s="66">
        <v>46137</v>
      </c>
      <c r="E77" s="32">
        <v>1598128</v>
      </c>
      <c r="F77" s="32" t="s">
        <v>13</v>
      </c>
      <c r="G77" s="67">
        <v>20321383</v>
      </c>
      <c r="H77" s="32" t="s">
        <v>41</v>
      </c>
      <c r="I77" s="67">
        <v>1</v>
      </c>
      <c r="J77" s="68">
        <v>5.6</v>
      </c>
      <c r="K77" s="68">
        <v>5.6</v>
      </c>
      <c r="L77">
        <f t="shared" si="2"/>
        <v>8</v>
      </c>
    </row>
    <row r="78" spans="4:12">
      <c r="D78" s="66">
        <v>46137</v>
      </c>
      <c r="E78" s="32">
        <v>1598128</v>
      </c>
      <c r="F78" s="32" t="s">
        <v>13</v>
      </c>
      <c r="G78" s="67">
        <v>20336122</v>
      </c>
      <c r="H78" s="32" t="s">
        <v>109</v>
      </c>
      <c r="I78" s="67">
        <v>1</v>
      </c>
      <c r="J78" s="68">
        <v>5.6</v>
      </c>
      <c r="K78" s="68">
        <v>5.6</v>
      </c>
      <c r="L78">
        <f t="shared" si="2"/>
        <v>8</v>
      </c>
    </row>
    <row r="79" spans="4:12">
      <c r="D79" s="66">
        <v>46137</v>
      </c>
      <c r="E79" s="32">
        <v>1598128</v>
      </c>
      <c r="F79" s="32" t="s">
        <v>23</v>
      </c>
      <c r="G79" s="67">
        <v>20338693</v>
      </c>
      <c r="H79" s="32" t="s">
        <v>94</v>
      </c>
      <c r="I79" s="67">
        <v>2</v>
      </c>
      <c r="J79" s="68">
        <v>34.65</v>
      </c>
      <c r="K79" s="68">
        <v>69.3</v>
      </c>
      <c r="L79">
        <f t="shared" si="2"/>
        <v>49.5</v>
      </c>
    </row>
    <row r="80" spans="4:12">
      <c r="D80" s="66">
        <v>46138</v>
      </c>
      <c r="E80" s="32">
        <v>1598287</v>
      </c>
      <c r="F80" s="32" t="s">
        <v>13</v>
      </c>
      <c r="G80" s="67">
        <v>20006845</v>
      </c>
      <c r="H80" s="32" t="s">
        <v>103</v>
      </c>
      <c r="I80" s="67">
        <v>1</v>
      </c>
      <c r="J80" s="68">
        <v>11.55</v>
      </c>
      <c r="K80" s="68">
        <v>11.55</v>
      </c>
      <c r="L80">
        <f t="shared" si="2"/>
        <v>16.5</v>
      </c>
    </row>
    <row r="81" spans="4:12">
      <c r="D81" s="66">
        <v>46138</v>
      </c>
      <c r="E81" s="32">
        <v>1598287</v>
      </c>
      <c r="F81" s="32" t="s">
        <v>13</v>
      </c>
      <c r="G81" s="67">
        <v>20320412</v>
      </c>
      <c r="H81" s="32" t="s">
        <v>96</v>
      </c>
      <c r="I81" s="67">
        <v>1</v>
      </c>
      <c r="J81" s="68">
        <v>7.7</v>
      </c>
      <c r="K81" s="68">
        <v>7.7</v>
      </c>
      <c r="L81">
        <f t="shared" si="2"/>
        <v>11</v>
      </c>
    </row>
    <row r="82" spans="4:12">
      <c r="D82" s="66">
        <v>46138</v>
      </c>
      <c r="E82" s="32">
        <v>1598287</v>
      </c>
      <c r="F82" s="32" t="s">
        <v>13</v>
      </c>
      <c r="G82" s="67">
        <v>20008491</v>
      </c>
      <c r="H82" s="32" t="s">
        <v>104</v>
      </c>
      <c r="I82" s="67">
        <v>2</v>
      </c>
      <c r="J82" s="68">
        <v>11.55</v>
      </c>
      <c r="K82" s="68">
        <v>23.1</v>
      </c>
      <c r="L82">
        <f t="shared" si="2"/>
        <v>16.5</v>
      </c>
    </row>
    <row r="83" spans="4:12">
      <c r="D83" s="66">
        <v>46138</v>
      </c>
      <c r="E83" s="32">
        <v>1598287</v>
      </c>
      <c r="F83" s="32" t="s">
        <v>23</v>
      </c>
      <c r="G83" s="67">
        <v>20338693</v>
      </c>
      <c r="H83" s="32" t="s">
        <v>94</v>
      </c>
      <c r="I83" s="67">
        <v>4</v>
      </c>
      <c r="J83" s="68">
        <v>34.65</v>
      </c>
      <c r="K83" s="68">
        <v>138.6</v>
      </c>
      <c r="L83">
        <f t="shared" si="2"/>
        <v>49.5</v>
      </c>
    </row>
    <row r="84" spans="4:12">
      <c r="D84" s="66">
        <v>46140</v>
      </c>
      <c r="E84" s="32">
        <v>1598613</v>
      </c>
      <c r="F84" s="32" t="s">
        <v>13</v>
      </c>
      <c r="G84" s="67">
        <v>20330575</v>
      </c>
      <c r="H84" s="32" t="s">
        <v>62</v>
      </c>
      <c r="I84" s="67">
        <v>4</v>
      </c>
      <c r="J84" s="68">
        <v>5.6</v>
      </c>
      <c r="K84" s="68">
        <v>22.4</v>
      </c>
      <c r="L84">
        <f t="shared" si="2"/>
        <v>8</v>
      </c>
    </row>
    <row r="85" spans="4:12">
      <c r="D85" s="66">
        <v>46140</v>
      </c>
      <c r="E85" s="32">
        <v>1598613</v>
      </c>
      <c r="F85" s="32" t="s">
        <v>13</v>
      </c>
      <c r="G85" s="67">
        <v>20345685</v>
      </c>
      <c r="H85" s="32" t="s">
        <v>123</v>
      </c>
      <c r="I85" s="67">
        <v>1</v>
      </c>
      <c r="J85" s="68">
        <v>5.6</v>
      </c>
      <c r="K85" s="68">
        <v>5.6</v>
      </c>
      <c r="L85">
        <f t="shared" si="2"/>
        <v>8</v>
      </c>
    </row>
    <row r="86" spans="4:12">
      <c r="D86" s="66">
        <v>46140</v>
      </c>
      <c r="E86" s="32">
        <v>1598613</v>
      </c>
      <c r="F86" s="32" t="s">
        <v>13</v>
      </c>
      <c r="G86" s="67">
        <v>20008322</v>
      </c>
      <c r="H86" s="32" t="s">
        <v>14</v>
      </c>
      <c r="I86" s="67">
        <v>2</v>
      </c>
      <c r="J86" s="68">
        <v>5.6</v>
      </c>
      <c r="K86" s="68">
        <v>11.2</v>
      </c>
      <c r="L86">
        <f t="shared" si="2"/>
        <v>8</v>
      </c>
    </row>
    <row r="87" spans="4:12">
      <c r="D87" s="66">
        <v>46140</v>
      </c>
      <c r="E87" s="32">
        <v>1598613</v>
      </c>
      <c r="F87" s="32" t="s">
        <v>13</v>
      </c>
      <c r="G87" s="67">
        <v>20363009</v>
      </c>
      <c r="H87" s="32" t="s">
        <v>124</v>
      </c>
      <c r="I87" s="67">
        <v>1</v>
      </c>
      <c r="J87" s="68">
        <v>9.45</v>
      </c>
      <c r="K87" s="68">
        <v>9.45</v>
      </c>
      <c r="L87">
        <f t="shared" si="2"/>
        <v>13.5</v>
      </c>
    </row>
    <row r="88" spans="4:12">
      <c r="D88" s="66">
        <v>46140</v>
      </c>
      <c r="E88" s="32">
        <v>1598613</v>
      </c>
      <c r="F88" s="32" t="s">
        <v>13</v>
      </c>
      <c r="G88" s="67">
        <v>20355171</v>
      </c>
      <c r="H88" s="32" t="s">
        <v>125</v>
      </c>
      <c r="I88" s="67">
        <v>1</v>
      </c>
      <c r="J88" s="68">
        <v>5.6</v>
      </c>
      <c r="K88" s="68">
        <v>5.6</v>
      </c>
      <c r="L88">
        <f t="shared" si="2"/>
        <v>8</v>
      </c>
    </row>
    <row r="89" spans="4:12">
      <c r="D89" s="66">
        <v>46140</v>
      </c>
      <c r="E89" s="32">
        <v>1598613</v>
      </c>
      <c r="F89" s="32" t="s">
        <v>13</v>
      </c>
      <c r="G89" s="67">
        <v>20400099</v>
      </c>
      <c r="H89" s="32" t="s">
        <v>126</v>
      </c>
      <c r="I89" s="67">
        <v>1</v>
      </c>
      <c r="J89" s="68">
        <v>5.6</v>
      </c>
      <c r="K89" s="68">
        <v>5.6</v>
      </c>
      <c r="L89">
        <f t="shared" si="2"/>
        <v>8</v>
      </c>
    </row>
    <row r="90" spans="4:12">
      <c r="D90" s="66">
        <v>46140</v>
      </c>
      <c r="E90" s="32">
        <v>1598613</v>
      </c>
      <c r="F90" s="32" t="s">
        <v>13</v>
      </c>
      <c r="G90" s="67">
        <v>20363008</v>
      </c>
      <c r="H90" s="32" t="s">
        <v>127</v>
      </c>
      <c r="I90" s="67">
        <v>1</v>
      </c>
      <c r="J90" s="68">
        <v>5.6</v>
      </c>
      <c r="K90" s="68">
        <v>5.6</v>
      </c>
      <c r="L90">
        <f t="shared" si="2"/>
        <v>8</v>
      </c>
    </row>
    <row r="91" spans="4:12">
      <c r="D91" s="66">
        <v>46140</v>
      </c>
      <c r="E91" s="32">
        <v>1598613</v>
      </c>
      <c r="F91" s="32" t="s">
        <v>13</v>
      </c>
      <c r="G91" s="67">
        <v>20008204</v>
      </c>
      <c r="H91" s="32" t="s">
        <v>116</v>
      </c>
      <c r="I91" s="67">
        <v>1</v>
      </c>
      <c r="J91" s="68">
        <v>9.45</v>
      </c>
      <c r="K91" s="68">
        <v>9.45</v>
      </c>
      <c r="L91">
        <f t="shared" si="2"/>
        <v>13.5</v>
      </c>
    </row>
    <row r="92" spans="4:12">
      <c r="D92" s="66">
        <v>46140</v>
      </c>
      <c r="E92" s="32">
        <v>1598613</v>
      </c>
      <c r="F92" s="32" t="s">
        <v>23</v>
      </c>
      <c r="G92" s="67">
        <v>20338693</v>
      </c>
      <c r="H92" s="32" t="s">
        <v>94</v>
      </c>
      <c r="I92" s="67">
        <v>1</v>
      </c>
      <c r="J92" s="68">
        <v>34.65</v>
      </c>
      <c r="K92" s="68">
        <v>34.65</v>
      </c>
      <c r="L92">
        <f t="shared" si="2"/>
        <v>49.5</v>
      </c>
    </row>
    <row r="93" spans="4:12">
      <c r="D93" s="66">
        <v>46140</v>
      </c>
      <c r="E93" s="32">
        <v>1598613</v>
      </c>
      <c r="F93" s="32" t="s">
        <v>23</v>
      </c>
      <c r="G93" s="67">
        <v>20329564</v>
      </c>
      <c r="H93" s="32" t="s">
        <v>105</v>
      </c>
      <c r="I93" s="67">
        <v>1</v>
      </c>
      <c r="J93" s="68">
        <v>34.65</v>
      </c>
      <c r="K93" s="68">
        <v>34.65</v>
      </c>
      <c r="L93">
        <f t="shared" si="2"/>
        <v>49.5</v>
      </c>
    </row>
    <row r="94" ht="25.5" spans="4:12">
      <c r="D94" s="66">
        <v>46140</v>
      </c>
      <c r="E94" s="32">
        <v>1598758</v>
      </c>
      <c r="F94" s="32" t="s">
        <v>13</v>
      </c>
      <c r="G94" s="67">
        <v>20346594</v>
      </c>
      <c r="H94" s="32" t="s">
        <v>128</v>
      </c>
      <c r="I94" s="67">
        <v>1</v>
      </c>
      <c r="J94" s="68">
        <v>23.1</v>
      </c>
      <c r="K94" s="68">
        <v>23.1</v>
      </c>
      <c r="L94">
        <f t="shared" si="2"/>
        <v>33</v>
      </c>
    </row>
    <row r="95" ht="25.5" spans="4:12">
      <c r="D95" s="66">
        <v>46140</v>
      </c>
      <c r="E95" s="32">
        <v>1598758</v>
      </c>
      <c r="F95" s="32" t="s">
        <v>13</v>
      </c>
      <c r="G95" s="67">
        <v>20346592</v>
      </c>
      <c r="H95" s="32" t="s">
        <v>108</v>
      </c>
      <c r="I95" s="67">
        <v>1</v>
      </c>
      <c r="J95" s="68">
        <v>11.55</v>
      </c>
      <c r="K95" s="68">
        <v>11.55</v>
      </c>
      <c r="L95">
        <f t="shared" si="2"/>
        <v>16.5</v>
      </c>
    </row>
    <row r="96" spans="4:12">
      <c r="D96" s="66">
        <v>46140</v>
      </c>
      <c r="E96" s="32">
        <v>1598758</v>
      </c>
      <c r="F96" s="32" t="s">
        <v>13</v>
      </c>
      <c r="G96" s="67">
        <v>20008322</v>
      </c>
      <c r="H96" s="32" t="s">
        <v>14</v>
      </c>
      <c r="I96" s="67">
        <v>1</v>
      </c>
      <c r="J96" s="68">
        <v>5.6</v>
      </c>
      <c r="K96" s="68">
        <v>5.6</v>
      </c>
      <c r="L96">
        <f t="shared" si="2"/>
        <v>8</v>
      </c>
    </row>
    <row r="97" spans="4:12">
      <c r="D97" s="66">
        <v>46140</v>
      </c>
      <c r="E97" s="32">
        <v>1598758</v>
      </c>
      <c r="F97" s="32" t="s">
        <v>13</v>
      </c>
      <c r="G97" s="67">
        <v>20383026</v>
      </c>
      <c r="H97" s="32" t="s">
        <v>129</v>
      </c>
      <c r="I97" s="67">
        <v>1</v>
      </c>
      <c r="J97" s="68">
        <v>11.55</v>
      </c>
      <c r="K97" s="68">
        <v>11.55</v>
      </c>
      <c r="L97">
        <f t="shared" si="2"/>
        <v>16.5</v>
      </c>
    </row>
    <row r="98" spans="4:12">
      <c r="D98" s="66">
        <v>46140</v>
      </c>
      <c r="E98" s="32">
        <v>1598758</v>
      </c>
      <c r="F98" s="32" t="s">
        <v>23</v>
      </c>
      <c r="G98" s="67">
        <v>20338693</v>
      </c>
      <c r="H98" s="32" t="s">
        <v>94</v>
      </c>
      <c r="I98" s="67">
        <v>1</v>
      </c>
      <c r="J98" s="68">
        <v>34.65</v>
      </c>
      <c r="K98" s="68">
        <v>34.65</v>
      </c>
      <c r="L98">
        <f t="shared" si="2"/>
        <v>49.5</v>
      </c>
    </row>
    <row r="99" spans="4:12">
      <c r="D99" s="66">
        <v>46140</v>
      </c>
      <c r="E99" s="32">
        <v>1598758</v>
      </c>
      <c r="F99" s="32" t="s">
        <v>25</v>
      </c>
      <c r="G99" s="67">
        <v>20009014</v>
      </c>
      <c r="H99" s="32" t="s">
        <v>130</v>
      </c>
      <c r="I99" s="67">
        <v>1</v>
      </c>
      <c r="J99" s="68">
        <v>11.55</v>
      </c>
      <c r="K99" s="68">
        <v>11.55</v>
      </c>
      <c r="L99">
        <f t="shared" si="2"/>
        <v>16.5</v>
      </c>
    </row>
    <row r="100" spans="4:12">
      <c r="D100" s="66">
        <v>46140</v>
      </c>
      <c r="E100" s="32">
        <v>1598758</v>
      </c>
      <c r="F100" s="32" t="s">
        <v>25</v>
      </c>
      <c r="G100" s="67">
        <v>20008214</v>
      </c>
      <c r="H100" s="32" t="s">
        <v>99</v>
      </c>
      <c r="I100" s="67">
        <v>1</v>
      </c>
      <c r="J100" s="68">
        <v>11.55</v>
      </c>
      <c r="K100" s="68">
        <v>11.55</v>
      </c>
      <c r="L100">
        <f t="shared" si="2"/>
        <v>16.5</v>
      </c>
    </row>
    <row r="101" spans="4:12">
      <c r="D101" s="66">
        <v>46140</v>
      </c>
      <c r="E101" s="32">
        <v>1598758</v>
      </c>
      <c r="F101" s="32" t="s">
        <v>25</v>
      </c>
      <c r="G101" s="67">
        <v>20008345</v>
      </c>
      <c r="H101" s="32" t="s">
        <v>131</v>
      </c>
      <c r="I101" s="67">
        <v>1</v>
      </c>
      <c r="J101" s="68">
        <v>19.25</v>
      </c>
      <c r="K101" s="68">
        <v>19.25</v>
      </c>
      <c r="L101">
        <f t="shared" si="2"/>
        <v>27.5</v>
      </c>
    </row>
    <row r="102" spans="4:12">
      <c r="D102" s="66">
        <v>46140</v>
      </c>
      <c r="E102" s="32">
        <v>1598758</v>
      </c>
      <c r="F102" s="32" t="s">
        <v>25</v>
      </c>
      <c r="G102" s="67">
        <v>20405582</v>
      </c>
      <c r="H102" s="32" t="s">
        <v>132</v>
      </c>
      <c r="I102" s="67">
        <v>1</v>
      </c>
      <c r="J102" s="68">
        <v>50.05</v>
      </c>
      <c r="K102" s="68">
        <v>50.05</v>
      </c>
      <c r="L102">
        <f t="shared" si="2"/>
        <v>71.5</v>
      </c>
    </row>
    <row r="103" ht="25.5" spans="4:12">
      <c r="D103" s="66">
        <v>46140</v>
      </c>
      <c r="E103" s="32">
        <v>1598758</v>
      </c>
      <c r="F103" s="32" t="s">
        <v>25</v>
      </c>
      <c r="G103" s="67">
        <v>20329924</v>
      </c>
      <c r="H103" s="32" t="s">
        <v>100</v>
      </c>
      <c r="I103" s="67">
        <v>1</v>
      </c>
      <c r="J103" s="68">
        <v>65.45</v>
      </c>
      <c r="K103" s="68">
        <v>65.45</v>
      </c>
      <c r="L103">
        <f t="shared" si="2"/>
        <v>93.5</v>
      </c>
    </row>
    <row r="104" spans="4:12">
      <c r="D104" s="66">
        <v>46140</v>
      </c>
      <c r="E104" s="32">
        <v>1598784</v>
      </c>
      <c r="F104" s="32" t="s">
        <v>27</v>
      </c>
      <c r="G104" s="67">
        <v>20346588</v>
      </c>
      <c r="H104" s="32" t="s">
        <v>133</v>
      </c>
      <c r="I104" s="67">
        <v>1</v>
      </c>
      <c r="J104" s="68">
        <v>15.4</v>
      </c>
      <c r="K104" s="68">
        <v>15.4</v>
      </c>
      <c r="L104">
        <f t="shared" si="2"/>
        <v>22</v>
      </c>
    </row>
    <row r="105" spans="4:12">
      <c r="D105" s="66">
        <v>46140</v>
      </c>
      <c r="E105" s="32">
        <v>1598921</v>
      </c>
      <c r="F105" s="32" t="s">
        <v>13</v>
      </c>
      <c r="G105" s="67">
        <v>20346591</v>
      </c>
      <c r="H105" s="32" t="s">
        <v>134</v>
      </c>
      <c r="I105" s="67">
        <v>2</v>
      </c>
      <c r="J105" s="68">
        <v>11.2</v>
      </c>
      <c r="K105" s="68">
        <v>22.4</v>
      </c>
      <c r="L105">
        <f t="shared" si="2"/>
        <v>16</v>
      </c>
    </row>
    <row r="106" spans="4:12">
      <c r="D106" s="66">
        <v>46141</v>
      </c>
      <c r="E106" s="32">
        <v>1599089</v>
      </c>
      <c r="F106" s="32" t="s">
        <v>27</v>
      </c>
      <c r="G106" s="67">
        <v>20378024</v>
      </c>
      <c r="H106" s="32" t="s">
        <v>135</v>
      </c>
      <c r="I106" s="67">
        <v>1</v>
      </c>
      <c r="J106" s="68">
        <v>61.6</v>
      </c>
      <c r="K106" s="68">
        <v>61.6</v>
      </c>
      <c r="L106">
        <f t="shared" si="2"/>
        <v>88</v>
      </c>
    </row>
    <row r="107" spans="4:12">
      <c r="D107" s="66">
        <v>46142</v>
      </c>
      <c r="E107" s="32">
        <v>1599435</v>
      </c>
      <c r="F107" s="32" t="s">
        <v>13</v>
      </c>
      <c r="G107" s="67">
        <v>20008409</v>
      </c>
      <c r="H107" s="32" t="s">
        <v>53</v>
      </c>
      <c r="I107" s="67">
        <v>1</v>
      </c>
      <c r="J107" s="68">
        <v>5.6</v>
      </c>
      <c r="K107" s="68">
        <v>5.6</v>
      </c>
      <c r="L107">
        <f t="shared" si="2"/>
        <v>8</v>
      </c>
    </row>
    <row r="108" spans="4:12">
      <c r="D108" s="66">
        <v>46142</v>
      </c>
      <c r="E108" s="32">
        <v>1599435</v>
      </c>
      <c r="F108" s="32" t="s">
        <v>13</v>
      </c>
      <c r="G108" s="67">
        <v>20006845</v>
      </c>
      <c r="H108" s="32" t="s">
        <v>103</v>
      </c>
      <c r="I108" s="67">
        <v>1</v>
      </c>
      <c r="J108" s="68">
        <v>11.55</v>
      </c>
      <c r="K108" s="68">
        <v>11.55</v>
      </c>
      <c r="L108">
        <f t="shared" si="2"/>
        <v>16.5</v>
      </c>
    </row>
    <row r="109" spans="4:12">
      <c r="D109" s="66">
        <v>46142</v>
      </c>
      <c r="E109" s="32">
        <v>1599435</v>
      </c>
      <c r="F109" s="32" t="s">
        <v>13</v>
      </c>
      <c r="G109" s="67">
        <v>20008322</v>
      </c>
      <c r="H109" s="32" t="s">
        <v>14</v>
      </c>
      <c r="I109" s="67">
        <v>1</v>
      </c>
      <c r="J109" s="68">
        <v>5.6</v>
      </c>
      <c r="K109" s="68">
        <v>5.6</v>
      </c>
      <c r="L109">
        <f t="shared" si="2"/>
        <v>8</v>
      </c>
    </row>
    <row r="110" spans="4:12">
      <c r="D110" s="66">
        <v>46142</v>
      </c>
      <c r="E110" s="32">
        <v>1599435</v>
      </c>
      <c r="F110" s="32" t="s">
        <v>13</v>
      </c>
      <c r="G110" s="67">
        <v>20320412</v>
      </c>
      <c r="H110" s="32" t="s">
        <v>96</v>
      </c>
      <c r="I110" s="67">
        <v>1</v>
      </c>
      <c r="J110" s="68">
        <v>7.7</v>
      </c>
      <c r="K110" s="68">
        <v>7.7</v>
      </c>
      <c r="L110">
        <f t="shared" si="2"/>
        <v>11</v>
      </c>
    </row>
    <row r="111" spans="4:12">
      <c r="D111" s="66">
        <v>46142</v>
      </c>
      <c r="E111" s="32">
        <v>1599435</v>
      </c>
      <c r="F111" s="32" t="s">
        <v>13</v>
      </c>
      <c r="G111" s="67">
        <v>20008491</v>
      </c>
      <c r="H111" s="32" t="s">
        <v>104</v>
      </c>
      <c r="I111" s="67">
        <v>1</v>
      </c>
      <c r="J111" s="68">
        <v>11.55</v>
      </c>
      <c r="K111" s="68">
        <v>11.55</v>
      </c>
      <c r="L111">
        <f t="shared" si="2"/>
        <v>16.5</v>
      </c>
    </row>
    <row r="112" spans="4:12">
      <c r="D112" s="66">
        <v>46142</v>
      </c>
      <c r="E112" s="32">
        <v>1599435</v>
      </c>
      <c r="F112" s="32" t="s">
        <v>23</v>
      </c>
      <c r="G112" s="67">
        <v>20338693</v>
      </c>
      <c r="H112" s="32" t="s">
        <v>94</v>
      </c>
      <c r="I112" s="67">
        <v>1</v>
      </c>
      <c r="J112" s="68">
        <v>34.65</v>
      </c>
      <c r="K112" s="68">
        <v>34.65</v>
      </c>
      <c r="L112">
        <f t="shared" si="2"/>
        <v>49.5</v>
      </c>
    </row>
    <row r="113" spans="4:12">
      <c r="D113" s="66">
        <v>46142</v>
      </c>
      <c r="E113" s="32">
        <v>1599435</v>
      </c>
      <c r="F113" s="32" t="s">
        <v>25</v>
      </c>
      <c r="G113" s="67">
        <v>20403984</v>
      </c>
      <c r="H113" s="32" t="s">
        <v>106</v>
      </c>
      <c r="I113" s="67">
        <v>1</v>
      </c>
      <c r="J113" s="68">
        <v>15.4</v>
      </c>
      <c r="K113" s="68">
        <v>15.4</v>
      </c>
      <c r="L113">
        <f t="shared" si="2"/>
        <v>22</v>
      </c>
    </row>
    <row r="114" spans="4:12">
      <c r="D114" s="66">
        <v>46142</v>
      </c>
      <c r="E114" s="32">
        <v>1599894</v>
      </c>
      <c r="F114" s="32" t="s">
        <v>23</v>
      </c>
      <c r="G114" s="67">
        <v>20338693</v>
      </c>
      <c r="H114" s="32" t="s">
        <v>94</v>
      </c>
      <c r="I114" s="67">
        <v>2</v>
      </c>
      <c r="J114" s="68">
        <v>34.65</v>
      </c>
      <c r="K114" s="68">
        <v>69.3</v>
      </c>
      <c r="L114">
        <f t="shared" si="2"/>
        <v>49.5</v>
      </c>
    </row>
    <row r="115" spans="4:12">
      <c r="D115" s="66">
        <v>46142</v>
      </c>
      <c r="E115" s="32">
        <v>1599894</v>
      </c>
      <c r="F115" s="32" t="s">
        <v>23</v>
      </c>
      <c r="G115" s="67">
        <v>20329564</v>
      </c>
      <c r="H115" s="32" t="s">
        <v>105</v>
      </c>
      <c r="I115" s="67">
        <v>1</v>
      </c>
      <c r="J115" s="68">
        <v>34.65</v>
      </c>
      <c r="K115" s="68">
        <v>34.65</v>
      </c>
      <c r="L115">
        <f t="shared" si="2"/>
        <v>49.5</v>
      </c>
    </row>
    <row r="116" ht="0.05" customHeight="1"/>
  </sheetData>
  <autoFilter xmlns:etc="http://www.wps.cn/officeDocument/2017/etCustomData" ref="A7:K115" etc:filterBottomFollowUsedRange="0">
    <extLst/>
  </autoFilter>
  <mergeCells count="5">
    <mergeCell ref="D8:H8"/>
    <mergeCell ref="C7:C115"/>
    <mergeCell ref="B4:H5"/>
    <mergeCell ref="A7:B115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&amp;"-,Regular"2026年5月6日 8:42 
&amp;"-,Bold"&amp;10 黑龙江省铂康医疗灭菌有限公司 &amp;R&amp;"Droid Sans Fallback"&amp;9第&amp;P页，共&amp;N页 </oddFooter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1"/>
  <sheetViews>
    <sheetView showGridLines="0" view="pageBreakPreview" zoomScaleNormal="100" workbookViewId="0">
      <pane ySplit="6" topLeftCell="A7" activePane="bottomLeft" state="frozen"/>
      <selection/>
      <selection pane="bottomLeft" activeCell="K9" sqref="K9:K32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75" customWidth="1"/>
  </cols>
  <sheetData>
    <row r="1" spans="1:12">
      <c r="C1" s="15" t="s">
        <v>0</v>
      </c>
    </row>
    <row r="2" ht="23.05" customHeight="1"/>
    <row r="3" ht="2" customHeight="1"/>
    <row r="4" ht="15.2" customHeight="1" spans="1:12">
      <c r="B4" s="16" t="s">
        <v>1</v>
      </c>
    </row>
    <row r="6" ht="2.95" customHeight="1"/>
    <row r="7" spans="1:12">
      <c r="A7" s="34" t="s">
        <v>2</v>
      </c>
      <c r="B7" s="17" t="s">
        <v>2</v>
      </c>
      <c r="C7" s="60" t="s">
        <v>2</v>
      </c>
      <c r="D7" s="61" t="s">
        <v>4</v>
      </c>
      <c r="E7" s="61" t="s">
        <v>5</v>
      </c>
      <c r="F7" s="61" t="s">
        <v>6</v>
      </c>
      <c r="G7" s="61" t="s">
        <v>7</v>
      </c>
      <c r="H7" s="61" t="s">
        <v>8</v>
      </c>
      <c r="I7" s="61" t="s">
        <v>9</v>
      </c>
      <c r="J7" s="61" t="s">
        <v>10</v>
      </c>
      <c r="K7" s="61" t="s">
        <v>11</v>
      </c>
    </row>
    <row r="8" ht="14.25" spans="1:12">
      <c r="D8" s="62" t="s">
        <v>136</v>
      </c>
      <c r="E8" s="63" t="s">
        <v>2</v>
      </c>
      <c r="F8" s="63" t="s">
        <v>2</v>
      </c>
      <c r="G8" s="63" t="s">
        <v>2</v>
      </c>
      <c r="H8" s="63" t="s">
        <v>2</v>
      </c>
      <c r="I8" s="64">
        <v>40</v>
      </c>
      <c r="J8" s="65"/>
      <c r="K8" s="65">
        <v>325.15</v>
      </c>
    </row>
    <row r="9" ht="25.5" spans="1:12">
      <c r="D9" s="66">
        <v>46114</v>
      </c>
      <c r="E9" s="32">
        <v>1591441</v>
      </c>
      <c r="F9" s="32" t="s">
        <v>13</v>
      </c>
      <c r="G9" s="67">
        <v>20378662</v>
      </c>
      <c r="H9" s="32" t="s">
        <v>137</v>
      </c>
      <c r="I9" s="67">
        <v>1</v>
      </c>
      <c r="J9" s="68">
        <v>11.55</v>
      </c>
      <c r="K9" s="68">
        <v>11.55</v>
      </c>
      <c r="L9">
        <f>J9/0.7</f>
        <v>16.5</v>
      </c>
    </row>
    <row r="10" spans="1:12">
      <c r="D10" s="66">
        <v>46114</v>
      </c>
      <c r="E10" s="32">
        <v>1591441</v>
      </c>
      <c r="F10" s="32" t="s">
        <v>13</v>
      </c>
      <c r="G10" s="67">
        <v>20321383</v>
      </c>
      <c r="H10" s="32" t="s">
        <v>41</v>
      </c>
      <c r="I10" s="67">
        <v>2</v>
      </c>
      <c r="J10" s="68">
        <v>5.6</v>
      </c>
      <c r="K10" s="68">
        <v>11.2</v>
      </c>
      <c r="L10">
        <f t="shared" ref="L10:L31" si="0">J10/0.7</f>
        <v>8</v>
      </c>
    </row>
    <row r="11" ht="25.5" spans="1:12">
      <c r="D11" s="66">
        <v>46119</v>
      </c>
      <c r="E11" s="32">
        <v>1592464</v>
      </c>
      <c r="F11" s="32" t="s">
        <v>13</v>
      </c>
      <c r="G11" s="67">
        <v>20378662</v>
      </c>
      <c r="H11" s="32" t="s">
        <v>137</v>
      </c>
      <c r="I11" s="67">
        <v>2</v>
      </c>
      <c r="J11" s="68">
        <v>11.55</v>
      </c>
      <c r="K11" s="68">
        <v>23.1</v>
      </c>
      <c r="L11">
        <f t="shared" si="0"/>
        <v>16.5</v>
      </c>
    </row>
    <row r="12" spans="1:12">
      <c r="D12" s="66">
        <v>46119</v>
      </c>
      <c r="E12" s="32">
        <v>1592464</v>
      </c>
      <c r="F12" s="32" t="s">
        <v>13</v>
      </c>
      <c r="G12" s="67">
        <v>20321383</v>
      </c>
      <c r="H12" s="32" t="s">
        <v>41</v>
      </c>
      <c r="I12" s="67">
        <v>1</v>
      </c>
      <c r="J12" s="68">
        <v>5.6</v>
      </c>
      <c r="K12" s="68">
        <v>5.6</v>
      </c>
      <c r="L12">
        <f t="shared" si="0"/>
        <v>8</v>
      </c>
    </row>
    <row r="13" ht="25.5" spans="1:12">
      <c r="D13" s="66">
        <v>46121</v>
      </c>
      <c r="E13" s="32">
        <v>1593253</v>
      </c>
      <c r="F13" s="32" t="s">
        <v>13</v>
      </c>
      <c r="G13" s="67">
        <v>20378662</v>
      </c>
      <c r="H13" s="32" t="s">
        <v>137</v>
      </c>
      <c r="I13" s="67">
        <v>2</v>
      </c>
      <c r="J13" s="68">
        <v>11.55</v>
      </c>
      <c r="K13" s="68">
        <v>23.1</v>
      </c>
      <c r="L13">
        <f t="shared" si="0"/>
        <v>16.5</v>
      </c>
    </row>
    <row r="14" spans="1:12">
      <c r="D14" s="66">
        <v>46121</v>
      </c>
      <c r="E14" s="32">
        <v>1593253</v>
      </c>
      <c r="F14" s="32" t="s">
        <v>13</v>
      </c>
      <c r="G14" s="67">
        <v>20006840</v>
      </c>
      <c r="H14" s="32" t="s">
        <v>34</v>
      </c>
      <c r="I14" s="67">
        <v>1</v>
      </c>
      <c r="J14" s="68">
        <v>5.6</v>
      </c>
      <c r="K14" s="68">
        <v>5.6</v>
      </c>
      <c r="L14">
        <f t="shared" si="0"/>
        <v>8</v>
      </c>
    </row>
    <row r="15" spans="1:12">
      <c r="D15" s="66">
        <v>46121</v>
      </c>
      <c r="E15" s="32">
        <v>1593253</v>
      </c>
      <c r="F15" s="32" t="s">
        <v>13</v>
      </c>
      <c r="G15" s="67">
        <v>20006899</v>
      </c>
      <c r="H15" s="32" t="s">
        <v>138</v>
      </c>
      <c r="I15" s="67">
        <v>2</v>
      </c>
      <c r="J15" s="68">
        <v>5.6</v>
      </c>
      <c r="K15" s="68">
        <v>11.2</v>
      </c>
      <c r="L15">
        <f t="shared" si="0"/>
        <v>8</v>
      </c>
    </row>
    <row r="16" ht="25.5" spans="1:12">
      <c r="D16" s="66">
        <v>46126</v>
      </c>
      <c r="E16" s="32">
        <v>1594590</v>
      </c>
      <c r="F16" s="32" t="s">
        <v>13</v>
      </c>
      <c r="G16" s="67">
        <v>20378662</v>
      </c>
      <c r="H16" s="32" t="s">
        <v>137</v>
      </c>
      <c r="I16" s="67">
        <v>2</v>
      </c>
      <c r="J16" s="68">
        <v>11.55</v>
      </c>
      <c r="K16" s="68">
        <v>23.1</v>
      </c>
      <c r="L16">
        <f t="shared" si="0"/>
        <v>16.5</v>
      </c>
    </row>
    <row r="17" spans="4:12">
      <c r="D17" s="66">
        <v>46126</v>
      </c>
      <c r="E17" s="32">
        <v>1594590</v>
      </c>
      <c r="F17" s="32" t="s">
        <v>13</v>
      </c>
      <c r="G17" s="67">
        <v>20321383</v>
      </c>
      <c r="H17" s="32" t="s">
        <v>41</v>
      </c>
      <c r="I17" s="67">
        <v>2</v>
      </c>
      <c r="J17" s="68">
        <v>5.6</v>
      </c>
      <c r="K17" s="68">
        <v>11.2</v>
      </c>
      <c r="L17">
        <f t="shared" si="0"/>
        <v>8</v>
      </c>
    </row>
    <row r="18" ht="25.5" spans="4:12">
      <c r="D18" s="66">
        <v>46128</v>
      </c>
      <c r="E18" s="32">
        <v>1595369</v>
      </c>
      <c r="F18" s="32" t="s">
        <v>13</v>
      </c>
      <c r="G18" s="67">
        <v>20378662</v>
      </c>
      <c r="H18" s="32" t="s">
        <v>137</v>
      </c>
      <c r="I18" s="67">
        <v>1</v>
      </c>
      <c r="J18" s="68">
        <v>11.55</v>
      </c>
      <c r="K18" s="68">
        <v>11.55</v>
      </c>
      <c r="L18">
        <f t="shared" si="0"/>
        <v>16.5</v>
      </c>
    </row>
    <row r="19" spans="4:12">
      <c r="D19" s="66">
        <v>46128</v>
      </c>
      <c r="E19" s="32">
        <v>1595369</v>
      </c>
      <c r="F19" s="32" t="s">
        <v>13</v>
      </c>
      <c r="G19" s="67">
        <v>20006899</v>
      </c>
      <c r="H19" s="32" t="s">
        <v>138</v>
      </c>
      <c r="I19" s="67">
        <v>1</v>
      </c>
      <c r="J19" s="68">
        <v>5.6</v>
      </c>
      <c r="K19" s="68">
        <v>5.6</v>
      </c>
      <c r="L19">
        <f t="shared" si="0"/>
        <v>8</v>
      </c>
    </row>
    <row r="20" ht="25.5" spans="4:12">
      <c r="D20" s="66">
        <v>46133</v>
      </c>
      <c r="E20" s="32">
        <v>1596707</v>
      </c>
      <c r="F20" s="32" t="s">
        <v>13</v>
      </c>
      <c r="G20" s="67">
        <v>20378662</v>
      </c>
      <c r="H20" s="32" t="s">
        <v>137</v>
      </c>
      <c r="I20" s="67">
        <v>4</v>
      </c>
      <c r="J20" s="68">
        <v>11.55</v>
      </c>
      <c r="K20" s="68">
        <v>46.2</v>
      </c>
      <c r="L20">
        <f t="shared" si="0"/>
        <v>16.5</v>
      </c>
    </row>
    <row r="21" spans="4:12">
      <c r="D21" s="66">
        <v>46133</v>
      </c>
      <c r="E21" s="32">
        <v>1596707</v>
      </c>
      <c r="F21" s="32" t="s">
        <v>13</v>
      </c>
      <c r="G21" s="67">
        <v>20321383</v>
      </c>
      <c r="H21" s="32" t="s">
        <v>41</v>
      </c>
      <c r="I21" s="67">
        <v>5</v>
      </c>
      <c r="J21" s="68">
        <v>5.6</v>
      </c>
      <c r="K21" s="68">
        <v>28</v>
      </c>
      <c r="L21">
        <f t="shared" si="0"/>
        <v>8</v>
      </c>
    </row>
    <row r="22" spans="4:12">
      <c r="D22" s="66">
        <v>46133</v>
      </c>
      <c r="E22" s="32">
        <v>1596707</v>
      </c>
      <c r="F22" s="32" t="s">
        <v>13</v>
      </c>
      <c r="G22" s="67">
        <v>20006840</v>
      </c>
      <c r="H22" s="32" t="s">
        <v>34</v>
      </c>
      <c r="I22" s="67">
        <v>1</v>
      </c>
      <c r="J22" s="68">
        <v>5.6</v>
      </c>
      <c r="K22" s="68">
        <v>5.6</v>
      </c>
      <c r="L22">
        <f t="shared" si="0"/>
        <v>8</v>
      </c>
    </row>
    <row r="23" spans="4:12">
      <c r="D23" s="66">
        <v>46135</v>
      </c>
      <c r="E23" s="32">
        <v>1597475</v>
      </c>
      <c r="F23" s="32" t="s">
        <v>13</v>
      </c>
      <c r="G23" s="67">
        <v>20011204</v>
      </c>
      <c r="H23" s="32" t="s">
        <v>74</v>
      </c>
      <c r="I23" s="67">
        <v>1</v>
      </c>
      <c r="J23" s="68">
        <v>5.6</v>
      </c>
      <c r="K23" s="68">
        <v>5.6</v>
      </c>
      <c r="L23">
        <f t="shared" si="0"/>
        <v>8</v>
      </c>
    </row>
    <row r="24" ht="25.5" spans="4:12">
      <c r="D24" s="66">
        <v>46135</v>
      </c>
      <c r="E24" s="32">
        <v>1597475</v>
      </c>
      <c r="F24" s="32" t="s">
        <v>13</v>
      </c>
      <c r="G24" s="67">
        <v>20378662</v>
      </c>
      <c r="H24" s="32" t="s">
        <v>137</v>
      </c>
      <c r="I24" s="67">
        <v>1</v>
      </c>
      <c r="J24" s="68">
        <v>11.55</v>
      </c>
      <c r="K24" s="68">
        <v>11.55</v>
      </c>
      <c r="L24">
        <f t="shared" si="0"/>
        <v>16.5</v>
      </c>
    </row>
    <row r="25" spans="4:12">
      <c r="D25" s="66">
        <v>46140</v>
      </c>
      <c r="E25" s="32">
        <v>1598759</v>
      </c>
      <c r="F25" s="32" t="s">
        <v>13</v>
      </c>
      <c r="G25" s="67">
        <v>20008322</v>
      </c>
      <c r="H25" s="32" t="s">
        <v>14</v>
      </c>
      <c r="I25" s="67">
        <v>1</v>
      </c>
      <c r="J25" s="68">
        <v>5.6</v>
      </c>
      <c r="K25" s="68">
        <v>5.6</v>
      </c>
      <c r="L25">
        <f t="shared" si="0"/>
        <v>8</v>
      </c>
    </row>
    <row r="26" ht="25.5" spans="4:12">
      <c r="D26" s="66">
        <v>46140</v>
      </c>
      <c r="E26" s="32">
        <v>1598759</v>
      </c>
      <c r="F26" s="32" t="s">
        <v>13</v>
      </c>
      <c r="G26" s="67">
        <v>20378662</v>
      </c>
      <c r="H26" s="32" t="s">
        <v>137</v>
      </c>
      <c r="I26" s="67">
        <v>3</v>
      </c>
      <c r="J26" s="68">
        <v>11.55</v>
      </c>
      <c r="K26" s="68">
        <v>34.65</v>
      </c>
      <c r="L26">
        <f t="shared" si="0"/>
        <v>16.5</v>
      </c>
    </row>
    <row r="27" spans="4:12">
      <c r="D27" s="66">
        <v>46140</v>
      </c>
      <c r="E27" s="32">
        <v>1598759</v>
      </c>
      <c r="F27" s="32" t="s">
        <v>13</v>
      </c>
      <c r="G27" s="67">
        <v>20321383</v>
      </c>
      <c r="H27" s="32" t="s">
        <v>41</v>
      </c>
      <c r="I27" s="67">
        <v>3</v>
      </c>
      <c r="J27" s="68">
        <v>5.6</v>
      </c>
      <c r="K27" s="68">
        <v>16.8</v>
      </c>
      <c r="L27">
        <f t="shared" si="0"/>
        <v>8</v>
      </c>
    </row>
    <row r="28" spans="4:12">
      <c r="D28" s="66">
        <v>46142</v>
      </c>
      <c r="E28" s="32">
        <v>1599638</v>
      </c>
      <c r="F28" s="32" t="s">
        <v>13</v>
      </c>
      <c r="G28" s="67">
        <v>20011204</v>
      </c>
      <c r="H28" s="32" t="s">
        <v>74</v>
      </c>
      <c r="I28" s="67">
        <v>1</v>
      </c>
      <c r="J28" s="68">
        <v>5.6</v>
      </c>
      <c r="K28" s="68">
        <v>5.6</v>
      </c>
      <c r="L28">
        <f t="shared" si="0"/>
        <v>8</v>
      </c>
    </row>
    <row r="29" spans="4:12">
      <c r="D29" s="66">
        <v>46142</v>
      </c>
      <c r="E29" s="32">
        <v>1599638</v>
      </c>
      <c r="F29" s="32" t="s">
        <v>13</v>
      </c>
      <c r="G29" s="67">
        <v>20008322</v>
      </c>
      <c r="H29" s="32" t="s">
        <v>14</v>
      </c>
      <c r="I29" s="67">
        <v>1</v>
      </c>
      <c r="J29" s="68">
        <v>5.6</v>
      </c>
      <c r="K29" s="68">
        <v>5.6</v>
      </c>
      <c r="L29">
        <f t="shared" si="0"/>
        <v>8</v>
      </c>
    </row>
    <row r="30" ht="25.5" spans="4:12">
      <c r="D30" s="66">
        <v>46142</v>
      </c>
      <c r="E30" s="32">
        <v>1599638</v>
      </c>
      <c r="F30" s="32" t="s">
        <v>13</v>
      </c>
      <c r="G30" s="67">
        <v>20378662</v>
      </c>
      <c r="H30" s="32" t="s">
        <v>137</v>
      </c>
      <c r="I30" s="67">
        <v>1</v>
      </c>
      <c r="J30" s="68">
        <v>11.55</v>
      </c>
      <c r="K30" s="68">
        <v>11.55</v>
      </c>
      <c r="L30">
        <f t="shared" si="0"/>
        <v>16.5</v>
      </c>
    </row>
    <row r="31" spans="4:12">
      <c r="D31" s="66">
        <v>46142</v>
      </c>
      <c r="E31" s="32">
        <v>1599638</v>
      </c>
      <c r="F31" s="32" t="s">
        <v>13</v>
      </c>
      <c r="G31" s="67">
        <v>20321383</v>
      </c>
      <c r="H31" s="32" t="s">
        <v>41</v>
      </c>
      <c r="I31" s="67">
        <v>1</v>
      </c>
      <c r="J31" s="68">
        <v>5.6</v>
      </c>
      <c r="K31" s="68">
        <v>5.6</v>
      </c>
      <c r="L31">
        <f t="shared" si="0"/>
        <v>8</v>
      </c>
    </row>
  </sheetData>
  <autoFilter xmlns:etc="http://www.wps.cn/officeDocument/2017/etCustomData" ref="A7:K31" etc:filterBottomFollowUsedRange="0">
    <extLst/>
  </autoFilter>
  <mergeCells count="5">
    <mergeCell ref="D8:H8"/>
    <mergeCell ref="C7:C31"/>
    <mergeCell ref="B4:H5"/>
    <mergeCell ref="A7:B31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&amp;"-,Regular"2026年5月6日 8:42 
&amp;"-,Bold"&amp;10 黑龙江省铂康医疗灭菌有限公司 &amp;R&amp;"Droid Sans Fallback"&amp;9第&amp;P页，共&amp;N页 </oddFooter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7"/>
  <sheetViews>
    <sheetView showGridLines="0" view="pageBreakPreview" zoomScaleNormal="100" workbookViewId="0">
      <pane ySplit="6" topLeftCell="A7" activePane="bottomLeft" state="frozen"/>
      <selection/>
      <selection pane="bottomLeft" activeCell="K9" sqref="K9:K38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375" customWidth="1"/>
  </cols>
  <sheetData>
    <row r="1" spans="1:12">
      <c r="C1" s="15" t="s">
        <v>0</v>
      </c>
    </row>
    <row r="2" ht="23.05" customHeight="1"/>
    <row r="3" ht="2" customHeight="1"/>
    <row r="4" ht="15.2" customHeight="1" spans="1:12">
      <c r="B4" s="16" t="s">
        <v>1</v>
      </c>
    </row>
    <row r="6" ht="2.95" customHeight="1"/>
    <row r="7" spans="1:12">
      <c r="A7" s="34" t="s">
        <v>2</v>
      </c>
      <c r="B7" s="17" t="s">
        <v>2</v>
      </c>
      <c r="C7" s="60" t="s">
        <v>2</v>
      </c>
      <c r="D7" s="61" t="s">
        <v>4</v>
      </c>
      <c r="E7" s="61" t="s">
        <v>5</v>
      </c>
      <c r="F7" s="61" t="s">
        <v>6</v>
      </c>
      <c r="G7" s="61" t="s">
        <v>7</v>
      </c>
      <c r="H7" s="61" t="s">
        <v>8</v>
      </c>
      <c r="I7" s="61" t="s">
        <v>9</v>
      </c>
      <c r="J7" s="61" t="s">
        <v>10</v>
      </c>
      <c r="K7" s="61" t="s">
        <v>11</v>
      </c>
    </row>
    <row r="8" ht="14.25" spans="1:12">
      <c r="D8" s="62" t="s">
        <v>139</v>
      </c>
      <c r="E8" s="63" t="s">
        <v>2</v>
      </c>
      <c r="F8" s="63" t="s">
        <v>2</v>
      </c>
      <c r="G8" s="63" t="s">
        <v>2</v>
      </c>
      <c r="H8" s="63" t="s">
        <v>2</v>
      </c>
      <c r="I8" s="64">
        <v>53</v>
      </c>
      <c r="J8" s="65"/>
      <c r="K8" s="65">
        <v>337.4</v>
      </c>
    </row>
    <row r="9" spans="1:12">
      <c r="D9" s="66">
        <v>46116</v>
      </c>
      <c r="E9" s="32">
        <v>1592048</v>
      </c>
      <c r="F9" s="32" t="s">
        <v>13</v>
      </c>
      <c r="G9" s="67">
        <v>20347043</v>
      </c>
      <c r="H9" s="32" t="s">
        <v>140</v>
      </c>
      <c r="I9" s="67">
        <v>1</v>
      </c>
      <c r="J9" s="68">
        <v>23.1</v>
      </c>
      <c r="K9" s="68">
        <v>23.1</v>
      </c>
      <c r="L9">
        <f>J9/0.7</f>
        <v>33</v>
      </c>
    </row>
    <row r="10" spans="1:12">
      <c r="D10" s="66">
        <v>46116</v>
      </c>
      <c r="E10" s="32">
        <v>1592048</v>
      </c>
      <c r="F10" s="32" t="s">
        <v>13</v>
      </c>
      <c r="G10" s="67">
        <v>20342950</v>
      </c>
      <c r="H10" s="32" t="s">
        <v>141</v>
      </c>
      <c r="I10" s="67">
        <v>1</v>
      </c>
      <c r="J10" s="68">
        <v>5.6</v>
      </c>
      <c r="K10" s="68">
        <v>5.6</v>
      </c>
      <c r="L10">
        <f t="shared" ref="L10:L37" si="0">J10/0.7</f>
        <v>8</v>
      </c>
    </row>
    <row r="11" spans="1:12">
      <c r="D11" s="66">
        <v>46116</v>
      </c>
      <c r="E11" s="32">
        <v>1592048</v>
      </c>
      <c r="F11" s="32" t="s">
        <v>13</v>
      </c>
      <c r="G11" s="67">
        <v>20347042</v>
      </c>
      <c r="H11" s="32" t="s">
        <v>142</v>
      </c>
      <c r="I11" s="67">
        <v>1</v>
      </c>
      <c r="J11" s="68">
        <v>5.6</v>
      </c>
      <c r="K11" s="68">
        <v>5.6</v>
      </c>
      <c r="L11">
        <f t="shared" si="0"/>
        <v>8</v>
      </c>
    </row>
    <row r="12" spans="1:12">
      <c r="D12" s="66">
        <v>46116</v>
      </c>
      <c r="E12" s="32">
        <v>1592048</v>
      </c>
      <c r="F12" s="32" t="s">
        <v>13</v>
      </c>
      <c r="G12" s="67">
        <v>20011545</v>
      </c>
      <c r="H12" s="32" t="s">
        <v>15</v>
      </c>
      <c r="I12" s="67">
        <v>2</v>
      </c>
      <c r="J12" s="68">
        <v>5.6</v>
      </c>
      <c r="K12" s="68">
        <v>11.2</v>
      </c>
      <c r="L12">
        <f t="shared" si="0"/>
        <v>8</v>
      </c>
    </row>
    <row r="13" spans="1:12">
      <c r="D13" s="66">
        <v>46123</v>
      </c>
      <c r="E13" s="32">
        <v>1593931</v>
      </c>
      <c r="F13" s="32" t="s">
        <v>13</v>
      </c>
      <c r="G13" s="67">
        <v>20009496</v>
      </c>
      <c r="H13" s="32" t="s">
        <v>143</v>
      </c>
      <c r="I13" s="67">
        <v>1</v>
      </c>
      <c r="J13" s="68">
        <v>5.6</v>
      </c>
      <c r="K13" s="68">
        <v>5.6</v>
      </c>
      <c r="L13">
        <f t="shared" si="0"/>
        <v>8</v>
      </c>
    </row>
    <row r="14" spans="1:12">
      <c r="D14" s="66">
        <v>46123</v>
      </c>
      <c r="E14" s="32">
        <v>1593931</v>
      </c>
      <c r="F14" s="32" t="s">
        <v>13</v>
      </c>
      <c r="G14" s="67">
        <v>20009489</v>
      </c>
      <c r="H14" s="32" t="s">
        <v>144</v>
      </c>
      <c r="I14" s="67">
        <v>1</v>
      </c>
      <c r="J14" s="68">
        <v>5.6</v>
      </c>
      <c r="K14" s="68">
        <v>5.6</v>
      </c>
      <c r="L14">
        <f t="shared" si="0"/>
        <v>8</v>
      </c>
    </row>
    <row r="15" spans="1:12">
      <c r="D15" s="66">
        <v>46123</v>
      </c>
      <c r="E15" s="32">
        <v>1593931</v>
      </c>
      <c r="F15" s="32" t="s">
        <v>13</v>
      </c>
      <c r="G15" s="67">
        <v>20362045</v>
      </c>
      <c r="H15" s="32" t="s">
        <v>145</v>
      </c>
      <c r="I15" s="67">
        <v>2</v>
      </c>
      <c r="J15" s="68">
        <v>5.6</v>
      </c>
      <c r="K15" s="68">
        <v>11.2</v>
      </c>
      <c r="L15">
        <f t="shared" si="0"/>
        <v>8</v>
      </c>
    </row>
    <row r="16" spans="1:12">
      <c r="D16" s="66">
        <v>46123</v>
      </c>
      <c r="E16" s="32">
        <v>1593931</v>
      </c>
      <c r="F16" s="32" t="s">
        <v>13</v>
      </c>
      <c r="G16" s="67">
        <v>20011545</v>
      </c>
      <c r="H16" s="32" t="s">
        <v>15</v>
      </c>
      <c r="I16" s="67">
        <v>1</v>
      </c>
      <c r="J16" s="68">
        <v>5.6</v>
      </c>
      <c r="K16" s="68">
        <v>5.6</v>
      </c>
      <c r="L16">
        <f t="shared" si="0"/>
        <v>8</v>
      </c>
    </row>
    <row r="17" spans="4:12">
      <c r="D17" s="66">
        <v>46123</v>
      </c>
      <c r="E17" s="32">
        <v>1593931</v>
      </c>
      <c r="F17" s="32" t="s">
        <v>13</v>
      </c>
      <c r="G17" s="67">
        <v>20009493</v>
      </c>
      <c r="H17" s="32" t="s">
        <v>146</v>
      </c>
      <c r="I17" s="67">
        <v>2</v>
      </c>
      <c r="J17" s="68">
        <v>5.6</v>
      </c>
      <c r="K17" s="68">
        <v>11.2</v>
      </c>
      <c r="L17">
        <f t="shared" si="0"/>
        <v>8</v>
      </c>
    </row>
    <row r="18" spans="4:12">
      <c r="D18" s="66">
        <v>46128</v>
      </c>
      <c r="E18" s="32">
        <v>1595536</v>
      </c>
      <c r="F18" s="32" t="s">
        <v>13</v>
      </c>
      <c r="G18" s="67">
        <v>20011204</v>
      </c>
      <c r="H18" s="32" t="s">
        <v>74</v>
      </c>
      <c r="I18" s="67">
        <v>1</v>
      </c>
      <c r="J18" s="68">
        <v>5.6</v>
      </c>
      <c r="K18" s="68">
        <v>5.6</v>
      </c>
      <c r="L18">
        <f t="shared" si="0"/>
        <v>8</v>
      </c>
    </row>
    <row r="19" spans="4:12">
      <c r="D19" s="66">
        <v>46128</v>
      </c>
      <c r="E19" s="32">
        <v>1595536</v>
      </c>
      <c r="F19" s="32" t="s">
        <v>13</v>
      </c>
      <c r="G19" s="67">
        <v>20008322</v>
      </c>
      <c r="H19" s="32" t="s">
        <v>14</v>
      </c>
      <c r="I19" s="67">
        <v>1</v>
      </c>
      <c r="J19" s="68">
        <v>5.6</v>
      </c>
      <c r="K19" s="68">
        <v>5.6</v>
      </c>
      <c r="L19">
        <f t="shared" si="0"/>
        <v>8</v>
      </c>
    </row>
    <row r="20" spans="4:12">
      <c r="D20" s="66">
        <v>46128</v>
      </c>
      <c r="E20" s="32">
        <v>1595536</v>
      </c>
      <c r="F20" s="32" t="s">
        <v>13</v>
      </c>
      <c r="G20" s="67">
        <v>20014828</v>
      </c>
      <c r="H20" s="32" t="s">
        <v>22</v>
      </c>
      <c r="I20" s="67">
        <v>4</v>
      </c>
      <c r="J20" s="68">
        <v>5.6</v>
      </c>
      <c r="K20" s="68">
        <v>22.4</v>
      </c>
      <c r="L20">
        <f t="shared" si="0"/>
        <v>8</v>
      </c>
    </row>
    <row r="21" spans="4:12">
      <c r="D21" s="66">
        <v>46133</v>
      </c>
      <c r="E21" s="32">
        <v>1596606</v>
      </c>
      <c r="F21" s="32" t="s">
        <v>13</v>
      </c>
      <c r="G21" s="67">
        <v>20011204</v>
      </c>
      <c r="H21" s="32" t="s">
        <v>74</v>
      </c>
      <c r="I21" s="67">
        <v>2</v>
      </c>
      <c r="J21" s="68">
        <v>5.6</v>
      </c>
      <c r="K21" s="68">
        <v>11.2</v>
      </c>
      <c r="L21">
        <f t="shared" si="0"/>
        <v>8</v>
      </c>
    </row>
    <row r="22" spans="4:12">
      <c r="D22" s="66">
        <v>46133</v>
      </c>
      <c r="E22" s="32">
        <v>1596606</v>
      </c>
      <c r="F22" s="32" t="s">
        <v>13</v>
      </c>
      <c r="G22" s="67">
        <v>20011545</v>
      </c>
      <c r="H22" s="32" t="s">
        <v>15</v>
      </c>
      <c r="I22" s="67">
        <v>3</v>
      </c>
      <c r="J22" s="68">
        <v>5.6</v>
      </c>
      <c r="K22" s="68">
        <v>16.8</v>
      </c>
      <c r="L22">
        <f t="shared" si="0"/>
        <v>8</v>
      </c>
    </row>
    <row r="23" spans="4:12">
      <c r="D23" s="66">
        <v>46133</v>
      </c>
      <c r="E23" s="32">
        <v>1596606</v>
      </c>
      <c r="F23" s="32" t="s">
        <v>13</v>
      </c>
      <c r="G23" s="67">
        <v>20014828</v>
      </c>
      <c r="H23" s="32" t="s">
        <v>22</v>
      </c>
      <c r="I23" s="67">
        <v>3</v>
      </c>
      <c r="J23" s="68">
        <v>5.6</v>
      </c>
      <c r="K23" s="68">
        <v>16.8</v>
      </c>
      <c r="L23">
        <f t="shared" si="0"/>
        <v>8</v>
      </c>
    </row>
    <row r="24" spans="4:12">
      <c r="D24" s="66">
        <v>46135</v>
      </c>
      <c r="E24" s="32">
        <v>1597358</v>
      </c>
      <c r="F24" s="32" t="s">
        <v>13</v>
      </c>
      <c r="G24" s="67">
        <v>20011204</v>
      </c>
      <c r="H24" s="32" t="s">
        <v>74</v>
      </c>
      <c r="I24" s="67">
        <v>2</v>
      </c>
      <c r="J24" s="68">
        <v>5.6</v>
      </c>
      <c r="K24" s="68">
        <v>11.2</v>
      </c>
      <c r="L24">
        <f t="shared" si="0"/>
        <v>8</v>
      </c>
    </row>
    <row r="25" spans="4:12">
      <c r="D25" s="66">
        <v>46135</v>
      </c>
      <c r="E25" s="32">
        <v>1597358</v>
      </c>
      <c r="F25" s="32" t="s">
        <v>13</v>
      </c>
      <c r="G25" s="67">
        <v>20011545</v>
      </c>
      <c r="H25" s="32" t="s">
        <v>15</v>
      </c>
      <c r="I25" s="67">
        <v>3</v>
      </c>
      <c r="J25" s="68">
        <v>5.6</v>
      </c>
      <c r="K25" s="68">
        <v>16.8</v>
      </c>
      <c r="L25">
        <f t="shared" si="0"/>
        <v>8</v>
      </c>
    </row>
    <row r="26" spans="4:12">
      <c r="D26" s="66">
        <v>46135</v>
      </c>
      <c r="E26" s="32">
        <v>1597358</v>
      </c>
      <c r="F26" s="32" t="s">
        <v>13</v>
      </c>
      <c r="G26" s="67">
        <v>20014828</v>
      </c>
      <c r="H26" s="32" t="s">
        <v>22</v>
      </c>
      <c r="I26" s="67">
        <v>2</v>
      </c>
      <c r="J26" s="68">
        <v>5.6</v>
      </c>
      <c r="K26" s="68">
        <v>11.2</v>
      </c>
      <c r="L26">
        <f t="shared" si="0"/>
        <v>8</v>
      </c>
    </row>
    <row r="27" spans="4:12">
      <c r="D27" s="66">
        <v>46137</v>
      </c>
      <c r="E27" s="32">
        <v>1598129</v>
      </c>
      <c r="F27" s="32" t="s">
        <v>46</v>
      </c>
      <c r="G27" s="67">
        <v>20009022</v>
      </c>
      <c r="H27" s="32" t="s">
        <v>78</v>
      </c>
      <c r="I27" s="67">
        <v>1</v>
      </c>
      <c r="J27" s="68">
        <v>11.2</v>
      </c>
      <c r="K27" s="68">
        <v>11.2</v>
      </c>
      <c r="L27">
        <f t="shared" si="0"/>
        <v>16</v>
      </c>
    </row>
    <row r="28" spans="4:12">
      <c r="D28" s="66">
        <v>46137</v>
      </c>
      <c r="E28" s="32">
        <v>1598129</v>
      </c>
      <c r="F28" s="32" t="s">
        <v>13</v>
      </c>
      <c r="G28" s="67">
        <v>20011204</v>
      </c>
      <c r="H28" s="32" t="s">
        <v>74</v>
      </c>
      <c r="I28" s="67">
        <v>2</v>
      </c>
      <c r="J28" s="68">
        <v>5.6</v>
      </c>
      <c r="K28" s="68">
        <v>11.2</v>
      </c>
      <c r="L28">
        <f t="shared" si="0"/>
        <v>8</v>
      </c>
    </row>
    <row r="29" spans="4:12">
      <c r="D29" s="66">
        <v>46137</v>
      </c>
      <c r="E29" s="32">
        <v>1598129</v>
      </c>
      <c r="F29" s="32" t="s">
        <v>13</v>
      </c>
      <c r="G29" s="67">
        <v>20008322</v>
      </c>
      <c r="H29" s="32" t="s">
        <v>14</v>
      </c>
      <c r="I29" s="67">
        <v>1</v>
      </c>
      <c r="J29" s="68">
        <v>5.6</v>
      </c>
      <c r="K29" s="68">
        <v>5.6</v>
      </c>
      <c r="L29">
        <f t="shared" si="0"/>
        <v>8</v>
      </c>
    </row>
    <row r="30" spans="4:12">
      <c r="D30" s="66">
        <v>46137</v>
      </c>
      <c r="E30" s="32">
        <v>1598129</v>
      </c>
      <c r="F30" s="32" t="s">
        <v>13</v>
      </c>
      <c r="G30" s="67">
        <v>20347043</v>
      </c>
      <c r="H30" s="32" t="s">
        <v>140</v>
      </c>
      <c r="I30" s="67">
        <v>1</v>
      </c>
      <c r="J30" s="68">
        <v>23.1</v>
      </c>
      <c r="K30" s="68">
        <v>23.1</v>
      </c>
      <c r="L30">
        <f t="shared" si="0"/>
        <v>33</v>
      </c>
    </row>
    <row r="31" spans="4:12">
      <c r="D31" s="66">
        <v>46137</v>
      </c>
      <c r="E31" s="32">
        <v>1598129</v>
      </c>
      <c r="F31" s="32" t="s">
        <v>13</v>
      </c>
      <c r="G31" s="67">
        <v>20011545</v>
      </c>
      <c r="H31" s="32" t="s">
        <v>15</v>
      </c>
      <c r="I31" s="67">
        <v>2</v>
      </c>
      <c r="J31" s="68">
        <v>5.6</v>
      </c>
      <c r="K31" s="68">
        <v>11.2</v>
      </c>
      <c r="L31">
        <f t="shared" si="0"/>
        <v>8</v>
      </c>
    </row>
    <row r="32" spans="4:12">
      <c r="D32" s="66">
        <v>46137</v>
      </c>
      <c r="E32" s="32">
        <v>1598129</v>
      </c>
      <c r="F32" s="32" t="s">
        <v>13</v>
      </c>
      <c r="G32" s="67">
        <v>20009493</v>
      </c>
      <c r="H32" s="32" t="s">
        <v>146</v>
      </c>
      <c r="I32" s="67">
        <v>2</v>
      </c>
      <c r="J32" s="68">
        <v>5.6</v>
      </c>
      <c r="K32" s="68">
        <v>11.2</v>
      </c>
      <c r="L32">
        <f t="shared" si="0"/>
        <v>8</v>
      </c>
    </row>
    <row r="33" spans="4:12">
      <c r="D33" s="66">
        <v>46137</v>
      </c>
      <c r="E33" s="32">
        <v>1598129</v>
      </c>
      <c r="F33" s="32" t="s">
        <v>13</v>
      </c>
      <c r="G33" s="67">
        <v>20014828</v>
      </c>
      <c r="H33" s="32" t="s">
        <v>22</v>
      </c>
      <c r="I33" s="67">
        <v>3</v>
      </c>
      <c r="J33" s="68">
        <v>5.6</v>
      </c>
      <c r="K33" s="68">
        <v>16.8</v>
      </c>
      <c r="L33">
        <f t="shared" si="0"/>
        <v>8</v>
      </c>
    </row>
    <row r="34" spans="4:12">
      <c r="D34" s="66">
        <v>46140</v>
      </c>
      <c r="E34" s="32">
        <v>1598614</v>
      </c>
      <c r="F34" s="32" t="s">
        <v>13</v>
      </c>
      <c r="G34" s="67">
        <v>20011204</v>
      </c>
      <c r="H34" s="32" t="s">
        <v>74</v>
      </c>
      <c r="I34" s="67">
        <v>1</v>
      </c>
      <c r="J34" s="68">
        <v>5.6</v>
      </c>
      <c r="K34" s="68">
        <v>5.6</v>
      </c>
      <c r="L34">
        <f t="shared" si="0"/>
        <v>8</v>
      </c>
    </row>
    <row r="35" spans="4:12">
      <c r="D35" s="66">
        <v>46140</v>
      </c>
      <c r="E35" s="32">
        <v>1598614</v>
      </c>
      <c r="F35" s="32" t="s">
        <v>13</v>
      </c>
      <c r="G35" s="67">
        <v>20011545</v>
      </c>
      <c r="H35" s="32" t="s">
        <v>15</v>
      </c>
      <c r="I35" s="67">
        <v>2</v>
      </c>
      <c r="J35" s="68">
        <v>5.6</v>
      </c>
      <c r="K35" s="68">
        <v>11.2</v>
      </c>
      <c r="L35">
        <f t="shared" si="0"/>
        <v>8</v>
      </c>
    </row>
    <row r="36" spans="4:12">
      <c r="D36" s="66">
        <v>46140</v>
      </c>
      <c r="E36" s="32">
        <v>1598614</v>
      </c>
      <c r="F36" s="32" t="s">
        <v>13</v>
      </c>
      <c r="G36" s="67">
        <v>20013229</v>
      </c>
      <c r="H36" s="32" t="s">
        <v>147</v>
      </c>
      <c r="I36" s="67">
        <v>2</v>
      </c>
      <c r="J36" s="68">
        <v>5.6</v>
      </c>
      <c r="K36" s="68">
        <v>11.2</v>
      </c>
      <c r="L36">
        <f t="shared" si="0"/>
        <v>8</v>
      </c>
    </row>
    <row r="37" spans="4:12">
      <c r="D37" s="66">
        <v>46142</v>
      </c>
      <c r="E37" s="32">
        <v>1599639</v>
      </c>
      <c r="F37" s="32" t="s">
        <v>13</v>
      </c>
      <c r="G37" s="67">
        <v>20011545</v>
      </c>
      <c r="H37" s="32" t="s">
        <v>15</v>
      </c>
      <c r="I37" s="67">
        <v>3</v>
      </c>
      <c r="J37" s="68">
        <v>5.6</v>
      </c>
      <c r="K37" s="68">
        <v>16.8</v>
      </c>
      <c r="L37">
        <f t="shared" si="0"/>
        <v>8</v>
      </c>
    </row>
  </sheetData>
  <autoFilter xmlns:etc="http://www.wps.cn/officeDocument/2017/etCustomData" ref="A7:K37" etc:filterBottomFollowUsedRange="0">
    <extLst/>
  </autoFilter>
  <mergeCells count="5">
    <mergeCell ref="D8:H8"/>
    <mergeCell ref="C7:C37"/>
    <mergeCell ref="B4:H5"/>
    <mergeCell ref="A7:B37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&amp;"-,Regular"2026年5月6日 8:42 
&amp;"-,Bold"&amp;10 黑龙江省铂康医疗灭菌有限公司 &amp;R&amp;"Droid Sans Fallback"&amp;9第&amp;P页，共&amp;N页 </oddFooter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74"/>
  <sheetViews>
    <sheetView showGridLines="0" view="pageBreakPreview" zoomScaleNormal="100" workbookViewId="0">
      <pane ySplit="6" topLeftCell="A7" activePane="bottomLeft" state="frozen"/>
      <selection/>
      <selection pane="bottomLeft" activeCell="K9" sqref="K9:K75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375" customWidth="1"/>
  </cols>
  <sheetData>
    <row r="1" spans="1:12">
      <c r="C1" s="15" t="s">
        <v>0</v>
      </c>
    </row>
    <row r="2" ht="23.05" customHeight="1"/>
    <row r="3" ht="2" customHeight="1"/>
    <row r="4" ht="15.2" customHeight="1" spans="1:12">
      <c r="B4" s="16" t="s">
        <v>1</v>
      </c>
    </row>
    <row r="6" ht="2.95" customHeight="1"/>
    <row r="7" spans="1:12">
      <c r="A7" s="34" t="s">
        <v>2</v>
      </c>
      <c r="B7" s="17" t="s">
        <v>2</v>
      </c>
      <c r="C7" s="60" t="s">
        <v>2</v>
      </c>
      <c r="D7" s="61" t="s">
        <v>4</v>
      </c>
      <c r="E7" s="61" t="s">
        <v>5</v>
      </c>
      <c r="F7" s="61" t="s">
        <v>6</v>
      </c>
      <c r="G7" s="61" t="s">
        <v>7</v>
      </c>
      <c r="H7" s="61" t="s">
        <v>8</v>
      </c>
      <c r="I7" s="61" t="s">
        <v>9</v>
      </c>
      <c r="J7" s="61" t="s">
        <v>10</v>
      </c>
      <c r="K7" s="61" t="s">
        <v>11</v>
      </c>
    </row>
    <row r="8" ht="14.25" spans="1:12">
      <c r="D8" s="62" t="s">
        <v>148</v>
      </c>
      <c r="E8" s="63" t="s">
        <v>2</v>
      </c>
      <c r="F8" s="63" t="s">
        <v>2</v>
      </c>
      <c r="G8" s="63" t="s">
        <v>2</v>
      </c>
      <c r="H8" s="63" t="s">
        <v>2</v>
      </c>
      <c r="I8" s="64">
        <v>66</v>
      </c>
      <c r="J8" s="65"/>
      <c r="K8" s="65">
        <v>1473.5</v>
      </c>
    </row>
    <row r="9" spans="1:12">
      <c r="D9" s="66">
        <v>46115</v>
      </c>
      <c r="E9" s="32">
        <v>1591730</v>
      </c>
      <c r="F9" s="32" t="s">
        <v>27</v>
      </c>
      <c r="G9" s="67">
        <v>20364813</v>
      </c>
      <c r="H9" s="32" t="s">
        <v>149</v>
      </c>
      <c r="I9" s="67">
        <v>1</v>
      </c>
      <c r="J9" s="68">
        <v>30.8</v>
      </c>
      <c r="K9" s="68">
        <v>30.8</v>
      </c>
      <c r="L9">
        <f>J9/0.7</f>
        <v>44</v>
      </c>
    </row>
    <row r="10" spans="1:12">
      <c r="D10" s="66">
        <v>46115</v>
      </c>
      <c r="E10" s="32">
        <v>1591730</v>
      </c>
      <c r="F10" s="32" t="s">
        <v>27</v>
      </c>
      <c r="G10" s="67">
        <v>20364814</v>
      </c>
      <c r="H10" s="32" t="s">
        <v>150</v>
      </c>
      <c r="I10" s="67">
        <v>1</v>
      </c>
      <c r="J10" s="68">
        <v>17.5</v>
      </c>
      <c r="K10" s="68">
        <v>17.5</v>
      </c>
      <c r="L10">
        <f t="shared" ref="L10:L41" si="0">J10/0.7</f>
        <v>25</v>
      </c>
    </row>
    <row r="11" spans="1:12">
      <c r="D11" s="66">
        <v>46115</v>
      </c>
      <c r="E11" s="32">
        <v>1591730</v>
      </c>
      <c r="F11" s="32" t="s">
        <v>27</v>
      </c>
      <c r="G11" s="67">
        <v>20322920</v>
      </c>
      <c r="H11" s="32" t="s">
        <v>151</v>
      </c>
      <c r="I11" s="67">
        <v>1</v>
      </c>
      <c r="J11" s="68">
        <v>19.6</v>
      </c>
      <c r="K11" s="68">
        <v>19.6</v>
      </c>
      <c r="L11">
        <f t="shared" si="0"/>
        <v>28</v>
      </c>
    </row>
    <row r="12" spans="1:12">
      <c r="D12" s="66">
        <v>46115</v>
      </c>
      <c r="E12" s="32">
        <v>1591730</v>
      </c>
      <c r="F12" s="32" t="s">
        <v>69</v>
      </c>
      <c r="G12" s="67">
        <v>20364417</v>
      </c>
      <c r="H12" s="32" t="s">
        <v>152</v>
      </c>
      <c r="I12" s="67">
        <v>1</v>
      </c>
      <c r="J12" s="68">
        <v>19.6</v>
      </c>
      <c r="K12" s="68">
        <v>19.6</v>
      </c>
      <c r="L12">
        <f t="shared" si="0"/>
        <v>28</v>
      </c>
    </row>
    <row r="13" spans="1:12">
      <c r="D13" s="66">
        <v>46116</v>
      </c>
      <c r="E13" s="32">
        <v>1592091</v>
      </c>
      <c r="F13" s="32" t="s">
        <v>27</v>
      </c>
      <c r="G13" s="67">
        <v>20364809</v>
      </c>
      <c r="H13" s="32" t="s">
        <v>153</v>
      </c>
      <c r="I13" s="67">
        <v>1</v>
      </c>
      <c r="J13" s="68">
        <v>30.8</v>
      </c>
      <c r="K13" s="68">
        <v>30.8</v>
      </c>
      <c r="L13">
        <f t="shared" si="0"/>
        <v>44</v>
      </c>
    </row>
    <row r="14" spans="1:12">
      <c r="D14" s="66">
        <v>46116</v>
      </c>
      <c r="E14" s="32">
        <v>1592091</v>
      </c>
      <c r="F14" s="32" t="s">
        <v>27</v>
      </c>
      <c r="G14" s="67">
        <v>20364808</v>
      </c>
      <c r="H14" s="32" t="s">
        <v>154</v>
      </c>
      <c r="I14" s="67">
        <v>1</v>
      </c>
      <c r="J14" s="68">
        <v>30.8</v>
      </c>
      <c r="K14" s="68">
        <v>30.8</v>
      </c>
      <c r="L14">
        <f t="shared" si="0"/>
        <v>44</v>
      </c>
    </row>
    <row r="15" spans="1:12">
      <c r="D15" s="66">
        <v>46116</v>
      </c>
      <c r="E15" s="32">
        <v>1592091</v>
      </c>
      <c r="F15" s="32" t="s">
        <v>27</v>
      </c>
      <c r="G15" s="67">
        <v>20364813</v>
      </c>
      <c r="H15" s="32" t="s">
        <v>149</v>
      </c>
      <c r="I15" s="67">
        <v>1</v>
      </c>
      <c r="J15" s="68">
        <v>30.8</v>
      </c>
      <c r="K15" s="68">
        <v>30.8</v>
      </c>
      <c r="L15">
        <f t="shared" si="0"/>
        <v>44</v>
      </c>
    </row>
    <row r="16" spans="1:12">
      <c r="D16" s="66">
        <v>46116</v>
      </c>
      <c r="E16" s="32">
        <v>1592091</v>
      </c>
      <c r="F16" s="32" t="s">
        <v>27</v>
      </c>
      <c r="G16" s="67">
        <v>20364815</v>
      </c>
      <c r="H16" s="32" t="s">
        <v>155</v>
      </c>
      <c r="I16" s="67">
        <v>1</v>
      </c>
      <c r="J16" s="68">
        <v>17.5</v>
      </c>
      <c r="K16" s="68">
        <v>17.5</v>
      </c>
      <c r="L16">
        <f t="shared" si="0"/>
        <v>25</v>
      </c>
    </row>
    <row r="17" spans="4:12">
      <c r="D17" s="66">
        <v>46116</v>
      </c>
      <c r="E17" s="32">
        <v>1592091</v>
      </c>
      <c r="F17" s="32" t="s">
        <v>27</v>
      </c>
      <c r="G17" s="67">
        <v>20364814</v>
      </c>
      <c r="H17" s="32" t="s">
        <v>150</v>
      </c>
      <c r="I17" s="67">
        <v>1</v>
      </c>
      <c r="J17" s="68">
        <v>17.5</v>
      </c>
      <c r="K17" s="68">
        <v>17.5</v>
      </c>
      <c r="L17">
        <f t="shared" si="0"/>
        <v>25</v>
      </c>
    </row>
    <row r="18" spans="4:12">
      <c r="D18" s="66">
        <v>46116</v>
      </c>
      <c r="E18" s="32">
        <v>1592091</v>
      </c>
      <c r="F18" s="32" t="s">
        <v>69</v>
      </c>
      <c r="G18" s="67">
        <v>20364418</v>
      </c>
      <c r="H18" s="32" t="s">
        <v>156</v>
      </c>
      <c r="I18" s="67">
        <v>1</v>
      </c>
      <c r="J18" s="68">
        <v>19.6</v>
      </c>
      <c r="K18" s="68">
        <v>19.6</v>
      </c>
      <c r="L18">
        <f t="shared" si="0"/>
        <v>28</v>
      </c>
    </row>
    <row r="19" spans="4:12">
      <c r="D19" s="66">
        <v>46116</v>
      </c>
      <c r="E19" s="32">
        <v>1592091</v>
      </c>
      <c r="F19" s="32" t="s">
        <v>69</v>
      </c>
      <c r="G19" s="67">
        <v>20364419</v>
      </c>
      <c r="H19" s="32" t="s">
        <v>157</v>
      </c>
      <c r="I19" s="67">
        <v>1</v>
      </c>
      <c r="J19" s="68">
        <v>19.6</v>
      </c>
      <c r="K19" s="68">
        <v>19.6</v>
      </c>
      <c r="L19">
        <f t="shared" si="0"/>
        <v>28</v>
      </c>
    </row>
    <row r="20" spans="4:12">
      <c r="D20" s="66">
        <v>46120</v>
      </c>
      <c r="E20" s="32">
        <v>1592734</v>
      </c>
      <c r="F20" s="32" t="s">
        <v>27</v>
      </c>
      <c r="G20" s="67">
        <v>20364813</v>
      </c>
      <c r="H20" s="32" t="s">
        <v>149</v>
      </c>
      <c r="I20" s="67">
        <v>1</v>
      </c>
      <c r="J20" s="68">
        <v>30.8</v>
      </c>
      <c r="K20" s="68">
        <v>30.8</v>
      </c>
      <c r="L20">
        <f t="shared" si="0"/>
        <v>44</v>
      </c>
    </row>
    <row r="21" spans="4:12">
      <c r="D21" s="66">
        <v>46120</v>
      </c>
      <c r="E21" s="32">
        <v>1592734</v>
      </c>
      <c r="F21" s="32" t="s">
        <v>27</v>
      </c>
      <c r="G21" s="67">
        <v>20353773</v>
      </c>
      <c r="H21" s="32" t="s">
        <v>158</v>
      </c>
      <c r="I21" s="67">
        <v>1</v>
      </c>
      <c r="J21" s="68">
        <v>17.5</v>
      </c>
      <c r="K21" s="68">
        <v>17.5</v>
      </c>
      <c r="L21">
        <f t="shared" si="0"/>
        <v>25</v>
      </c>
    </row>
    <row r="22" spans="4:12">
      <c r="D22" s="66">
        <v>46120</v>
      </c>
      <c r="E22" s="32">
        <v>1592734</v>
      </c>
      <c r="F22" s="32" t="s">
        <v>27</v>
      </c>
      <c r="G22" s="67">
        <v>20364814</v>
      </c>
      <c r="H22" s="32" t="s">
        <v>150</v>
      </c>
      <c r="I22" s="67">
        <v>1</v>
      </c>
      <c r="J22" s="68">
        <v>17.5</v>
      </c>
      <c r="K22" s="68">
        <v>17.5</v>
      </c>
      <c r="L22">
        <f t="shared" si="0"/>
        <v>25</v>
      </c>
    </row>
    <row r="23" spans="4:12">
      <c r="D23" s="66">
        <v>46120</v>
      </c>
      <c r="E23" s="32">
        <v>1592734</v>
      </c>
      <c r="F23" s="32" t="s">
        <v>69</v>
      </c>
      <c r="G23" s="67">
        <v>20364419</v>
      </c>
      <c r="H23" s="32" t="s">
        <v>157</v>
      </c>
      <c r="I23" s="67">
        <v>1</v>
      </c>
      <c r="J23" s="68">
        <v>19.6</v>
      </c>
      <c r="K23" s="68">
        <v>19.6</v>
      </c>
      <c r="L23">
        <f t="shared" si="0"/>
        <v>28</v>
      </c>
    </row>
    <row r="24" spans="4:12">
      <c r="D24" s="66">
        <v>46122</v>
      </c>
      <c r="E24" s="32">
        <v>1593545</v>
      </c>
      <c r="F24" s="32" t="s">
        <v>27</v>
      </c>
      <c r="G24" s="67">
        <v>20364809</v>
      </c>
      <c r="H24" s="32" t="s">
        <v>153</v>
      </c>
      <c r="I24" s="67">
        <v>1</v>
      </c>
      <c r="J24" s="68">
        <v>30.8</v>
      </c>
      <c r="K24" s="68">
        <v>30.8</v>
      </c>
      <c r="L24">
        <f t="shared" si="0"/>
        <v>44</v>
      </c>
    </row>
    <row r="25" spans="4:12">
      <c r="D25" s="66">
        <v>46122</v>
      </c>
      <c r="E25" s="32">
        <v>1593545</v>
      </c>
      <c r="F25" s="32" t="s">
        <v>27</v>
      </c>
      <c r="G25" s="67">
        <v>20364815</v>
      </c>
      <c r="H25" s="32" t="s">
        <v>155</v>
      </c>
      <c r="I25" s="67">
        <v>1</v>
      </c>
      <c r="J25" s="68">
        <v>17.5</v>
      </c>
      <c r="K25" s="68">
        <v>17.5</v>
      </c>
      <c r="L25">
        <f t="shared" si="0"/>
        <v>25</v>
      </c>
    </row>
    <row r="26" spans="4:12">
      <c r="D26" s="66">
        <v>46122</v>
      </c>
      <c r="E26" s="32">
        <v>1593545</v>
      </c>
      <c r="F26" s="32" t="s">
        <v>69</v>
      </c>
      <c r="G26" s="67">
        <v>20364417</v>
      </c>
      <c r="H26" s="32" t="s">
        <v>152</v>
      </c>
      <c r="I26" s="67">
        <v>1</v>
      </c>
      <c r="J26" s="68">
        <v>19.6</v>
      </c>
      <c r="K26" s="68">
        <v>19.6</v>
      </c>
      <c r="L26">
        <f t="shared" si="0"/>
        <v>28</v>
      </c>
    </row>
    <row r="27" spans="4:12">
      <c r="D27" s="66">
        <v>46123</v>
      </c>
      <c r="E27" s="32">
        <v>1593938</v>
      </c>
      <c r="F27" s="32" t="s">
        <v>27</v>
      </c>
      <c r="G27" s="67">
        <v>20364808</v>
      </c>
      <c r="H27" s="32" t="s">
        <v>154</v>
      </c>
      <c r="I27" s="67">
        <v>1</v>
      </c>
      <c r="J27" s="68">
        <v>30.8</v>
      </c>
      <c r="K27" s="68">
        <v>30.8</v>
      </c>
      <c r="L27">
        <f t="shared" si="0"/>
        <v>44</v>
      </c>
    </row>
    <row r="28" spans="4:12">
      <c r="D28" s="66">
        <v>46123</v>
      </c>
      <c r="E28" s="32">
        <v>1593938</v>
      </c>
      <c r="F28" s="32" t="s">
        <v>27</v>
      </c>
      <c r="G28" s="67">
        <v>20364814</v>
      </c>
      <c r="H28" s="32" t="s">
        <v>150</v>
      </c>
      <c r="I28" s="67">
        <v>1</v>
      </c>
      <c r="J28" s="68">
        <v>17.5</v>
      </c>
      <c r="K28" s="68">
        <v>17.5</v>
      </c>
      <c r="L28">
        <f t="shared" si="0"/>
        <v>25</v>
      </c>
    </row>
    <row r="29" spans="4:12">
      <c r="D29" s="66">
        <v>46123</v>
      </c>
      <c r="E29" s="32">
        <v>1593938</v>
      </c>
      <c r="F29" s="32" t="s">
        <v>69</v>
      </c>
      <c r="G29" s="67">
        <v>20364418</v>
      </c>
      <c r="H29" s="32" t="s">
        <v>156</v>
      </c>
      <c r="I29" s="67">
        <v>1</v>
      </c>
      <c r="J29" s="68">
        <v>19.6</v>
      </c>
      <c r="K29" s="68">
        <v>19.6</v>
      </c>
      <c r="L29">
        <f t="shared" si="0"/>
        <v>28</v>
      </c>
    </row>
    <row r="30" spans="4:12">
      <c r="D30" s="66">
        <v>46126</v>
      </c>
      <c r="E30" s="32">
        <v>1594508</v>
      </c>
      <c r="F30" s="32" t="s">
        <v>27</v>
      </c>
      <c r="G30" s="67">
        <v>20364813</v>
      </c>
      <c r="H30" s="32" t="s">
        <v>149</v>
      </c>
      <c r="I30" s="67">
        <v>1</v>
      </c>
      <c r="J30" s="68">
        <v>30.8</v>
      </c>
      <c r="K30" s="68">
        <v>30.8</v>
      </c>
      <c r="L30">
        <f t="shared" si="0"/>
        <v>44</v>
      </c>
    </row>
    <row r="31" spans="4:12">
      <c r="D31" s="66">
        <v>46126</v>
      </c>
      <c r="E31" s="32">
        <v>1594508</v>
      </c>
      <c r="F31" s="32" t="s">
        <v>27</v>
      </c>
      <c r="G31" s="67">
        <v>20364814</v>
      </c>
      <c r="H31" s="32" t="s">
        <v>150</v>
      </c>
      <c r="I31" s="67">
        <v>1</v>
      </c>
      <c r="J31" s="68">
        <v>17.5</v>
      </c>
      <c r="K31" s="68">
        <v>17.5</v>
      </c>
      <c r="L31">
        <f t="shared" si="0"/>
        <v>25</v>
      </c>
    </row>
    <row r="32" spans="4:12">
      <c r="D32" s="66">
        <v>46126</v>
      </c>
      <c r="E32" s="32">
        <v>1594508</v>
      </c>
      <c r="F32" s="32" t="s">
        <v>27</v>
      </c>
      <c r="G32" s="67">
        <v>20322920</v>
      </c>
      <c r="H32" s="32" t="s">
        <v>151</v>
      </c>
      <c r="I32" s="67">
        <v>1</v>
      </c>
      <c r="J32" s="68">
        <v>19.6</v>
      </c>
      <c r="K32" s="68">
        <v>19.6</v>
      </c>
      <c r="L32">
        <f t="shared" si="0"/>
        <v>28</v>
      </c>
    </row>
    <row r="33" spans="4:12">
      <c r="D33" s="66">
        <v>46126</v>
      </c>
      <c r="E33" s="32">
        <v>1594508</v>
      </c>
      <c r="F33" s="32" t="s">
        <v>69</v>
      </c>
      <c r="G33" s="67">
        <v>20364417</v>
      </c>
      <c r="H33" s="32" t="s">
        <v>152</v>
      </c>
      <c r="I33" s="67">
        <v>1</v>
      </c>
      <c r="J33" s="68">
        <v>19.6</v>
      </c>
      <c r="K33" s="68">
        <v>19.6</v>
      </c>
      <c r="L33">
        <f t="shared" si="0"/>
        <v>28</v>
      </c>
    </row>
    <row r="34" spans="4:12">
      <c r="D34" s="66">
        <v>46129</v>
      </c>
      <c r="E34" s="32">
        <v>1595695</v>
      </c>
      <c r="F34" s="32" t="s">
        <v>27</v>
      </c>
      <c r="G34" s="67">
        <v>20364808</v>
      </c>
      <c r="H34" s="32" t="s">
        <v>154</v>
      </c>
      <c r="I34" s="67">
        <v>1</v>
      </c>
      <c r="J34" s="68">
        <v>30.8</v>
      </c>
      <c r="K34" s="68">
        <v>30.8</v>
      </c>
      <c r="L34">
        <f t="shared" si="0"/>
        <v>44</v>
      </c>
    </row>
    <row r="35" spans="4:12">
      <c r="D35" s="66">
        <v>46129</v>
      </c>
      <c r="E35" s="32">
        <v>1595695</v>
      </c>
      <c r="F35" s="32" t="s">
        <v>27</v>
      </c>
      <c r="G35" s="67">
        <v>20364812</v>
      </c>
      <c r="H35" s="32" t="s">
        <v>159</v>
      </c>
      <c r="I35" s="67">
        <v>1</v>
      </c>
      <c r="J35" s="68">
        <v>30.8</v>
      </c>
      <c r="K35" s="68">
        <v>30.8</v>
      </c>
      <c r="L35">
        <f t="shared" si="0"/>
        <v>44</v>
      </c>
    </row>
    <row r="36" spans="4:12">
      <c r="D36" s="66">
        <v>46129</v>
      </c>
      <c r="E36" s="32">
        <v>1595695</v>
      </c>
      <c r="F36" s="32" t="s">
        <v>27</v>
      </c>
      <c r="G36" s="67">
        <v>20364815</v>
      </c>
      <c r="H36" s="32" t="s">
        <v>155</v>
      </c>
      <c r="I36" s="67">
        <v>1</v>
      </c>
      <c r="J36" s="68">
        <v>17.5</v>
      </c>
      <c r="K36" s="68">
        <v>17.5</v>
      </c>
      <c r="L36">
        <f t="shared" si="0"/>
        <v>25</v>
      </c>
    </row>
    <row r="37" spans="4:12">
      <c r="D37" s="66">
        <v>46129</v>
      </c>
      <c r="E37" s="32">
        <v>1595695</v>
      </c>
      <c r="F37" s="32" t="s">
        <v>27</v>
      </c>
      <c r="G37" s="67">
        <v>20364814</v>
      </c>
      <c r="H37" s="32" t="s">
        <v>150</v>
      </c>
      <c r="I37" s="67">
        <v>1</v>
      </c>
      <c r="J37" s="68">
        <v>17.5</v>
      </c>
      <c r="K37" s="68">
        <v>17.5</v>
      </c>
      <c r="L37">
        <f t="shared" si="0"/>
        <v>25</v>
      </c>
    </row>
    <row r="38" spans="4:12">
      <c r="D38" s="66">
        <v>46129</v>
      </c>
      <c r="E38" s="32">
        <v>1595695</v>
      </c>
      <c r="F38" s="32" t="s">
        <v>27</v>
      </c>
      <c r="G38" s="67">
        <v>20322920</v>
      </c>
      <c r="H38" s="32" t="s">
        <v>151</v>
      </c>
      <c r="I38" s="67">
        <v>2</v>
      </c>
      <c r="J38" s="68">
        <v>19.6</v>
      </c>
      <c r="K38" s="68">
        <v>39.2</v>
      </c>
      <c r="L38">
        <f t="shared" si="0"/>
        <v>28</v>
      </c>
    </row>
    <row r="39" spans="4:12">
      <c r="D39" s="66">
        <v>46129</v>
      </c>
      <c r="E39" s="32">
        <v>1595695</v>
      </c>
      <c r="F39" s="32" t="s">
        <v>69</v>
      </c>
      <c r="G39" s="67">
        <v>20364418</v>
      </c>
      <c r="H39" s="32" t="s">
        <v>156</v>
      </c>
      <c r="I39" s="67">
        <v>1</v>
      </c>
      <c r="J39" s="68">
        <v>19.6</v>
      </c>
      <c r="K39" s="68">
        <v>19.6</v>
      </c>
      <c r="L39">
        <f t="shared" si="0"/>
        <v>28</v>
      </c>
    </row>
    <row r="40" spans="4:12">
      <c r="D40" s="66">
        <v>46129</v>
      </c>
      <c r="E40" s="32">
        <v>1595695</v>
      </c>
      <c r="F40" s="32" t="s">
        <v>69</v>
      </c>
      <c r="G40" s="67">
        <v>20364419</v>
      </c>
      <c r="H40" s="32" t="s">
        <v>157</v>
      </c>
      <c r="I40" s="67">
        <v>1</v>
      </c>
      <c r="J40" s="68">
        <v>19.6</v>
      </c>
      <c r="K40" s="68">
        <v>19.6</v>
      </c>
      <c r="L40">
        <f t="shared" si="0"/>
        <v>28</v>
      </c>
    </row>
    <row r="41" spans="4:12">
      <c r="D41" s="66">
        <v>46130</v>
      </c>
      <c r="E41" s="32">
        <v>1596034</v>
      </c>
      <c r="F41" s="32" t="s">
        <v>27</v>
      </c>
      <c r="G41" s="67">
        <v>20364808</v>
      </c>
      <c r="H41" s="32" t="s">
        <v>154</v>
      </c>
      <c r="I41" s="67">
        <v>1</v>
      </c>
      <c r="J41" s="68">
        <v>30.8</v>
      </c>
      <c r="K41" s="68">
        <v>30.8</v>
      </c>
      <c r="L41">
        <f t="shared" si="0"/>
        <v>44</v>
      </c>
    </row>
    <row r="42" spans="4:12">
      <c r="D42" s="66">
        <v>46130</v>
      </c>
      <c r="E42" s="32">
        <v>1596034</v>
      </c>
      <c r="F42" s="32" t="s">
        <v>27</v>
      </c>
      <c r="G42" s="67">
        <v>20364814</v>
      </c>
      <c r="H42" s="32" t="s">
        <v>150</v>
      </c>
      <c r="I42" s="67">
        <v>1</v>
      </c>
      <c r="J42" s="68">
        <v>17.5</v>
      </c>
      <c r="K42" s="68">
        <v>17.5</v>
      </c>
      <c r="L42">
        <f t="shared" ref="L42:L73" si="1">J42/0.7</f>
        <v>25</v>
      </c>
    </row>
    <row r="43" spans="4:12">
      <c r="D43" s="66">
        <v>46130</v>
      </c>
      <c r="E43" s="32">
        <v>1596034</v>
      </c>
      <c r="F43" s="32" t="s">
        <v>27</v>
      </c>
      <c r="G43" s="67">
        <v>20322920</v>
      </c>
      <c r="H43" s="32" t="s">
        <v>151</v>
      </c>
      <c r="I43" s="67">
        <v>1</v>
      </c>
      <c r="J43" s="68">
        <v>19.6</v>
      </c>
      <c r="K43" s="68">
        <v>19.6</v>
      </c>
      <c r="L43">
        <f t="shared" si="1"/>
        <v>28</v>
      </c>
    </row>
    <row r="44" spans="4:12">
      <c r="D44" s="66">
        <v>46130</v>
      </c>
      <c r="E44" s="32">
        <v>1596034</v>
      </c>
      <c r="F44" s="32" t="s">
        <v>69</v>
      </c>
      <c r="G44" s="67">
        <v>20364417</v>
      </c>
      <c r="H44" s="32" t="s">
        <v>152</v>
      </c>
      <c r="I44" s="67">
        <v>1</v>
      </c>
      <c r="J44" s="68">
        <v>19.6</v>
      </c>
      <c r="K44" s="68">
        <v>19.6</v>
      </c>
      <c r="L44">
        <f t="shared" si="1"/>
        <v>28</v>
      </c>
    </row>
    <row r="45" spans="4:12">
      <c r="D45" s="66">
        <v>46133</v>
      </c>
      <c r="E45" s="32">
        <v>1596618</v>
      </c>
      <c r="F45" s="32" t="s">
        <v>27</v>
      </c>
      <c r="G45" s="67">
        <v>20364809</v>
      </c>
      <c r="H45" s="32" t="s">
        <v>153</v>
      </c>
      <c r="I45" s="67">
        <v>1</v>
      </c>
      <c r="J45" s="68">
        <v>30.8</v>
      </c>
      <c r="K45" s="68">
        <v>30.8</v>
      </c>
      <c r="L45">
        <f t="shared" si="1"/>
        <v>44</v>
      </c>
    </row>
    <row r="46" spans="4:12">
      <c r="D46" s="66">
        <v>46133</v>
      </c>
      <c r="E46" s="32">
        <v>1596618</v>
      </c>
      <c r="F46" s="32" t="s">
        <v>27</v>
      </c>
      <c r="G46" s="67">
        <v>20364813</v>
      </c>
      <c r="H46" s="32" t="s">
        <v>149</v>
      </c>
      <c r="I46" s="67">
        <v>1</v>
      </c>
      <c r="J46" s="68">
        <v>30.8</v>
      </c>
      <c r="K46" s="68">
        <v>30.8</v>
      </c>
      <c r="L46">
        <f t="shared" si="1"/>
        <v>44</v>
      </c>
    </row>
    <row r="47" spans="4:12">
      <c r="D47" s="66">
        <v>46133</v>
      </c>
      <c r="E47" s="32">
        <v>1596618</v>
      </c>
      <c r="F47" s="32" t="s">
        <v>27</v>
      </c>
      <c r="G47" s="67">
        <v>20364815</v>
      </c>
      <c r="H47" s="32" t="s">
        <v>155</v>
      </c>
      <c r="I47" s="67">
        <v>1</v>
      </c>
      <c r="J47" s="68">
        <v>17.5</v>
      </c>
      <c r="K47" s="68">
        <v>17.5</v>
      </c>
      <c r="L47">
        <f t="shared" si="1"/>
        <v>25</v>
      </c>
    </row>
    <row r="48" spans="4:12">
      <c r="D48" s="66">
        <v>46133</v>
      </c>
      <c r="E48" s="32">
        <v>1596618</v>
      </c>
      <c r="F48" s="32" t="s">
        <v>27</v>
      </c>
      <c r="G48" s="67">
        <v>20364814</v>
      </c>
      <c r="H48" s="32" t="s">
        <v>150</v>
      </c>
      <c r="I48" s="67">
        <v>1</v>
      </c>
      <c r="J48" s="68">
        <v>17.5</v>
      </c>
      <c r="K48" s="68">
        <v>17.5</v>
      </c>
      <c r="L48">
        <f t="shared" si="1"/>
        <v>25</v>
      </c>
    </row>
    <row r="49" spans="4:12">
      <c r="D49" s="66">
        <v>46133</v>
      </c>
      <c r="E49" s="32">
        <v>1596618</v>
      </c>
      <c r="F49" s="32" t="s">
        <v>27</v>
      </c>
      <c r="G49" s="67">
        <v>20322920</v>
      </c>
      <c r="H49" s="32" t="s">
        <v>151</v>
      </c>
      <c r="I49" s="67">
        <v>1</v>
      </c>
      <c r="J49" s="68">
        <v>19.6</v>
      </c>
      <c r="K49" s="68">
        <v>19.6</v>
      </c>
      <c r="L49">
        <f t="shared" si="1"/>
        <v>28</v>
      </c>
    </row>
    <row r="50" spans="4:12">
      <c r="D50" s="66">
        <v>46133</v>
      </c>
      <c r="E50" s="32">
        <v>1596618</v>
      </c>
      <c r="F50" s="32" t="s">
        <v>69</v>
      </c>
      <c r="G50" s="67">
        <v>20364418</v>
      </c>
      <c r="H50" s="32" t="s">
        <v>156</v>
      </c>
      <c r="I50" s="67">
        <v>1</v>
      </c>
      <c r="J50" s="68">
        <v>19.6</v>
      </c>
      <c r="K50" s="68">
        <v>19.6</v>
      </c>
      <c r="L50">
        <f t="shared" si="1"/>
        <v>28</v>
      </c>
    </row>
    <row r="51" spans="4:12">
      <c r="D51" s="66">
        <v>46133</v>
      </c>
      <c r="E51" s="32">
        <v>1596618</v>
      </c>
      <c r="F51" s="32" t="s">
        <v>69</v>
      </c>
      <c r="G51" s="67">
        <v>20364419</v>
      </c>
      <c r="H51" s="32" t="s">
        <v>157</v>
      </c>
      <c r="I51" s="67">
        <v>1</v>
      </c>
      <c r="J51" s="68">
        <v>19.6</v>
      </c>
      <c r="K51" s="68">
        <v>19.6</v>
      </c>
      <c r="L51">
        <f t="shared" si="1"/>
        <v>28</v>
      </c>
    </row>
    <row r="52" spans="4:12">
      <c r="D52" s="66">
        <v>46134</v>
      </c>
      <c r="E52" s="32">
        <v>1596995</v>
      </c>
      <c r="F52" s="32" t="s">
        <v>27</v>
      </c>
      <c r="G52" s="67">
        <v>20364812</v>
      </c>
      <c r="H52" s="32" t="s">
        <v>159</v>
      </c>
      <c r="I52" s="67">
        <v>1</v>
      </c>
      <c r="J52" s="68">
        <v>30.8</v>
      </c>
      <c r="K52" s="68">
        <v>30.8</v>
      </c>
      <c r="L52">
        <f t="shared" si="1"/>
        <v>44</v>
      </c>
    </row>
    <row r="53" spans="4:12">
      <c r="D53" s="66">
        <v>46134</v>
      </c>
      <c r="E53" s="32">
        <v>1596995</v>
      </c>
      <c r="F53" s="32" t="s">
        <v>27</v>
      </c>
      <c r="G53" s="67">
        <v>20364814</v>
      </c>
      <c r="H53" s="32" t="s">
        <v>150</v>
      </c>
      <c r="I53" s="67">
        <v>1</v>
      </c>
      <c r="J53" s="68">
        <v>17.5</v>
      </c>
      <c r="K53" s="68">
        <v>17.5</v>
      </c>
      <c r="L53">
        <f t="shared" si="1"/>
        <v>25</v>
      </c>
    </row>
    <row r="54" spans="4:12">
      <c r="D54" s="66">
        <v>46134</v>
      </c>
      <c r="E54" s="32">
        <v>1596995</v>
      </c>
      <c r="F54" s="32" t="s">
        <v>27</v>
      </c>
      <c r="G54" s="67">
        <v>20322920</v>
      </c>
      <c r="H54" s="32" t="s">
        <v>151</v>
      </c>
      <c r="I54" s="67">
        <v>1</v>
      </c>
      <c r="J54" s="68">
        <v>19.6</v>
      </c>
      <c r="K54" s="68">
        <v>19.6</v>
      </c>
      <c r="L54">
        <f t="shared" si="1"/>
        <v>28</v>
      </c>
    </row>
    <row r="55" spans="4:12">
      <c r="D55" s="66">
        <v>46134</v>
      </c>
      <c r="E55" s="32">
        <v>1596995</v>
      </c>
      <c r="F55" s="32" t="s">
        <v>69</v>
      </c>
      <c r="G55" s="67">
        <v>20364418</v>
      </c>
      <c r="H55" s="32" t="s">
        <v>156</v>
      </c>
      <c r="I55" s="67">
        <v>1</v>
      </c>
      <c r="J55" s="68">
        <v>19.6</v>
      </c>
      <c r="K55" s="68">
        <v>19.6</v>
      </c>
      <c r="L55">
        <f t="shared" si="1"/>
        <v>28</v>
      </c>
    </row>
    <row r="56" spans="4:12">
      <c r="D56" s="66">
        <v>46135</v>
      </c>
      <c r="E56" s="32">
        <v>1597375</v>
      </c>
      <c r="F56" s="32" t="s">
        <v>27</v>
      </c>
      <c r="G56" s="67">
        <v>20364809</v>
      </c>
      <c r="H56" s="32" t="s">
        <v>153</v>
      </c>
      <c r="I56" s="67">
        <v>1</v>
      </c>
      <c r="J56" s="68">
        <v>30.8</v>
      </c>
      <c r="K56" s="68">
        <v>30.8</v>
      </c>
      <c r="L56">
        <f t="shared" si="1"/>
        <v>44</v>
      </c>
    </row>
    <row r="57" spans="4:12">
      <c r="D57" s="66">
        <v>46135</v>
      </c>
      <c r="E57" s="32">
        <v>1597375</v>
      </c>
      <c r="F57" s="32" t="s">
        <v>27</v>
      </c>
      <c r="G57" s="67">
        <v>20364815</v>
      </c>
      <c r="H57" s="32" t="s">
        <v>155</v>
      </c>
      <c r="I57" s="67">
        <v>1</v>
      </c>
      <c r="J57" s="68">
        <v>17.5</v>
      </c>
      <c r="K57" s="68">
        <v>17.5</v>
      </c>
      <c r="L57">
        <f t="shared" si="1"/>
        <v>25</v>
      </c>
    </row>
    <row r="58" spans="4:12">
      <c r="D58" s="66">
        <v>46135</v>
      </c>
      <c r="E58" s="32">
        <v>1597375</v>
      </c>
      <c r="F58" s="32" t="s">
        <v>69</v>
      </c>
      <c r="G58" s="67">
        <v>20364419</v>
      </c>
      <c r="H58" s="32" t="s">
        <v>157</v>
      </c>
      <c r="I58" s="67">
        <v>1</v>
      </c>
      <c r="J58" s="68">
        <v>19.6</v>
      </c>
      <c r="K58" s="68">
        <v>19.6</v>
      </c>
      <c r="L58">
        <f t="shared" si="1"/>
        <v>28</v>
      </c>
    </row>
    <row r="59" spans="4:12">
      <c r="D59" s="66">
        <v>46136</v>
      </c>
      <c r="E59" s="32">
        <v>1597759</v>
      </c>
      <c r="F59" s="32" t="s">
        <v>27</v>
      </c>
      <c r="G59" s="67">
        <v>20364809</v>
      </c>
      <c r="H59" s="32" t="s">
        <v>153</v>
      </c>
      <c r="I59" s="67">
        <v>1</v>
      </c>
      <c r="J59" s="68">
        <v>30.8</v>
      </c>
      <c r="K59" s="68">
        <v>30.8</v>
      </c>
      <c r="L59">
        <f t="shared" si="1"/>
        <v>44</v>
      </c>
    </row>
    <row r="60" spans="4:12">
      <c r="D60" s="66">
        <v>46136</v>
      </c>
      <c r="E60" s="32">
        <v>1597759</v>
      </c>
      <c r="F60" s="32" t="s">
        <v>27</v>
      </c>
      <c r="G60" s="67">
        <v>20364808</v>
      </c>
      <c r="H60" s="32" t="s">
        <v>154</v>
      </c>
      <c r="I60" s="67">
        <v>1</v>
      </c>
      <c r="J60" s="68">
        <v>30.8</v>
      </c>
      <c r="K60" s="68">
        <v>30.8</v>
      </c>
      <c r="L60">
        <f t="shared" si="1"/>
        <v>44</v>
      </c>
    </row>
    <row r="61" spans="4:12">
      <c r="D61" s="66">
        <v>46136</v>
      </c>
      <c r="E61" s="32">
        <v>1597759</v>
      </c>
      <c r="F61" s="32" t="s">
        <v>27</v>
      </c>
      <c r="G61" s="67">
        <v>20364815</v>
      </c>
      <c r="H61" s="32" t="s">
        <v>155</v>
      </c>
      <c r="I61" s="67">
        <v>1</v>
      </c>
      <c r="J61" s="68">
        <v>17.5</v>
      </c>
      <c r="K61" s="68">
        <v>17.5</v>
      </c>
      <c r="L61">
        <f t="shared" si="1"/>
        <v>25</v>
      </c>
    </row>
    <row r="62" spans="4:12">
      <c r="D62" s="66">
        <v>46136</v>
      </c>
      <c r="E62" s="32">
        <v>1597759</v>
      </c>
      <c r="F62" s="32" t="s">
        <v>27</v>
      </c>
      <c r="G62" s="67">
        <v>20364814</v>
      </c>
      <c r="H62" s="32" t="s">
        <v>150</v>
      </c>
      <c r="I62" s="67">
        <v>1</v>
      </c>
      <c r="J62" s="68">
        <v>17.5</v>
      </c>
      <c r="K62" s="68">
        <v>17.5</v>
      </c>
      <c r="L62">
        <f t="shared" si="1"/>
        <v>25</v>
      </c>
    </row>
    <row r="63" spans="4:12">
      <c r="D63" s="66">
        <v>46136</v>
      </c>
      <c r="E63" s="32">
        <v>1597759</v>
      </c>
      <c r="F63" s="32" t="s">
        <v>27</v>
      </c>
      <c r="G63" s="67">
        <v>20322920</v>
      </c>
      <c r="H63" s="32" t="s">
        <v>151</v>
      </c>
      <c r="I63" s="67">
        <v>1</v>
      </c>
      <c r="J63" s="68">
        <v>19.6</v>
      </c>
      <c r="K63" s="68">
        <v>19.6</v>
      </c>
      <c r="L63">
        <f t="shared" si="1"/>
        <v>28</v>
      </c>
    </row>
    <row r="64" spans="4:12">
      <c r="D64" s="66">
        <v>46136</v>
      </c>
      <c r="E64" s="32">
        <v>1597759</v>
      </c>
      <c r="F64" s="32" t="s">
        <v>69</v>
      </c>
      <c r="G64" s="67">
        <v>20364419</v>
      </c>
      <c r="H64" s="32" t="s">
        <v>157</v>
      </c>
      <c r="I64" s="67">
        <v>1</v>
      </c>
      <c r="J64" s="68">
        <v>19.6</v>
      </c>
      <c r="K64" s="68">
        <v>19.6</v>
      </c>
      <c r="L64">
        <f t="shared" si="1"/>
        <v>28</v>
      </c>
    </row>
    <row r="65" spans="4:12">
      <c r="D65" s="66">
        <v>46137</v>
      </c>
      <c r="E65" s="32">
        <v>1598141</v>
      </c>
      <c r="F65" s="32" t="s">
        <v>27</v>
      </c>
      <c r="G65" s="67">
        <v>20353773</v>
      </c>
      <c r="H65" s="32" t="s">
        <v>158</v>
      </c>
      <c r="I65" s="67">
        <v>1</v>
      </c>
      <c r="J65" s="68">
        <v>17.5</v>
      </c>
      <c r="K65" s="68">
        <v>17.5</v>
      </c>
      <c r="L65">
        <f t="shared" si="1"/>
        <v>25</v>
      </c>
    </row>
    <row r="66" spans="4:12">
      <c r="D66" s="66">
        <v>46137</v>
      </c>
      <c r="E66" s="32">
        <v>1598141</v>
      </c>
      <c r="F66" s="32" t="s">
        <v>27</v>
      </c>
      <c r="G66" s="67">
        <v>20364814</v>
      </c>
      <c r="H66" s="32" t="s">
        <v>150</v>
      </c>
      <c r="I66" s="67">
        <v>1</v>
      </c>
      <c r="J66" s="68">
        <v>17.5</v>
      </c>
      <c r="K66" s="68">
        <v>17.5</v>
      </c>
      <c r="L66">
        <f t="shared" si="1"/>
        <v>25</v>
      </c>
    </row>
    <row r="67" spans="4:12">
      <c r="D67" s="66">
        <v>46137</v>
      </c>
      <c r="E67" s="32">
        <v>1598141</v>
      </c>
      <c r="F67" s="32" t="s">
        <v>69</v>
      </c>
      <c r="G67" s="67">
        <v>20364419</v>
      </c>
      <c r="H67" s="32" t="s">
        <v>157</v>
      </c>
      <c r="I67" s="67">
        <v>1</v>
      </c>
      <c r="J67" s="68">
        <v>19.6</v>
      </c>
      <c r="K67" s="68">
        <v>19.6</v>
      </c>
      <c r="L67">
        <f t="shared" si="1"/>
        <v>28</v>
      </c>
    </row>
    <row r="68" spans="4:12">
      <c r="D68" s="66">
        <v>46137</v>
      </c>
      <c r="E68" s="32">
        <v>1598210</v>
      </c>
      <c r="F68" s="32" t="s">
        <v>69</v>
      </c>
      <c r="G68" s="67">
        <v>20364812</v>
      </c>
      <c r="H68" s="32" t="s">
        <v>159</v>
      </c>
      <c r="I68" s="67">
        <v>1</v>
      </c>
      <c r="J68" s="68">
        <v>30.8</v>
      </c>
      <c r="K68" s="68">
        <v>30.8</v>
      </c>
      <c r="L68">
        <f t="shared" si="1"/>
        <v>44</v>
      </c>
    </row>
    <row r="69" spans="4:12">
      <c r="D69" s="66">
        <v>46140</v>
      </c>
      <c r="E69" s="32">
        <v>1598668</v>
      </c>
      <c r="F69" s="32" t="s">
        <v>27</v>
      </c>
      <c r="G69" s="67">
        <v>20364815</v>
      </c>
      <c r="H69" s="32" t="s">
        <v>155</v>
      </c>
      <c r="I69" s="67">
        <v>1</v>
      </c>
      <c r="J69" s="68">
        <v>17.5</v>
      </c>
      <c r="K69" s="68">
        <v>17.5</v>
      </c>
      <c r="L69">
        <f t="shared" si="1"/>
        <v>25</v>
      </c>
    </row>
    <row r="70" spans="4:12">
      <c r="D70" s="66">
        <v>46140</v>
      </c>
      <c r="E70" s="32">
        <v>1598785</v>
      </c>
      <c r="F70" s="32" t="s">
        <v>69</v>
      </c>
      <c r="G70" s="67">
        <v>20364809</v>
      </c>
      <c r="H70" s="32" t="s">
        <v>153</v>
      </c>
      <c r="I70" s="67">
        <v>1</v>
      </c>
      <c r="J70" s="68">
        <v>30.8</v>
      </c>
      <c r="K70" s="68">
        <v>30.8</v>
      </c>
      <c r="L70">
        <f t="shared" si="1"/>
        <v>44</v>
      </c>
    </row>
    <row r="71" spans="4:12">
      <c r="D71" s="66">
        <v>46141</v>
      </c>
      <c r="E71" s="32">
        <v>1599090</v>
      </c>
      <c r="F71" s="32" t="s">
        <v>27</v>
      </c>
      <c r="G71" s="67">
        <v>20364815</v>
      </c>
      <c r="H71" s="32" t="s">
        <v>155</v>
      </c>
      <c r="I71" s="67">
        <v>1</v>
      </c>
      <c r="J71" s="68">
        <v>17.5</v>
      </c>
      <c r="K71" s="68">
        <v>17.5</v>
      </c>
      <c r="L71">
        <f t="shared" si="1"/>
        <v>25</v>
      </c>
    </row>
    <row r="72" spans="4:12">
      <c r="D72" s="66">
        <v>46141</v>
      </c>
      <c r="E72" s="32">
        <v>1599090</v>
      </c>
      <c r="F72" s="32" t="s">
        <v>69</v>
      </c>
      <c r="G72" s="67">
        <v>20364808</v>
      </c>
      <c r="H72" s="32" t="s">
        <v>160</v>
      </c>
      <c r="I72" s="67">
        <v>1</v>
      </c>
      <c r="J72" s="68">
        <v>30.8</v>
      </c>
      <c r="K72" s="68">
        <v>30.8</v>
      </c>
      <c r="L72">
        <f t="shared" si="1"/>
        <v>44</v>
      </c>
    </row>
    <row r="73" spans="4:12">
      <c r="D73" s="66">
        <v>46141</v>
      </c>
      <c r="E73" s="32">
        <v>1599090</v>
      </c>
      <c r="F73" s="32" t="s">
        <v>69</v>
      </c>
      <c r="G73" s="67">
        <v>20364418</v>
      </c>
      <c r="H73" s="32" t="s">
        <v>156</v>
      </c>
      <c r="I73" s="67">
        <v>1</v>
      </c>
      <c r="J73" s="68">
        <v>19.6</v>
      </c>
      <c r="K73" s="68">
        <v>19.6</v>
      </c>
      <c r="L73">
        <f t="shared" si="1"/>
        <v>28</v>
      </c>
    </row>
    <row r="74" ht="0.05" customHeight="1"/>
  </sheetData>
  <autoFilter xmlns:etc="http://www.wps.cn/officeDocument/2017/etCustomData" ref="A7:K73" etc:filterBottomFollowUsedRange="0">
    <extLst/>
  </autoFilter>
  <mergeCells count="5">
    <mergeCell ref="D8:H8"/>
    <mergeCell ref="C7:C73"/>
    <mergeCell ref="B4:H5"/>
    <mergeCell ref="A7:B73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&amp;"-,Regular"2026年5月6日 8:42 
&amp;"-,Bold"&amp;10 黑龙江省铂康医疗灭菌有限公司 &amp;R&amp;"Droid Sans Fallback"&amp;9第&amp;P页，共&amp;N页 </oddFooter>
  </headerFooter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0"/>
  <sheetViews>
    <sheetView showGridLines="0" view="pageBreakPreview" zoomScaleNormal="100" workbookViewId="0">
      <pane ySplit="6" topLeftCell="A7" activePane="bottomLeft" state="frozen"/>
      <selection/>
      <selection pane="bottomLeft" activeCell="K9" sqref="K9:K30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25" customWidth="1"/>
  </cols>
  <sheetData>
    <row r="1" spans="1:11">
      <c r="C1" s="15" t="s">
        <v>0</v>
      </c>
    </row>
    <row r="2" ht="23.05" customHeight="1"/>
    <row r="3" ht="2" customHeight="1"/>
    <row r="4" ht="15.2" customHeight="1" spans="1:11">
      <c r="B4" s="16" t="s">
        <v>1</v>
      </c>
    </row>
    <row r="6" ht="2.95" customHeight="1"/>
    <row r="7" spans="1:11">
      <c r="A7" s="34" t="s">
        <v>2</v>
      </c>
      <c r="B7" s="17" t="s">
        <v>2</v>
      </c>
      <c r="C7" s="60" t="s">
        <v>2</v>
      </c>
      <c r="D7" s="61" t="s">
        <v>4</v>
      </c>
      <c r="E7" s="61" t="s">
        <v>5</v>
      </c>
      <c r="F7" s="61" t="s">
        <v>6</v>
      </c>
      <c r="G7" s="61" t="s">
        <v>7</v>
      </c>
      <c r="H7" s="61" t="s">
        <v>8</v>
      </c>
      <c r="I7" s="61" t="s">
        <v>9</v>
      </c>
      <c r="J7" s="61" t="s">
        <v>10</v>
      </c>
      <c r="K7" s="61" t="s">
        <v>11</v>
      </c>
    </row>
    <row r="8" ht="14.25" spans="1:11">
      <c r="D8" s="62" t="s">
        <v>161</v>
      </c>
      <c r="E8" s="63" t="s">
        <v>2</v>
      </c>
      <c r="F8" s="63" t="s">
        <v>2</v>
      </c>
      <c r="G8" s="63" t="s">
        <v>2</v>
      </c>
      <c r="H8" s="63" t="s">
        <v>2</v>
      </c>
      <c r="I8" s="64">
        <v>38</v>
      </c>
      <c r="J8" s="65"/>
      <c r="K8" s="65">
        <v>295.4</v>
      </c>
    </row>
    <row r="9" spans="1:11">
      <c r="D9" s="66">
        <v>46114</v>
      </c>
      <c r="E9" s="32">
        <v>1591546</v>
      </c>
      <c r="F9" s="32" t="s">
        <v>13</v>
      </c>
      <c r="G9" s="67">
        <v>20008322</v>
      </c>
      <c r="H9" s="32" t="s">
        <v>14</v>
      </c>
      <c r="I9" s="67">
        <v>1</v>
      </c>
      <c r="J9" s="68">
        <v>5.6</v>
      </c>
      <c r="K9" s="68">
        <v>5.6</v>
      </c>
    </row>
    <row r="10" spans="1:11">
      <c r="D10" s="66">
        <v>46114</v>
      </c>
      <c r="E10" s="32">
        <v>1591546</v>
      </c>
      <c r="F10" s="32" t="s">
        <v>13</v>
      </c>
      <c r="G10" s="67">
        <v>20014828</v>
      </c>
      <c r="H10" s="32" t="s">
        <v>22</v>
      </c>
      <c r="I10" s="67">
        <v>3</v>
      </c>
      <c r="J10" s="68">
        <v>5.6</v>
      </c>
      <c r="K10" s="68">
        <v>16.8</v>
      </c>
    </row>
    <row r="11" spans="1:11">
      <c r="D11" s="66">
        <v>46119</v>
      </c>
      <c r="E11" s="32">
        <v>1592587</v>
      </c>
      <c r="F11" s="32" t="s">
        <v>36</v>
      </c>
      <c r="G11" s="67">
        <v>20006844</v>
      </c>
      <c r="H11" s="32" t="s">
        <v>162</v>
      </c>
      <c r="I11" s="67">
        <v>1</v>
      </c>
      <c r="J11" s="68">
        <v>69.3</v>
      </c>
      <c r="K11" s="68">
        <v>69.3</v>
      </c>
    </row>
    <row r="12" spans="1:11">
      <c r="D12" s="66">
        <v>46119</v>
      </c>
      <c r="E12" s="32">
        <v>1592587</v>
      </c>
      <c r="F12" s="32" t="s">
        <v>13</v>
      </c>
      <c r="G12" s="67">
        <v>20011204</v>
      </c>
      <c r="H12" s="32" t="s">
        <v>74</v>
      </c>
      <c r="I12" s="67">
        <v>1</v>
      </c>
      <c r="J12" s="68">
        <v>5.6</v>
      </c>
      <c r="K12" s="68">
        <v>5.6</v>
      </c>
    </row>
    <row r="13" spans="1:11">
      <c r="D13" s="66">
        <v>46119</v>
      </c>
      <c r="E13" s="32">
        <v>1592587</v>
      </c>
      <c r="F13" s="32" t="s">
        <v>13</v>
      </c>
      <c r="G13" s="67">
        <v>20011545</v>
      </c>
      <c r="H13" s="32" t="s">
        <v>15</v>
      </c>
      <c r="I13" s="67">
        <v>1</v>
      </c>
      <c r="J13" s="68">
        <v>5.6</v>
      </c>
      <c r="K13" s="68">
        <v>5.6</v>
      </c>
    </row>
    <row r="14" spans="1:11">
      <c r="D14" s="66">
        <v>46119</v>
      </c>
      <c r="E14" s="32">
        <v>1592587</v>
      </c>
      <c r="F14" s="32" t="s">
        <v>13</v>
      </c>
      <c r="G14" s="67">
        <v>20014828</v>
      </c>
      <c r="H14" s="32" t="s">
        <v>22</v>
      </c>
      <c r="I14" s="67">
        <v>2</v>
      </c>
      <c r="J14" s="68">
        <v>5.6</v>
      </c>
      <c r="K14" s="68">
        <v>11.2</v>
      </c>
    </row>
    <row r="15" spans="1:11">
      <c r="D15" s="66">
        <v>46121</v>
      </c>
      <c r="E15" s="32">
        <v>1593362</v>
      </c>
      <c r="F15" s="32" t="s">
        <v>13</v>
      </c>
      <c r="G15" s="67">
        <v>20008409</v>
      </c>
      <c r="H15" s="32" t="s">
        <v>53</v>
      </c>
      <c r="I15" s="67">
        <v>1</v>
      </c>
      <c r="J15" s="68">
        <v>5.6</v>
      </c>
      <c r="K15" s="68">
        <v>5.6</v>
      </c>
    </row>
    <row r="16" spans="1:11">
      <c r="D16" s="66">
        <v>46121</v>
      </c>
      <c r="E16" s="32">
        <v>1593362</v>
      </c>
      <c r="F16" s="32" t="s">
        <v>13</v>
      </c>
      <c r="G16" s="67">
        <v>20008322</v>
      </c>
      <c r="H16" s="32" t="s">
        <v>14</v>
      </c>
      <c r="I16" s="67">
        <v>1</v>
      </c>
      <c r="J16" s="68">
        <v>5.6</v>
      </c>
      <c r="K16" s="68">
        <v>5.6</v>
      </c>
    </row>
    <row r="17" spans="4:11">
      <c r="D17" s="66">
        <v>46121</v>
      </c>
      <c r="E17" s="32">
        <v>1593362</v>
      </c>
      <c r="F17" s="32" t="s">
        <v>13</v>
      </c>
      <c r="G17" s="67">
        <v>20014828</v>
      </c>
      <c r="H17" s="32" t="s">
        <v>22</v>
      </c>
      <c r="I17" s="67">
        <v>4</v>
      </c>
      <c r="J17" s="68">
        <v>5.6</v>
      </c>
      <c r="K17" s="68">
        <v>22.4</v>
      </c>
    </row>
    <row r="18" spans="4:11">
      <c r="D18" s="66">
        <v>46126</v>
      </c>
      <c r="E18" s="32">
        <v>1594760</v>
      </c>
      <c r="F18" s="32" t="s">
        <v>13</v>
      </c>
      <c r="G18" s="67">
        <v>20011204</v>
      </c>
      <c r="H18" s="32" t="s">
        <v>74</v>
      </c>
      <c r="I18" s="67">
        <v>1</v>
      </c>
      <c r="J18" s="68">
        <v>5.6</v>
      </c>
      <c r="K18" s="68">
        <v>5.6</v>
      </c>
    </row>
    <row r="19" spans="4:11">
      <c r="D19" s="66">
        <v>46126</v>
      </c>
      <c r="E19" s="32">
        <v>1594760</v>
      </c>
      <c r="F19" s="32" t="s">
        <v>13</v>
      </c>
      <c r="G19" s="67">
        <v>20014828</v>
      </c>
      <c r="H19" s="32" t="s">
        <v>22</v>
      </c>
      <c r="I19" s="67">
        <v>6</v>
      </c>
      <c r="J19" s="68">
        <v>5.6</v>
      </c>
      <c r="K19" s="68">
        <v>33.6</v>
      </c>
    </row>
    <row r="20" spans="4:11">
      <c r="D20" s="66">
        <v>46128</v>
      </c>
      <c r="E20" s="32">
        <v>1595537</v>
      </c>
      <c r="F20" s="32" t="s">
        <v>13</v>
      </c>
      <c r="G20" s="67">
        <v>20014828</v>
      </c>
      <c r="H20" s="32" t="s">
        <v>22</v>
      </c>
      <c r="I20" s="67">
        <v>2</v>
      </c>
      <c r="J20" s="68">
        <v>5.6</v>
      </c>
      <c r="K20" s="68">
        <v>11.2</v>
      </c>
    </row>
    <row r="21" spans="4:11">
      <c r="D21" s="66">
        <v>46133</v>
      </c>
      <c r="E21" s="32">
        <v>1596815</v>
      </c>
      <c r="F21" s="32" t="s">
        <v>13</v>
      </c>
      <c r="G21" s="67">
        <v>20014828</v>
      </c>
      <c r="H21" s="32" t="s">
        <v>22</v>
      </c>
      <c r="I21" s="67">
        <v>2</v>
      </c>
      <c r="J21" s="68">
        <v>5.6</v>
      </c>
      <c r="K21" s="68">
        <v>11.2</v>
      </c>
    </row>
    <row r="22" spans="4:11">
      <c r="D22" s="66">
        <v>46135</v>
      </c>
      <c r="E22" s="32">
        <v>1597601</v>
      </c>
      <c r="F22" s="32" t="s">
        <v>13</v>
      </c>
      <c r="G22" s="67">
        <v>20011204</v>
      </c>
      <c r="H22" s="32" t="s">
        <v>74</v>
      </c>
      <c r="I22" s="67">
        <v>1</v>
      </c>
      <c r="J22" s="68">
        <v>5.6</v>
      </c>
      <c r="K22" s="68">
        <v>5.6</v>
      </c>
    </row>
    <row r="23" spans="4:11">
      <c r="D23" s="66">
        <v>46135</v>
      </c>
      <c r="E23" s="32">
        <v>1597601</v>
      </c>
      <c r="F23" s="32" t="s">
        <v>13</v>
      </c>
      <c r="G23" s="67">
        <v>20330575</v>
      </c>
      <c r="H23" s="32" t="s">
        <v>62</v>
      </c>
      <c r="I23" s="67">
        <v>1</v>
      </c>
      <c r="J23" s="68">
        <v>5.6</v>
      </c>
      <c r="K23" s="68">
        <v>5.6</v>
      </c>
    </row>
    <row r="24" spans="4:11">
      <c r="D24" s="66">
        <v>46135</v>
      </c>
      <c r="E24" s="32">
        <v>1597601</v>
      </c>
      <c r="F24" s="32" t="s">
        <v>13</v>
      </c>
      <c r="G24" s="67">
        <v>20008322</v>
      </c>
      <c r="H24" s="32" t="s">
        <v>14</v>
      </c>
      <c r="I24" s="67">
        <v>1</v>
      </c>
      <c r="J24" s="68">
        <v>5.6</v>
      </c>
      <c r="K24" s="68">
        <v>5.6</v>
      </c>
    </row>
    <row r="25" spans="4:11">
      <c r="D25" s="66">
        <v>46135</v>
      </c>
      <c r="E25" s="32">
        <v>1597601</v>
      </c>
      <c r="F25" s="32" t="s">
        <v>13</v>
      </c>
      <c r="G25" s="67">
        <v>20014828</v>
      </c>
      <c r="H25" s="32" t="s">
        <v>22</v>
      </c>
      <c r="I25" s="67">
        <v>1</v>
      </c>
      <c r="J25" s="68">
        <v>5.6</v>
      </c>
      <c r="K25" s="68">
        <v>5.6</v>
      </c>
    </row>
    <row r="26" spans="4:11">
      <c r="D26" s="66">
        <v>46140</v>
      </c>
      <c r="E26" s="32">
        <v>1598922</v>
      </c>
      <c r="F26" s="32" t="s">
        <v>13</v>
      </c>
      <c r="G26" s="67">
        <v>20011204</v>
      </c>
      <c r="H26" s="32" t="s">
        <v>74</v>
      </c>
      <c r="I26" s="67">
        <v>1</v>
      </c>
      <c r="J26" s="68">
        <v>5.6</v>
      </c>
      <c r="K26" s="68">
        <v>5.6</v>
      </c>
    </row>
    <row r="27" spans="4:11">
      <c r="D27" s="66">
        <v>46140</v>
      </c>
      <c r="E27" s="32">
        <v>1598922</v>
      </c>
      <c r="F27" s="32" t="s">
        <v>13</v>
      </c>
      <c r="G27" s="67">
        <v>20330575</v>
      </c>
      <c r="H27" s="32" t="s">
        <v>62</v>
      </c>
      <c r="I27" s="67">
        <v>1</v>
      </c>
      <c r="J27" s="68">
        <v>5.6</v>
      </c>
      <c r="K27" s="68">
        <v>5.6</v>
      </c>
    </row>
    <row r="28" spans="4:11">
      <c r="D28" s="66">
        <v>46140</v>
      </c>
      <c r="E28" s="32">
        <v>1598922</v>
      </c>
      <c r="F28" s="32" t="s">
        <v>13</v>
      </c>
      <c r="G28" s="67">
        <v>20014828</v>
      </c>
      <c r="H28" s="32" t="s">
        <v>22</v>
      </c>
      <c r="I28" s="67">
        <v>2</v>
      </c>
      <c r="J28" s="68">
        <v>5.6</v>
      </c>
      <c r="K28" s="68">
        <v>11.2</v>
      </c>
    </row>
    <row r="29" spans="4:11">
      <c r="D29" s="66">
        <v>46140</v>
      </c>
      <c r="E29" s="32">
        <v>1598945</v>
      </c>
      <c r="F29" s="32" t="s">
        <v>27</v>
      </c>
      <c r="G29" s="67">
        <v>20405799</v>
      </c>
      <c r="H29" s="32" t="s">
        <v>17</v>
      </c>
      <c r="I29" s="67">
        <v>1</v>
      </c>
      <c r="J29" s="68">
        <v>24.5</v>
      </c>
      <c r="K29" s="68">
        <v>24.5</v>
      </c>
    </row>
    <row r="30" spans="4:11">
      <c r="D30" s="66">
        <v>46142</v>
      </c>
      <c r="E30" s="32">
        <v>1599640</v>
      </c>
      <c r="F30" s="32" t="s">
        <v>13</v>
      </c>
      <c r="G30" s="67">
        <v>20014828</v>
      </c>
      <c r="H30" s="32" t="s">
        <v>22</v>
      </c>
      <c r="I30" s="67">
        <v>3</v>
      </c>
      <c r="J30" s="68">
        <v>5.6</v>
      </c>
      <c r="K30" s="68">
        <v>16.8</v>
      </c>
    </row>
  </sheetData>
  <autoFilter xmlns:etc="http://www.wps.cn/officeDocument/2017/etCustomData" ref="A7:K30" etc:filterBottomFollowUsedRange="0">
    <extLst/>
  </autoFilter>
  <mergeCells count="5">
    <mergeCell ref="D8:H8"/>
    <mergeCell ref="C7:C30"/>
    <mergeCell ref="B4:H5"/>
    <mergeCell ref="A7:B30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&amp;"-,Regular"2026年5月6日 8:42 
&amp;"-,Bold"&amp;10 黑龙江省铂康医疗灭菌有限公司 &amp;R&amp;"Droid Sans Fallback"&amp;9第&amp;P页，共&amp;N页 </oddFooter>
  </headerFooter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0"/>
  <sheetViews>
    <sheetView showGridLines="0" view="pageBreakPreview" zoomScaleNormal="100" workbookViewId="0">
      <pane ySplit="6" topLeftCell="A7" activePane="bottomLeft" state="frozen"/>
      <selection/>
      <selection pane="bottomLeft" activeCell="D8" sqref="D8:H8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125" customWidth="1"/>
  </cols>
  <sheetData>
    <row r="1" spans="1:11">
      <c r="C1" s="15" t="s">
        <v>0</v>
      </c>
    </row>
    <row r="2" ht="23.05" customHeight="1"/>
    <row r="3" ht="2" customHeight="1"/>
    <row r="4" ht="15.2" customHeight="1" spans="1:11">
      <c r="B4" s="16" t="s">
        <v>1</v>
      </c>
    </row>
    <row r="6" ht="2.95" customHeight="1"/>
    <row r="7" spans="1:11">
      <c r="A7" s="34" t="s">
        <v>2</v>
      </c>
      <c r="B7" s="17" t="s">
        <v>2</v>
      </c>
      <c r="C7" s="60" t="s">
        <v>2</v>
      </c>
      <c r="D7" s="61" t="s">
        <v>4</v>
      </c>
      <c r="E7" s="61" t="s">
        <v>5</v>
      </c>
      <c r="F7" s="61" t="s">
        <v>6</v>
      </c>
      <c r="G7" s="61" t="s">
        <v>7</v>
      </c>
      <c r="H7" s="61" t="s">
        <v>8</v>
      </c>
      <c r="I7" s="61" t="s">
        <v>9</v>
      </c>
      <c r="J7" s="61" t="s">
        <v>10</v>
      </c>
      <c r="K7" s="61" t="s">
        <v>11</v>
      </c>
    </row>
    <row r="8" ht="14.25" spans="1:11">
      <c r="D8" s="62" t="s">
        <v>163</v>
      </c>
      <c r="E8" s="63" t="s">
        <v>2</v>
      </c>
      <c r="F8" s="63" t="s">
        <v>2</v>
      </c>
      <c r="G8" s="63" t="s">
        <v>2</v>
      </c>
      <c r="H8" s="63" t="s">
        <v>2</v>
      </c>
      <c r="I8" s="64">
        <v>1</v>
      </c>
      <c r="J8" s="65"/>
      <c r="K8" s="65">
        <v>24.5</v>
      </c>
    </row>
    <row r="9" spans="1:11">
      <c r="D9" s="66">
        <v>46142</v>
      </c>
      <c r="E9" s="32">
        <v>1599592</v>
      </c>
      <c r="F9" s="32" t="s">
        <v>27</v>
      </c>
      <c r="G9" s="67">
        <v>20423703</v>
      </c>
      <c r="H9" s="32" t="s">
        <v>164</v>
      </c>
      <c r="I9" s="67">
        <v>1</v>
      </c>
      <c r="J9" s="68">
        <v>24.5</v>
      </c>
      <c r="K9" s="68">
        <v>24.5</v>
      </c>
    </row>
    <row r="10" ht="0.05" customHeight="1"/>
  </sheetData>
  <mergeCells count="5">
    <mergeCell ref="D8:H8"/>
    <mergeCell ref="C7:C9"/>
    <mergeCell ref="B4:H5"/>
    <mergeCell ref="A7:B9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&amp;"-,Regular"2026年5月6日 8:42 
&amp;"-,Bold"&amp;10 黑龙江省铂康医疗灭菌有限公司 &amp;R&amp;"Droid Sans Fallback"&amp;9第&amp;P页，共&amp;N页 </oddFooter>
  </headerFooter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9"/>
  <sheetViews>
    <sheetView showGridLines="0" view="pageBreakPreview" zoomScaleNormal="100" workbookViewId="0">
      <pane ySplit="6" topLeftCell="A7" activePane="bottomLeft" state="frozen"/>
      <selection/>
      <selection pane="bottomLeft" activeCell="K9" sqref="K9:K19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75" customWidth="1"/>
  </cols>
  <sheetData>
    <row r="1" spans="1:11">
      <c r="C1" s="15" t="s">
        <v>0</v>
      </c>
    </row>
    <row r="2" ht="23.05" customHeight="1"/>
    <row r="3" ht="2" customHeight="1"/>
    <row r="4" ht="15.2" customHeight="1" spans="1:11">
      <c r="B4" s="16" t="s">
        <v>1</v>
      </c>
    </row>
    <row r="6" ht="2.95" customHeight="1"/>
    <row r="7" spans="1:11">
      <c r="A7" s="34" t="s">
        <v>2</v>
      </c>
      <c r="B7" s="17" t="s">
        <v>2</v>
      </c>
      <c r="C7" s="60" t="s">
        <v>2</v>
      </c>
      <c r="D7" s="61" t="s">
        <v>4</v>
      </c>
      <c r="E7" s="61" t="s">
        <v>5</v>
      </c>
      <c r="F7" s="61" t="s">
        <v>6</v>
      </c>
      <c r="G7" s="61" t="s">
        <v>7</v>
      </c>
      <c r="H7" s="61" t="s">
        <v>8</v>
      </c>
      <c r="I7" s="61" t="s">
        <v>9</v>
      </c>
      <c r="J7" s="61" t="s">
        <v>10</v>
      </c>
      <c r="K7" s="61" t="s">
        <v>11</v>
      </c>
    </row>
    <row r="8" ht="14.25" spans="1:11">
      <c r="D8" s="62" t="s">
        <v>165</v>
      </c>
      <c r="E8" s="63" t="s">
        <v>2</v>
      </c>
      <c r="F8" s="63" t="s">
        <v>2</v>
      </c>
      <c r="G8" s="63" t="s">
        <v>2</v>
      </c>
      <c r="H8" s="63" t="s">
        <v>2</v>
      </c>
      <c r="I8" s="64">
        <v>19</v>
      </c>
      <c r="J8" s="65"/>
      <c r="K8" s="65">
        <v>137.2</v>
      </c>
    </row>
    <row r="9" spans="1:11">
      <c r="D9" s="66">
        <v>46121</v>
      </c>
      <c r="E9" s="32">
        <v>1593363</v>
      </c>
      <c r="F9" s="32" t="s">
        <v>13</v>
      </c>
      <c r="G9" s="67">
        <v>20011204</v>
      </c>
      <c r="H9" s="32" t="s">
        <v>74</v>
      </c>
      <c r="I9" s="67">
        <v>1</v>
      </c>
      <c r="J9" s="68">
        <v>5.6</v>
      </c>
      <c r="K9" s="68">
        <v>5.6</v>
      </c>
    </row>
    <row r="10" spans="1:11">
      <c r="D10" s="66">
        <v>46121</v>
      </c>
      <c r="E10" s="32">
        <v>1593363</v>
      </c>
      <c r="F10" s="32" t="s">
        <v>13</v>
      </c>
      <c r="G10" s="67">
        <v>20321510</v>
      </c>
      <c r="H10" s="32" t="s">
        <v>52</v>
      </c>
      <c r="I10" s="67">
        <v>2</v>
      </c>
      <c r="J10" s="68">
        <v>5.6</v>
      </c>
      <c r="K10" s="68">
        <v>11.2</v>
      </c>
    </row>
    <row r="11" spans="1:11">
      <c r="D11" s="66">
        <v>46121</v>
      </c>
      <c r="E11" s="32">
        <v>1593363</v>
      </c>
      <c r="F11" s="32" t="s">
        <v>13</v>
      </c>
      <c r="G11" s="67">
        <v>20011507</v>
      </c>
      <c r="H11" s="32" t="s">
        <v>166</v>
      </c>
      <c r="I11" s="67">
        <v>2</v>
      </c>
      <c r="J11" s="68">
        <v>5.6</v>
      </c>
      <c r="K11" s="68">
        <v>11.2</v>
      </c>
    </row>
    <row r="12" spans="1:11">
      <c r="D12" s="66">
        <v>46121</v>
      </c>
      <c r="E12" s="32">
        <v>1593363</v>
      </c>
      <c r="F12" s="32" t="s">
        <v>13</v>
      </c>
      <c r="G12" s="67">
        <v>20008757</v>
      </c>
      <c r="H12" s="32" t="s">
        <v>167</v>
      </c>
      <c r="I12" s="67">
        <v>1</v>
      </c>
      <c r="J12" s="68">
        <v>5.6</v>
      </c>
      <c r="K12" s="68">
        <v>5.6</v>
      </c>
    </row>
    <row r="13" spans="1:11">
      <c r="D13" s="66">
        <v>46126</v>
      </c>
      <c r="E13" s="32">
        <v>1594761</v>
      </c>
      <c r="F13" s="32" t="s">
        <v>13</v>
      </c>
      <c r="G13" s="67">
        <v>20008757</v>
      </c>
      <c r="H13" s="32" t="s">
        <v>167</v>
      </c>
      <c r="I13" s="67">
        <v>2</v>
      </c>
      <c r="J13" s="68">
        <v>5.6</v>
      </c>
      <c r="K13" s="68">
        <v>11.2</v>
      </c>
    </row>
    <row r="14" spans="1:11">
      <c r="D14" s="66">
        <v>46127</v>
      </c>
      <c r="E14" s="32">
        <v>1594929</v>
      </c>
      <c r="F14" s="32" t="s">
        <v>16</v>
      </c>
      <c r="G14" s="67">
        <v>20362742</v>
      </c>
      <c r="H14" s="32" t="s">
        <v>168</v>
      </c>
      <c r="I14" s="67">
        <v>1</v>
      </c>
      <c r="J14" s="68">
        <v>24.5</v>
      </c>
      <c r="K14" s="68">
        <v>24.5</v>
      </c>
    </row>
    <row r="15" spans="1:11">
      <c r="D15" s="66">
        <v>46135</v>
      </c>
      <c r="E15" s="32">
        <v>1597602</v>
      </c>
      <c r="F15" s="32" t="s">
        <v>13</v>
      </c>
      <c r="G15" s="67">
        <v>20011204</v>
      </c>
      <c r="H15" s="32" t="s">
        <v>74</v>
      </c>
      <c r="I15" s="67">
        <v>1</v>
      </c>
      <c r="J15" s="68">
        <v>5.6</v>
      </c>
      <c r="K15" s="68">
        <v>5.6</v>
      </c>
    </row>
    <row r="16" spans="1:11">
      <c r="D16" s="66">
        <v>46135</v>
      </c>
      <c r="E16" s="32">
        <v>1597602</v>
      </c>
      <c r="F16" s="32" t="s">
        <v>13</v>
      </c>
      <c r="G16" s="67">
        <v>20009085</v>
      </c>
      <c r="H16" s="32" t="s">
        <v>169</v>
      </c>
      <c r="I16" s="67">
        <v>2</v>
      </c>
      <c r="J16" s="68">
        <v>11.55</v>
      </c>
      <c r="K16" s="68">
        <v>23.1</v>
      </c>
    </row>
    <row r="17" spans="4:11">
      <c r="D17" s="66">
        <v>46135</v>
      </c>
      <c r="E17" s="32">
        <v>1597602</v>
      </c>
      <c r="F17" s="32" t="s">
        <v>13</v>
      </c>
      <c r="G17" s="67">
        <v>20321510</v>
      </c>
      <c r="H17" s="32" t="s">
        <v>52</v>
      </c>
      <c r="I17" s="67">
        <v>2</v>
      </c>
      <c r="J17" s="68">
        <v>5.6</v>
      </c>
      <c r="K17" s="68">
        <v>11.2</v>
      </c>
    </row>
    <row r="18" spans="4:11">
      <c r="D18" s="66">
        <v>46140</v>
      </c>
      <c r="E18" s="32">
        <v>1598923</v>
      </c>
      <c r="F18" s="32" t="s">
        <v>13</v>
      </c>
      <c r="G18" s="67">
        <v>20011204</v>
      </c>
      <c r="H18" s="32" t="s">
        <v>74</v>
      </c>
      <c r="I18" s="67">
        <v>2</v>
      </c>
      <c r="J18" s="68">
        <v>5.6</v>
      </c>
      <c r="K18" s="68">
        <v>11.2</v>
      </c>
    </row>
    <row r="19" spans="4:11">
      <c r="D19" s="66">
        <v>46140</v>
      </c>
      <c r="E19" s="32">
        <v>1598923</v>
      </c>
      <c r="F19" s="32" t="s">
        <v>13</v>
      </c>
      <c r="G19" s="67">
        <v>20008322</v>
      </c>
      <c r="H19" s="32" t="s">
        <v>14</v>
      </c>
      <c r="I19" s="67">
        <v>3</v>
      </c>
      <c r="J19" s="68">
        <v>5.6</v>
      </c>
      <c r="K19" s="68">
        <v>16.8</v>
      </c>
    </row>
  </sheetData>
  <autoFilter xmlns:etc="http://www.wps.cn/officeDocument/2017/etCustomData" ref="A7:K19" etc:filterBottomFollowUsedRange="0">
    <extLst/>
  </autoFilter>
  <mergeCells count="5">
    <mergeCell ref="D8:H8"/>
    <mergeCell ref="C7:C19"/>
    <mergeCell ref="B4:H5"/>
    <mergeCell ref="A7:B19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&amp;"-,Regular"2026年5月6日 8:42 
&amp;"-,Bold"&amp;10 黑龙江省铂康医疗灭菌有限公司 &amp;R&amp;"Droid Sans Fallback"&amp;9第&amp;P页，共&amp;N页 </oddFooter>
  </headerFooter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951"/>
  <sheetViews>
    <sheetView showGridLines="0" view="pageBreakPreview" zoomScaleNormal="100" workbookViewId="0">
      <pane ySplit="6" topLeftCell="A7" activePane="bottomLeft" state="frozen"/>
      <selection/>
      <selection pane="bottomLeft" activeCell="K9" sqref="K9:K953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75" customWidth="1"/>
  </cols>
  <sheetData>
    <row r="1" spans="1:12">
      <c r="C1" s="15" t="s">
        <v>0</v>
      </c>
    </row>
    <row r="2" ht="23.05" customHeight="1"/>
    <row r="3" ht="2" customHeight="1"/>
    <row r="4" ht="15.2" customHeight="1" spans="1:12">
      <c r="B4" s="16" t="s">
        <v>1</v>
      </c>
    </row>
    <row r="6" ht="2.95" customHeight="1"/>
    <row r="7" spans="1:12">
      <c r="A7" s="34" t="s">
        <v>2</v>
      </c>
      <c r="B7" s="17" t="s">
        <v>2</v>
      </c>
      <c r="C7" s="60" t="s">
        <v>2</v>
      </c>
      <c r="D7" s="61" t="s">
        <v>4</v>
      </c>
      <c r="E7" s="61" t="s">
        <v>5</v>
      </c>
      <c r="F7" s="61" t="s">
        <v>6</v>
      </c>
      <c r="G7" s="61" t="s">
        <v>7</v>
      </c>
      <c r="H7" s="61" t="s">
        <v>8</v>
      </c>
      <c r="I7" s="61" t="s">
        <v>9</v>
      </c>
      <c r="J7" s="61" t="s">
        <v>10</v>
      </c>
      <c r="K7" s="61" t="s">
        <v>11</v>
      </c>
    </row>
    <row r="8" ht="14.25" spans="1:12">
      <c r="D8" s="62" t="s">
        <v>170</v>
      </c>
      <c r="E8" s="63" t="s">
        <v>2</v>
      </c>
      <c r="F8" s="63" t="s">
        <v>2</v>
      </c>
      <c r="G8" s="63" t="s">
        <v>2</v>
      </c>
      <c r="H8" s="63" t="s">
        <v>2</v>
      </c>
      <c r="I8" s="64">
        <v>1539</v>
      </c>
      <c r="J8" s="65"/>
      <c r="K8" s="65">
        <v>50761.8999999999</v>
      </c>
    </row>
    <row r="9" spans="1:12">
      <c r="D9" s="66">
        <v>46113</v>
      </c>
      <c r="E9" s="32">
        <v>1590898</v>
      </c>
      <c r="F9" s="32" t="s">
        <v>36</v>
      </c>
      <c r="G9" s="67">
        <v>20011908</v>
      </c>
      <c r="H9" s="32" t="s">
        <v>171</v>
      </c>
      <c r="I9" s="67">
        <v>1</v>
      </c>
      <c r="J9" s="68">
        <v>284.9</v>
      </c>
      <c r="K9" s="68">
        <v>284.9</v>
      </c>
      <c r="L9">
        <f>J9/0.7</f>
        <v>407</v>
      </c>
    </row>
    <row r="10" spans="1:12">
      <c r="D10" s="66">
        <v>46113</v>
      </c>
      <c r="E10" s="32">
        <v>1590898</v>
      </c>
      <c r="F10" s="32" t="s">
        <v>36</v>
      </c>
      <c r="G10" s="67">
        <v>20007716</v>
      </c>
      <c r="H10" s="32" t="s">
        <v>172</v>
      </c>
      <c r="I10" s="67">
        <v>1</v>
      </c>
      <c r="J10" s="68">
        <v>284.9</v>
      </c>
      <c r="K10" s="68">
        <v>284.9</v>
      </c>
      <c r="L10">
        <f t="shared" ref="L10:L73" si="0">J10/0.7</f>
        <v>407</v>
      </c>
    </row>
    <row r="11" spans="1:12">
      <c r="D11" s="66">
        <v>46113</v>
      </c>
      <c r="E11" s="32">
        <v>1590898</v>
      </c>
      <c r="F11" s="32" t="s">
        <v>36</v>
      </c>
      <c r="G11" s="67">
        <v>20301286</v>
      </c>
      <c r="H11" s="32" t="s">
        <v>173</v>
      </c>
      <c r="I11" s="67">
        <v>1</v>
      </c>
      <c r="J11" s="68">
        <v>26.95</v>
      </c>
      <c r="K11" s="68">
        <v>26.95</v>
      </c>
      <c r="L11">
        <f t="shared" si="0"/>
        <v>38.5</v>
      </c>
    </row>
    <row r="12" spans="1:12">
      <c r="D12" s="66">
        <v>46113</v>
      </c>
      <c r="E12" s="32">
        <v>1590898</v>
      </c>
      <c r="F12" s="32" t="s">
        <v>36</v>
      </c>
      <c r="G12" s="67">
        <v>20008128</v>
      </c>
      <c r="H12" s="32" t="s">
        <v>174</v>
      </c>
      <c r="I12" s="67">
        <v>1</v>
      </c>
      <c r="J12" s="68">
        <v>130.9</v>
      </c>
      <c r="K12" s="68">
        <v>130.9</v>
      </c>
      <c r="L12">
        <f t="shared" si="0"/>
        <v>187</v>
      </c>
    </row>
    <row r="13" spans="1:12">
      <c r="D13" s="66">
        <v>46113</v>
      </c>
      <c r="E13" s="32">
        <v>1590898</v>
      </c>
      <c r="F13" s="32" t="s">
        <v>36</v>
      </c>
      <c r="G13" s="67">
        <v>20325851</v>
      </c>
      <c r="H13" s="32" t="s">
        <v>175</v>
      </c>
      <c r="I13" s="67">
        <v>1</v>
      </c>
      <c r="J13" s="68">
        <v>150.15</v>
      </c>
      <c r="K13" s="68">
        <v>150.15</v>
      </c>
      <c r="L13">
        <f t="shared" si="0"/>
        <v>214.5</v>
      </c>
    </row>
    <row r="14" spans="1:12">
      <c r="D14" s="66">
        <v>46113</v>
      </c>
      <c r="E14" s="32">
        <v>1590898</v>
      </c>
      <c r="F14" s="32" t="s">
        <v>13</v>
      </c>
      <c r="G14" s="67">
        <v>20007623</v>
      </c>
      <c r="H14" s="32" t="s">
        <v>176</v>
      </c>
      <c r="I14" s="67">
        <v>1</v>
      </c>
      <c r="J14" s="68">
        <v>5.6</v>
      </c>
      <c r="K14" s="68">
        <v>5.6</v>
      </c>
      <c r="L14">
        <f t="shared" si="0"/>
        <v>8</v>
      </c>
    </row>
    <row r="15" spans="1:12">
      <c r="D15" s="66">
        <v>46113</v>
      </c>
      <c r="E15" s="32">
        <v>1590898</v>
      </c>
      <c r="F15" s="32" t="s">
        <v>13</v>
      </c>
      <c r="G15" s="67">
        <v>20008491</v>
      </c>
      <c r="H15" s="32" t="s">
        <v>104</v>
      </c>
      <c r="I15" s="67">
        <v>1</v>
      </c>
      <c r="J15" s="68">
        <v>11.55</v>
      </c>
      <c r="K15" s="68">
        <v>11.55</v>
      </c>
      <c r="L15">
        <f t="shared" si="0"/>
        <v>16.5</v>
      </c>
    </row>
    <row r="16" spans="1:12">
      <c r="D16" s="66">
        <v>46113</v>
      </c>
      <c r="E16" s="32">
        <v>1590898</v>
      </c>
      <c r="F16" s="32" t="s">
        <v>13</v>
      </c>
      <c r="G16" s="67">
        <v>20013461</v>
      </c>
      <c r="H16" s="32" t="s">
        <v>89</v>
      </c>
      <c r="I16" s="67">
        <v>1</v>
      </c>
      <c r="J16" s="68">
        <v>11.55</v>
      </c>
      <c r="K16" s="68">
        <v>11.55</v>
      </c>
      <c r="L16">
        <f t="shared" si="0"/>
        <v>16.5</v>
      </c>
    </row>
    <row r="17" spans="4:12">
      <c r="D17" s="66">
        <v>46113</v>
      </c>
      <c r="E17" s="32">
        <v>1590898</v>
      </c>
      <c r="F17" s="32" t="s">
        <v>23</v>
      </c>
      <c r="G17" s="67">
        <v>20371299</v>
      </c>
      <c r="H17" s="32" t="s">
        <v>177</v>
      </c>
      <c r="I17" s="67">
        <v>1</v>
      </c>
      <c r="J17" s="68">
        <v>42.35</v>
      </c>
      <c r="K17" s="68">
        <v>42.35</v>
      </c>
      <c r="L17">
        <f t="shared" si="0"/>
        <v>60.5</v>
      </c>
    </row>
    <row r="18" spans="4:12">
      <c r="D18" s="66">
        <v>46113</v>
      </c>
      <c r="E18" s="32">
        <v>1590898</v>
      </c>
      <c r="F18" s="32" t="s">
        <v>25</v>
      </c>
      <c r="G18" s="67">
        <v>20009014</v>
      </c>
      <c r="H18" s="32" t="s">
        <v>130</v>
      </c>
      <c r="I18" s="67">
        <v>2</v>
      </c>
      <c r="J18" s="68">
        <v>11.55</v>
      </c>
      <c r="K18" s="68">
        <v>23.1</v>
      </c>
      <c r="L18">
        <f t="shared" si="0"/>
        <v>16.5</v>
      </c>
    </row>
    <row r="19" spans="4:12">
      <c r="D19" s="66">
        <v>46113</v>
      </c>
      <c r="E19" s="32">
        <v>1590898</v>
      </c>
      <c r="F19" s="32" t="s">
        <v>25</v>
      </c>
      <c r="G19" s="67">
        <v>20009013</v>
      </c>
      <c r="H19" s="32" t="s">
        <v>178</v>
      </c>
      <c r="I19" s="67">
        <v>4</v>
      </c>
      <c r="J19" s="68">
        <v>11.55</v>
      </c>
      <c r="K19" s="68">
        <v>46.2</v>
      </c>
      <c r="L19">
        <f t="shared" si="0"/>
        <v>16.5</v>
      </c>
    </row>
    <row r="20" spans="4:12">
      <c r="D20" s="66">
        <v>46113</v>
      </c>
      <c r="E20" s="32">
        <v>1590898</v>
      </c>
      <c r="F20" s="32" t="s">
        <v>25</v>
      </c>
      <c r="G20" s="67">
        <v>20008214</v>
      </c>
      <c r="H20" s="32" t="s">
        <v>99</v>
      </c>
      <c r="I20" s="67">
        <v>4</v>
      </c>
      <c r="J20" s="68">
        <v>11.55</v>
      </c>
      <c r="K20" s="68">
        <v>46.2</v>
      </c>
      <c r="L20">
        <f t="shared" si="0"/>
        <v>16.5</v>
      </c>
    </row>
    <row r="21" spans="4:12">
      <c r="D21" s="66">
        <v>46113</v>
      </c>
      <c r="E21" s="32">
        <v>1590898</v>
      </c>
      <c r="F21" s="32" t="s">
        <v>25</v>
      </c>
      <c r="G21" s="67">
        <v>20013952</v>
      </c>
      <c r="H21" s="32" t="s">
        <v>179</v>
      </c>
      <c r="I21" s="67">
        <v>1</v>
      </c>
      <c r="J21" s="68">
        <v>11.55</v>
      </c>
      <c r="K21" s="68">
        <v>11.55</v>
      </c>
      <c r="L21">
        <f t="shared" si="0"/>
        <v>16.5</v>
      </c>
    </row>
    <row r="22" spans="4:12">
      <c r="D22" s="66">
        <v>46113</v>
      </c>
      <c r="E22" s="32">
        <v>1590898</v>
      </c>
      <c r="F22" s="32" t="s">
        <v>25</v>
      </c>
      <c r="G22" s="67">
        <v>20008345</v>
      </c>
      <c r="H22" s="32" t="s">
        <v>131</v>
      </c>
      <c r="I22" s="67">
        <v>3</v>
      </c>
      <c r="J22" s="68">
        <v>19.25</v>
      </c>
      <c r="K22" s="68">
        <v>57.75</v>
      </c>
      <c r="L22">
        <f t="shared" si="0"/>
        <v>27.5</v>
      </c>
    </row>
    <row r="23" spans="4:12">
      <c r="D23" s="66">
        <v>46113</v>
      </c>
      <c r="E23" s="32">
        <v>1590955</v>
      </c>
      <c r="F23" s="32" t="s">
        <v>180</v>
      </c>
      <c r="G23" s="67">
        <v>20362791</v>
      </c>
      <c r="H23" s="32" t="s">
        <v>181</v>
      </c>
      <c r="I23" s="67">
        <v>1</v>
      </c>
      <c r="J23" s="68">
        <v>24.5</v>
      </c>
      <c r="K23" s="68">
        <v>24.5</v>
      </c>
      <c r="L23">
        <f t="shared" si="0"/>
        <v>35</v>
      </c>
    </row>
    <row r="24" spans="4:12">
      <c r="D24" s="66">
        <v>46113</v>
      </c>
      <c r="E24" s="32">
        <v>1590955</v>
      </c>
      <c r="F24" s="32" t="s">
        <v>25</v>
      </c>
      <c r="G24" s="67">
        <v>20013916</v>
      </c>
      <c r="H24" s="32" t="s">
        <v>182</v>
      </c>
      <c r="I24" s="67">
        <v>1</v>
      </c>
      <c r="J24" s="68">
        <v>11.55</v>
      </c>
      <c r="K24" s="68">
        <v>11.55</v>
      </c>
      <c r="L24">
        <f t="shared" si="0"/>
        <v>16.5</v>
      </c>
    </row>
    <row r="25" spans="4:12">
      <c r="D25" s="66">
        <v>46113</v>
      </c>
      <c r="E25" s="32">
        <v>1590964</v>
      </c>
      <c r="F25" s="32" t="s">
        <v>27</v>
      </c>
      <c r="G25" s="67">
        <v>20370992</v>
      </c>
      <c r="H25" s="32" t="s">
        <v>183</v>
      </c>
      <c r="I25" s="67">
        <v>2</v>
      </c>
      <c r="J25" s="68">
        <v>24.5</v>
      </c>
      <c r="K25" s="68">
        <v>49</v>
      </c>
      <c r="L25">
        <f t="shared" si="0"/>
        <v>35</v>
      </c>
    </row>
    <row r="26" spans="4:12">
      <c r="D26" s="66">
        <v>46113</v>
      </c>
      <c r="E26" s="32">
        <v>1590964</v>
      </c>
      <c r="F26" s="32" t="s">
        <v>27</v>
      </c>
      <c r="G26" s="67">
        <v>20008885</v>
      </c>
      <c r="H26" s="32" t="s">
        <v>184</v>
      </c>
      <c r="I26" s="67">
        <v>3</v>
      </c>
      <c r="J26" s="68">
        <v>24.5</v>
      </c>
      <c r="K26" s="68">
        <v>73.5</v>
      </c>
      <c r="L26">
        <f t="shared" si="0"/>
        <v>35</v>
      </c>
    </row>
    <row r="27" spans="4:12">
      <c r="D27" s="66">
        <v>46113</v>
      </c>
      <c r="E27" s="32">
        <v>1590964</v>
      </c>
      <c r="F27" s="32" t="s">
        <v>27</v>
      </c>
      <c r="G27" s="67">
        <v>20313974</v>
      </c>
      <c r="H27" s="32" t="s">
        <v>185</v>
      </c>
      <c r="I27" s="67">
        <v>1</v>
      </c>
      <c r="J27" s="68">
        <v>30.8</v>
      </c>
      <c r="K27" s="68">
        <v>30.8</v>
      </c>
      <c r="L27">
        <f t="shared" si="0"/>
        <v>44</v>
      </c>
    </row>
    <row r="28" spans="4:12">
      <c r="D28" s="66">
        <v>46113</v>
      </c>
      <c r="E28" s="32">
        <v>1590964</v>
      </c>
      <c r="F28" s="32" t="s">
        <v>27</v>
      </c>
      <c r="G28" s="67">
        <v>20006853</v>
      </c>
      <c r="H28" s="32" t="s">
        <v>186</v>
      </c>
      <c r="I28" s="67">
        <v>1</v>
      </c>
      <c r="J28" s="68">
        <v>24.5</v>
      </c>
      <c r="K28" s="68">
        <v>24.5</v>
      </c>
      <c r="L28">
        <f t="shared" si="0"/>
        <v>35</v>
      </c>
    </row>
    <row r="29" spans="4:12">
      <c r="D29" s="66">
        <v>46113</v>
      </c>
      <c r="E29" s="32">
        <v>1590964</v>
      </c>
      <c r="F29" s="32" t="s">
        <v>27</v>
      </c>
      <c r="G29" s="67">
        <v>20419588</v>
      </c>
      <c r="H29" s="32" t="s">
        <v>187</v>
      </c>
      <c r="I29" s="67">
        <v>1</v>
      </c>
      <c r="J29" s="68">
        <v>61.6</v>
      </c>
      <c r="K29" s="68">
        <v>61.6</v>
      </c>
      <c r="L29">
        <f t="shared" si="0"/>
        <v>88</v>
      </c>
    </row>
    <row r="30" spans="4:12">
      <c r="D30" s="66">
        <v>46113</v>
      </c>
      <c r="E30" s="32">
        <v>1590964</v>
      </c>
      <c r="F30" s="32" t="s">
        <v>27</v>
      </c>
      <c r="G30" s="67">
        <v>20400917</v>
      </c>
      <c r="H30" s="32" t="s">
        <v>188</v>
      </c>
      <c r="I30" s="67">
        <v>1</v>
      </c>
      <c r="J30" s="68">
        <v>17.5</v>
      </c>
      <c r="K30" s="68">
        <v>17.5</v>
      </c>
      <c r="L30">
        <f t="shared" si="0"/>
        <v>25</v>
      </c>
    </row>
    <row r="31" spans="4:12">
      <c r="D31" s="66">
        <v>46113</v>
      </c>
      <c r="E31" s="32">
        <v>1590964</v>
      </c>
      <c r="F31" s="32" t="s">
        <v>27</v>
      </c>
      <c r="G31" s="67">
        <v>20007639</v>
      </c>
      <c r="H31" s="32" t="s">
        <v>189</v>
      </c>
      <c r="I31" s="67">
        <v>1</v>
      </c>
      <c r="J31" s="68">
        <v>19.6</v>
      </c>
      <c r="K31" s="68">
        <v>19.6</v>
      </c>
      <c r="L31">
        <f t="shared" si="0"/>
        <v>28</v>
      </c>
    </row>
    <row r="32" spans="4:12">
      <c r="D32" s="66">
        <v>46113</v>
      </c>
      <c r="E32" s="32">
        <v>1590964</v>
      </c>
      <c r="F32" s="32" t="s">
        <v>27</v>
      </c>
      <c r="G32" s="67">
        <v>20007638</v>
      </c>
      <c r="H32" s="32" t="s">
        <v>190</v>
      </c>
      <c r="I32" s="67">
        <v>2</v>
      </c>
      <c r="J32" s="68">
        <v>19.6</v>
      </c>
      <c r="K32" s="68">
        <v>39.2</v>
      </c>
      <c r="L32">
        <f t="shared" si="0"/>
        <v>28</v>
      </c>
    </row>
    <row r="33" spans="4:12">
      <c r="D33" s="66">
        <v>46113</v>
      </c>
      <c r="E33" s="32">
        <v>1590964</v>
      </c>
      <c r="F33" s="32" t="s">
        <v>27</v>
      </c>
      <c r="G33" s="67">
        <v>20008639</v>
      </c>
      <c r="H33" s="32" t="s">
        <v>191</v>
      </c>
      <c r="I33" s="67">
        <v>1</v>
      </c>
      <c r="J33" s="68">
        <v>17.5</v>
      </c>
      <c r="K33" s="68">
        <v>17.5</v>
      </c>
      <c r="L33">
        <f t="shared" si="0"/>
        <v>25</v>
      </c>
    </row>
    <row r="34" spans="4:12">
      <c r="D34" s="66">
        <v>46113</v>
      </c>
      <c r="E34" s="32">
        <v>1590964</v>
      </c>
      <c r="F34" s="32" t="s">
        <v>69</v>
      </c>
      <c r="G34" s="67">
        <v>20395507</v>
      </c>
      <c r="H34" s="32" t="s">
        <v>192</v>
      </c>
      <c r="I34" s="67">
        <v>1</v>
      </c>
      <c r="J34" s="68">
        <v>19.6</v>
      </c>
      <c r="K34" s="68">
        <v>19.6</v>
      </c>
      <c r="L34">
        <f t="shared" si="0"/>
        <v>28</v>
      </c>
    </row>
    <row r="35" spans="4:12">
      <c r="D35" s="66">
        <v>46113</v>
      </c>
      <c r="E35" s="32">
        <v>1591266</v>
      </c>
      <c r="F35" s="32" t="s">
        <v>36</v>
      </c>
      <c r="G35" s="67">
        <v>20007715</v>
      </c>
      <c r="H35" s="32" t="s">
        <v>193</v>
      </c>
      <c r="I35" s="67">
        <v>2</v>
      </c>
      <c r="J35" s="68">
        <v>180.95</v>
      </c>
      <c r="K35" s="68">
        <v>361.9</v>
      </c>
      <c r="L35">
        <f t="shared" si="0"/>
        <v>258.5</v>
      </c>
    </row>
    <row r="36" spans="4:12">
      <c r="D36" s="66">
        <v>46113</v>
      </c>
      <c r="E36" s="32">
        <v>1591266</v>
      </c>
      <c r="F36" s="32" t="s">
        <v>36</v>
      </c>
      <c r="G36" s="67">
        <v>20008128</v>
      </c>
      <c r="H36" s="32" t="s">
        <v>174</v>
      </c>
      <c r="I36" s="67">
        <v>6</v>
      </c>
      <c r="J36" s="68">
        <v>130.9</v>
      </c>
      <c r="K36" s="68">
        <v>785.4</v>
      </c>
      <c r="L36">
        <f t="shared" si="0"/>
        <v>187</v>
      </c>
    </row>
    <row r="37" spans="4:12">
      <c r="D37" s="66">
        <v>46113</v>
      </c>
      <c r="E37" s="32">
        <v>1591266</v>
      </c>
      <c r="F37" s="32" t="s">
        <v>36</v>
      </c>
      <c r="G37" s="67">
        <v>20311037</v>
      </c>
      <c r="H37" s="32" t="s">
        <v>194</v>
      </c>
      <c r="I37" s="67">
        <v>1</v>
      </c>
      <c r="J37" s="68">
        <v>53.55</v>
      </c>
      <c r="K37" s="68">
        <v>53.55</v>
      </c>
      <c r="L37">
        <f t="shared" si="0"/>
        <v>76.5</v>
      </c>
    </row>
    <row r="38" spans="4:12">
      <c r="D38" s="66">
        <v>46113</v>
      </c>
      <c r="E38" s="32">
        <v>1591266</v>
      </c>
      <c r="F38" s="32" t="s">
        <v>13</v>
      </c>
      <c r="G38" s="67">
        <v>20012489</v>
      </c>
      <c r="H38" s="32" t="s">
        <v>75</v>
      </c>
      <c r="I38" s="67">
        <v>1</v>
      </c>
      <c r="J38" s="68">
        <v>5.6</v>
      </c>
      <c r="K38" s="68">
        <v>5.6</v>
      </c>
      <c r="L38">
        <f t="shared" si="0"/>
        <v>8</v>
      </c>
    </row>
    <row r="39" spans="4:12">
      <c r="D39" s="66">
        <v>46113</v>
      </c>
      <c r="E39" s="32">
        <v>1591266</v>
      </c>
      <c r="F39" s="32" t="s">
        <v>13</v>
      </c>
      <c r="G39" s="67">
        <v>20416608</v>
      </c>
      <c r="H39" s="32" t="s">
        <v>195</v>
      </c>
      <c r="I39" s="67">
        <v>2</v>
      </c>
      <c r="J39" s="68">
        <v>7.7</v>
      </c>
      <c r="K39" s="68">
        <v>15.4</v>
      </c>
      <c r="L39">
        <f t="shared" si="0"/>
        <v>11</v>
      </c>
    </row>
    <row r="40" spans="4:12">
      <c r="D40" s="66">
        <v>46113</v>
      </c>
      <c r="E40" s="32">
        <v>1591266</v>
      </c>
      <c r="F40" s="32" t="s">
        <v>13</v>
      </c>
      <c r="G40" s="67">
        <v>20376042</v>
      </c>
      <c r="H40" s="32" t="s">
        <v>196</v>
      </c>
      <c r="I40" s="67">
        <v>1</v>
      </c>
      <c r="J40" s="68">
        <v>5.6</v>
      </c>
      <c r="K40" s="68">
        <v>5.6</v>
      </c>
      <c r="L40">
        <f t="shared" si="0"/>
        <v>8</v>
      </c>
    </row>
    <row r="41" spans="4:12">
      <c r="D41" s="66">
        <v>46113</v>
      </c>
      <c r="E41" s="32">
        <v>1591266</v>
      </c>
      <c r="F41" s="32" t="s">
        <v>13</v>
      </c>
      <c r="G41" s="67">
        <v>20405158</v>
      </c>
      <c r="H41" s="32" t="s">
        <v>197</v>
      </c>
      <c r="I41" s="67">
        <v>2</v>
      </c>
      <c r="J41" s="68">
        <v>7.7</v>
      </c>
      <c r="K41" s="68">
        <v>15.4</v>
      </c>
      <c r="L41">
        <f t="shared" si="0"/>
        <v>11</v>
      </c>
    </row>
    <row r="42" spans="4:12">
      <c r="D42" s="66">
        <v>46113</v>
      </c>
      <c r="E42" s="32">
        <v>1591266</v>
      </c>
      <c r="F42" s="32" t="s">
        <v>13</v>
      </c>
      <c r="G42" s="67">
        <v>20413745</v>
      </c>
      <c r="H42" s="32" t="s">
        <v>198</v>
      </c>
      <c r="I42" s="67">
        <v>1</v>
      </c>
      <c r="J42" s="68">
        <v>5.6</v>
      </c>
      <c r="K42" s="68">
        <v>5.6</v>
      </c>
      <c r="L42">
        <f t="shared" si="0"/>
        <v>8</v>
      </c>
    </row>
    <row r="43" spans="4:12">
      <c r="D43" s="66">
        <v>46113</v>
      </c>
      <c r="E43" s="32">
        <v>1591266</v>
      </c>
      <c r="F43" s="32" t="s">
        <v>13</v>
      </c>
      <c r="G43" s="67">
        <v>20008204</v>
      </c>
      <c r="H43" s="32" t="s">
        <v>116</v>
      </c>
      <c r="I43" s="67">
        <v>1</v>
      </c>
      <c r="J43" s="68">
        <v>9.45</v>
      </c>
      <c r="K43" s="68">
        <v>9.45</v>
      </c>
      <c r="L43">
        <f t="shared" si="0"/>
        <v>13.5</v>
      </c>
    </row>
    <row r="44" spans="4:12">
      <c r="D44" s="66">
        <v>46113</v>
      </c>
      <c r="E44" s="32">
        <v>1591266</v>
      </c>
      <c r="F44" s="32" t="s">
        <v>13</v>
      </c>
      <c r="G44" s="67">
        <v>20011138</v>
      </c>
      <c r="H44" s="32" t="s">
        <v>199</v>
      </c>
      <c r="I44" s="67">
        <v>6</v>
      </c>
      <c r="J44" s="68">
        <v>11.55</v>
      </c>
      <c r="K44" s="68">
        <v>69.3</v>
      </c>
      <c r="L44">
        <f t="shared" si="0"/>
        <v>16.5</v>
      </c>
    </row>
    <row r="45" spans="4:12">
      <c r="D45" s="66">
        <v>46113</v>
      </c>
      <c r="E45" s="32">
        <v>1591266</v>
      </c>
      <c r="F45" s="32" t="s">
        <v>180</v>
      </c>
      <c r="G45" s="67">
        <v>20362791</v>
      </c>
      <c r="H45" s="32" t="s">
        <v>181</v>
      </c>
      <c r="I45" s="67">
        <v>1</v>
      </c>
      <c r="J45" s="68">
        <v>24.5</v>
      </c>
      <c r="K45" s="68">
        <v>24.5</v>
      </c>
      <c r="L45">
        <f t="shared" si="0"/>
        <v>35</v>
      </c>
    </row>
    <row r="46" spans="4:12">
      <c r="D46" s="66">
        <v>46113</v>
      </c>
      <c r="E46" s="32">
        <v>1591266</v>
      </c>
      <c r="F46" s="32" t="s">
        <v>25</v>
      </c>
      <c r="G46" s="67">
        <v>20008214</v>
      </c>
      <c r="H46" s="32" t="s">
        <v>99</v>
      </c>
      <c r="I46" s="67">
        <v>5</v>
      </c>
      <c r="J46" s="68">
        <v>11.55</v>
      </c>
      <c r="K46" s="68">
        <v>57.75</v>
      </c>
      <c r="L46">
        <f t="shared" si="0"/>
        <v>16.5</v>
      </c>
    </row>
    <row r="47" spans="4:12">
      <c r="D47" s="66">
        <v>46113</v>
      </c>
      <c r="E47" s="32">
        <v>1591266</v>
      </c>
      <c r="F47" s="32" t="s">
        <v>25</v>
      </c>
      <c r="G47" s="67">
        <v>20008345</v>
      </c>
      <c r="H47" s="32" t="s">
        <v>131</v>
      </c>
      <c r="I47" s="67">
        <v>1</v>
      </c>
      <c r="J47" s="68">
        <v>19.25</v>
      </c>
      <c r="K47" s="68">
        <v>19.25</v>
      </c>
      <c r="L47">
        <f t="shared" si="0"/>
        <v>27.5</v>
      </c>
    </row>
    <row r="48" spans="4:12">
      <c r="D48" s="66">
        <v>46113</v>
      </c>
      <c r="E48" s="32">
        <v>1591266</v>
      </c>
      <c r="F48" s="32" t="s">
        <v>18</v>
      </c>
      <c r="G48" s="67">
        <v>20009060</v>
      </c>
      <c r="H48" s="32" t="s">
        <v>200</v>
      </c>
      <c r="I48" s="67">
        <v>2</v>
      </c>
      <c r="J48" s="68">
        <v>1.75</v>
      </c>
      <c r="K48" s="68">
        <v>3.5</v>
      </c>
      <c r="L48">
        <f t="shared" si="0"/>
        <v>2.5</v>
      </c>
    </row>
    <row r="49" spans="4:12">
      <c r="D49" s="66">
        <v>46114</v>
      </c>
      <c r="E49" s="32">
        <v>1591307</v>
      </c>
      <c r="F49" s="32" t="s">
        <v>27</v>
      </c>
      <c r="G49" s="67">
        <v>20008885</v>
      </c>
      <c r="H49" s="32" t="s">
        <v>184</v>
      </c>
      <c r="I49" s="67">
        <v>1</v>
      </c>
      <c r="J49" s="68">
        <v>24.5</v>
      </c>
      <c r="K49" s="68">
        <v>24.5</v>
      </c>
      <c r="L49">
        <f t="shared" si="0"/>
        <v>35</v>
      </c>
    </row>
    <row r="50" spans="4:12">
      <c r="D50" s="66">
        <v>46114</v>
      </c>
      <c r="E50" s="32">
        <v>1591307</v>
      </c>
      <c r="F50" s="32" t="s">
        <v>27</v>
      </c>
      <c r="G50" s="67">
        <v>20405041</v>
      </c>
      <c r="H50" s="32" t="s">
        <v>201</v>
      </c>
      <c r="I50" s="67">
        <v>1</v>
      </c>
      <c r="J50" s="68">
        <v>46.2</v>
      </c>
      <c r="K50" s="68">
        <v>46.2</v>
      </c>
      <c r="L50">
        <f t="shared" si="0"/>
        <v>66</v>
      </c>
    </row>
    <row r="51" spans="4:12">
      <c r="D51" s="66">
        <v>46114</v>
      </c>
      <c r="E51" s="32">
        <v>1591307</v>
      </c>
      <c r="F51" s="32" t="s">
        <v>27</v>
      </c>
      <c r="G51" s="67">
        <v>20388302</v>
      </c>
      <c r="H51" s="32" t="s">
        <v>202</v>
      </c>
      <c r="I51" s="67">
        <v>2</v>
      </c>
      <c r="J51" s="68">
        <v>24.5</v>
      </c>
      <c r="K51" s="68">
        <v>49</v>
      </c>
      <c r="L51">
        <f t="shared" si="0"/>
        <v>35</v>
      </c>
    </row>
    <row r="52" spans="4:12">
      <c r="D52" s="66">
        <v>46114</v>
      </c>
      <c r="E52" s="32">
        <v>1591307</v>
      </c>
      <c r="F52" s="32" t="s">
        <v>27</v>
      </c>
      <c r="G52" s="67">
        <v>20008389</v>
      </c>
      <c r="H52" s="32" t="s">
        <v>203</v>
      </c>
      <c r="I52" s="67">
        <v>1</v>
      </c>
      <c r="J52" s="68">
        <v>17.5</v>
      </c>
      <c r="K52" s="68">
        <v>17.5</v>
      </c>
      <c r="L52">
        <f t="shared" si="0"/>
        <v>25</v>
      </c>
    </row>
    <row r="53" spans="4:12">
      <c r="D53" s="66">
        <v>46114</v>
      </c>
      <c r="E53" s="32">
        <v>1591307</v>
      </c>
      <c r="F53" s="32" t="s">
        <v>27</v>
      </c>
      <c r="G53" s="67">
        <v>20006863</v>
      </c>
      <c r="H53" s="32" t="s">
        <v>204</v>
      </c>
      <c r="I53" s="67">
        <v>1</v>
      </c>
      <c r="J53" s="68">
        <v>24.5</v>
      </c>
      <c r="K53" s="68">
        <v>24.5</v>
      </c>
      <c r="L53">
        <f t="shared" si="0"/>
        <v>35</v>
      </c>
    </row>
    <row r="54" spans="4:12">
      <c r="D54" s="66">
        <v>46114</v>
      </c>
      <c r="E54" s="32">
        <v>1591307</v>
      </c>
      <c r="F54" s="32" t="s">
        <v>69</v>
      </c>
      <c r="G54" s="67">
        <v>20012907</v>
      </c>
      <c r="H54" s="32" t="s">
        <v>205</v>
      </c>
      <c r="I54" s="67">
        <v>1</v>
      </c>
      <c r="J54" s="68">
        <v>19.6</v>
      </c>
      <c r="K54" s="68">
        <v>19.6</v>
      </c>
      <c r="L54">
        <f t="shared" si="0"/>
        <v>28</v>
      </c>
    </row>
    <row r="55" spans="4:12">
      <c r="D55" s="66">
        <v>46114</v>
      </c>
      <c r="E55" s="32">
        <v>1591307</v>
      </c>
      <c r="F55" s="32" t="s">
        <v>69</v>
      </c>
      <c r="G55" s="67">
        <v>20013036</v>
      </c>
      <c r="H55" s="32" t="s">
        <v>206</v>
      </c>
      <c r="I55" s="67">
        <v>1</v>
      </c>
      <c r="J55" s="68">
        <v>30.8</v>
      </c>
      <c r="K55" s="68">
        <v>30.8</v>
      </c>
      <c r="L55">
        <f t="shared" si="0"/>
        <v>44</v>
      </c>
    </row>
    <row r="56" spans="4:12">
      <c r="D56" s="66">
        <v>46114</v>
      </c>
      <c r="E56" s="32">
        <v>1591408</v>
      </c>
      <c r="F56" s="32" t="s">
        <v>27</v>
      </c>
      <c r="G56" s="67">
        <v>20014002</v>
      </c>
      <c r="H56" s="32" t="s">
        <v>207</v>
      </c>
      <c r="I56" s="67">
        <v>1</v>
      </c>
      <c r="J56" s="68">
        <v>24.5</v>
      </c>
      <c r="K56" s="68">
        <v>24.5</v>
      </c>
      <c r="L56">
        <f t="shared" si="0"/>
        <v>35</v>
      </c>
    </row>
    <row r="57" spans="4:12">
      <c r="D57" s="66">
        <v>46114</v>
      </c>
      <c r="E57" s="32">
        <v>1591442</v>
      </c>
      <c r="F57" s="32" t="s">
        <v>36</v>
      </c>
      <c r="G57" s="67">
        <v>20007715</v>
      </c>
      <c r="H57" s="32" t="s">
        <v>193</v>
      </c>
      <c r="I57" s="67">
        <v>2</v>
      </c>
      <c r="J57" s="68">
        <v>180.95</v>
      </c>
      <c r="K57" s="68">
        <v>361.9</v>
      </c>
      <c r="L57">
        <f t="shared" si="0"/>
        <v>258.5</v>
      </c>
    </row>
    <row r="58" spans="4:12">
      <c r="D58" s="66">
        <v>46114</v>
      </c>
      <c r="E58" s="32">
        <v>1591442</v>
      </c>
      <c r="F58" s="32" t="s">
        <v>36</v>
      </c>
      <c r="G58" s="67">
        <v>20008129</v>
      </c>
      <c r="H58" s="32" t="s">
        <v>208</v>
      </c>
      <c r="I58" s="67">
        <v>1</v>
      </c>
      <c r="J58" s="68">
        <v>196.35</v>
      </c>
      <c r="K58" s="68">
        <v>196.35</v>
      </c>
      <c r="L58">
        <f t="shared" si="0"/>
        <v>280.5</v>
      </c>
    </row>
    <row r="59" spans="4:12">
      <c r="D59" s="66">
        <v>46114</v>
      </c>
      <c r="E59" s="32">
        <v>1591442</v>
      </c>
      <c r="F59" s="32" t="s">
        <v>36</v>
      </c>
      <c r="G59" s="67">
        <v>20314694</v>
      </c>
      <c r="H59" s="32" t="s">
        <v>209</v>
      </c>
      <c r="I59" s="67">
        <v>1</v>
      </c>
      <c r="J59" s="68">
        <v>140</v>
      </c>
      <c r="K59" s="68">
        <v>140</v>
      </c>
      <c r="L59">
        <f t="shared" si="0"/>
        <v>200</v>
      </c>
    </row>
    <row r="60" spans="4:12">
      <c r="D60" s="66">
        <v>46114</v>
      </c>
      <c r="E60" s="32">
        <v>1591442</v>
      </c>
      <c r="F60" s="32" t="s">
        <v>36</v>
      </c>
      <c r="G60" s="67">
        <v>20353489</v>
      </c>
      <c r="H60" s="32" t="s">
        <v>210</v>
      </c>
      <c r="I60" s="67">
        <v>1</v>
      </c>
      <c r="J60" s="68">
        <v>111.65</v>
      </c>
      <c r="K60" s="68">
        <v>111.65</v>
      </c>
      <c r="L60">
        <f t="shared" si="0"/>
        <v>159.5</v>
      </c>
    </row>
    <row r="61" spans="4:12">
      <c r="D61" s="66">
        <v>46114</v>
      </c>
      <c r="E61" s="32">
        <v>1591442</v>
      </c>
      <c r="F61" s="32" t="s">
        <v>13</v>
      </c>
      <c r="G61" s="67">
        <v>20012489</v>
      </c>
      <c r="H61" s="32" t="s">
        <v>75</v>
      </c>
      <c r="I61" s="67">
        <v>1</v>
      </c>
      <c r="J61" s="68">
        <v>5.6</v>
      </c>
      <c r="K61" s="68">
        <v>5.6</v>
      </c>
      <c r="L61">
        <f t="shared" si="0"/>
        <v>8</v>
      </c>
    </row>
    <row r="62" spans="4:12">
      <c r="D62" s="66">
        <v>46114</v>
      </c>
      <c r="E62" s="32">
        <v>1591442</v>
      </c>
      <c r="F62" s="32" t="s">
        <v>13</v>
      </c>
      <c r="G62" s="67">
        <v>20012311</v>
      </c>
      <c r="H62" s="32" t="s">
        <v>211</v>
      </c>
      <c r="I62" s="67">
        <v>1</v>
      </c>
      <c r="J62" s="68">
        <v>7.7</v>
      </c>
      <c r="K62" s="68">
        <v>7.7</v>
      </c>
      <c r="L62">
        <f t="shared" si="0"/>
        <v>11</v>
      </c>
    </row>
    <row r="63" spans="4:12">
      <c r="D63" s="66">
        <v>46114</v>
      </c>
      <c r="E63" s="32">
        <v>1591442</v>
      </c>
      <c r="F63" s="32" t="s">
        <v>13</v>
      </c>
      <c r="G63" s="67">
        <v>20006845</v>
      </c>
      <c r="H63" s="32" t="s">
        <v>103</v>
      </c>
      <c r="I63" s="67">
        <v>1</v>
      </c>
      <c r="J63" s="68">
        <v>11.55</v>
      </c>
      <c r="K63" s="68">
        <v>11.55</v>
      </c>
      <c r="L63">
        <f t="shared" si="0"/>
        <v>16.5</v>
      </c>
    </row>
    <row r="64" spans="4:12">
      <c r="D64" s="66">
        <v>46114</v>
      </c>
      <c r="E64" s="32">
        <v>1591442</v>
      </c>
      <c r="F64" s="32" t="s">
        <v>13</v>
      </c>
      <c r="G64" s="67">
        <v>20008280</v>
      </c>
      <c r="H64" s="32" t="s">
        <v>212</v>
      </c>
      <c r="I64" s="67">
        <v>1</v>
      </c>
      <c r="J64" s="68">
        <v>11.55</v>
      </c>
      <c r="K64" s="68">
        <v>11.55</v>
      </c>
      <c r="L64">
        <f t="shared" si="0"/>
        <v>16.5</v>
      </c>
    </row>
    <row r="65" spans="4:12">
      <c r="D65" s="66">
        <v>46114</v>
      </c>
      <c r="E65" s="32">
        <v>1591442</v>
      </c>
      <c r="F65" s="32" t="s">
        <v>25</v>
      </c>
      <c r="G65" s="67">
        <v>20008214</v>
      </c>
      <c r="H65" s="32" t="s">
        <v>99</v>
      </c>
      <c r="I65" s="67">
        <v>3</v>
      </c>
      <c r="J65" s="68">
        <v>11.55</v>
      </c>
      <c r="K65" s="68">
        <v>34.65</v>
      </c>
      <c r="L65">
        <f t="shared" si="0"/>
        <v>16.5</v>
      </c>
    </row>
    <row r="66" spans="4:12">
      <c r="D66" s="66">
        <v>46114</v>
      </c>
      <c r="E66" s="32">
        <v>1591442</v>
      </c>
      <c r="F66" s="32" t="s">
        <v>25</v>
      </c>
      <c r="G66" s="67">
        <v>20007644</v>
      </c>
      <c r="H66" s="32" t="s">
        <v>213</v>
      </c>
      <c r="I66" s="67">
        <v>1</v>
      </c>
      <c r="J66" s="68">
        <v>11.55</v>
      </c>
      <c r="K66" s="68">
        <v>11.55</v>
      </c>
      <c r="L66">
        <f t="shared" si="0"/>
        <v>16.5</v>
      </c>
    </row>
    <row r="67" spans="4:12">
      <c r="D67" s="66">
        <v>46114</v>
      </c>
      <c r="E67" s="32">
        <v>1591442</v>
      </c>
      <c r="F67" s="32" t="s">
        <v>25</v>
      </c>
      <c r="G67" s="67">
        <v>20014802</v>
      </c>
      <c r="H67" s="32" t="s">
        <v>214</v>
      </c>
      <c r="I67" s="67">
        <v>1</v>
      </c>
      <c r="J67" s="68">
        <v>11.55</v>
      </c>
      <c r="K67" s="68">
        <v>11.55</v>
      </c>
      <c r="L67">
        <f t="shared" si="0"/>
        <v>16.5</v>
      </c>
    </row>
    <row r="68" spans="4:12">
      <c r="D68" s="66">
        <v>46114</v>
      </c>
      <c r="E68" s="32">
        <v>1591442</v>
      </c>
      <c r="F68" s="32" t="s">
        <v>25</v>
      </c>
      <c r="G68" s="67">
        <v>20008345</v>
      </c>
      <c r="H68" s="32" t="s">
        <v>131</v>
      </c>
      <c r="I68" s="67">
        <v>2</v>
      </c>
      <c r="J68" s="68">
        <v>19.25</v>
      </c>
      <c r="K68" s="68">
        <v>38.5</v>
      </c>
      <c r="L68">
        <f t="shared" si="0"/>
        <v>27.5</v>
      </c>
    </row>
    <row r="69" spans="4:12">
      <c r="D69" s="66">
        <v>46114</v>
      </c>
      <c r="E69" s="32">
        <v>1591442</v>
      </c>
      <c r="F69" s="32" t="s">
        <v>25</v>
      </c>
      <c r="G69" s="67">
        <v>20013916</v>
      </c>
      <c r="H69" s="32" t="s">
        <v>182</v>
      </c>
      <c r="I69" s="67">
        <v>1</v>
      </c>
      <c r="J69" s="68">
        <v>11.55</v>
      </c>
      <c r="K69" s="68">
        <v>11.55</v>
      </c>
      <c r="L69">
        <f t="shared" si="0"/>
        <v>16.5</v>
      </c>
    </row>
    <row r="70" spans="4:12">
      <c r="D70" s="66">
        <v>46115</v>
      </c>
      <c r="E70" s="32">
        <v>1591708</v>
      </c>
      <c r="F70" s="32" t="s">
        <v>36</v>
      </c>
      <c r="G70" s="67">
        <v>20006867</v>
      </c>
      <c r="H70" s="32" t="s">
        <v>215</v>
      </c>
      <c r="I70" s="67">
        <v>1</v>
      </c>
      <c r="J70" s="68">
        <v>246.4</v>
      </c>
      <c r="K70" s="68">
        <v>246.4</v>
      </c>
      <c r="L70">
        <f t="shared" si="0"/>
        <v>352</v>
      </c>
    </row>
    <row r="71" spans="4:12">
      <c r="D71" s="66">
        <v>46115</v>
      </c>
      <c r="E71" s="32">
        <v>1591708</v>
      </c>
      <c r="F71" s="32" t="s">
        <v>36</v>
      </c>
      <c r="G71" s="67">
        <v>20008128</v>
      </c>
      <c r="H71" s="32" t="s">
        <v>174</v>
      </c>
      <c r="I71" s="67">
        <v>1</v>
      </c>
      <c r="J71" s="68">
        <v>130.9</v>
      </c>
      <c r="K71" s="68">
        <v>130.9</v>
      </c>
      <c r="L71">
        <f t="shared" si="0"/>
        <v>187</v>
      </c>
    </row>
    <row r="72" spans="4:12">
      <c r="D72" s="66">
        <v>46115</v>
      </c>
      <c r="E72" s="32">
        <v>1591708</v>
      </c>
      <c r="F72" s="32" t="s">
        <v>36</v>
      </c>
      <c r="G72" s="67">
        <v>20325851</v>
      </c>
      <c r="H72" s="32" t="s">
        <v>175</v>
      </c>
      <c r="I72" s="67">
        <v>1</v>
      </c>
      <c r="J72" s="68">
        <v>150.15</v>
      </c>
      <c r="K72" s="68">
        <v>150.15</v>
      </c>
      <c r="L72">
        <f t="shared" si="0"/>
        <v>214.5</v>
      </c>
    </row>
    <row r="73" spans="4:12">
      <c r="D73" s="66">
        <v>46115</v>
      </c>
      <c r="E73" s="32">
        <v>1591708</v>
      </c>
      <c r="F73" s="32" t="s">
        <v>36</v>
      </c>
      <c r="G73" s="67">
        <v>20311037</v>
      </c>
      <c r="H73" s="32" t="s">
        <v>194</v>
      </c>
      <c r="I73" s="67">
        <v>2</v>
      </c>
      <c r="J73" s="68">
        <v>53.55</v>
      </c>
      <c r="K73" s="68">
        <v>107.1</v>
      </c>
      <c r="L73">
        <f t="shared" si="0"/>
        <v>76.5</v>
      </c>
    </row>
    <row r="74" spans="4:12">
      <c r="D74" s="66">
        <v>46115</v>
      </c>
      <c r="E74" s="32">
        <v>1591708</v>
      </c>
      <c r="F74" s="32" t="s">
        <v>13</v>
      </c>
      <c r="G74" s="67">
        <v>20350863</v>
      </c>
      <c r="H74" s="32" t="s">
        <v>216</v>
      </c>
      <c r="I74" s="67">
        <v>4</v>
      </c>
      <c r="J74" s="68">
        <v>7.35</v>
      </c>
      <c r="K74" s="68">
        <v>29.4</v>
      </c>
      <c r="L74">
        <f t="shared" ref="L74:L137" si="1">J74/0.7</f>
        <v>10.5</v>
      </c>
    </row>
    <row r="75" spans="4:12">
      <c r="D75" s="66">
        <v>46115</v>
      </c>
      <c r="E75" s="32">
        <v>1591708</v>
      </c>
      <c r="F75" s="32" t="s">
        <v>13</v>
      </c>
      <c r="G75" s="67">
        <v>20008180</v>
      </c>
      <c r="H75" s="32" t="s">
        <v>217</v>
      </c>
      <c r="I75" s="67">
        <v>2</v>
      </c>
      <c r="J75" s="68">
        <v>5.6</v>
      </c>
      <c r="K75" s="68">
        <v>11.2</v>
      </c>
      <c r="L75">
        <f t="shared" si="1"/>
        <v>8</v>
      </c>
    </row>
    <row r="76" spans="4:12">
      <c r="D76" s="66">
        <v>46115</v>
      </c>
      <c r="E76" s="32">
        <v>1591708</v>
      </c>
      <c r="F76" s="32" t="s">
        <v>13</v>
      </c>
      <c r="G76" s="67">
        <v>20398427</v>
      </c>
      <c r="H76" s="32" t="s">
        <v>218</v>
      </c>
      <c r="I76" s="67">
        <v>5</v>
      </c>
      <c r="J76" s="68">
        <v>7.35</v>
      </c>
      <c r="K76" s="68">
        <v>36.75</v>
      </c>
      <c r="L76">
        <f t="shared" si="1"/>
        <v>10.5</v>
      </c>
    </row>
    <row r="77" spans="4:12">
      <c r="D77" s="66">
        <v>46115</v>
      </c>
      <c r="E77" s="32">
        <v>1591708</v>
      </c>
      <c r="F77" s="32" t="s">
        <v>13</v>
      </c>
      <c r="G77" s="67">
        <v>20382364</v>
      </c>
      <c r="H77" s="32" t="s">
        <v>219</v>
      </c>
      <c r="I77" s="67">
        <v>9</v>
      </c>
      <c r="J77" s="68">
        <v>7.35</v>
      </c>
      <c r="K77" s="68">
        <v>66.15</v>
      </c>
      <c r="L77">
        <f t="shared" si="1"/>
        <v>10.5</v>
      </c>
    </row>
    <row r="78" spans="4:12">
      <c r="D78" s="66">
        <v>46115</v>
      </c>
      <c r="E78" s="32">
        <v>1591708</v>
      </c>
      <c r="F78" s="32" t="s">
        <v>13</v>
      </c>
      <c r="G78" s="67">
        <v>20011204</v>
      </c>
      <c r="H78" s="32" t="s">
        <v>74</v>
      </c>
      <c r="I78" s="67">
        <v>1</v>
      </c>
      <c r="J78" s="68">
        <v>5.6</v>
      </c>
      <c r="K78" s="68">
        <v>5.6</v>
      </c>
      <c r="L78">
        <f t="shared" si="1"/>
        <v>8</v>
      </c>
    </row>
    <row r="79" spans="4:12">
      <c r="D79" s="66">
        <v>46115</v>
      </c>
      <c r="E79" s="32">
        <v>1591708</v>
      </c>
      <c r="F79" s="32" t="s">
        <v>13</v>
      </c>
      <c r="G79" s="67">
        <v>20012489</v>
      </c>
      <c r="H79" s="32" t="s">
        <v>75</v>
      </c>
      <c r="I79" s="67">
        <v>1</v>
      </c>
      <c r="J79" s="68">
        <v>5.6</v>
      </c>
      <c r="K79" s="68">
        <v>5.6</v>
      </c>
      <c r="L79">
        <f t="shared" si="1"/>
        <v>8</v>
      </c>
    </row>
    <row r="80" spans="4:12">
      <c r="D80" s="66">
        <v>46115</v>
      </c>
      <c r="E80" s="32">
        <v>1591708</v>
      </c>
      <c r="F80" s="32" t="s">
        <v>13</v>
      </c>
      <c r="G80" s="67">
        <v>20316841</v>
      </c>
      <c r="H80" s="32" t="s">
        <v>220</v>
      </c>
      <c r="I80" s="67">
        <v>3</v>
      </c>
      <c r="J80" s="68">
        <v>7.35</v>
      </c>
      <c r="K80" s="68">
        <v>22.05</v>
      </c>
      <c r="L80">
        <f t="shared" si="1"/>
        <v>10.5</v>
      </c>
    </row>
    <row r="81" spans="4:12">
      <c r="D81" s="66">
        <v>46115</v>
      </c>
      <c r="E81" s="32">
        <v>1591708</v>
      </c>
      <c r="F81" s="32" t="s">
        <v>13</v>
      </c>
      <c r="G81" s="67">
        <v>20342373</v>
      </c>
      <c r="H81" s="32" t="s">
        <v>221</v>
      </c>
      <c r="I81" s="67">
        <v>1</v>
      </c>
      <c r="J81" s="68">
        <v>7.7</v>
      </c>
      <c r="K81" s="68">
        <v>7.7</v>
      </c>
      <c r="L81">
        <f t="shared" si="1"/>
        <v>11</v>
      </c>
    </row>
    <row r="82" spans="4:12">
      <c r="D82" s="66">
        <v>46115</v>
      </c>
      <c r="E82" s="32">
        <v>1591708</v>
      </c>
      <c r="F82" s="32" t="s">
        <v>13</v>
      </c>
      <c r="G82" s="67">
        <v>20310457</v>
      </c>
      <c r="H82" s="32" t="s">
        <v>222</v>
      </c>
      <c r="I82" s="67">
        <v>2</v>
      </c>
      <c r="J82" s="68">
        <v>7.35</v>
      </c>
      <c r="K82" s="68">
        <v>14.7</v>
      </c>
      <c r="L82">
        <f t="shared" si="1"/>
        <v>10.5</v>
      </c>
    </row>
    <row r="83" spans="4:12">
      <c r="D83" s="66">
        <v>46115</v>
      </c>
      <c r="E83" s="32">
        <v>1591708</v>
      </c>
      <c r="F83" s="32" t="s">
        <v>13</v>
      </c>
      <c r="G83" s="67">
        <v>20385525</v>
      </c>
      <c r="H83" s="32" t="s">
        <v>223</v>
      </c>
      <c r="I83" s="67">
        <v>6</v>
      </c>
      <c r="J83" s="68">
        <v>5.6</v>
      </c>
      <c r="K83" s="68">
        <v>33.6</v>
      </c>
      <c r="L83">
        <f t="shared" si="1"/>
        <v>8</v>
      </c>
    </row>
    <row r="84" spans="4:12">
      <c r="D84" s="66">
        <v>46115</v>
      </c>
      <c r="E84" s="32">
        <v>1591708</v>
      </c>
      <c r="F84" s="32" t="s">
        <v>13</v>
      </c>
      <c r="G84" s="67">
        <v>20321383</v>
      </c>
      <c r="H84" s="32" t="s">
        <v>41</v>
      </c>
      <c r="I84" s="67">
        <v>1</v>
      </c>
      <c r="J84" s="68">
        <v>5.6</v>
      </c>
      <c r="K84" s="68">
        <v>5.6</v>
      </c>
      <c r="L84">
        <f t="shared" si="1"/>
        <v>8</v>
      </c>
    </row>
    <row r="85" spans="4:12">
      <c r="D85" s="66">
        <v>46115</v>
      </c>
      <c r="E85" s="32">
        <v>1591708</v>
      </c>
      <c r="F85" s="32" t="s">
        <v>13</v>
      </c>
      <c r="G85" s="67">
        <v>20315371</v>
      </c>
      <c r="H85" s="32" t="s">
        <v>224</v>
      </c>
      <c r="I85" s="67">
        <v>2</v>
      </c>
      <c r="J85" s="68">
        <v>5.6</v>
      </c>
      <c r="K85" s="68">
        <v>11.2</v>
      </c>
      <c r="L85">
        <f t="shared" si="1"/>
        <v>8</v>
      </c>
    </row>
    <row r="86" spans="4:12">
      <c r="D86" s="66">
        <v>46115</v>
      </c>
      <c r="E86" s="32">
        <v>1591708</v>
      </c>
      <c r="F86" s="32" t="s">
        <v>13</v>
      </c>
      <c r="G86" s="67">
        <v>20348324</v>
      </c>
      <c r="H86" s="32" t="s">
        <v>225</v>
      </c>
      <c r="I86" s="67">
        <v>5</v>
      </c>
      <c r="J86" s="68">
        <v>7.35</v>
      </c>
      <c r="K86" s="68">
        <v>36.75</v>
      </c>
      <c r="L86">
        <f t="shared" si="1"/>
        <v>10.5</v>
      </c>
    </row>
    <row r="87" spans="4:12">
      <c r="D87" s="66">
        <v>46115</v>
      </c>
      <c r="E87" s="32">
        <v>1591708</v>
      </c>
      <c r="F87" s="32" t="s">
        <v>13</v>
      </c>
      <c r="G87" s="67">
        <v>20008491</v>
      </c>
      <c r="H87" s="32" t="s">
        <v>104</v>
      </c>
      <c r="I87" s="67">
        <v>2</v>
      </c>
      <c r="J87" s="68">
        <v>11.55</v>
      </c>
      <c r="K87" s="68">
        <v>23.1</v>
      </c>
      <c r="L87">
        <f t="shared" si="1"/>
        <v>16.5</v>
      </c>
    </row>
    <row r="88" spans="4:12">
      <c r="D88" s="66">
        <v>46115</v>
      </c>
      <c r="E88" s="32">
        <v>1591708</v>
      </c>
      <c r="F88" s="32" t="s">
        <v>13</v>
      </c>
      <c r="G88" s="67">
        <v>20008204</v>
      </c>
      <c r="H88" s="32" t="s">
        <v>116</v>
      </c>
      <c r="I88" s="67">
        <v>1</v>
      </c>
      <c r="J88" s="68">
        <v>9.45</v>
      </c>
      <c r="K88" s="68">
        <v>9.45</v>
      </c>
      <c r="L88">
        <f t="shared" si="1"/>
        <v>13.5</v>
      </c>
    </row>
    <row r="89" spans="4:12">
      <c r="D89" s="66">
        <v>46115</v>
      </c>
      <c r="E89" s="32">
        <v>1591708</v>
      </c>
      <c r="F89" s="32" t="s">
        <v>13</v>
      </c>
      <c r="G89" s="67">
        <v>20011138</v>
      </c>
      <c r="H89" s="32" t="s">
        <v>199</v>
      </c>
      <c r="I89" s="67">
        <v>1</v>
      </c>
      <c r="J89" s="68">
        <v>11.55</v>
      </c>
      <c r="K89" s="68">
        <v>11.55</v>
      </c>
      <c r="L89">
        <f t="shared" si="1"/>
        <v>16.5</v>
      </c>
    </row>
    <row r="90" spans="4:12">
      <c r="D90" s="66">
        <v>46115</v>
      </c>
      <c r="E90" s="32">
        <v>1591708</v>
      </c>
      <c r="F90" s="32" t="s">
        <v>13</v>
      </c>
      <c r="G90" s="67">
        <v>20320716</v>
      </c>
      <c r="H90" s="32" t="s">
        <v>226</v>
      </c>
      <c r="I90" s="67">
        <v>1</v>
      </c>
      <c r="J90" s="68">
        <v>11.55</v>
      </c>
      <c r="K90" s="68">
        <v>11.55</v>
      </c>
      <c r="L90">
        <f t="shared" si="1"/>
        <v>16.5</v>
      </c>
    </row>
    <row r="91" spans="4:12">
      <c r="D91" s="66">
        <v>46115</v>
      </c>
      <c r="E91" s="32">
        <v>1591708</v>
      </c>
      <c r="F91" s="32" t="s">
        <v>13</v>
      </c>
      <c r="G91" s="67">
        <v>20009280</v>
      </c>
      <c r="H91" s="32" t="s">
        <v>227</v>
      </c>
      <c r="I91" s="67">
        <v>1</v>
      </c>
      <c r="J91" s="68">
        <v>5.6</v>
      </c>
      <c r="K91" s="68">
        <v>5.6</v>
      </c>
      <c r="L91">
        <f t="shared" si="1"/>
        <v>8</v>
      </c>
    </row>
    <row r="92" spans="4:12">
      <c r="D92" s="66">
        <v>46115</v>
      </c>
      <c r="E92" s="32">
        <v>1591708</v>
      </c>
      <c r="F92" s="32" t="s">
        <v>13</v>
      </c>
      <c r="G92" s="67">
        <v>20008747</v>
      </c>
      <c r="H92" s="32" t="s">
        <v>228</v>
      </c>
      <c r="I92" s="67">
        <v>10</v>
      </c>
      <c r="J92" s="68">
        <v>5.6</v>
      </c>
      <c r="K92" s="68">
        <v>56</v>
      </c>
      <c r="L92">
        <f t="shared" si="1"/>
        <v>8</v>
      </c>
    </row>
    <row r="93" spans="4:12">
      <c r="D93" s="66">
        <v>46115</v>
      </c>
      <c r="E93" s="32">
        <v>1591708</v>
      </c>
      <c r="F93" s="32" t="s">
        <v>180</v>
      </c>
      <c r="G93" s="67">
        <v>20362791</v>
      </c>
      <c r="H93" s="32" t="s">
        <v>181</v>
      </c>
      <c r="I93" s="67">
        <v>1</v>
      </c>
      <c r="J93" s="68">
        <v>24.5</v>
      </c>
      <c r="K93" s="68">
        <v>24.5</v>
      </c>
      <c r="L93">
        <f t="shared" si="1"/>
        <v>35</v>
      </c>
    </row>
    <row r="94" spans="4:12">
      <c r="D94" s="66">
        <v>46115</v>
      </c>
      <c r="E94" s="32">
        <v>1591708</v>
      </c>
      <c r="F94" s="32" t="s">
        <v>25</v>
      </c>
      <c r="G94" s="67">
        <v>20008214</v>
      </c>
      <c r="H94" s="32" t="s">
        <v>99</v>
      </c>
      <c r="I94" s="67">
        <v>3</v>
      </c>
      <c r="J94" s="68">
        <v>11.55</v>
      </c>
      <c r="K94" s="68">
        <v>34.65</v>
      </c>
      <c r="L94">
        <f t="shared" si="1"/>
        <v>16.5</v>
      </c>
    </row>
    <row r="95" spans="4:12">
      <c r="D95" s="66">
        <v>46115</v>
      </c>
      <c r="E95" s="32">
        <v>1591708</v>
      </c>
      <c r="F95" s="32" t="s">
        <v>25</v>
      </c>
      <c r="G95" s="67">
        <v>20014802</v>
      </c>
      <c r="H95" s="32" t="s">
        <v>214</v>
      </c>
      <c r="I95" s="67">
        <v>1</v>
      </c>
      <c r="J95" s="68">
        <v>11.55</v>
      </c>
      <c r="K95" s="68">
        <v>11.55</v>
      </c>
      <c r="L95">
        <f t="shared" si="1"/>
        <v>16.5</v>
      </c>
    </row>
    <row r="96" spans="4:12">
      <c r="D96" s="66">
        <v>46115</v>
      </c>
      <c r="E96" s="32">
        <v>1591708</v>
      </c>
      <c r="F96" s="32" t="s">
        <v>25</v>
      </c>
      <c r="G96" s="67">
        <v>20014636</v>
      </c>
      <c r="H96" s="32" t="s">
        <v>229</v>
      </c>
      <c r="I96" s="67">
        <v>1</v>
      </c>
      <c r="J96" s="68">
        <v>11.55</v>
      </c>
      <c r="K96" s="68">
        <v>11.55</v>
      </c>
      <c r="L96">
        <f t="shared" si="1"/>
        <v>16.5</v>
      </c>
    </row>
    <row r="97" spans="4:12">
      <c r="D97" s="66">
        <v>46115</v>
      </c>
      <c r="E97" s="32">
        <v>1591708</v>
      </c>
      <c r="F97" s="32" t="s">
        <v>25</v>
      </c>
      <c r="G97" s="67">
        <v>20008345</v>
      </c>
      <c r="H97" s="32" t="s">
        <v>131</v>
      </c>
      <c r="I97" s="67">
        <v>1</v>
      </c>
      <c r="J97" s="68">
        <v>19.25</v>
      </c>
      <c r="K97" s="68">
        <v>19.25</v>
      </c>
      <c r="L97">
        <f t="shared" si="1"/>
        <v>27.5</v>
      </c>
    </row>
    <row r="98" spans="4:12">
      <c r="D98" s="66">
        <v>46115</v>
      </c>
      <c r="E98" s="32">
        <v>1591708</v>
      </c>
      <c r="F98" s="32" t="s">
        <v>25</v>
      </c>
      <c r="G98" s="67">
        <v>20320715</v>
      </c>
      <c r="H98" s="32" t="s">
        <v>230</v>
      </c>
      <c r="I98" s="67">
        <v>1</v>
      </c>
      <c r="J98" s="68">
        <v>11.55</v>
      </c>
      <c r="K98" s="68">
        <v>11.55</v>
      </c>
      <c r="L98">
        <f t="shared" si="1"/>
        <v>16.5</v>
      </c>
    </row>
    <row r="99" spans="4:12">
      <c r="D99" s="66">
        <v>46115</v>
      </c>
      <c r="E99" s="32">
        <v>1591708</v>
      </c>
      <c r="F99" s="32" t="s">
        <v>25</v>
      </c>
      <c r="G99" s="67">
        <v>20013617</v>
      </c>
      <c r="H99" s="32" t="s">
        <v>231</v>
      </c>
      <c r="I99" s="67">
        <v>1</v>
      </c>
      <c r="J99" s="68">
        <v>11.55</v>
      </c>
      <c r="K99" s="68">
        <v>11.55</v>
      </c>
      <c r="L99">
        <f t="shared" si="1"/>
        <v>16.5</v>
      </c>
    </row>
    <row r="100" spans="4:12">
      <c r="D100" s="66">
        <v>46115</v>
      </c>
      <c r="E100" s="32">
        <v>1591708</v>
      </c>
      <c r="F100" s="32" t="s">
        <v>18</v>
      </c>
      <c r="G100" s="67">
        <v>20008294</v>
      </c>
      <c r="H100" s="32" t="s">
        <v>232</v>
      </c>
      <c r="I100" s="67">
        <v>10</v>
      </c>
      <c r="J100" s="68">
        <v>1.75</v>
      </c>
      <c r="K100" s="68">
        <v>17.5</v>
      </c>
      <c r="L100">
        <f t="shared" si="1"/>
        <v>2.5</v>
      </c>
    </row>
    <row r="101" spans="4:12">
      <c r="D101" s="66">
        <v>46115</v>
      </c>
      <c r="E101" s="32">
        <v>1591708</v>
      </c>
      <c r="F101" s="32" t="s">
        <v>18</v>
      </c>
      <c r="G101" s="67">
        <v>20419979</v>
      </c>
      <c r="H101" s="32" t="s">
        <v>233</v>
      </c>
      <c r="I101" s="67">
        <v>4</v>
      </c>
      <c r="J101" s="68">
        <v>1.75</v>
      </c>
      <c r="K101" s="68">
        <v>7</v>
      </c>
      <c r="L101">
        <f t="shared" si="1"/>
        <v>2.5</v>
      </c>
    </row>
    <row r="102" spans="4:12">
      <c r="D102" s="66">
        <v>46115</v>
      </c>
      <c r="E102" s="32">
        <v>1591731</v>
      </c>
      <c r="F102" s="32" t="s">
        <v>27</v>
      </c>
      <c r="G102" s="67">
        <v>20011964</v>
      </c>
      <c r="H102" s="32" t="s">
        <v>234</v>
      </c>
      <c r="I102" s="67">
        <v>1</v>
      </c>
      <c r="J102" s="68">
        <v>46.2</v>
      </c>
      <c r="K102" s="68">
        <v>46.2</v>
      </c>
      <c r="L102">
        <f t="shared" si="1"/>
        <v>66</v>
      </c>
    </row>
    <row r="103" spans="4:12">
      <c r="D103" s="66">
        <v>46115</v>
      </c>
      <c r="E103" s="32">
        <v>1591731</v>
      </c>
      <c r="F103" s="32" t="s">
        <v>27</v>
      </c>
      <c r="G103" s="67">
        <v>20013300</v>
      </c>
      <c r="H103" s="32" t="s">
        <v>235</v>
      </c>
      <c r="I103" s="67">
        <v>1</v>
      </c>
      <c r="J103" s="68">
        <v>24.5</v>
      </c>
      <c r="K103" s="68">
        <v>24.5</v>
      </c>
      <c r="L103">
        <f t="shared" si="1"/>
        <v>35</v>
      </c>
    </row>
    <row r="104" spans="4:12">
      <c r="D104" s="66">
        <v>46115</v>
      </c>
      <c r="E104" s="32">
        <v>1591731</v>
      </c>
      <c r="F104" s="32" t="s">
        <v>27</v>
      </c>
      <c r="G104" s="67">
        <v>20008885</v>
      </c>
      <c r="H104" s="32" t="s">
        <v>184</v>
      </c>
      <c r="I104" s="67">
        <v>1</v>
      </c>
      <c r="J104" s="68">
        <v>24.5</v>
      </c>
      <c r="K104" s="68">
        <v>24.5</v>
      </c>
      <c r="L104">
        <f t="shared" si="1"/>
        <v>35</v>
      </c>
    </row>
    <row r="105" spans="4:12">
      <c r="D105" s="66">
        <v>46115</v>
      </c>
      <c r="E105" s="32">
        <v>1591731</v>
      </c>
      <c r="F105" s="32" t="s">
        <v>27</v>
      </c>
      <c r="G105" s="67">
        <v>20388302</v>
      </c>
      <c r="H105" s="32" t="s">
        <v>202</v>
      </c>
      <c r="I105" s="67">
        <v>1</v>
      </c>
      <c r="J105" s="68">
        <v>24.5</v>
      </c>
      <c r="K105" s="68">
        <v>24.5</v>
      </c>
      <c r="L105">
        <f t="shared" si="1"/>
        <v>35</v>
      </c>
    </row>
    <row r="106" spans="4:12">
      <c r="D106" s="66">
        <v>46115</v>
      </c>
      <c r="E106" s="32">
        <v>1591731</v>
      </c>
      <c r="F106" s="32" t="s">
        <v>27</v>
      </c>
      <c r="G106" s="67">
        <v>20393806</v>
      </c>
      <c r="H106" s="32" t="s">
        <v>236</v>
      </c>
      <c r="I106" s="67">
        <v>2</v>
      </c>
      <c r="J106" s="68">
        <v>19.6</v>
      </c>
      <c r="K106" s="68">
        <v>39.2</v>
      </c>
      <c r="L106">
        <f t="shared" si="1"/>
        <v>28</v>
      </c>
    </row>
    <row r="107" spans="4:12">
      <c r="D107" s="66">
        <v>46115</v>
      </c>
      <c r="E107" s="32">
        <v>1591731</v>
      </c>
      <c r="F107" s="32" t="s">
        <v>27</v>
      </c>
      <c r="G107" s="67">
        <v>20012362</v>
      </c>
      <c r="H107" s="32" t="s">
        <v>237</v>
      </c>
      <c r="I107" s="67">
        <v>1</v>
      </c>
      <c r="J107" s="68">
        <v>30.8</v>
      </c>
      <c r="K107" s="68">
        <v>30.8</v>
      </c>
      <c r="L107">
        <f t="shared" si="1"/>
        <v>44</v>
      </c>
    </row>
    <row r="108" spans="4:12">
      <c r="D108" s="66">
        <v>46115</v>
      </c>
      <c r="E108" s="32">
        <v>1591731</v>
      </c>
      <c r="F108" s="32" t="s">
        <v>27</v>
      </c>
      <c r="G108" s="67">
        <v>20006864</v>
      </c>
      <c r="H108" s="32" t="s">
        <v>238</v>
      </c>
      <c r="I108" s="67">
        <v>1</v>
      </c>
      <c r="J108" s="68">
        <v>19.6</v>
      </c>
      <c r="K108" s="68">
        <v>19.6</v>
      </c>
      <c r="L108">
        <f t="shared" si="1"/>
        <v>28</v>
      </c>
    </row>
    <row r="109" spans="4:12">
      <c r="D109" s="66">
        <v>46115</v>
      </c>
      <c r="E109" s="32">
        <v>1591731</v>
      </c>
      <c r="F109" s="32" t="s">
        <v>27</v>
      </c>
      <c r="G109" s="67">
        <v>20354034</v>
      </c>
      <c r="H109" s="32" t="s">
        <v>239</v>
      </c>
      <c r="I109" s="67">
        <v>1</v>
      </c>
      <c r="J109" s="68">
        <v>17.5</v>
      </c>
      <c r="K109" s="68">
        <v>17.5</v>
      </c>
      <c r="L109">
        <f t="shared" si="1"/>
        <v>25</v>
      </c>
    </row>
    <row r="110" spans="4:12">
      <c r="D110" s="66">
        <v>46115</v>
      </c>
      <c r="E110" s="32">
        <v>1591731</v>
      </c>
      <c r="F110" s="32" t="s">
        <v>27</v>
      </c>
      <c r="G110" s="67">
        <v>20008389</v>
      </c>
      <c r="H110" s="32" t="s">
        <v>203</v>
      </c>
      <c r="I110" s="67">
        <v>1</v>
      </c>
      <c r="J110" s="68">
        <v>17.5</v>
      </c>
      <c r="K110" s="68">
        <v>17.5</v>
      </c>
      <c r="L110">
        <f t="shared" si="1"/>
        <v>25</v>
      </c>
    </row>
    <row r="111" spans="4:12">
      <c r="D111" s="66">
        <v>46115</v>
      </c>
      <c r="E111" s="32">
        <v>1591731</v>
      </c>
      <c r="F111" s="32" t="s">
        <v>27</v>
      </c>
      <c r="G111" s="67">
        <v>20348167</v>
      </c>
      <c r="H111" s="32" t="s">
        <v>240</v>
      </c>
      <c r="I111" s="67">
        <v>1</v>
      </c>
      <c r="J111" s="68">
        <v>61.6</v>
      </c>
      <c r="K111" s="68">
        <v>61.6</v>
      </c>
      <c r="L111">
        <f t="shared" si="1"/>
        <v>88</v>
      </c>
    </row>
    <row r="112" spans="4:12">
      <c r="D112" s="66">
        <v>46115</v>
      </c>
      <c r="E112" s="32">
        <v>1591731</v>
      </c>
      <c r="F112" s="32" t="s">
        <v>27</v>
      </c>
      <c r="G112" s="67">
        <v>20006863</v>
      </c>
      <c r="H112" s="32" t="s">
        <v>204</v>
      </c>
      <c r="I112" s="67">
        <v>1</v>
      </c>
      <c r="J112" s="68">
        <v>24.5</v>
      </c>
      <c r="K112" s="68">
        <v>24.5</v>
      </c>
      <c r="L112">
        <f t="shared" si="1"/>
        <v>35</v>
      </c>
    </row>
    <row r="113" spans="4:12">
      <c r="D113" s="66">
        <v>46115</v>
      </c>
      <c r="E113" s="32">
        <v>1591731</v>
      </c>
      <c r="F113" s="32" t="s">
        <v>27</v>
      </c>
      <c r="G113" s="67">
        <v>20377562</v>
      </c>
      <c r="H113" s="32" t="s">
        <v>241</v>
      </c>
      <c r="I113" s="67">
        <v>1</v>
      </c>
      <c r="J113" s="68">
        <v>15.4</v>
      </c>
      <c r="K113" s="68">
        <v>15.4</v>
      </c>
      <c r="L113">
        <f t="shared" si="1"/>
        <v>22</v>
      </c>
    </row>
    <row r="114" spans="4:12">
      <c r="D114" s="66">
        <v>46115</v>
      </c>
      <c r="E114" s="32">
        <v>1591731</v>
      </c>
      <c r="F114" s="32" t="s">
        <v>27</v>
      </c>
      <c r="G114" s="67">
        <v>20361924</v>
      </c>
      <c r="H114" s="32" t="s">
        <v>242</v>
      </c>
      <c r="I114" s="67">
        <v>1</v>
      </c>
      <c r="J114" s="68">
        <v>61.6</v>
      </c>
      <c r="K114" s="68">
        <v>61.6</v>
      </c>
      <c r="L114">
        <f t="shared" si="1"/>
        <v>88</v>
      </c>
    </row>
    <row r="115" spans="4:12">
      <c r="D115" s="66">
        <v>46115</v>
      </c>
      <c r="E115" s="32">
        <v>1591731</v>
      </c>
      <c r="F115" s="32" t="s">
        <v>27</v>
      </c>
      <c r="G115" s="67">
        <v>20008383</v>
      </c>
      <c r="H115" s="32" t="s">
        <v>243</v>
      </c>
      <c r="I115" s="67">
        <v>1</v>
      </c>
      <c r="J115" s="68">
        <v>61.6</v>
      </c>
      <c r="K115" s="68">
        <v>61.6</v>
      </c>
      <c r="L115">
        <f t="shared" si="1"/>
        <v>88</v>
      </c>
    </row>
    <row r="116" spans="4:12">
      <c r="D116" s="66">
        <v>46115</v>
      </c>
      <c r="E116" s="32">
        <v>1591731</v>
      </c>
      <c r="F116" s="32" t="s">
        <v>27</v>
      </c>
      <c r="G116" s="67">
        <v>20347869</v>
      </c>
      <c r="H116" s="32" t="s">
        <v>244</v>
      </c>
      <c r="I116" s="67">
        <v>8</v>
      </c>
      <c r="J116" s="68">
        <v>15.4</v>
      </c>
      <c r="K116" s="68">
        <v>123.2</v>
      </c>
      <c r="L116">
        <f t="shared" si="1"/>
        <v>22</v>
      </c>
    </row>
    <row r="117" spans="4:12">
      <c r="D117" s="66">
        <v>46115</v>
      </c>
      <c r="E117" s="32">
        <v>1591731</v>
      </c>
      <c r="F117" s="32" t="s">
        <v>27</v>
      </c>
      <c r="G117" s="67">
        <v>20321486</v>
      </c>
      <c r="H117" s="32" t="s">
        <v>245</v>
      </c>
      <c r="I117" s="67">
        <v>1</v>
      </c>
      <c r="J117" s="68">
        <v>15.4</v>
      </c>
      <c r="K117" s="68">
        <v>15.4</v>
      </c>
      <c r="L117">
        <f t="shared" si="1"/>
        <v>22</v>
      </c>
    </row>
    <row r="118" spans="4:12">
      <c r="D118" s="66">
        <v>46115</v>
      </c>
      <c r="E118" s="32">
        <v>1591731</v>
      </c>
      <c r="F118" s="32" t="s">
        <v>69</v>
      </c>
      <c r="G118" s="67">
        <v>20008378</v>
      </c>
      <c r="H118" s="32" t="s">
        <v>246</v>
      </c>
      <c r="I118" s="67">
        <v>1</v>
      </c>
      <c r="J118" s="68">
        <v>19.6</v>
      </c>
      <c r="K118" s="68">
        <v>19.6</v>
      </c>
      <c r="L118">
        <f t="shared" si="1"/>
        <v>28</v>
      </c>
    </row>
    <row r="119" spans="4:12">
      <c r="D119" s="66">
        <v>46115</v>
      </c>
      <c r="E119" s="32">
        <v>1591731</v>
      </c>
      <c r="F119" s="32" t="s">
        <v>69</v>
      </c>
      <c r="G119" s="67">
        <v>20012368</v>
      </c>
      <c r="H119" s="32" t="s">
        <v>247</v>
      </c>
      <c r="I119" s="67">
        <v>1</v>
      </c>
      <c r="J119" s="68">
        <v>19.6</v>
      </c>
      <c r="K119" s="68">
        <v>19.6</v>
      </c>
      <c r="L119">
        <f t="shared" si="1"/>
        <v>28</v>
      </c>
    </row>
    <row r="120" spans="4:12">
      <c r="D120" s="66">
        <v>46115</v>
      </c>
      <c r="E120" s="32">
        <v>1591731</v>
      </c>
      <c r="F120" s="32" t="s">
        <v>69</v>
      </c>
      <c r="G120" s="67">
        <v>20013036</v>
      </c>
      <c r="H120" s="32" t="s">
        <v>206</v>
      </c>
      <c r="I120" s="67">
        <v>1</v>
      </c>
      <c r="J120" s="68">
        <v>30.8</v>
      </c>
      <c r="K120" s="68">
        <v>30.8</v>
      </c>
      <c r="L120">
        <f t="shared" si="1"/>
        <v>44</v>
      </c>
    </row>
    <row r="121" spans="4:12">
      <c r="D121" s="66">
        <v>46115</v>
      </c>
      <c r="E121" s="32">
        <v>1591827</v>
      </c>
      <c r="F121" s="32" t="s">
        <v>27</v>
      </c>
      <c r="G121" s="67">
        <v>20388302</v>
      </c>
      <c r="H121" s="32" t="s">
        <v>202</v>
      </c>
      <c r="I121" s="67">
        <v>1</v>
      </c>
      <c r="J121" s="68">
        <v>24.5</v>
      </c>
      <c r="K121" s="68">
        <v>24.5</v>
      </c>
      <c r="L121">
        <f t="shared" si="1"/>
        <v>35</v>
      </c>
    </row>
    <row r="122" spans="4:12">
      <c r="D122" s="66">
        <v>46115</v>
      </c>
      <c r="E122" s="32">
        <v>1591827</v>
      </c>
      <c r="F122" s="32" t="s">
        <v>27</v>
      </c>
      <c r="G122" s="67">
        <v>20012182</v>
      </c>
      <c r="H122" s="32" t="s">
        <v>248</v>
      </c>
      <c r="I122" s="67">
        <v>6</v>
      </c>
      <c r="J122" s="68">
        <v>19.6</v>
      </c>
      <c r="K122" s="68">
        <v>117.6</v>
      </c>
      <c r="L122">
        <f t="shared" si="1"/>
        <v>28</v>
      </c>
    </row>
    <row r="123" spans="4:12">
      <c r="D123" s="66">
        <v>46115</v>
      </c>
      <c r="E123" s="32">
        <v>1591836</v>
      </c>
      <c r="F123" s="32" t="s">
        <v>36</v>
      </c>
      <c r="G123" s="67">
        <v>20013593</v>
      </c>
      <c r="H123" s="32" t="s">
        <v>249</v>
      </c>
      <c r="I123" s="67">
        <v>1</v>
      </c>
      <c r="J123" s="68">
        <v>140</v>
      </c>
      <c r="K123" s="68">
        <v>140</v>
      </c>
      <c r="L123">
        <f t="shared" si="1"/>
        <v>200</v>
      </c>
    </row>
    <row r="124" spans="4:12">
      <c r="D124" s="66">
        <v>46115</v>
      </c>
      <c r="E124" s="32">
        <v>1591836</v>
      </c>
      <c r="F124" s="32" t="s">
        <v>36</v>
      </c>
      <c r="G124" s="67">
        <v>20006867</v>
      </c>
      <c r="H124" s="32" t="s">
        <v>215</v>
      </c>
      <c r="I124" s="67">
        <v>1</v>
      </c>
      <c r="J124" s="68">
        <v>246.4</v>
      </c>
      <c r="K124" s="68">
        <v>246.4</v>
      </c>
      <c r="L124">
        <f t="shared" si="1"/>
        <v>352</v>
      </c>
    </row>
    <row r="125" spans="4:12">
      <c r="D125" s="66">
        <v>46115</v>
      </c>
      <c r="E125" s="32">
        <v>1591836</v>
      </c>
      <c r="F125" s="32" t="s">
        <v>36</v>
      </c>
      <c r="G125" s="67">
        <v>20008128</v>
      </c>
      <c r="H125" s="32" t="s">
        <v>174</v>
      </c>
      <c r="I125" s="67">
        <v>3</v>
      </c>
      <c r="J125" s="68">
        <v>130.9</v>
      </c>
      <c r="K125" s="68">
        <v>392.7</v>
      </c>
      <c r="L125">
        <f t="shared" si="1"/>
        <v>187</v>
      </c>
    </row>
    <row r="126" spans="4:12">
      <c r="D126" s="66">
        <v>46115</v>
      </c>
      <c r="E126" s="32">
        <v>1591836</v>
      </c>
      <c r="F126" s="32" t="s">
        <v>13</v>
      </c>
      <c r="G126" s="67">
        <v>20012489</v>
      </c>
      <c r="H126" s="32" t="s">
        <v>75</v>
      </c>
      <c r="I126" s="67">
        <v>1</v>
      </c>
      <c r="J126" s="68">
        <v>5.6</v>
      </c>
      <c r="K126" s="68">
        <v>5.6</v>
      </c>
      <c r="L126">
        <f t="shared" si="1"/>
        <v>8</v>
      </c>
    </row>
    <row r="127" spans="4:12">
      <c r="D127" s="66">
        <v>46115</v>
      </c>
      <c r="E127" s="32">
        <v>1591836</v>
      </c>
      <c r="F127" s="32" t="s">
        <v>13</v>
      </c>
      <c r="G127" s="67">
        <v>20008196</v>
      </c>
      <c r="H127" s="32" t="s">
        <v>250</v>
      </c>
      <c r="I127" s="67">
        <v>1</v>
      </c>
      <c r="J127" s="68">
        <v>7.7</v>
      </c>
      <c r="K127" s="68">
        <v>7.7</v>
      </c>
      <c r="L127">
        <f t="shared" si="1"/>
        <v>11</v>
      </c>
    </row>
    <row r="128" spans="4:12">
      <c r="D128" s="66">
        <v>46115</v>
      </c>
      <c r="E128" s="32">
        <v>1591836</v>
      </c>
      <c r="F128" s="32" t="s">
        <v>13</v>
      </c>
      <c r="G128" s="67">
        <v>20008491</v>
      </c>
      <c r="H128" s="32" t="s">
        <v>104</v>
      </c>
      <c r="I128" s="67">
        <v>1</v>
      </c>
      <c r="J128" s="68">
        <v>11.55</v>
      </c>
      <c r="K128" s="68">
        <v>11.55</v>
      </c>
      <c r="L128">
        <f t="shared" si="1"/>
        <v>16.5</v>
      </c>
    </row>
    <row r="129" spans="4:12">
      <c r="D129" s="66">
        <v>46115</v>
      </c>
      <c r="E129" s="32">
        <v>1591836</v>
      </c>
      <c r="F129" s="32" t="s">
        <v>13</v>
      </c>
      <c r="G129" s="67">
        <v>20008204</v>
      </c>
      <c r="H129" s="32" t="s">
        <v>116</v>
      </c>
      <c r="I129" s="67">
        <v>1</v>
      </c>
      <c r="J129" s="68">
        <v>9.45</v>
      </c>
      <c r="K129" s="68">
        <v>9.45</v>
      </c>
      <c r="L129">
        <f t="shared" si="1"/>
        <v>13.5</v>
      </c>
    </row>
    <row r="130" spans="4:12">
      <c r="D130" s="66">
        <v>46115</v>
      </c>
      <c r="E130" s="32">
        <v>1591836</v>
      </c>
      <c r="F130" s="32" t="s">
        <v>13</v>
      </c>
      <c r="G130" s="67">
        <v>20011138</v>
      </c>
      <c r="H130" s="32" t="s">
        <v>199</v>
      </c>
      <c r="I130" s="67">
        <v>4</v>
      </c>
      <c r="J130" s="68">
        <v>11.55</v>
      </c>
      <c r="K130" s="68">
        <v>46.2</v>
      </c>
      <c r="L130">
        <f t="shared" si="1"/>
        <v>16.5</v>
      </c>
    </row>
    <row r="131" spans="4:12">
      <c r="D131" s="66">
        <v>46115</v>
      </c>
      <c r="E131" s="32">
        <v>1591836</v>
      </c>
      <c r="F131" s="32" t="s">
        <v>13</v>
      </c>
      <c r="G131" s="67">
        <v>20013461</v>
      </c>
      <c r="H131" s="32" t="s">
        <v>89</v>
      </c>
      <c r="I131" s="67">
        <v>1</v>
      </c>
      <c r="J131" s="68">
        <v>11.55</v>
      </c>
      <c r="K131" s="68">
        <v>11.55</v>
      </c>
      <c r="L131">
        <f t="shared" si="1"/>
        <v>16.5</v>
      </c>
    </row>
    <row r="132" ht="24.75" spans="4:12">
      <c r="D132" s="66">
        <v>46115</v>
      </c>
      <c r="E132" s="32">
        <v>1591836</v>
      </c>
      <c r="F132" s="32" t="s">
        <v>251</v>
      </c>
      <c r="G132" s="67">
        <v>20333154</v>
      </c>
      <c r="H132" s="32" t="s">
        <v>252</v>
      </c>
      <c r="I132" s="67">
        <v>1</v>
      </c>
      <c r="J132" s="68">
        <v>140</v>
      </c>
      <c r="K132" s="68">
        <v>140</v>
      </c>
      <c r="L132">
        <f t="shared" si="1"/>
        <v>200</v>
      </c>
    </row>
    <row r="133" spans="4:12">
      <c r="D133" s="66">
        <v>46115</v>
      </c>
      <c r="E133" s="32">
        <v>1591836</v>
      </c>
      <c r="F133" s="32" t="s">
        <v>253</v>
      </c>
      <c r="G133" s="67">
        <v>20314692</v>
      </c>
      <c r="H133" s="32" t="s">
        <v>254</v>
      </c>
      <c r="I133" s="67">
        <v>1</v>
      </c>
      <c r="J133" s="68">
        <v>119.35</v>
      </c>
      <c r="K133" s="68">
        <v>119.35</v>
      </c>
      <c r="L133">
        <f t="shared" si="1"/>
        <v>170.5</v>
      </c>
    </row>
    <row r="134" spans="4:12">
      <c r="D134" s="66">
        <v>46115</v>
      </c>
      <c r="E134" s="32">
        <v>1591836</v>
      </c>
      <c r="F134" s="32" t="s">
        <v>25</v>
      </c>
      <c r="G134" s="67">
        <v>20008214</v>
      </c>
      <c r="H134" s="32" t="s">
        <v>99</v>
      </c>
      <c r="I134" s="67">
        <v>3</v>
      </c>
      <c r="J134" s="68">
        <v>11.55</v>
      </c>
      <c r="K134" s="68">
        <v>34.65</v>
      </c>
      <c r="L134">
        <f t="shared" si="1"/>
        <v>16.5</v>
      </c>
    </row>
    <row r="135" spans="4:12">
      <c r="D135" s="66">
        <v>46115</v>
      </c>
      <c r="E135" s="32">
        <v>1591836</v>
      </c>
      <c r="F135" s="32" t="s">
        <v>25</v>
      </c>
      <c r="G135" s="67">
        <v>20007644</v>
      </c>
      <c r="H135" s="32" t="s">
        <v>213</v>
      </c>
      <c r="I135" s="67">
        <v>1</v>
      </c>
      <c r="J135" s="68">
        <v>11.55</v>
      </c>
      <c r="K135" s="68">
        <v>11.55</v>
      </c>
      <c r="L135">
        <f t="shared" si="1"/>
        <v>16.5</v>
      </c>
    </row>
    <row r="136" spans="4:12">
      <c r="D136" s="66">
        <v>46115</v>
      </c>
      <c r="E136" s="32">
        <v>1591836</v>
      </c>
      <c r="F136" s="32" t="s">
        <v>25</v>
      </c>
      <c r="G136" s="67">
        <v>20334455</v>
      </c>
      <c r="H136" s="32" t="s">
        <v>255</v>
      </c>
      <c r="I136" s="67">
        <v>1</v>
      </c>
      <c r="J136" s="68">
        <v>11.55</v>
      </c>
      <c r="K136" s="68">
        <v>11.55</v>
      </c>
      <c r="L136">
        <f t="shared" si="1"/>
        <v>16.5</v>
      </c>
    </row>
    <row r="137" spans="4:12">
      <c r="D137" s="66">
        <v>46115</v>
      </c>
      <c r="E137" s="32">
        <v>1591836</v>
      </c>
      <c r="F137" s="32" t="s">
        <v>25</v>
      </c>
      <c r="G137" s="67">
        <v>20014802</v>
      </c>
      <c r="H137" s="32" t="s">
        <v>214</v>
      </c>
      <c r="I137" s="67">
        <v>1</v>
      </c>
      <c r="J137" s="68">
        <v>11.55</v>
      </c>
      <c r="K137" s="68">
        <v>11.55</v>
      </c>
      <c r="L137">
        <f t="shared" si="1"/>
        <v>16.5</v>
      </c>
    </row>
    <row r="138" spans="4:12">
      <c r="D138" s="66">
        <v>46115</v>
      </c>
      <c r="E138" s="32">
        <v>1591836</v>
      </c>
      <c r="F138" s="32" t="s">
        <v>25</v>
      </c>
      <c r="G138" s="67">
        <v>20013916</v>
      </c>
      <c r="H138" s="32" t="s">
        <v>182</v>
      </c>
      <c r="I138" s="67">
        <v>1</v>
      </c>
      <c r="J138" s="68">
        <v>11.55</v>
      </c>
      <c r="K138" s="68">
        <v>11.55</v>
      </c>
      <c r="L138">
        <f t="shared" ref="L138:L201" si="2">J138/0.7</f>
        <v>16.5</v>
      </c>
    </row>
    <row r="139" spans="4:12">
      <c r="D139" s="66">
        <v>46116</v>
      </c>
      <c r="E139" s="32">
        <v>1592049</v>
      </c>
      <c r="F139" s="32" t="s">
        <v>36</v>
      </c>
      <c r="G139" s="67">
        <v>20309409</v>
      </c>
      <c r="H139" s="32" t="s">
        <v>256</v>
      </c>
      <c r="I139" s="67">
        <v>1</v>
      </c>
      <c r="J139" s="68">
        <v>100.1</v>
      </c>
      <c r="K139" s="68">
        <v>100.1</v>
      </c>
      <c r="L139">
        <f t="shared" si="2"/>
        <v>143</v>
      </c>
    </row>
    <row r="140" spans="4:12">
      <c r="D140" s="66">
        <v>46116</v>
      </c>
      <c r="E140" s="32">
        <v>1592049</v>
      </c>
      <c r="F140" s="32" t="s">
        <v>36</v>
      </c>
      <c r="G140" s="67">
        <v>20011908</v>
      </c>
      <c r="H140" s="32" t="s">
        <v>171</v>
      </c>
      <c r="I140" s="67">
        <v>1</v>
      </c>
      <c r="J140" s="68">
        <v>284.9</v>
      </c>
      <c r="K140" s="68">
        <v>284.9</v>
      </c>
      <c r="L140">
        <f t="shared" si="2"/>
        <v>407</v>
      </c>
    </row>
    <row r="141" spans="4:12">
      <c r="D141" s="66">
        <v>46116</v>
      </c>
      <c r="E141" s="32">
        <v>1592049</v>
      </c>
      <c r="F141" s="32" t="s">
        <v>36</v>
      </c>
      <c r="G141" s="67">
        <v>20006867</v>
      </c>
      <c r="H141" s="32" t="s">
        <v>215</v>
      </c>
      <c r="I141" s="67">
        <v>1</v>
      </c>
      <c r="J141" s="68">
        <v>246.4</v>
      </c>
      <c r="K141" s="68">
        <v>246.4</v>
      </c>
      <c r="L141">
        <f t="shared" si="2"/>
        <v>352</v>
      </c>
    </row>
    <row r="142" spans="4:12">
      <c r="D142" s="66">
        <v>46116</v>
      </c>
      <c r="E142" s="32">
        <v>1592049</v>
      </c>
      <c r="F142" s="32" t="s">
        <v>36</v>
      </c>
      <c r="G142" s="67">
        <v>20311037</v>
      </c>
      <c r="H142" s="32" t="s">
        <v>194</v>
      </c>
      <c r="I142" s="67">
        <v>2</v>
      </c>
      <c r="J142" s="68">
        <v>53.55</v>
      </c>
      <c r="K142" s="68">
        <v>107.1</v>
      </c>
      <c r="L142">
        <f t="shared" si="2"/>
        <v>76.5</v>
      </c>
    </row>
    <row r="143" spans="4:12">
      <c r="D143" s="66">
        <v>46116</v>
      </c>
      <c r="E143" s="32">
        <v>1592049</v>
      </c>
      <c r="F143" s="32" t="s">
        <v>13</v>
      </c>
      <c r="G143" s="67">
        <v>20012489</v>
      </c>
      <c r="H143" s="32" t="s">
        <v>75</v>
      </c>
      <c r="I143" s="67">
        <v>1</v>
      </c>
      <c r="J143" s="68">
        <v>5.6</v>
      </c>
      <c r="K143" s="68">
        <v>5.6</v>
      </c>
      <c r="L143">
        <f t="shared" si="2"/>
        <v>8</v>
      </c>
    </row>
    <row r="144" spans="4:12">
      <c r="D144" s="66">
        <v>46116</v>
      </c>
      <c r="E144" s="32">
        <v>1592049</v>
      </c>
      <c r="F144" s="32" t="s">
        <v>13</v>
      </c>
      <c r="G144" s="67">
        <v>20009483</v>
      </c>
      <c r="H144" s="32" t="s">
        <v>60</v>
      </c>
      <c r="I144" s="67">
        <v>1</v>
      </c>
      <c r="J144" s="68">
        <v>7.7</v>
      </c>
      <c r="K144" s="68">
        <v>7.7</v>
      </c>
      <c r="L144">
        <f t="shared" si="2"/>
        <v>11</v>
      </c>
    </row>
    <row r="145" spans="4:12">
      <c r="D145" s="66">
        <v>46116</v>
      </c>
      <c r="E145" s="32">
        <v>1592049</v>
      </c>
      <c r="F145" s="32" t="s">
        <v>180</v>
      </c>
      <c r="G145" s="67">
        <v>20362791</v>
      </c>
      <c r="H145" s="32" t="s">
        <v>181</v>
      </c>
      <c r="I145" s="67">
        <v>1</v>
      </c>
      <c r="J145" s="68">
        <v>24.5</v>
      </c>
      <c r="K145" s="68">
        <v>24.5</v>
      </c>
      <c r="L145">
        <f t="shared" si="2"/>
        <v>35</v>
      </c>
    </row>
    <row r="146" spans="4:12">
      <c r="D146" s="66">
        <v>46116</v>
      </c>
      <c r="E146" s="32">
        <v>1592049</v>
      </c>
      <c r="F146" s="32" t="s">
        <v>25</v>
      </c>
      <c r="G146" s="67">
        <v>20009014</v>
      </c>
      <c r="H146" s="32" t="s">
        <v>130</v>
      </c>
      <c r="I146" s="67">
        <v>1</v>
      </c>
      <c r="J146" s="68">
        <v>11.55</v>
      </c>
      <c r="K146" s="68">
        <v>11.55</v>
      </c>
      <c r="L146">
        <f t="shared" si="2"/>
        <v>16.5</v>
      </c>
    </row>
    <row r="147" spans="4:12">
      <c r="D147" s="66">
        <v>46116</v>
      </c>
      <c r="E147" s="32">
        <v>1592049</v>
      </c>
      <c r="F147" s="32" t="s">
        <v>25</v>
      </c>
      <c r="G147" s="67">
        <v>20009013</v>
      </c>
      <c r="H147" s="32" t="s">
        <v>178</v>
      </c>
      <c r="I147" s="67">
        <v>2</v>
      </c>
      <c r="J147" s="68">
        <v>11.55</v>
      </c>
      <c r="K147" s="68">
        <v>23.1</v>
      </c>
      <c r="L147">
        <f t="shared" si="2"/>
        <v>16.5</v>
      </c>
    </row>
    <row r="148" spans="4:12">
      <c r="D148" s="66">
        <v>46116</v>
      </c>
      <c r="E148" s="32">
        <v>1592049</v>
      </c>
      <c r="F148" s="32" t="s">
        <v>25</v>
      </c>
      <c r="G148" s="67">
        <v>20008214</v>
      </c>
      <c r="H148" s="32" t="s">
        <v>99</v>
      </c>
      <c r="I148" s="67">
        <v>5</v>
      </c>
      <c r="J148" s="68">
        <v>11.55</v>
      </c>
      <c r="K148" s="68">
        <v>57.75</v>
      </c>
      <c r="L148">
        <f t="shared" si="2"/>
        <v>16.5</v>
      </c>
    </row>
    <row r="149" spans="4:12">
      <c r="D149" s="66">
        <v>46116</v>
      </c>
      <c r="E149" s="32">
        <v>1592049</v>
      </c>
      <c r="F149" s="32" t="s">
        <v>25</v>
      </c>
      <c r="G149" s="67">
        <v>20008345</v>
      </c>
      <c r="H149" s="32" t="s">
        <v>131</v>
      </c>
      <c r="I149" s="67">
        <v>2</v>
      </c>
      <c r="J149" s="68">
        <v>19.25</v>
      </c>
      <c r="K149" s="68">
        <v>38.5</v>
      </c>
      <c r="L149">
        <f t="shared" si="2"/>
        <v>27.5</v>
      </c>
    </row>
    <row r="150" spans="4:12">
      <c r="D150" s="66">
        <v>46116</v>
      </c>
      <c r="E150" s="32">
        <v>1592092</v>
      </c>
      <c r="F150" s="32" t="s">
        <v>27</v>
      </c>
      <c r="G150" s="67">
        <v>20008202</v>
      </c>
      <c r="H150" s="32" t="s">
        <v>257</v>
      </c>
      <c r="I150" s="67">
        <v>1</v>
      </c>
      <c r="J150" s="68">
        <v>19.6</v>
      </c>
      <c r="K150" s="68">
        <v>19.6</v>
      </c>
      <c r="L150">
        <f t="shared" si="2"/>
        <v>28</v>
      </c>
    </row>
    <row r="151" spans="4:12">
      <c r="D151" s="66">
        <v>46116</v>
      </c>
      <c r="E151" s="32">
        <v>1592092</v>
      </c>
      <c r="F151" s="32" t="s">
        <v>27</v>
      </c>
      <c r="G151" s="67">
        <v>20370992</v>
      </c>
      <c r="H151" s="32" t="s">
        <v>183</v>
      </c>
      <c r="I151" s="67">
        <v>1</v>
      </c>
      <c r="J151" s="68">
        <v>24.5</v>
      </c>
      <c r="K151" s="68">
        <v>24.5</v>
      </c>
      <c r="L151">
        <f t="shared" si="2"/>
        <v>35</v>
      </c>
    </row>
    <row r="152" spans="4:12">
      <c r="D152" s="66">
        <v>46116</v>
      </c>
      <c r="E152" s="32">
        <v>1592092</v>
      </c>
      <c r="F152" s="32" t="s">
        <v>27</v>
      </c>
      <c r="G152" s="67">
        <v>20007567</v>
      </c>
      <c r="H152" s="32" t="s">
        <v>258</v>
      </c>
      <c r="I152" s="67">
        <v>1</v>
      </c>
      <c r="J152" s="68">
        <v>17.5</v>
      </c>
      <c r="K152" s="68">
        <v>17.5</v>
      </c>
      <c r="L152">
        <f t="shared" si="2"/>
        <v>25</v>
      </c>
    </row>
    <row r="153" spans="4:12">
      <c r="D153" s="66">
        <v>46116</v>
      </c>
      <c r="E153" s="32">
        <v>1592092</v>
      </c>
      <c r="F153" s="32" t="s">
        <v>27</v>
      </c>
      <c r="G153" s="67">
        <v>20338493</v>
      </c>
      <c r="H153" s="32" t="s">
        <v>259</v>
      </c>
      <c r="I153" s="67">
        <v>1</v>
      </c>
      <c r="J153" s="68">
        <v>17.5</v>
      </c>
      <c r="K153" s="68">
        <v>17.5</v>
      </c>
      <c r="L153">
        <f t="shared" si="2"/>
        <v>25</v>
      </c>
    </row>
    <row r="154" spans="4:12">
      <c r="D154" s="66">
        <v>46116</v>
      </c>
      <c r="E154" s="32">
        <v>1592092</v>
      </c>
      <c r="F154" s="32" t="s">
        <v>27</v>
      </c>
      <c r="G154" s="67">
        <v>20008885</v>
      </c>
      <c r="H154" s="32" t="s">
        <v>184</v>
      </c>
      <c r="I154" s="67">
        <v>3</v>
      </c>
      <c r="J154" s="68">
        <v>24.5</v>
      </c>
      <c r="K154" s="68">
        <v>73.5</v>
      </c>
      <c r="L154">
        <f t="shared" si="2"/>
        <v>35</v>
      </c>
    </row>
    <row r="155" spans="4:12">
      <c r="D155" s="66">
        <v>46116</v>
      </c>
      <c r="E155" s="32">
        <v>1592092</v>
      </c>
      <c r="F155" s="32" t="s">
        <v>27</v>
      </c>
      <c r="G155" s="67">
        <v>20006853</v>
      </c>
      <c r="H155" s="32" t="s">
        <v>186</v>
      </c>
      <c r="I155" s="67">
        <v>1</v>
      </c>
      <c r="J155" s="68">
        <v>24.5</v>
      </c>
      <c r="K155" s="68">
        <v>24.5</v>
      </c>
      <c r="L155">
        <f t="shared" si="2"/>
        <v>35</v>
      </c>
    </row>
    <row r="156" spans="4:12">
      <c r="D156" s="66">
        <v>46116</v>
      </c>
      <c r="E156" s="32">
        <v>1592092</v>
      </c>
      <c r="F156" s="32" t="s">
        <v>27</v>
      </c>
      <c r="G156" s="67">
        <v>20388302</v>
      </c>
      <c r="H156" s="32" t="s">
        <v>202</v>
      </c>
      <c r="I156" s="67">
        <v>2</v>
      </c>
      <c r="J156" s="68">
        <v>24.5</v>
      </c>
      <c r="K156" s="68">
        <v>49</v>
      </c>
      <c r="L156">
        <f t="shared" si="2"/>
        <v>35</v>
      </c>
    </row>
    <row r="157" spans="4:12">
      <c r="D157" s="66">
        <v>46116</v>
      </c>
      <c r="E157" s="32">
        <v>1592092</v>
      </c>
      <c r="F157" s="32" t="s">
        <v>27</v>
      </c>
      <c r="G157" s="67">
        <v>20400917</v>
      </c>
      <c r="H157" s="32" t="s">
        <v>188</v>
      </c>
      <c r="I157" s="67">
        <v>1</v>
      </c>
      <c r="J157" s="68">
        <v>17.5</v>
      </c>
      <c r="K157" s="68">
        <v>17.5</v>
      </c>
      <c r="L157">
        <f t="shared" si="2"/>
        <v>25</v>
      </c>
    </row>
    <row r="158" spans="4:12">
      <c r="D158" s="66">
        <v>46116</v>
      </c>
      <c r="E158" s="32">
        <v>1592092</v>
      </c>
      <c r="F158" s="32" t="s">
        <v>27</v>
      </c>
      <c r="G158" s="67">
        <v>20012362</v>
      </c>
      <c r="H158" s="32" t="s">
        <v>237</v>
      </c>
      <c r="I158" s="67">
        <v>1</v>
      </c>
      <c r="J158" s="68">
        <v>30.8</v>
      </c>
      <c r="K158" s="68">
        <v>30.8</v>
      </c>
      <c r="L158">
        <f t="shared" si="2"/>
        <v>44</v>
      </c>
    </row>
    <row r="159" spans="4:12">
      <c r="D159" s="66">
        <v>46116</v>
      </c>
      <c r="E159" s="32">
        <v>1592092</v>
      </c>
      <c r="F159" s="32" t="s">
        <v>27</v>
      </c>
      <c r="G159" s="67">
        <v>20006864</v>
      </c>
      <c r="H159" s="32" t="s">
        <v>238</v>
      </c>
      <c r="I159" s="67">
        <v>1</v>
      </c>
      <c r="J159" s="68">
        <v>19.6</v>
      </c>
      <c r="K159" s="68">
        <v>19.6</v>
      </c>
      <c r="L159">
        <f t="shared" si="2"/>
        <v>28</v>
      </c>
    </row>
    <row r="160" spans="4:12">
      <c r="D160" s="66">
        <v>46116</v>
      </c>
      <c r="E160" s="32">
        <v>1592092</v>
      </c>
      <c r="F160" s="32" t="s">
        <v>27</v>
      </c>
      <c r="G160" s="67">
        <v>20008387</v>
      </c>
      <c r="H160" s="32" t="s">
        <v>260</v>
      </c>
      <c r="I160" s="67">
        <v>1</v>
      </c>
      <c r="J160" s="68">
        <v>17.5</v>
      </c>
      <c r="K160" s="68">
        <v>17.5</v>
      </c>
      <c r="L160">
        <f t="shared" si="2"/>
        <v>25</v>
      </c>
    </row>
    <row r="161" spans="4:12">
      <c r="D161" s="66">
        <v>46116</v>
      </c>
      <c r="E161" s="32">
        <v>1592092</v>
      </c>
      <c r="F161" s="32" t="s">
        <v>27</v>
      </c>
      <c r="G161" s="67">
        <v>20008389</v>
      </c>
      <c r="H161" s="32" t="s">
        <v>203</v>
      </c>
      <c r="I161" s="67">
        <v>1</v>
      </c>
      <c r="J161" s="68">
        <v>17.5</v>
      </c>
      <c r="K161" s="68">
        <v>17.5</v>
      </c>
      <c r="L161">
        <f t="shared" si="2"/>
        <v>25</v>
      </c>
    </row>
    <row r="162" spans="4:12">
      <c r="D162" s="66">
        <v>46116</v>
      </c>
      <c r="E162" s="32">
        <v>1592092</v>
      </c>
      <c r="F162" s="32" t="s">
        <v>27</v>
      </c>
      <c r="G162" s="67">
        <v>20348167</v>
      </c>
      <c r="H162" s="32" t="s">
        <v>240</v>
      </c>
      <c r="I162" s="67">
        <v>1</v>
      </c>
      <c r="J162" s="68">
        <v>61.6</v>
      </c>
      <c r="K162" s="68">
        <v>61.6</v>
      </c>
      <c r="L162">
        <f t="shared" si="2"/>
        <v>88</v>
      </c>
    </row>
    <row r="163" spans="4:12">
      <c r="D163" s="66">
        <v>46116</v>
      </c>
      <c r="E163" s="32">
        <v>1592092</v>
      </c>
      <c r="F163" s="32" t="s">
        <v>27</v>
      </c>
      <c r="G163" s="67">
        <v>20007639</v>
      </c>
      <c r="H163" s="32" t="s">
        <v>189</v>
      </c>
      <c r="I163" s="67">
        <v>2</v>
      </c>
      <c r="J163" s="68">
        <v>19.6</v>
      </c>
      <c r="K163" s="68">
        <v>39.2</v>
      </c>
      <c r="L163">
        <f t="shared" si="2"/>
        <v>28</v>
      </c>
    </row>
    <row r="164" spans="4:12">
      <c r="D164" s="66">
        <v>46116</v>
      </c>
      <c r="E164" s="32">
        <v>1592092</v>
      </c>
      <c r="F164" s="32" t="s">
        <v>27</v>
      </c>
      <c r="G164" s="67">
        <v>20009272</v>
      </c>
      <c r="H164" s="32" t="s">
        <v>261</v>
      </c>
      <c r="I164" s="67">
        <v>2</v>
      </c>
      <c r="J164" s="68">
        <v>19.6</v>
      </c>
      <c r="K164" s="68">
        <v>39.2</v>
      </c>
      <c r="L164">
        <f t="shared" si="2"/>
        <v>28</v>
      </c>
    </row>
    <row r="165" spans="4:12">
      <c r="D165" s="66">
        <v>46116</v>
      </c>
      <c r="E165" s="32">
        <v>1592092</v>
      </c>
      <c r="F165" s="32" t="s">
        <v>27</v>
      </c>
      <c r="G165" s="67">
        <v>20007638</v>
      </c>
      <c r="H165" s="32" t="s">
        <v>190</v>
      </c>
      <c r="I165" s="67">
        <v>1</v>
      </c>
      <c r="J165" s="68">
        <v>19.6</v>
      </c>
      <c r="K165" s="68">
        <v>19.6</v>
      </c>
      <c r="L165">
        <f t="shared" si="2"/>
        <v>28</v>
      </c>
    </row>
    <row r="166" spans="4:12">
      <c r="D166" s="66">
        <v>46116</v>
      </c>
      <c r="E166" s="32">
        <v>1592092</v>
      </c>
      <c r="F166" s="32" t="s">
        <v>27</v>
      </c>
      <c r="G166" s="67">
        <v>20008639</v>
      </c>
      <c r="H166" s="32" t="s">
        <v>191</v>
      </c>
      <c r="I166" s="67">
        <v>1</v>
      </c>
      <c r="J166" s="68">
        <v>17.5</v>
      </c>
      <c r="K166" s="68">
        <v>17.5</v>
      </c>
      <c r="L166">
        <f t="shared" si="2"/>
        <v>25</v>
      </c>
    </row>
    <row r="167" spans="4:12">
      <c r="D167" s="66">
        <v>46116</v>
      </c>
      <c r="E167" s="32">
        <v>1592092</v>
      </c>
      <c r="F167" s="32" t="s">
        <v>27</v>
      </c>
      <c r="G167" s="67">
        <v>20335399</v>
      </c>
      <c r="H167" s="32" t="s">
        <v>262</v>
      </c>
      <c r="I167" s="67">
        <v>1</v>
      </c>
      <c r="J167" s="68">
        <v>61.6</v>
      </c>
      <c r="K167" s="68">
        <v>61.6</v>
      </c>
      <c r="L167">
        <f t="shared" si="2"/>
        <v>88</v>
      </c>
    </row>
    <row r="168" spans="4:12">
      <c r="D168" s="66">
        <v>46116</v>
      </c>
      <c r="E168" s="32">
        <v>1592092</v>
      </c>
      <c r="F168" s="32" t="s">
        <v>69</v>
      </c>
      <c r="G168" s="67">
        <v>20395507</v>
      </c>
      <c r="H168" s="32" t="s">
        <v>192</v>
      </c>
      <c r="I168" s="67">
        <v>1</v>
      </c>
      <c r="J168" s="68">
        <v>19.6</v>
      </c>
      <c r="K168" s="68">
        <v>19.6</v>
      </c>
      <c r="L168">
        <f t="shared" si="2"/>
        <v>28</v>
      </c>
    </row>
    <row r="169" spans="4:12">
      <c r="D169" s="66">
        <v>46116</v>
      </c>
      <c r="E169" s="32">
        <v>1592092</v>
      </c>
      <c r="F169" s="32" t="s">
        <v>69</v>
      </c>
      <c r="G169" s="67">
        <v>20008376</v>
      </c>
      <c r="H169" s="32" t="s">
        <v>263</v>
      </c>
      <c r="I169" s="67">
        <v>1</v>
      </c>
      <c r="J169" s="68">
        <v>19.6</v>
      </c>
      <c r="K169" s="68">
        <v>19.6</v>
      </c>
      <c r="L169">
        <f t="shared" si="2"/>
        <v>28</v>
      </c>
    </row>
    <row r="170" spans="4:12">
      <c r="D170" s="66">
        <v>46116</v>
      </c>
      <c r="E170" s="32">
        <v>1592092</v>
      </c>
      <c r="F170" s="32" t="s">
        <v>69</v>
      </c>
      <c r="G170" s="67">
        <v>20012368</v>
      </c>
      <c r="H170" s="32" t="s">
        <v>247</v>
      </c>
      <c r="I170" s="67">
        <v>1</v>
      </c>
      <c r="J170" s="68">
        <v>19.6</v>
      </c>
      <c r="K170" s="68">
        <v>19.6</v>
      </c>
      <c r="L170">
        <f t="shared" si="2"/>
        <v>28</v>
      </c>
    </row>
    <row r="171" spans="4:12">
      <c r="D171" s="66">
        <v>46116</v>
      </c>
      <c r="E171" s="32">
        <v>1592092</v>
      </c>
      <c r="F171" s="32" t="s">
        <v>69</v>
      </c>
      <c r="G171" s="67">
        <v>20013036</v>
      </c>
      <c r="H171" s="32" t="s">
        <v>206</v>
      </c>
      <c r="I171" s="67">
        <v>1</v>
      </c>
      <c r="J171" s="68">
        <v>30.8</v>
      </c>
      <c r="K171" s="68">
        <v>30.8</v>
      </c>
      <c r="L171">
        <f t="shared" si="2"/>
        <v>44</v>
      </c>
    </row>
    <row r="172" spans="4:12">
      <c r="D172" s="66">
        <v>46117</v>
      </c>
      <c r="E172" s="32">
        <v>1592233</v>
      </c>
      <c r="F172" s="32" t="s">
        <v>36</v>
      </c>
      <c r="G172" s="67">
        <v>20008129</v>
      </c>
      <c r="H172" s="32" t="s">
        <v>208</v>
      </c>
      <c r="I172" s="67">
        <v>1</v>
      </c>
      <c r="J172" s="68">
        <v>196.35</v>
      </c>
      <c r="K172" s="68">
        <v>196.35</v>
      </c>
      <c r="L172">
        <f t="shared" si="2"/>
        <v>280.5</v>
      </c>
    </row>
    <row r="173" spans="4:12">
      <c r="D173" s="66">
        <v>46117</v>
      </c>
      <c r="E173" s="32">
        <v>1592233</v>
      </c>
      <c r="F173" s="32" t="s">
        <v>13</v>
      </c>
      <c r="G173" s="67">
        <v>20012489</v>
      </c>
      <c r="H173" s="32" t="s">
        <v>75</v>
      </c>
      <c r="I173" s="67">
        <v>1</v>
      </c>
      <c r="J173" s="68">
        <v>5.6</v>
      </c>
      <c r="K173" s="68">
        <v>5.6</v>
      </c>
      <c r="L173">
        <f t="shared" si="2"/>
        <v>8</v>
      </c>
    </row>
    <row r="174" spans="4:12">
      <c r="D174" s="66">
        <v>46117</v>
      </c>
      <c r="E174" s="32">
        <v>1592233</v>
      </c>
      <c r="F174" s="32" t="s">
        <v>13</v>
      </c>
      <c r="G174" s="67">
        <v>20008204</v>
      </c>
      <c r="H174" s="32" t="s">
        <v>116</v>
      </c>
      <c r="I174" s="67">
        <v>1</v>
      </c>
      <c r="J174" s="68">
        <v>9.45</v>
      </c>
      <c r="K174" s="68">
        <v>9.45</v>
      </c>
      <c r="L174">
        <f t="shared" si="2"/>
        <v>13.5</v>
      </c>
    </row>
    <row r="175" spans="4:12">
      <c r="D175" s="66">
        <v>46117</v>
      </c>
      <c r="E175" s="32">
        <v>1592233</v>
      </c>
      <c r="F175" s="32" t="s">
        <v>13</v>
      </c>
      <c r="G175" s="67">
        <v>20008280</v>
      </c>
      <c r="H175" s="32" t="s">
        <v>212</v>
      </c>
      <c r="I175" s="67">
        <v>2</v>
      </c>
      <c r="J175" s="68">
        <v>11.55</v>
      </c>
      <c r="K175" s="68">
        <v>23.1</v>
      </c>
      <c r="L175">
        <f t="shared" si="2"/>
        <v>16.5</v>
      </c>
    </row>
    <row r="176" spans="4:12">
      <c r="D176" s="66">
        <v>46117</v>
      </c>
      <c r="E176" s="32">
        <v>1592233</v>
      </c>
      <c r="F176" s="32" t="s">
        <v>25</v>
      </c>
      <c r="G176" s="67">
        <v>20008214</v>
      </c>
      <c r="H176" s="32" t="s">
        <v>99</v>
      </c>
      <c r="I176" s="67">
        <v>1</v>
      </c>
      <c r="J176" s="68">
        <v>11.55</v>
      </c>
      <c r="K176" s="68">
        <v>11.55</v>
      </c>
      <c r="L176">
        <f t="shared" si="2"/>
        <v>16.5</v>
      </c>
    </row>
    <row r="177" spans="4:12">
      <c r="D177" s="66">
        <v>46117</v>
      </c>
      <c r="E177" s="32">
        <v>1592233</v>
      </c>
      <c r="F177" s="32" t="s">
        <v>25</v>
      </c>
      <c r="G177" s="67">
        <v>20008345</v>
      </c>
      <c r="H177" s="32" t="s">
        <v>131</v>
      </c>
      <c r="I177" s="67">
        <v>1</v>
      </c>
      <c r="J177" s="68">
        <v>19.25</v>
      </c>
      <c r="K177" s="68">
        <v>19.25</v>
      </c>
      <c r="L177">
        <f t="shared" si="2"/>
        <v>27.5</v>
      </c>
    </row>
    <row r="178" spans="4:12">
      <c r="D178" s="66">
        <v>46117</v>
      </c>
      <c r="E178" s="32">
        <v>1592235</v>
      </c>
      <c r="F178" s="32" t="s">
        <v>27</v>
      </c>
      <c r="G178" s="67">
        <v>20348232</v>
      </c>
      <c r="H178" s="32" t="s">
        <v>264</v>
      </c>
      <c r="I178" s="67">
        <v>2</v>
      </c>
      <c r="J178" s="68">
        <v>46.2</v>
      </c>
      <c r="K178" s="68">
        <v>92.4</v>
      </c>
      <c r="L178">
        <f t="shared" si="2"/>
        <v>66</v>
      </c>
    </row>
    <row r="179" spans="4:12">
      <c r="D179" s="66">
        <v>46117</v>
      </c>
      <c r="E179" s="32">
        <v>1592235</v>
      </c>
      <c r="F179" s="32" t="s">
        <v>27</v>
      </c>
      <c r="G179" s="67">
        <v>20388302</v>
      </c>
      <c r="H179" s="32" t="s">
        <v>202</v>
      </c>
      <c r="I179" s="67">
        <v>1</v>
      </c>
      <c r="J179" s="68">
        <v>24.5</v>
      </c>
      <c r="K179" s="68">
        <v>24.5</v>
      </c>
      <c r="L179">
        <f t="shared" si="2"/>
        <v>35</v>
      </c>
    </row>
    <row r="180" spans="4:12">
      <c r="D180" s="66">
        <v>46117</v>
      </c>
      <c r="E180" s="32">
        <v>1592235</v>
      </c>
      <c r="F180" s="32" t="s">
        <v>69</v>
      </c>
      <c r="G180" s="67">
        <v>20008378</v>
      </c>
      <c r="H180" s="32" t="s">
        <v>246</v>
      </c>
      <c r="I180" s="67">
        <v>1</v>
      </c>
      <c r="J180" s="68">
        <v>19.6</v>
      </c>
      <c r="K180" s="68">
        <v>19.6</v>
      </c>
      <c r="L180">
        <f t="shared" si="2"/>
        <v>28</v>
      </c>
    </row>
    <row r="181" spans="4:12">
      <c r="D181" s="66">
        <v>46119</v>
      </c>
      <c r="E181" s="32">
        <v>1592462</v>
      </c>
      <c r="F181" s="32" t="s">
        <v>27</v>
      </c>
      <c r="G181" s="67">
        <v>20338493</v>
      </c>
      <c r="H181" s="32" t="s">
        <v>259</v>
      </c>
      <c r="I181" s="67">
        <v>4</v>
      </c>
      <c r="J181" s="68">
        <v>17.5</v>
      </c>
      <c r="K181" s="68">
        <v>70</v>
      </c>
      <c r="L181">
        <f t="shared" si="2"/>
        <v>25</v>
      </c>
    </row>
    <row r="182" spans="4:12">
      <c r="D182" s="66">
        <v>46119</v>
      </c>
      <c r="E182" s="32">
        <v>1592462</v>
      </c>
      <c r="F182" s="32" t="s">
        <v>27</v>
      </c>
      <c r="G182" s="67">
        <v>20365405</v>
      </c>
      <c r="H182" s="32" t="s">
        <v>71</v>
      </c>
      <c r="I182" s="67">
        <v>1</v>
      </c>
      <c r="J182" s="68">
        <v>61.6</v>
      </c>
      <c r="K182" s="68">
        <v>61.6</v>
      </c>
      <c r="L182">
        <f t="shared" si="2"/>
        <v>88</v>
      </c>
    </row>
    <row r="183" spans="4:12">
      <c r="D183" s="66">
        <v>46119</v>
      </c>
      <c r="E183" s="32">
        <v>1592462</v>
      </c>
      <c r="F183" s="32" t="s">
        <v>27</v>
      </c>
      <c r="G183" s="67">
        <v>20313974</v>
      </c>
      <c r="H183" s="32" t="s">
        <v>185</v>
      </c>
      <c r="I183" s="67">
        <v>1</v>
      </c>
      <c r="J183" s="68">
        <v>30.8</v>
      </c>
      <c r="K183" s="68">
        <v>30.8</v>
      </c>
      <c r="L183">
        <f t="shared" si="2"/>
        <v>44</v>
      </c>
    </row>
    <row r="184" spans="4:12">
      <c r="D184" s="66">
        <v>46119</v>
      </c>
      <c r="E184" s="32">
        <v>1592462</v>
      </c>
      <c r="F184" s="32" t="s">
        <v>27</v>
      </c>
      <c r="G184" s="67">
        <v>20008623</v>
      </c>
      <c r="H184" s="32" t="s">
        <v>72</v>
      </c>
      <c r="I184" s="67">
        <v>2</v>
      </c>
      <c r="J184" s="68">
        <v>15.4</v>
      </c>
      <c r="K184" s="68">
        <v>30.8</v>
      </c>
      <c r="L184">
        <f t="shared" si="2"/>
        <v>22</v>
      </c>
    </row>
    <row r="185" spans="4:12">
      <c r="D185" s="66">
        <v>46119</v>
      </c>
      <c r="E185" s="32">
        <v>1592462</v>
      </c>
      <c r="F185" s="32" t="s">
        <v>27</v>
      </c>
      <c r="G185" s="67">
        <v>20007633</v>
      </c>
      <c r="H185" s="32" t="s">
        <v>68</v>
      </c>
      <c r="I185" s="67">
        <v>1</v>
      </c>
      <c r="J185" s="68">
        <v>24.5</v>
      </c>
      <c r="K185" s="68">
        <v>24.5</v>
      </c>
      <c r="L185">
        <f t="shared" si="2"/>
        <v>35</v>
      </c>
    </row>
    <row r="186" spans="4:12">
      <c r="D186" s="66">
        <v>46119</v>
      </c>
      <c r="E186" s="32">
        <v>1592462</v>
      </c>
      <c r="F186" s="32" t="s">
        <v>27</v>
      </c>
      <c r="G186" s="67">
        <v>20006853</v>
      </c>
      <c r="H186" s="32" t="s">
        <v>186</v>
      </c>
      <c r="I186" s="67">
        <v>1</v>
      </c>
      <c r="J186" s="68">
        <v>24.5</v>
      </c>
      <c r="K186" s="68">
        <v>24.5</v>
      </c>
      <c r="L186">
        <f t="shared" si="2"/>
        <v>35</v>
      </c>
    </row>
    <row r="187" spans="4:12">
      <c r="D187" s="66">
        <v>46119</v>
      </c>
      <c r="E187" s="32">
        <v>1592462</v>
      </c>
      <c r="F187" s="32" t="s">
        <v>27</v>
      </c>
      <c r="G187" s="67">
        <v>20400917</v>
      </c>
      <c r="H187" s="32" t="s">
        <v>188</v>
      </c>
      <c r="I187" s="67">
        <v>1</v>
      </c>
      <c r="J187" s="68">
        <v>17.5</v>
      </c>
      <c r="K187" s="68">
        <v>17.5</v>
      </c>
      <c r="L187">
        <f t="shared" si="2"/>
        <v>25</v>
      </c>
    </row>
    <row r="188" spans="4:12">
      <c r="D188" s="66">
        <v>46119</v>
      </c>
      <c r="E188" s="32">
        <v>1592462</v>
      </c>
      <c r="F188" s="32" t="s">
        <v>27</v>
      </c>
      <c r="G188" s="67">
        <v>20007639</v>
      </c>
      <c r="H188" s="32" t="s">
        <v>189</v>
      </c>
      <c r="I188" s="67">
        <v>1</v>
      </c>
      <c r="J188" s="68">
        <v>19.6</v>
      </c>
      <c r="K188" s="68">
        <v>19.6</v>
      </c>
      <c r="L188">
        <f t="shared" si="2"/>
        <v>28</v>
      </c>
    </row>
    <row r="189" spans="4:12">
      <c r="D189" s="66">
        <v>46119</v>
      </c>
      <c r="E189" s="32">
        <v>1592462</v>
      </c>
      <c r="F189" s="32" t="s">
        <v>27</v>
      </c>
      <c r="G189" s="67">
        <v>20009272</v>
      </c>
      <c r="H189" s="32" t="s">
        <v>261</v>
      </c>
      <c r="I189" s="67">
        <v>1</v>
      </c>
      <c r="J189" s="68">
        <v>19.6</v>
      </c>
      <c r="K189" s="68">
        <v>19.6</v>
      </c>
      <c r="L189">
        <f t="shared" si="2"/>
        <v>28</v>
      </c>
    </row>
    <row r="190" spans="4:12">
      <c r="D190" s="66">
        <v>46119</v>
      </c>
      <c r="E190" s="32">
        <v>1592462</v>
      </c>
      <c r="F190" s="32" t="s">
        <v>27</v>
      </c>
      <c r="G190" s="67">
        <v>20007638</v>
      </c>
      <c r="H190" s="32" t="s">
        <v>190</v>
      </c>
      <c r="I190" s="67">
        <v>1</v>
      </c>
      <c r="J190" s="68">
        <v>19.6</v>
      </c>
      <c r="K190" s="68">
        <v>19.6</v>
      </c>
      <c r="L190">
        <f t="shared" si="2"/>
        <v>28</v>
      </c>
    </row>
    <row r="191" spans="4:12">
      <c r="D191" s="66">
        <v>46119</v>
      </c>
      <c r="E191" s="32">
        <v>1592462</v>
      </c>
      <c r="F191" s="32" t="s">
        <v>27</v>
      </c>
      <c r="G191" s="67">
        <v>20008639</v>
      </c>
      <c r="H191" s="32" t="s">
        <v>191</v>
      </c>
      <c r="I191" s="67">
        <v>1</v>
      </c>
      <c r="J191" s="68">
        <v>17.5</v>
      </c>
      <c r="K191" s="68">
        <v>17.5</v>
      </c>
      <c r="L191">
        <f t="shared" si="2"/>
        <v>25</v>
      </c>
    </row>
    <row r="192" spans="4:12">
      <c r="D192" s="66">
        <v>46119</v>
      </c>
      <c r="E192" s="32">
        <v>1592462</v>
      </c>
      <c r="F192" s="32" t="s">
        <v>69</v>
      </c>
      <c r="G192" s="67">
        <v>20395507</v>
      </c>
      <c r="H192" s="32" t="s">
        <v>192</v>
      </c>
      <c r="I192" s="67">
        <v>1</v>
      </c>
      <c r="J192" s="68">
        <v>19.6</v>
      </c>
      <c r="K192" s="68">
        <v>19.6</v>
      </c>
      <c r="L192">
        <f t="shared" si="2"/>
        <v>28</v>
      </c>
    </row>
    <row r="193" spans="4:12">
      <c r="D193" s="66">
        <v>46119</v>
      </c>
      <c r="E193" s="32">
        <v>1592462</v>
      </c>
      <c r="F193" s="32" t="s">
        <v>69</v>
      </c>
      <c r="G193" s="67">
        <v>20008376</v>
      </c>
      <c r="H193" s="32" t="s">
        <v>263</v>
      </c>
      <c r="I193" s="67">
        <v>1</v>
      </c>
      <c r="J193" s="68">
        <v>19.6</v>
      </c>
      <c r="K193" s="68">
        <v>19.6</v>
      </c>
      <c r="L193">
        <f t="shared" si="2"/>
        <v>28</v>
      </c>
    </row>
    <row r="194" spans="4:12">
      <c r="D194" s="66">
        <v>46119</v>
      </c>
      <c r="E194" s="32">
        <v>1592465</v>
      </c>
      <c r="F194" s="32" t="s">
        <v>36</v>
      </c>
      <c r="G194" s="67">
        <v>20008128</v>
      </c>
      <c r="H194" s="32" t="s">
        <v>174</v>
      </c>
      <c r="I194" s="67">
        <v>2</v>
      </c>
      <c r="J194" s="68">
        <v>130.9</v>
      </c>
      <c r="K194" s="68">
        <v>261.8</v>
      </c>
      <c r="L194">
        <f t="shared" si="2"/>
        <v>187</v>
      </c>
    </row>
    <row r="195" spans="4:12">
      <c r="D195" s="66">
        <v>46119</v>
      </c>
      <c r="E195" s="32">
        <v>1592465</v>
      </c>
      <c r="F195" s="32" t="s">
        <v>13</v>
      </c>
      <c r="G195" s="67">
        <v>20008280</v>
      </c>
      <c r="H195" s="32" t="s">
        <v>212</v>
      </c>
      <c r="I195" s="67">
        <v>1</v>
      </c>
      <c r="J195" s="68">
        <v>11.55</v>
      </c>
      <c r="K195" s="68">
        <v>11.55</v>
      </c>
      <c r="L195">
        <f t="shared" si="2"/>
        <v>16.5</v>
      </c>
    </row>
    <row r="196" spans="4:12">
      <c r="D196" s="66">
        <v>46119</v>
      </c>
      <c r="E196" s="32">
        <v>1592465</v>
      </c>
      <c r="F196" s="32" t="s">
        <v>25</v>
      </c>
      <c r="G196" s="67">
        <v>20008214</v>
      </c>
      <c r="H196" s="32" t="s">
        <v>99</v>
      </c>
      <c r="I196" s="67">
        <v>2</v>
      </c>
      <c r="J196" s="68">
        <v>11.55</v>
      </c>
      <c r="K196" s="68">
        <v>23.1</v>
      </c>
      <c r="L196">
        <f t="shared" si="2"/>
        <v>16.5</v>
      </c>
    </row>
    <row r="197" spans="4:12">
      <c r="D197" s="66">
        <v>46119</v>
      </c>
      <c r="E197" s="32">
        <v>1592465</v>
      </c>
      <c r="F197" s="32" t="s">
        <v>25</v>
      </c>
      <c r="G197" s="67">
        <v>20008345</v>
      </c>
      <c r="H197" s="32" t="s">
        <v>131</v>
      </c>
      <c r="I197" s="67">
        <v>1</v>
      </c>
      <c r="J197" s="68">
        <v>19.25</v>
      </c>
      <c r="K197" s="68">
        <v>19.25</v>
      </c>
      <c r="L197">
        <f t="shared" si="2"/>
        <v>27.5</v>
      </c>
    </row>
    <row r="198" spans="4:12">
      <c r="D198" s="66">
        <v>46120</v>
      </c>
      <c r="E198" s="32">
        <v>1592707</v>
      </c>
      <c r="F198" s="32" t="s">
        <v>36</v>
      </c>
      <c r="G198" s="67">
        <v>20014638</v>
      </c>
      <c r="H198" s="32" t="s">
        <v>265</v>
      </c>
      <c r="I198" s="67">
        <v>1</v>
      </c>
      <c r="J198" s="68">
        <v>69.3</v>
      </c>
      <c r="K198" s="68">
        <v>69.3</v>
      </c>
      <c r="L198">
        <f t="shared" si="2"/>
        <v>99</v>
      </c>
    </row>
    <row r="199" spans="4:12">
      <c r="D199" s="66">
        <v>46120</v>
      </c>
      <c r="E199" s="32">
        <v>1592707</v>
      </c>
      <c r="F199" s="32" t="s">
        <v>36</v>
      </c>
      <c r="G199" s="67">
        <v>20008128</v>
      </c>
      <c r="H199" s="32" t="s">
        <v>174</v>
      </c>
      <c r="I199" s="67">
        <v>4</v>
      </c>
      <c r="J199" s="68">
        <v>130.9</v>
      </c>
      <c r="K199" s="68">
        <v>523.6</v>
      </c>
      <c r="L199">
        <f t="shared" si="2"/>
        <v>187</v>
      </c>
    </row>
    <row r="200" spans="4:12">
      <c r="D200" s="66">
        <v>46120</v>
      </c>
      <c r="E200" s="32">
        <v>1592707</v>
      </c>
      <c r="F200" s="32" t="s">
        <v>36</v>
      </c>
      <c r="G200" s="67">
        <v>20314694</v>
      </c>
      <c r="H200" s="32" t="s">
        <v>209</v>
      </c>
      <c r="I200" s="67">
        <v>1</v>
      </c>
      <c r="J200" s="68">
        <v>140</v>
      </c>
      <c r="K200" s="68">
        <v>140</v>
      </c>
      <c r="L200">
        <f t="shared" si="2"/>
        <v>200</v>
      </c>
    </row>
    <row r="201" spans="4:12">
      <c r="D201" s="66">
        <v>46120</v>
      </c>
      <c r="E201" s="32">
        <v>1592707</v>
      </c>
      <c r="F201" s="32" t="s">
        <v>36</v>
      </c>
      <c r="G201" s="67">
        <v>20353489</v>
      </c>
      <c r="H201" s="32" t="s">
        <v>210</v>
      </c>
      <c r="I201" s="67">
        <v>1</v>
      </c>
      <c r="J201" s="68">
        <v>111.65</v>
      </c>
      <c r="K201" s="68">
        <v>111.65</v>
      </c>
      <c r="L201">
        <f t="shared" si="2"/>
        <v>159.5</v>
      </c>
    </row>
    <row r="202" spans="4:12">
      <c r="D202" s="66">
        <v>46120</v>
      </c>
      <c r="E202" s="32">
        <v>1592707</v>
      </c>
      <c r="F202" s="32" t="s">
        <v>36</v>
      </c>
      <c r="G202" s="67">
        <v>20311037</v>
      </c>
      <c r="H202" s="32" t="s">
        <v>194</v>
      </c>
      <c r="I202" s="67">
        <v>1</v>
      </c>
      <c r="J202" s="68">
        <v>53.55</v>
      </c>
      <c r="K202" s="68">
        <v>53.55</v>
      </c>
      <c r="L202">
        <f t="shared" ref="L202:L265" si="3">J202/0.7</f>
        <v>76.5</v>
      </c>
    </row>
    <row r="203" spans="4:12">
      <c r="D203" s="66">
        <v>46120</v>
      </c>
      <c r="E203" s="32">
        <v>1592707</v>
      </c>
      <c r="F203" s="32" t="s">
        <v>13</v>
      </c>
      <c r="G203" s="67">
        <v>20008196</v>
      </c>
      <c r="H203" s="32" t="s">
        <v>250</v>
      </c>
      <c r="I203" s="67">
        <v>1</v>
      </c>
      <c r="J203" s="68">
        <v>7.7</v>
      </c>
      <c r="K203" s="68">
        <v>7.7</v>
      </c>
      <c r="L203">
        <f t="shared" si="3"/>
        <v>11</v>
      </c>
    </row>
    <row r="204" spans="4:12">
      <c r="D204" s="66">
        <v>46120</v>
      </c>
      <c r="E204" s="32">
        <v>1592707</v>
      </c>
      <c r="F204" s="32" t="s">
        <v>13</v>
      </c>
      <c r="G204" s="67">
        <v>20008491</v>
      </c>
      <c r="H204" s="32" t="s">
        <v>104</v>
      </c>
      <c r="I204" s="67">
        <v>1</v>
      </c>
      <c r="J204" s="68">
        <v>11.55</v>
      </c>
      <c r="K204" s="68">
        <v>11.55</v>
      </c>
      <c r="L204">
        <f t="shared" si="3"/>
        <v>16.5</v>
      </c>
    </row>
    <row r="205" spans="4:12">
      <c r="D205" s="66">
        <v>46120</v>
      </c>
      <c r="E205" s="32">
        <v>1592707</v>
      </c>
      <c r="F205" s="32" t="s">
        <v>13</v>
      </c>
      <c r="G205" s="67">
        <v>20008204</v>
      </c>
      <c r="H205" s="32" t="s">
        <v>116</v>
      </c>
      <c r="I205" s="67">
        <v>1</v>
      </c>
      <c r="J205" s="68">
        <v>9.45</v>
      </c>
      <c r="K205" s="68">
        <v>9.45</v>
      </c>
      <c r="L205">
        <f t="shared" si="3"/>
        <v>13.5</v>
      </c>
    </row>
    <row r="206" spans="4:12">
      <c r="D206" s="66">
        <v>46120</v>
      </c>
      <c r="E206" s="32">
        <v>1592707</v>
      </c>
      <c r="F206" s="32" t="s">
        <v>13</v>
      </c>
      <c r="G206" s="67">
        <v>20011138</v>
      </c>
      <c r="H206" s="32" t="s">
        <v>199</v>
      </c>
      <c r="I206" s="67">
        <v>1</v>
      </c>
      <c r="J206" s="68">
        <v>11.55</v>
      </c>
      <c r="K206" s="68">
        <v>11.55</v>
      </c>
      <c r="L206">
        <f t="shared" si="3"/>
        <v>16.5</v>
      </c>
    </row>
    <row r="207" spans="4:12">
      <c r="D207" s="66">
        <v>46120</v>
      </c>
      <c r="E207" s="32">
        <v>1592707</v>
      </c>
      <c r="F207" s="32" t="s">
        <v>180</v>
      </c>
      <c r="G207" s="67">
        <v>20362791</v>
      </c>
      <c r="H207" s="32" t="s">
        <v>181</v>
      </c>
      <c r="I207" s="67">
        <v>1</v>
      </c>
      <c r="J207" s="68">
        <v>24.5</v>
      </c>
      <c r="K207" s="68">
        <v>24.5</v>
      </c>
      <c r="L207">
        <f t="shared" si="3"/>
        <v>35</v>
      </c>
    </row>
    <row r="208" spans="4:12">
      <c r="D208" s="66">
        <v>46120</v>
      </c>
      <c r="E208" s="32">
        <v>1592707</v>
      </c>
      <c r="F208" s="32" t="s">
        <v>25</v>
      </c>
      <c r="G208" s="67">
        <v>20008214</v>
      </c>
      <c r="H208" s="32" t="s">
        <v>99</v>
      </c>
      <c r="I208" s="67">
        <v>5</v>
      </c>
      <c r="J208" s="68">
        <v>11.55</v>
      </c>
      <c r="K208" s="68">
        <v>57.75</v>
      </c>
      <c r="L208">
        <f t="shared" si="3"/>
        <v>16.5</v>
      </c>
    </row>
    <row r="209" spans="4:12">
      <c r="D209" s="66">
        <v>46120</v>
      </c>
      <c r="E209" s="32">
        <v>1592707</v>
      </c>
      <c r="F209" s="32" t="s">
        <v>25</v>
      </c>
      <c r="G209" s="67">
        <v>20326053</v>
      </c>
      <c r="H209" s="32" t="s">
        <v>266</v>
      </c>
      <c r="I209" s="67">
        <v>3</v>
      </c>
      <c r="J209" s="68">
        <v>11.55</v>
      </c>
      <c r="K209" s="68">
        <v>34.65</v>
      </c>
      <c r="L209">
        <f t="shared" si="3"/>
        <v>16.5</v>
      </c>
    </row>
    <row r="210" spans="4:12">
      <c r="D210" s="66">
        <v>46120</v>
      </c>
      <c r="E210" s="32">
        <v>1592707</v>
      </c>
      <c r="F210" s="32" t="s">
        <v>25</v>
      </c>
      <c r="G210" s="67">
        <v>20408511</v>
      </c>
      <c r="H210" s="32" t="s">
        <v>267</v>
      </c>
      <c r="I210" s="67">
        <v>1</v>
      </c>
      <c r="J210" s="68">
        <v>15.4</v>
      </c>
      <c r="K210" s="68">
        <v>15.4</v>
      </c>
      <c r="L210">
        <f t="shared" si="3"/>
        <v>22</v>
      </c>
    </row>
    <row r="211" spans="4:12">
      <c r="D211" s="66">
        <v>46120</v>
      </c>
      <c r="E211" s="32">
        <v>1592707</v>
      </c>
      <c r="F211" s="32" t="s">
        <v>25</v>
      </c>
      <c r="G211" s="67">
        <v>20014802</v>
      </c>
      <c r="H211" s="32" t="s">
        <v>214</v>
      </c>
      <c r="I211" s="67">
        <v>1</v>
      </c>
      <c r="J211" s="68">
        <v>11.55</v>
      </c>
      <c r="K211" s="68">
        <v>11.55</v>
      </c>
      <c r="L211">
        <f t="shared" si="3"/>
        <v>16.5</v>
      </c>
    </row>
    <row r="212" spans="4:12">
      <c r="D212" s="66">
        <v>46120</v>
      </c>
      <c r="E212" s="32">
        <v>1592707</v>
      </c>
      <c r="F212" s="32" t="s">
        <v>25</v>
      </c>
      <c r="G212" s="67">
        <v>20013952</v>
      </c>
      <c r="H212" s="32" t="s">
        <v>179</v>
      </c>
      <c r="I212" s="67">
        <v>1</v>
      </c>
      <c r="J212" s="68">
        <v>11.55</v>
      </c>
      <c r="K212" s="68">
        <v>11.55</v>
      </c>
      <c r="L212">
        <f t="shared" si="3"/>
        <v>16.5</v>
      </c>
    </row>
    <row r="213" spans="4:12">
      <c r="D213" s="66">
        <v>46120</v>
      </c>
      <c r="E213" s="32">
        <v>1592707</v>
      </c>
      <c r="F213" s="32" t="s">
        <v>25</v>
      </c>
      <c r="G213" s="67">
        <v>20008345</v>
      </c>
      <c r="H213" s="32" t="s">
        <v>131</v>
      </c>
      <c r="I213" s="67">
        <v>1</v>
      </c>
      <c r="J213" s="68">
        <v>19.25</v>
      </c>
      <c r="K213" s="68">
        <v>19.25</v>
      </c>
      <c r="L213">
        <f t="shared" si="3"/>
        <v>27.5</v>
      </c>
    </row>
    <row r="214" spans="4:12">
      <c r="D214" s="66">
        <v>46120</v>
      </c>
      <c r="E214" s="32">
        <v>1592707</v>
      </c>
      <c r="F214" s="32" t="s">
        <v>25</v>
      </c>
      <c r="G214" s="67">
        <v>20013916</v>
      </c>
      <c r="H214" s="32" t="s">
        <v>182</v>
      </c>
      <c r="I214" s="67">
        <v>1</v>
      </c>
      <c r="J214" s="68">
        <v>11.55</v>
      </c>
      <c r="K214" s="68">
        <v>11.55</v>
      </c>
      <c r="L214">
        <f t="shared" si="3"/>
        <v>16.5</v>
      </c>
    </row>
    <row r="215" spans="4:12">
      <c r="D215" s="66">
        <v>46120</v>
      </c>
      <c r="E215" s="32">
        <v>1592735</v>
      </c>
      <c r="F215" s="32" t="s">
        <v>27</v>
      </c>
      <c r="G215" s="67">
        <v>20338493</v>
      </c>
      <c r="H215" s="32" t="s">
        <v>259</v>
      </c>
      <c r="I215" s="67">
        <v>3</v>
      </c>
      <c r="J215" s="68">
        <v>17.5</v>
      </c>
      <c r="K215" s="68">
        <v>52.5</v>
      </c>
      <c r="L215">
        <f t="shared" si="3"/>
        <v>25</v>
      </c>
    </row>
    <row r="216" spans="4:12">
      <c r="D216" s="66">
        <v>46120</v>
      </c>
      <c r="E216" s="32">
        <v>1592735</v>
      </c>
      <c r="F216" s="32" t="s">
        <v>27</v>
      </c>
      <c r="G216" s="67">
        <v>20313974</v>
      </c>
      <c r="H216" s="32" t="s">
        <v>185</v>
      </c>
      <c r="I216" s="67">
        <v>2</v>
      </c>
      <c r="J216" s="68">
        <v>30.8</v>
      </c>
      <c r="K216" s="68">
        <v>61.6</v>
      </c>
      <c r="L216">
        <f t="shared" si="3"/>
        <v>44</v>
      </c>
    </row>
    <row r="217" spans="4:12">
      <c r="D217" s="66">
        <v>46120</v>
      </c>
      <c r="E217" s="32">
        <v>1592735</v>
      </c>
      <c r="F217" s="32" t="s">
        <v>27</v>
      </c>
      <c r="G217" s="67">
        <v>20007654</v>
      </c>
      <c r="H217" s="32" t="s">
        <v>268</v>
      </c>
      <c r="I217" s="67">
        <v>1</v>
      </c>
      <c r="J217" s="68">
        <v>21</v>
      </c>
      <c r="K217" s="68">
        <v>21</v>
      </c>
      <c r="L217">
        <f t="shared" si="3"/>
        <v>30</v>
      </c>
    </row>
    <row r="218" spans="4:12">
      <c r="D218" s="66">
        <v>46120</v>
      </c>
      <c r="E218" s="32">
        <v>1592735</v>
      </c>
      <c r="F218" s="32" t="s">
        <v>27</v>
      </c>
      <c r="G218" s="67">
        <v>20006853</v>
      </c>
      <c r="H218" s="32" t="s">
        <v>186</v>
      </c>
      <c r="I218" s="67">
        <v>2</v>
      </c>
      <c r="J218" s="68">
        <v>24.5</v>
      </c>
      <c r="K218" s="68">
        <v>49</v>
      </c>
      <c r="L218">
        <f t="shared" si="3"/>
        <v>35</v>
      </c>
    </row>
    <row r="219" spans="4:12">
      <c r="D219" s="66">
        <v>46120</v>
      </c>
      <c r="E219" s="32">
        <v>1592735</v>
      </c>
      <c r="F219" s="32" t="s">
        <v>27</v>
      </c>
      <c r="G219" s="67">
        <v>20309675</v>
      </c>
      <c r="H219" s="32" t="s">
        <v>269</v>
      </c>
      <c r="I219" s="67">
        <v>1</v>
      </c>
      <c r="J219" s="68">
        <v>19.6</v>
      </c>
      <c r="K219" s="68">
        <v>19.6</v>
      </c>
      <c r="L219">
        <f t="shared" si="3"/>
        <v>28</v>
      </c>
    </row>
    <row r="220" spans="4:12">
      <c r="D220" s="66">
        <v>46120</v>
      </c>
      <c r="E220" s="32">
        <v>1592735</v>
      </c>
      <c r="F220" s="32" t="s">
        <v>27</v>
      </c>
      <c r="G220" s="67">
        <v>20400917</v>
      </c>
      <c r="H220" s="32" t="s">
        <v>188</v>
      </c>
      <c r="I220" s="67">
        <v>2</v>
      </c>
      <c r="J220" s="68">
        <v>17.5</v>
      </c>
      <c r="K220" s="68">
        <v>35</v>
      </c>
      <c r="L220">
        <f t="shared" si="3"/>
        <v>25</v>
      </c>
    </row>
    <row r="221" spans="4:12">
      <c r="D221" s="66">
        <v>46120</v>
      </c>
      <c r="E221" s="32">
        <v>1592735</v>
      </c>
      <c r="F221" s="32" t="s">
        <v>27</v>
      </c>
      <c r="G221" s="67">
        <v>20012182</v>
      </c>
      <c r="H221" s="32" t="s">
        <v>248</v>
      </c>
      <c r="I221" s="67">
        <v>2</v>
      </c>
      <c r="J221" s="68">
        <v>19.6</v>
      </c>
      <c r="K221" s="68">
        <v>39.2</v>
      </c>
      <c r="L221">
        <f t="shared" si="3"/>
        <v>28</v>
      </c>
    </row>
    <row r="222" spans="4:12">
      <c r="D222" s="66">
        <v>46120</v>
      </c>
      <c r="E222" s="32">
        <v>1592735</v>
      </c>
      <c r="F222" s="32" t="s">
        <v>27</v>
      </c>
      <c r="G222" s="67">
        <v>20007639</v>
      </c>
      <c r="H222" s="32" t="s">
        <v>189</v>
      </c>
      <c r="I222" s="67">
        <v>2</v>
      </c>
      <c r="J222" s="68">
        <v>19.6</v>
      </c>
      <c r="K222" s="68">
        <v>39.2</v>
      </c>
      <c r="L222">
        <f t="shared" si="3"/>
        <v>28</v>
      </c>
    </row>
    <row r="223" spans="4:12">
      <c r="D223" s="66">
        <v>46120</v>
      </c>
      <c r="E223" s="32">
        <v>1592735</v>
      </c>
      <c r="F223" s="32" t="s">
        <v>27</v>
      </c>
      <c r="G223" s="67">
        <v>20009272</v>
      </c>
      <c r="H223" s="32" t="s">
        <v>261</v>
      </c>
      <c r="I223" s="67">
        <v>2</v>
      </c>
      <c r="J223" s="68">
        <v>19.6</v>
      </c>
      <c r="K223" s="68">
        <v>39.2</v>
      </c>
      <c r="L223">
        <f t="shared" si="3"/>
        <v>28</v>
      </c>
    </row>
    <row r="224" spans="4:12">
      <c r="D224" s="66">
        <v>46120</v>
      </c>
      <c r="E224" s="32">
        <v>1592735</v>
      </c>
      <c r="F224" s="32" t="s">
        <v>27</v>
      </c>
      <c r="G224" s="67">
        <v>20007638</v>
      </c>
      <c r="H224" s="32" t="s">
        <v>190</v>
      </c>
      <c r="I224" s="67">
        <v>3</v>
      </c>
      <c r="J224" s="68">
        <v>19.6</v>
      </c>
      <c r="K224" s="68">
        <v>58.8</v>
      </c>
      <c r="L224">
        <f t="shared" si="3"/>
        <v>28</v>
      </c>
    </row>
    <row r="225" spans="4:12">
      <c r="D225" s="66">
        <v>46120</v>
      </c>
      <c r="E225" s="32">
        <v>1592735</v>
      </c>
      <c r="F225" s="32" t="s">
        <v>27</v>
      </c>
      <c r="G225" s="67">
        <v>20008639</v>
      </c>
      <c r="H225" s="32" t="s">
        <v>191</v>
      </c>
      <c r="I225" s="67">
        <v>2</v>
      </c>
      <c r="J225" s="68">
        <v>17.5</v>
      </c>
      <c r="K225" s="68">
        <v>35</v>
      </c>
      <c r="L225">
        <f t="shared" si="3"/>
        <v>25</v>
      </c>
    </row>
    <row r="226" spans="4:12">
      <c r="D226" s="66">
        <v>46120</v>
      </c>
      <c r="E226" s="32">
        <v>1592735</v>
      </c>
      <c r="F226" s="32" t="s">
        <v>27</v>
      </c>
      <c r="G226" s="67">
        <v>20397472</v>
      </c>
      <c r="H226" s="32" t="s">
        <v>270</v>
      </c>
      <c r="I226" s="67">
        <v>1</v>
      </c>
      <c r="J226" s="68">
        <v>15.4</v>
      </c>
      <c r="K226" s="68">
        <v>15.4</v>
      </c>
      <c r="L226">
        <f t="shared" si="3"/>
        <v>22</v>
      </c>
    </row>
    <row r="227" spans="4:12">
      <c r="D227" s="66">
        <v>46120</v>
      </c>
      <c r="E227" s="32">
        <v>1592735</v>
      </c>
      <c r="F227" s="32" t="s">
        <v>69</v>
      </c>
      <c r="G227" s="67">
        <v>20395507</v>
      </c>
      <c r="H227" s="32" t="s">
        <v>192</v>
      </c>
      <c r="I227" s="67">
        <v>2</v>
      </c>
      <c r="J227" s="68">
        <v>19.6</v>
      </c>
      <c r="K227" s="68">
        <v>39.2</v>
      </c>
      <c r="L227">
        <f t="shared" si="3"/>
        <v>28</v>
      </c>
    </row>
    <row r="228" spans="4:12">
      <c r="D228" s="66">
        <v>46120</v>
      </c>
      <c r="E228" s="32">
        <v>1592735</v>
      </c>
      <c r="F228" s="32" t="s">
        <v>69</v>
      </c>
      <c r="G228" s="67">
        <v>20011031</v>
      </c>
      <c r="H228" s="32" t="s">
        <v>271</v>
      </c>
      <c r="I228" s="67">
        <v>1</v>
      </c>
      <c r="J228" s="68">
        <v>19.6</v>
      </c>
      <c r="K228" s="68">
        <v>19.6</v>
      </c>
      <c r="L228">
        <f t="shared" si="3"/>
        <v>28</v>
      </c>
    </row>
    <row r="229" spans="4:12">
      <c r="D229" s="66">
        <v>46120</v>
      </c>
      <c r="E229" s="32">
        <v>1592735</v>
      </c>
      <c r="F229" s="32" t="s">
        <v>69</v>
      </c>
      <c r="G229" s="67">
        <v>20008210</v>
      </c>
      <c r="H229" s="32" t="s">
        <v>272</v>
      </c>
      <c r="I229" s="67">
        <v>1</v>
      </c>
      <c r="J229" s="68">
        <v>19.6</v>
      </c>
      <c r="K229" s="68">
        <v>19.6</v>
      </c>
      <c r="L229">
        <f t="shared" si="3"/>
        <v>28</v>
      </c>
    </row>
    <row r="230" spans="4:12">
      <c r="D230" s="66">
        <v>46120</v>
      </c>
      <c r="E230" s="32">
        <v>1592742</v>
      </c>
      <c r="F230" s="32" t="s">
        <v>27</v>
      </c>
      <c r="G230" s="67">
        <v>20397472</v>
      </c>
      <c r="H230" s="32" t="s">
        <v>270</v>
      </c>
      <c r="I230" s="67">
        <v>1</v>
      </c>
      <c r="J230" s="68">
        <v>15.4</v>
      </c>
      <c r="K230" s="68">
        <v>15.4</v>
      </c>
      <c r="L230">
        <f t="shared" si="3"/>
        <v>22</v>
      </c>
    </row>
    <row r="231" spans="4:12">
      <c r="D231" s="66">
        <v>46120</v>
      </c>
      <c r="E231" s="32">
        <v>1592754</v>
      </c>
      <c r="F231" s="32" t="s">
        <v>36</v>
      </c>
      <c r="G231" s="67">
        <v>20013582</v>
      </c>
      <c r="H231" s="32" t="s">
        <v>273</v>
      </c>
      <c r="I231" s="67">
        <v>1</v>
      </c>
      <c r="J231" s="68">
        <v>311.85</v>
      </c>
      <c r="K231" s="68">
        <v>311.85</v>
      </c>
      <c r="L231">
        <f t="shared" si="3"/>
        <v>445.5</v>
      </c>
    </row>
    <row r="232" spans="4:12">
      <c r="D232" s="66">
        <v>46120</v>
      </c>
      <c r="E232" s="32">
        <v>1593032</v>
      </c>
      <c r="F232" s="32" t="s">
        <v>36</v>
      </c>
      <c r="G232" s="67">
        <v>20325851</v>
      </c>
      <c r="H232" s="32" t="s">
        <v>175</v>
      </c>
      <c r="I232" s="67">
        <v>1</v>
      </c>
      <c r="J232" s="68">
        <v>150.15</v>
      </c>
      <c r="K232" s="68">
        <v>150.15</v>
      </c>
      <c r="L232">
        <f t="shared" si="3"/>
        <v>214.5</v>
      </c>
    </row>
    <row r="233" spans="4:12">
      <c r="D233" s="66">
        <v>46120</v>
      </c>
      <c r="E233" s="32">
        <v>1593032</v>
      </c>
      <c r="F233" s="32" t="s">
        <v>36</v>
      </c>
      <c r="G233" s="67">
        <v>20311037</v>
      </c>
      <c r="H233" s="32" t="s">
        <v>194</v>
      </c>
      <c r="I233" s="67">
        <v>2</v>
      </c>
      <c r="J233" s="68">
        <v>53.55</v>
      </c>
      <c r="K233" s="68">
        <v>107.1</v>
      </c>
      <c r="L233">
        <f t="shared" si="3"/>
        <v>76.5</v>
      </c>
    </row>
    <row r="234" spans="4:12">
      <c r="D234" s="66">
        <v>46120</v>
      </c>
      <c r="E234" s="32">
        <v>1593032</v>
      </c>
      <c r="F234" s="32" t="s">
        <v>180</v>
      </c>
      <c r="G234" s="67">
        <v>20362791</v>
      </c>
      <c r="H234" s="32" t="s">
        <v>181</v>
      </c>
      <c r="I234" s="67">
        <v>1</v>
      </c>
      <c r="J234" s="68">
        <v>24.5</v>
      </c>
      <c r="K234" s="68">
        <v>24.5</v>
      </c>
      <c r="L234">
        <f t="shared" si="3"/>
        <v>35</v>
      </c>
    </row>
    <row r="235" customFormat="1" spans="4:12">
      <c r="D235" s="66">
        <v>46120</v>
      </c>
      <c r="E235" s="32">
        <v>1593033</v>
      </c>
      <c r="F235" s="32" t="s">
        <v>27</v>
      </c>
      <c r="G235" s="67">
        <v>20015198</v>
      </c>
      <c r="H235" s="32" t="s">
        <v>274</v>
      </c>
      <c r="I235" s="67">
        <v>3</v>
      </c>
      <c r="J235" s="68">
        <v>24.5</v>
      </c>
      <c r="K235" s="68">
        <v>73.5</v>
      </c>
      <c r="L235">
        <f t="shared" si="3"/>
        <v>35</v>
      </c>
    </row>
    <row r="236" customFormat="1" spans="4:12">
      <c r="D236" s="66">
        <v>46120</v>
      </c>
      <c r="E236" s="32">
        <v>1593033</v>
      </c>
      <c r="F236" s="32" t="s">
        <v>27</v>
      </c>
      <c r="G236" s="67">
        <v>20013381</v>
      </c>
      <c r="H236" s="32" t="s">
        <v>275</v>
      </c>
      <c r="I236" s="67">
        <v>3</v>
      </c>
      <c r="J236" s="68">
        <v>24.5</v>
      </c>
      <c r="K236" s="68">
        <v>73.5</v>
      </c>
      <c r="L236">
        <f t="shared" si="3"/>
        <v>35</v>
      </c>
    </row>
    <row r="237" customFormat="1" spans="4:12">
      <c r="D237" s="66">
        <v>46120</v>
      </c>
      <c r="E237" s="32">
        <v>1593033</v>
      </c>
      <c r="F237" s="32" t="s">
        <v>27</v>
      </c>
      <c r="G237" s="67">
        <v>20405161</v>
      </c>
      <c r="H237" s="32" t="s">
        <v>276</v>
      </c>
      <c r="I237" s="67">
        <v>1</v>
      </c>
      <c r="J237" s="68">
        <v>24.5</v>
      </c>
      <c r="K237" s="68">
        <f>J237*I237</f>
        <v>24.5</v>
      </c>
      <c r="L237">
        <f t="shared" si="3"/>
        <v>35</v>
      </c>
    </row>
    <row r="238" customFormat="1" spans="4:12">
      <c r="D238" s="66">
        <v>46120</v>
      </c>
      <c r="E238" s="32">
        <v>1593033</v>
      </c>
      <c r="F238" s="32" t="s">
        <v>27</v>
      </c>
      <c r="G238" s="67">
        <v>20405164</v>
      </c>
      <c r="H238" s="32" t="s">
        <v>277</v>
      </c>
      <c r="I238" s="67">
        <v>5</v>
      </c>
      <c r="J238" s="68">
        <v>61.6</v>
      </c>
      <c r="K238" s="68">
        <v>308</v>
      </c>
      <c r="L238">
        <f t="shared" si="3"/>
        <v>88</v>
      </c>
    </row>
    <row r="239" customFormat="1" spans="4:12">
      <c r="D239" s="66">
        <v>46120</v>
      </c>
      <c r="E239" s="32">
        <v>1593033</v>
      </c>
      <c r="F239" s="32" t="s">
        <v>27</v>
      </c>
      <c r="G239" s="67">
        <v>20405163</v>
      </c>
      <c r="H239" s="32" t="s">
        <v>278</v>
      </c>
      <c r="I239" s="67">
        <v>4</v>
      </c>
      <c r="J239" s="68">
        <v>24.5</v>
      </c>
      <c r="K239" s="68">
        <v>98</v>
      </c>
      <c r="L239">
        <f t="shared" si="3"/>
        <v>35</v>
      </c>
    </row>
    <row r="240" spans="4:12">
      <c r="D240" s="66">
        <v>46120</v>
      </c>
      <c r="E240" s="32">
        <v>1593045</v>
      </c>
      <c r="F240" s="32" t="s">
        <v>36</v>
      </c>
      <c r="G240" s="67">
        <v>20007715</v>
      </c>
      <c r="H240" s="32" t="s">
        <v>193</v>
      </c>
      <c r="I240" s="67">
        <v>1</v>
      </c>
      <c r="J240" s="68">
        <v>180.95</v>
      </c>
      <c r="K240" s="68">
        <v>180.95</v>
      </c>
      <c r="L240">
        <f t="shared" si="3"/>
        <v>258.5</v>
      </c>
    </row>
    <row r="241" spans="4:12">
      <c r="D241" s="66">
        <v>46120</v>
      </c>
      <c r="E241" s="32">
        <v>1593045</v>
      </c>
      <c r="F241" s="32" t="s">
        <v>36</v>
      </c>
      <c r="G241" s="67">
        <v>20008128</v>
      </c>
      <c r="H241" s="32" t="s">
        <v>174</v>
      </c>
      <c r="I241" s="67">
        <v>2</v>
      </c>
      <c r="J241" s="68">
        <v>130.9</v>
      </c>
      <c r="K241" s="68">
        <v>261.8</v>
      </c>
      <c r="L241">
        <f t="shared" si="3"/>
        <v>187</v>
      </c>
    </row>
    <row r="242" spans="4:12">
      <c r="D242" s="66">
        <v>46120</v>
      </c>
      <c r="E242" s="32">
        <v>1593045</v>
      </c>
      <c r="F242" s="32" t="s">
        <v>25</v>
      </c>
      <c r="G242" s="67">
        <v>20008214</v>
      </c>
      <c r="H242" s="32" t="s">
        <v>99</v>
      </c>
      <c r="I242" s="67">
        <v>4</v>
      </c>
      <c r="J242" s="68">
        <v>11.55</v>
      </c>
      <c r="K242" s="68">
        <v>46.2</v>
      </c>
      <c r="L242">
        <f t="shared" si="3"/>
        <v>16.5</v>
      </c>
    </row>
    <row r="243" spans="4:12">
      <c r="D243" s="66">
        <v>46120</v>
      </c>
      <c r="E243" s="32">
        <v>1593045</v>
      </c>
      <c r="F243" s="32" t="s">
        <v>25</v>
      </c>
      <c r="G243" s="67">
        <v>20013952</v>
      </c>
      <c r="H243" s="32" t="s">
        <v>179</v>
      </c>
      <c r="I243" s="67">
        <v>1</v>
      </c>
      <c r="J243" s="68">
        <v>11.55</v>
      </c>
      <c r="K243" s="68">
        <v>11.55</v>
      </c>
      <c r="L243">
        <f t="shared" si="3"/>
        <v>16.5</v>
      </c>
    </row>
    <row r="244" spans="4:12">
      <c r="D244" s="66">
        <v>46120</v>
      </c>
      <c r="E244" s="32">
        <v>1593045</v>
      </c>
      <c r="F244" s="32" t="s">
        <v>25</v>
      </c>
      <c r="G244" s="67">
        <v>20013916</v>
      </c>
      <c r="H244" s="32" t="s">
        <v>182</v>
      </c>
      <c r="I244" s="67">
        <v>1</v>
      </c>
      <c r="J244" s="68">
        <v>11.55</v>
      </c>
      <c r="K244" s="68">
        <v>11.55</v>
      </c>
      <c r="L244">
        <f t="shared" si="3"/>
        <v>16.5</v>
      </c>
    </row>
    <row r="245" spans="4:12">
      <c r="D245" s="66">
        <v>46120</v>
      </c>
      <c r="E245" s="32">
        <v>1593046</v>
      </c>
      <c r="F245" s="32" t="s">
        <v>13</v>
      </c>
      <c r="G245" s="67">
        <v>20420709</v>
      </c>
      <c r="H245" s="32" t="s">
        <v>279</v>
      </c>
      <c r="I245" s="67">
        <v>1</v>
      </c>
      <c r="J245" s="68">
        <v>5.6</v>
      </c>
      <c r="K245" s="68">
        <v>5.6</v>
      </c>
      <c r="L245">
        <f t="shared" si="3"/>
        <v>8</v>
      </c>
    </row>
    <row r="246" spans="4:12">
      <c r="D246" s="66">
        <v>46120</v>
      </c>
      <c r="E246" s="32">
        <v>1593046</v>
      </c>
      <c r="F246" s="32" t="s">
        <v>25</v>
      </c>
      <c r="G246" s="67">
        <v>20420707</v>
      </c>
      <c r="H246" s="32" t="s">
        <v>280</v>
      </c>
      <c r="I246" s="67">
        <v>1</v>
      </c>
      <c r="J246" s="68">
        <v>11.55</v>
      </c>
      <c r="K246" s="68">
        <v>11.55</v>
      </c>
      <c r="L246">
        <f t="shared" si="3"/>
        <v>16.5</v>
      </c>
    </row>
    <row r="247" spans="4:12">
      <c r="D247" s="66">
        <v>46120</v>
      </c>
      <c r="E247" s="32">
        <v>1593046</v>
      </c>
      <c r="F247" s="32" t="s">
        <v>25</v>
      </c>
      <c r="G247" s="67">
        <v>20420708</v>
      </c>
      <c r="H247" s="32" t="s">
        <v>281</v>
      </c>
      <c r="I247" s="67">
        <v>1</v>
      </c>
      <c r="J247" s="68">
        <v>15.4</v>
      </c>
      <c r="K247" s="68">
        <v>15.4</v>
      </c>
      <c r="L247">
        <f t="shared" si="3"/>
        <v>22</v>
      </c>
    </row>
    <row r="248" spans="4:12">
      <c r="D248" s="66">
        <v>46121</v>
      </c>
      <c r="E248" s="32">
        <v>1593123</v>
      </c>
      <c r="F248" s="32" t="s">
        <v>13</v>
      </c>
      <c r="G248" s="67">
        <v>20008180</v>
      </c>
      <c r="H248" s="32" t="s">
        <v>217</v>
      </c>
      <c r="I248" s="67">
        <v>1</v>
      </c>
      <c r="J248" s="68">
        <v>5.6</v>
      </c>
      <c r="K248" s="68">
        <v>5.6</v>
      </c>
      <c r="L248">
        <f t="shared" si="3"/>
        <v>8</v>
      </c>
    </row>
    <row r="249" spans="4:12">
      <c r="D249" s="66">
        <v>46121</v>
      </c>
      <c r="E249" s="32">
        <v>1593123</v>
      </c>
      <c r="F249" s="32" t="s">
        <v>13</v>
      </c>
      <c r="G249" s="67">
        <v>20342373</v>
      </c>
      <c r="H249" s="32" t="s">
        <v>221</v>
      </c>
      <c r="I249" s="67">
        <v>1</v>
      </c>
      <c r="J249" s="68">
        <v>7.7</v>
      </c>
      <c r="K249" s="68">
        <v>7.7</v>
      </c>
      <c r="L249">
        <f t="shared" si="3"/>
        <v>11</v>
      </c>
    </row>
    <row r="250" spans="4:12">
      <c r="D250" s="66">
        <v>46121</v>
      </c>
      <c r="E250" s="32">
        <v>1593123</v>
      </c>
      <c r="F250" s="32" t="s">
        <v>13</v>
      </c>
      <c r="G250" s="67">
        <v>20008196</v>
      </c>
      <c r="H250" s="32" t="s">
        <v>250</v>
      </c>
      <c r="I250" s="67">
        <v>1</v>
      </c>
      <c r="J250" s="68">
        <v>7.7</v>
      </c>
      <c r="K250" s="68">
        <v>7.7</v>
      </c>
      <c r="L250">
        <f t="shared" si="3"/>
        <v>11</v>
      </c>
    </row>
    <row r="251" spans="4:12">
      <c r="D251" s="66">
        <v>46121</v>
      </c>
      <c r="E251" s="32">
        <v>1593123</v>
      </c>
      <c r="F251" s="32" t="s">
        <v>13</v>
      </c>
      <c r="G251" s="67">
        <v>20011138</v>
      </c>
      <c r="H251" s="32" t="s">
        <v>199</v>
      </c>
      <c r="I251" s="67">
        <v>1</v>
      </c>
      <c r="J251" s="68">
        <v>11.55</v>
      </c>
      <c r="K251" s="68">
        <v>11.55</v>
      </c>
      <c r="L251">
        <f t="shared" si="3"/>
        <v>16.5</v>
      </c>
    </row>
    <row r="252" spans="4:12">
      <c r="D252" s="66">
        <v>46121</v>
      </c>
      <c r="E252" s="32">
        <v>1593132</v>
      </c>
      <c r="F252" s="32" t="s">
        <v>27</v>
      </c>
      <c r="G252" s="67">
        <v>20348232</v>
      </c>
      <c r="H252" s="32" t="s">
        <v>264</v>
      </c>
      <c r="I252" s="67">
        <v>1</v>
      </c>
      <c r="J252" s="68">
        <v>46.2</v>
      </c>
      <c r="K252" s="68">
        <v>46.2</v>
      </c>
      <c r="L252">
        <f t="shared" si="3"/>
        <v>66</v>
      </c>
    </row>
    <row r="253" spans="4:12">
      <c r="D253" s="66">
        <v>46121</v>
      </c>
      <c r="E253" s="32">
        <v>1593132</v>
      </c>
      <c r="F253" s="32" t="s">
        <v>27</v>
      </c>
      <c r="G253" s="67">
        <v>20313974</v>
      </c>
      <c r="H253" s="32" t="s">
        <v>185</v>
      </c>
      <c r="I253" s="67">
        <v>1</v>
      </c>
      <c r="J253" s="68">
        <v>30.8</v>
      </c>
      <c r="K253" s="68">
        <v>30.8</v>
      </c>
      <c r="L253">
        <f t="shared" si="3"/>
        <v>44</v>
      </c>
    </row>
    <row r="254" spans="4:12">
      <c r="D254" s="66">
        <v>46121</v>
      </c>
      <c r="E254" s="32">
        <v>1593132</v>
      </c>
      <c r="F254" s="32" t="s">
        <v>27</v>
      </c>
      <c r="G254" s="67">
        <v>20006853</v>
      </c>
      <c r="H254" s="32" t="s">
        <v>186</v>
      </c>
      <c r="I254" s="67">
        <v>1</v>
      </c>
      <c r="J254" s="68">
        <v>24.5</v>
      </c>
      <c r="K254" s="68">
        <v>24.5</v>
      </c>
      <c r="L254">
        <f t="shared" si="3"/>
        <v>35</v>
      </c>
    </row>
    <row r="255" spans="4:12">
      <c r="D255" s="66">
        <v>46121</v>
      </c>
      <c r="E255" s="32">
        <v>1593132</v>
      </c>
      <c r="F255" s="32" t="s">
        <v>27</v>
      </c>
      <c r="G255" s="67">
        <v>20388302</v>
      </c>
      <c r="H255" s="32" t="s">
        <v>202</v>
      </c>
      <c r="I255" s="67">
        <v>1</v>
      </c>
      <c r="J255" s="68">
        <v>24.5</v>
      </c>
      <c r="K255" s="68">
        <v>24.5</v>
      </c>
      <c r="L255">
        <f t="shared" si="3"/>
        <v>35</v>
      </c>
    </row>
    <row r="256" spans="4:12">
      <c r="D256" s="66">
        <v>46121</v>
      </c>
      <c r="E256" s="32">
        <v>1593132</v>
      </c>
      <c r="F256" s="32" t="s">
        <v>27</v>
      </c>
      <c r="G256" s="67">
        <v>20400917</v>
      </c>
      <c r="H256" s="32" t="s">
        <v>188</v>
      </c>
      <c r="I256" s="67">
        <v>1</v>
      </c>
      <c r="J256" s="68">
        <v>17.5</v>
      </c>
      <c r="K256" s="68">
        <v>17.5</v>
      </c>
      <c r="L256">
        <f t="shared" si="3"/>
        <v>25</v>
      </c>
    </row>
    <row r="257" spans="4:12">
      <c r="D257" s="66">
        <v>46121</v>
      </c>
      <c r="E257" s="32">
        <v>1593132</v>
      </c>
      <c r="F257" s="32" t="s">
        <v>27</v>
      </c>
      <c r="G257" s="67">
        <v>20382022</v>
      </c>
      <c r="H257" s="32" t="s">
        <v>282</v>
      </c>
      <c r="I257" s="67">
        <v>1</v>
      </c>
      <c r="J257" s="68">
        <v>19.6</v>
      </c>
      <c r="K257" s="68">
        <v>19.6</v>
      </c>
      <c r="L257">
        <f t="shared" si="3"/>
        <v>28</v>
      </c>
    </row>
    <row r="258" spans="4:12">
      <c r="D258" s="66">
        <v>46121</v>
      </c>
      <c r="E258" s="32">
        <v>1593132</v>
      </c>
      <c r="F258" s="32" t="s">
        <v>27</v>
      </c>
      <c r="G258" s="67">
        <v>20008389</v>
      </c>
      <c r="H258" s="32" t="s">
        <v>203</v>
      </c>
      <c r="I258" s="67">
        <v>1</v>
      </c>
      <c r="J258" s="68">
        <v>17.5</v>
      </c>
      <c r="K258" s="68">
        <v>17.5</v>
      </c>
      <c r="L258">
        <f t="shared" si="3"/>
        <v>25</v>
      </c>
    </row>
    <row r="259" spans="4:12">
      <c r="D259" s="66">
        <v>46121</v>
      </c>
      <c r="E259" s="32">
        <v>1593132</v>
      </c>
      <c r="F259" s="32" t="s">
        <v>27</v>
      </c>
      <c r="G259" s="67">
        <v>20006863</v>
      </c>
      <c r="H259" s="32" t="s">
        <v>204</v>
      </c>
      <c r="I259" s="67">
        <v>1</v>
      </c>
      <c r="J259" s="68">
        <v>24.5</v>
      </c>
      <c r="K259" s="68">
        <v>24.5</v>
      </c>
      <c r="L259">
        <f t="shared" si="3"/>
        <v>35</v>
      </c>
    </row>
    <row r="260" spans="4:12">
      <c r="D260" s="66">
        <v>46121</v>
      </c>
      <c r="E260" s="32">
        <v>1593132</v>
      </c>
      <c r="F260" s="32" t="s">
        <v>27</v>
      </c>
      <c r="G260" s="67">
        <v>20007639</v>
      </c>
      <c r="H260" s="32" t="s">
        <v>189</v>
      </c>
      <c r="I260" s="67">
        <v>1</v>
      </c>
      <c r="J260" s="68">
        <v>19.6</v>
      </c>
      <c r="K260" s="68">
        <v>19.6</v>
      </c>
      <c r="L260">
        <f t="shared" si="3"/>
        <v>28</v>
      </c>
    </row>
    <row r="261" spans="4:12">
      <c r="D261" s="66">
        <v>46121</v>
      </c>
      <c r="E261" s="32">
        <v>1593132</v>
      </c>
      <c r="F261" s="32" t="s">
        <v>27</v>
      </c>
      <c r="G261" s="67">
        <v>20009272</v>
      </c>
      <c r="H261" s="32" t="s">
        <v>261</v>
      </c>
      <c r="I261" s="67">
        <v>2</v>
      </c>
      <c r="J261" s="68">
        <v>19.6</v>
      </c>
      <c r="K261" s="68">
        <v>39.2</v>
      </c>
      <c r="L261">
        <f t="shared" si="3"/>
        <v>28</v>
      </c>
    </row>
    <row r="262" spans="4:12">
      <c r="D262" s="66">
        <v>46121</v>
      </c>
      <c r="E262" s="32">
        <v>1593132</v>
      </c>
      <c r="F262" s="32" t="s">
        <v>27</v>
      </c>
      <c r="G262" s="67">
        <v>20007638</v>
      </c>
      <c r="H262" s="32" t="s">
        <v>190</v>
      </c>
      <c r="I262" s="67">
        <v>1</v>
      </c>
      <c r="J262" s="68">
        <v>19.6</v>
      </c>
      <c r="K262" s="68">
        <v>19.6</v>
      </c>
      <c r="L262">
        <f t="shared" si="3"/>
        <v>28</v>
      </c>
    </row>
    <row r="263" spans="4:12">
      <c r="D263" s="66">
        <v>46121</v>
      </c>
      <c r="E263" s="32">
        <v>1593132</v>
      </c>
      <c r="F263" s="32" t="s">
        <v>27</v>
      </c>
      <c r="G263" s="67">
        <v>20008639</v>
      </c>
      <c r="H263" s="32" t="s">
        <v>191</v>
      </c>
      <c r="I263" s="67">
        <v>1</v>
      </c>
      <c r="J263" s="68">
        <v>17.5</v>
      </c>
      <c r="K263" s="68">
        <v>17.5</v>
      </c>
      <c r="L263">
        <f t="shared" si="3"/>
        <v>25</v>
      </c>
    </row>
    <row r="264" spans="4:12">
      <c r="D264" s="66">
        <v>46121</v>
      </c>
      <c r="E264" s="32">
        <v>1593132</v>
      </c>
      <c r="F264" s="32" t="s">
        <v>27</v>
      </c>
      <c r="G264" s="67">
        <v>20322920</v>
      </c>
      <c r="H264" s="32" t="s">
        <v>151</v>
      </c>
      <c r="I264" s="67">
        <v>1</v>
      </c>
      <c r="J264" s="68">
        <v>19.6</v>
      </c>
      <c r="K264" s="68">
        <v>19.6</v>
      </c>
      <c r="L264">
        <f t="shared" si="3"/>
        <v>28</v>
      </c>
    </row>
    <row r="265" spans="4:12">
      <c r="D265" s="66">
        <v>46121</v>
      </c>
      <c r="E265" s="32">
        <v>1593132</v>
      </c>
      <c r="F265" s="32" t="s">
        <v>69</v>
      </c>
      <c r="G265" s="67">
        <v>20008378</v>
      </c>
      <c r="H265" s="32" t="s">
        <v>246</v>
      </c>
      <c r="I265" s="67">
        <v>1</v>
      </c>
      <c r="J265" s="68">
        <v>19.6</v>
      </c>
      <c r="K265" s="68">
        <v>19.6</v>
      </c>
      <c r="L265">
        <f t="shared" si="3"/>
        <v>28</v>
      </c>
    </row>
    <row r="266" spans="4:12">
      <c r="D266" s="66">
        <v>46121</v>
      </c>
      <c r="E266" s="32">
        <v>1593132</v>
      </c>
      <c r="F266" s="32" t="s">
        <v>69</v>
      </c>
      <c r="G266" s="67">
        <v>20008210</v>
      </c>
      <c r="H266" s="32" t="s">
        <v>272</v>
      </c>
      <c r="I266" s="67">
        <v>1</v>
      </c>
      <c r="J266" s="68">
        <v>19.6</v>
      </c>
      <c r="K266" s="68">
        <v>19.6</v>
      </c>
      <c r="L266">
        <f t="shared" ref="L266:L329" si="4">J266/0.7</f>
        <v>28</v>
      </c>
    </row>
    <row r="267" spans="4:12">
      <c r="D267" s="66">
        <v>46121</v>
      </c>
      <c r="E267" s="32">
        <v>1593132</v>
      </c>
      <c r="F267" s="32" t="s">
        <v>69</v>
      </c>
      <c r="G267" s="67">
        <v>20013036</v>
      </c>
      <c r="H267" s="32" t="s">
        <v>206</v>
      </c>
      <c r="I267" s="67">
        <v>1</v>
      </c>
      <c r="J267" s="68">
        <v>30.8</v>
      </c>
      <c r="K267" s="68">
        <v>30.8</v>
      </c>
      <c r="L267">
        <f t="shared" si="4"/>
        <v>44</v>
      </c>
    </row>
    <row r="268" spans="4:12">
      <c r="D268" s="66">
        <v>46121</v>
      </c>
      <c r="E268" s="32">
        <v>1593254</v>
      </c>
      <c r="F268" s="32" t="s">
        <v>36</v>
      </c>
      <c r="G268" s="67">
        <v>20314697</v>
      </c>
      <c r="H268" s="32" t="s">
        <v>283</v>
      </c>
      <c r="I268" s="67">
        <v>1</v>
      </c>
      <c r="J268" s="68">
        <v>142.45</v>
      </c>
      <c r="K268" s="68">
        <v>142.45</v>
      </c>
      <c r="L268">
        <f t="shared" si="4"/>
        <v>203.5</v>
      </c>
    </row>
    <row r="269" spans="4:12">
      <c r="D269" s="66">
        <v>46121</v>
      </c>
      <c r="E269" s="32">
        <v>1593254</v>
      </c>
      <c r="F269" s="32" t="s">
        <v>36</v>
      </c>
      <c r="G269" s="67">
        <v>20008128</v>
      </c>
      <c r="H269" s="32" t="s">
        <v>174</v>
      </c>
      <c r="I269" s="67">
        <v>1</v>
      </c>
      <c r="J269" s="68">
        <v>130.9</v>
      </c>
      <c r="K269" s="68">
        <v>130.9</v>
      </c>
      <c r="L269">
        <f t="shared" si="4"/>
        <v>187</v>
      </c>
    </row>
    <row r="270" spans="4:12">
      <c r="D270" s="66">
        <v>46121</v>
      </c>
      <c r="E270" s="32">
        <v>1593254</v>
      </c>
      <c r="F270" s="32" t="s">
        <v>25</v>
      </c>
      <c r="G270" s="67">
        <v>20008214</v>
      </c>
      <c r="H270" s="32" t="s">
        <v>99</v>
      </c>
      <c r="I270" s="67">
        <v>1</v>
      </c>
      <c r="J270" s="68">
        <v>11.55</v>
      </c>
      <c r="K270" s="68">
        <v>11.55</v>
      </c>
      <c r="L270">
        <f t="shared" si="4"/>
        <v>16.5</v>
      </c>
    </row>
    <row r="271" spans="4:12">
      <c r="D271" s="66">
        <v>46121</v>
      </c>
      <c r="E271" s="32">
        <v>1593254</v>
      </c>
      <c r="F271" s="32" t="s">
        <v>25</v>
      </c>
      <c r="G271" s="67">
        <v>20013952</v>
      </c>
      <c r="H271" s="32" t="s">
        <v>179</v>
      </c>
      <c r="I271" s="67">
        <v>1</v>
      </c>
      <c r="J271" s="68">
        <v>11.55</v>
      </c>
      <c r="K271" s="68">
        <v>11.55</v>
      </c>
      <c r="L271">
        <f t="shared" si="4"/>
        <v>16.5</v>
      </c>
    </row>
    <row r="272" spans="4:12">
      <c r="D272" s="66">
        <v>46121</v>
      </c>
      <c r="E272" s="32">
        <v>1593254</v>
      </c>
      <c r="F272" s="32" t="s">
        <v>25</v>
      </c>
      <c r="G272" s="67">
        <v>20008345</v>
      </c>
      <c r="H272" s="32" t="s">
        <v>131</v>
      </c>
      <c r="I272" s="67">
        <v>1</v>
      </c>
      <c r="J272" s="68">
        <v>19.25</v>
      </c>
      <c r="K272" s="68">
        <v>19.25</v>
      </c>
      <c r="L272">
        <f t="shared" si="4"/>
        <v>27.5</v>
      </c>
    </row>
    <row r="273" spans="4:12">
      <c r="D273" s="66">
        <v>46121</v>
      </c>
      <c r="E273" s="32">
        <v>1593440</v>
      </c>
      <c r="F273" s="32" t="s">
        <v>36</v>
      </c>
      <c r="G273" s="67">
        <v>20006867</v>
      </c>
      <c r="H273" s="32" t="s">
        <v>215</v>
      </c>
      <c r="I273" s="67">
        <v>1</v>
      </c>
      <c r="J273" s="68">
        <v>246.4</v>
      </c>
      <c r="K273" s="68">
        <v>246.4</v>
      </c>
      <c r="L273">
        <f t="shared" si="4"/>
        <v>352</v>
      </c>
    </row>
    <row r="274" spans="4:12">
      <c r="D274" s="66">
        <v>46121</v>
      </c>
      <c r="E274" s="32">
        <v>1593440</v>
      </c>
      <c r="F274" s="32" t="s">
        <v>36</v>
      </c>
      <c r="G274" s="67">
        <v>20007715</v>
      </c>
      <c r="H274" s="32" t="s">
        <v>193</v>
      </c>
      <c r="I274" s="67">
        <v>3</v>
      </c>
      <c r="J274" s="68">
        <v>180.95</v>
      </c>
      <c r="K274" s="68">
        <v>542.85</v>
      </c>
      <c r="L274">
        <f t="shared" si="4"/>
        <v>258.5</v>
      </c>
    </row>
    <row r="275" spans="4:12">
      <c r="D275" s="66">
        <v>46121</v>
      </c>
      <c r="E275" s="32">
        <v>1593440</v>
      </c>
      <c r="F275" s="32" t="s">
        <v>36</v>
      </c>
      <c r="G275" s="67">
        <v>20012472</v>
      </c>
      <c r="H275" s="32" t="s">
        <v>284</v>
      </c>
      <c r="I275" s="67">
        <v>1</v>
      </c>
      <c r="J275" s="68">
        <v>119.35</v>
      </c>
      <c r="K275" s="68">
        <v>119.35</v>
      </c>
      <c r="L275">
        <f t="shared" si="4"/>
        <v>170.5</v>
      </c>
    </row>
    <row r="276" spans="4:12">
      <c r="D276" s="66">
        <v>46121</v>
      </c>
      <c r="E276" s="32">
        <v>1593440</v>
      </c>
      <c r="F276" s="32" t="s">
        <v>36</v>
      </c>
      <c r="G276" s="67">
        <v>20008128</v>
      </c>
      <c r="H276" s="32" t="s">
        <v>174</v>
      </c>
      <c r="I276" s="67">
        <v>4</v>
      </c>
      <c r="J276" s="68">
        <v>130.9</v>
      </c>
      <c r="K276" s="68">
        <v>523.6</v>
      </c>
      <c r="L276">
        <f t="shared" si="4"/>
        <v>187</v>
      </c>
    </row>
    <row r="277" spans="4:12">
      <c r="D277" s="66">
        <v>46121</v>
      </c>
      <c r="E277" s="32">
        <v>1593440</v>
      </c>
      <c r="F277" s="32" t="s">
        <v>36</v>
      </c>
      <c r="G277" s="67">
        <v>20311037</v>
      </c>
      <c r="H277" s="32" t="s">
        <v>194</v>
      </c>
      <c r="I277" s="67">
        <v>1</v>
      </c>
      <c r="J277" s="68">
        <v>53.55</v>
      </c>
      <c r="K277" s="68">
        <v>53.55</v>
      </c>
      <c r="L277">
        <f t="shared" si="4"/>
        <v>76.5</v>
      </c>
    </row>
    <row r="278" spans="4:12">
      <c r="D278" s="66">
        <v>46121</v>
      </c>
      <c r="E278" s="32">
        <v>1593440</v>
      </c>
      <c r="F278" s="32" t="s">
        <v>13</v>
      </c>
      <c r="G278" s="67">
        <v>20012489</v>
      </c>
      <c r="H278" s="32" t="s">
        <v>75</v>
      </c>
      <c r="I278" s="67">
        <v>1</v>
      </c>
      <c r="J278" s="68">
        <v>5.6</v>
      </c>
      <c r="K278" s="68">
        <v>5.6</v>
      </c>
      <c r="L278">
        <f t="shared" si="4"/>
        <v>8</v>
      </c>
    </row>
    <row r="279" spans="4:12">
      <c r="D279" s="66">
        <v>46121</v>
      </c>
      <c r="E279" s="32">
        <v>1593440</v>
      </c>
      <c r="F279" s="32" t="s">
        <v>13</v>
      </c>
      <c r="G279" s="67">
        <v>20413736</v>
      </c>
      <c r="H279" s="32" t="s">
        <v>285</v>
      </c>
      <c r="I279" s="67">
        <v>1</v>
      </c>
      <c r="J279" s="68">
        <v>5.6</v>
      </c>
      <c r="K279" s="68">
        <v>5.6</v>
      </c>
      <c r="L279">
        <f t="shared" si="4"/>
        <v>8</v>
      </c>
    </row>
    <row r="280" spans="4:12">
      <c r="D280" s="66">
        <v>46121</v>
      </c>
      <c r="E280" s="32">
        <v>1593440</v>
      </c>
      <c r="F280" s="32" t="s">
        <v>13</v>
      </c>
      <c r="G280" s="67">
        <v>20376042</v>
      </c>
      <c r="H280" s="32" t="s">
        <v>196</v>
      </c>
      <c r="I280" s="67">
        <v>1</v>
      </c>
      <c r="J280" s="68">
        <v>5.6</v>
      </c>
      <c r="K280" s="68">
        <v>5.6</v>
      </c>
      <c r="L280">
        <f t="shared" si="4"/>
        <v>8</v>
      </c>
    </row>
    <row r="281" spans="4:12">
      <c r="D281" s="66">
        <v>46121</v>
      </c>
      <c r="E281" s="32">
        <v>1593440</v>
      </c>
      <c r="F281" s="32" t="s">
        <v>13</v>
      </c>
      <c r="G281" s="67">
        <v>20405158</v>
      </c>
      <c r="H281" s="32" t="s">
        <v>197</v>
      </c>
      <c r="I281" s="67">
        <v>1</v>
      </c>
      <c r="J281" s="68">
        <v>7.7</v>
      </c>
      <c r="K281" s="68">
        <v>7.7</v>
      </c>
      <c r="L281">
        <f t="shared" si="4"/>
        <v>11</v>
      </c>
    </row>
    <row r="282" spans="4:12">
      <c r="D282" s="66">
        <v>46121</v>
      </c>
      <c r="E282" s="32">
        <v>1593440</v>
      </c>
      <c r="F282" s="32" t="s">
        <v>13</v>
      </c>
      <c r="G282" s="67">
        <v>20413745</v>
      </c>
      <c r="H282" s="32" t="s">
        <v>198</v>
      </c>
      <c r="I282" s="67">
        <v>1</v>
      </c>
      <c r="J282" s="68">
        <v>5.6</v>
      </c>
      <c r="K282" s="68">
        <v>5.6</v>
      </c>
      <c r="L282">
        <f t="shared" si="4"/>
        <v>8</v>
      </c>
    </row>
    <row r="283" spans="4:12">
      <c r="D283" s="66">
        <v>46121</v>
      </c>
      <c r="E283" s="32">
        <v>1593440</v>
      </c>
      <c r="F283" s="32" t="s">
        <v>13</v>
      </c>
      <c r="G283" s="67">
        <v>20420905</v>
      </c>
      <c r="H283" s="32" t="s">
        <v>286</v>
      </c>
      <c r="I283" s="67">
        <v>1</v>
      </c>
      <c r="J283" s="68">
        <v>5.6</v>
      </c>
      <c r="K283" s="68">
        <v>5.6</v>
      </c>
      <c r="L283">
        <f t="shared" si="4"/>
        <v>8</v>
      </c>
    </row>
    <row r="284" spans="4:12">
      <c r="D284" s="66">
        <v>46121</v>
      </c>
      <c r="E284" s="32">
        <v>1593440</v>
      </c>
      <c r="F284" s="32" t="s">
        <v>13</v>
      </c>
      <c r="G284" s="67">
        <v>20013461</v>
      </c>
      <c r="H284" s="32" t="s">
        <v>89</v>
      </c>
      <c r="I284" s="67">
        <v>1</v>
      </c>
      <c r="J284" s="68">
        <v>11.55</v>
      </c>
      <c r="K284" s="68">
        <v>11.55</v>
      </c>
      <c r="L284">
        <f t="shared" si="4"/>
        <v>16.5</v>
      </c>
    </row>
    <row r="285" spans="4:12">
      <c r="D285" s="66">
        <v>46121</v>
      </c>
      <c r="E285" s="32">
        <v>1593440</v>
      </c>
      <c r="F285" s="32" t="s">
        <v>13</v>
      </c>
      <c r="G285" s="67">
        <v>20398132</v>
      </c>
      <c r="H285" s="32" t="s">
        <v>287</v>
      </c>
      <c r="I285" s="67">
        <v>5</v>
      </c>
      <c r="J285" s="68">
        <v>5.6</v>
      </c>
      <c r="K285" s="68">
        <v>28</v>
      </c>
      <c r="L285">
        <f t="shared" si="4"/>
        <v>8</v>
      </c>
    </row>
    <row r="286" ht="24.75" spans="4:12">
      <c r="D286" s="66">
        <v>46121</v>
      </c>
      <c r="E286" s="32">
        <v>1593440</v>
      </c>
      <c r="F286" s="32" t="s">
        <v>288</v>
      </c>
      <c r="G286" s="67">
        <v>20367134</v>
      </c>
      <c r="H286" s="32" t="s">
        <v>289</v>
      </c>
      <c r="I286" s="67">
        <v>1</v>
      </c>
      <c r="J286" s="68">
        <v>207.9</v>
      </c>
      <c r="K286" s="68">
        <v>207.9</v>
      </c>
      <c r="L286">
        <f t="shared" si="4"/>
        <v>297</v>
      </c>
    </row>
    <row r="287" spans="4:12">
      <c r="D287" s="66">
        <v>46121</v>
      </c>
      <c r="E287" s="32">
        <v>1593440</v>
      </c>
      <c r="F287" s="32" t="s">
        <v>180</v>
      </c>
      <c r="G287" s="67">
        <v>20362791</v>
      </c>
      <c r="H287" s="32" t="s">
        <v>181</v>
      </c>
      <c r="I287" s="67">
        <v>1</v>
      </c>
      <c r="J287" s="68">
        <v>24.5</v>
      </c>
      <c r="K287" s="68">
        <v>24.5</v>
      </c>
      <c r="L287">
        <f t="shared" si="4"/>
        <v>35</v>
      </c>
    </row>
    <row r="288" spans="4:12">
      <c r="D288" s="66">
        <v>46121</v>
      </c>
      <c r="E288" s="32">
        <v>1593440</v>
      </c>
      <c r="F288" s="32" t="s">
        <v>25</v>
      </c>
      <c r="G288" s="67">
        <v>20008214</v>
      </c>
      <c r="H288" s="32" t="s">
        <v>99</v>
      </c>
      <c r="I288" s="67">
        <v>8</v>
      </c>
      <c r="J288" s="68">
        <v>11.55</v>
      </c>
      <c r="K288" s="68">
        <v>92.4</v>
      </c>
      <c r="L288">
        <f t="shared" si="4"/>
        <v>16.5</v>
      </c>
    </row>
    <row r="289" spans="4:12">
      <c r="D289" s="66">
        <v>46122</v>
      </c>
      <c r="E289" s="32">
        <v>1593473</v>
      </c>
      <c r="F289" s="32" t="s">
        <v>13</v>
      </c>
      <c r="G289" s="67">
        <v>20012311</v>
      </c>
      <c r="H289" s="32" t="s">
        <v>211</v>
      </c>
      <c r="I289" s="67">
        <v>1</v>
      </c>
      <c r="J289" s="68">
        <v>7.7</v>
      </c>
      <c r="K289" s="68">
        <v>7.7</v>
      </c>
      <c r="L289">
        <f t="shared" si="4"/>
        <v>11</v>
      </c>
    </row>
    <row r="290" spans="4:12">
      <c r="D290" s="66">
        <v>46122</v>
      </c>
      <c r="E290" s="32">
        <v>1593473</v>
      </c>
      <c r="F290" s="32" t="s">
        <v>13</v>
      </c>
      <c r="G290" s="67">
        <v>20008196</v>
      </c>
      <c r="H290" s="32" t="s">
        <v>250</v>
      </c>
      <c r="I290" s="67">
        <v>1</v>
      </c>
      <c r="J290" s="68">
        <v>7.7</v>
      </c>
      <c r="K290" s="68">
        <v>7.7</v>
      </c>
      <c r="L290">
        <f t="shared" si="4"/>
        <v>11</v>
      </c>
    </row>
    <row r="291" spans="4:12">
      <c r="D291" s="66">
        <v>46122</v>
      </c>
      <c r="E291" s="32">
        <v>1593473</v>
      </c>
      <c r="F291" s="32" t="s">
        <v>13</v>
      </c>
      <c r="G291" s="67">
        <v>20413736</v>
      </c>
      <c r="H291" s="32" t="s">
        <v>285</v>
      </c>
      <c r="I291" s="67">
        <v>1</v>
      </c>
      <c r="J291" s="68">
        <v>5.6</v>
      </c>
      <c r="K291" s="68">
        <v>5.6</v>
      </c>
      <c r="L291">
        <f t="shared" si="4"/>
        <v>8</v>
      </c>
    </row>
    <row r="292" spans="4:12">
      <c r="D292" s="66">
        <v>46122</v>
      </c>
      <c r="E292" s="32">
        <v>1593473</v>
      </c>
      <c r="F292" s="32" t="s">
        <v>13</v>
      </c>
      <c r="G292" s="67">
        <v>20008491</v>
      </c>
      <c r="H292" s="32" t="s">
        <v>104</v>
      </c>
      <c r="I292" s="67">
        <v>1</v>
      </c>
      <c r="J292" s="68">
        <v>11.55</v>
      </c>
      <c r="K292" s="68">
        <v>11.55</v>
      </c>
      <c r="L292">
        <f t="shared" si="4"/>
        <v>16.5</v>
      </c>
    </row>
    <row r="293" spans="4:12">
      <c r="D293" s="66">
        <v>46122</v>
      </c>
      <c r="E293" s="32">
        <v>1593473</v>
      </c>
      <c r="F293" s="32" t="s">
        <v>13</v>
      </c>
      <c r="G293" s="67">
        <v>20011138</v>
      </c>
      <c r="H293" s="32" t="s">
        <v>199</v>
      </c>
      <c r="I293" s="67">
        <v>5</v>
      </c>
      <c r="J293" s="68">
        <v>11.55</v>
      </c>
      <c r="K293" s="68">
        <v>57.75</v>
      </c>
      <c r="L293">
        <f t="shared" si="4"/>
        <v>16.5</v>
      </c>
    </row>
    <row r="294" spans="4:12">
      <c r="D294" s="66">
        <v>46122</v>
      </c>
      <c r="E294" s="32">
        <v>1593473</v>
      </c>
      <c r="F294" s="32" t="s">
        <v>13</v>
      </c>
      <c r="G294" s="67">
        <v>20420904</v>
      </c>
      <c r="H294" s="32" t="s">
        <v>290</v>
      </c>
      <c r="I294" s="67">
        <v>5</v>
      </c>
      <c r="J294" s="68">
        <v>5.6</v>
      </c>
      <c r="K294" s="68">
        <v>28</v>
      </c>
      <c r="L294">
        <f t="shared" si="4"/>
        <v>8</v>
      </c>
    </row>
    <row r="295" spans="4:12">
      <c r="D295" s="66">
        <v>46122</v>
      </c>
      <c r="E295" s="32">
        <v>1593473</v>
      </c>
      <c r="F295" s="32" t="s">
        <v>25</v>
      </c>
      <c r="G295" s="67">
        <v>20014802</v>
      </c>
      <c r="H295" s="32" t="s">
        <v>214</v>
      </c>
      <c r="I295" s="67">
        <v>1</v>
      </c>
      <c r="J295" s="68">
        <v>11.55</v>
      </c>
      <c r="K295" s="68">
        <v>11.55</v>
      </c>
      <c r="L295">
        <f t="shared" si="4"/>
        <v>16.5</v>
      </c>
    </row>
    <row r="296" spans="4:12">
      <c r="D296" s="66">
        <v>46122</v>
      </c>
      <c r="E296" s="32">
        <v>1593473</v>
      </c>
      <c r="F296" s="32" t="s">
        <v>25</v>
      </c>
      <c r="G296" s="67">
        <v>20013952</v>
      </c>
      <c r="H296" s="32" t="s">
        <v>179</v>
      </c>
      <c r="I296" s="67">
        <v>1</v>
      </c>
      <c r="J296" s="68">
        <v>11.55</v>
      </c>
      <c r="K296" s="68">
        <v>11.55</v>
      </c>
      <c r="L296">
        <f t="shared" si="4"/>
        <v>16.5</v>
      </c>
    </row>
    <row r="297" spans="4:12">
      <c r="D297" s="66">
        <v>46122</v>
      </c>
      <c r="E297" s="32">
        <v>1593546</v>
      </c>
      <c r="F297" s="32" t="s">
        <v>27</v>
      </c>
      <c r="G297" s="67">
        <v>20348232</v>
      </c>
      <c r="H297" s="32" t="s">
        <v>264</v>
      </c>
      <c r="I297" s="67">
        <v>2</v>
      </c>
      <c r="J297" s="68">
        <v>46.2</v>
      </c>
      <c r="K297" s="68">
        <v>92.4</v>
      </c>
      <c r="L297">
        <f t="shared" si="4"/>
        <v>66</v>
      </c>
    </row>
    <row r="298" spans="4:12">
      <c r="D298" s="66">
        <v>46122</v>
      </c>
      <c r="E298" s="32">
        <v>1593546</v>
      </c>
      <c r="F298" s="32" t="s">
        <v>27</v>
      </c>
      <c r="G298" s="67">
        <v>20370992</v>
      </c>
      <c r="H298" s="32" t="s">
        <v>183</v>
      </c>
      <c r="I298" s="67">
        <v>1</v>
      </c>
      <c r="J298" s="68">
        <v>24.5</v>
      </c>
      <c r="K298" s="68">
        <v>24.5</v>
      </c>
      <c r="L298">
        <f t="shared" si="4"/>
        <v>35</v>
      </c>
    </row>
    <row r="299" spans="4:12">
      <c r="D299" s="66">
        <v>46122</v>
      </c>
      <c r="E299" s="32">
        <v>1593546</v>
      </c>
      <c r="F299" s="32" t="s">
        <v>27</v>
      </c>
      <c r="G299" s="67">
        <v>20008885</v>
      </c>
      <c r="H299" s="32" t="s">
        <v>184</v>
      </c>
      <c r="I299" s="67">
        <v>1</v>
      </c>
      <c r="J299" s="68">
        <v>24.5</v>
      </c>
      <c r="K299" s="68">
        <v>24.5</v>
      </c>
      <c r="L299">
        <f t="shared" si="4"/>
        <v>35</v>
      </c>
    </row>
    <row r="300" spans="4:12">
      <c r="D300" s="66">
        <v>46122</v>
      </c>
      <c r="E300" s="32">
        <v>1593546</v>
      </c>
      <c r="F300" s="32" t="s">
        <v>27</v>
      </c>
      <c r="G300" s="67">
        <v>20313974</v>
      </c>
      <c r="H300" s="32" t="s">
        <v>185</v>
      </c>
      <c r="I300" s="67">
        <v>2</v>
      </c>
      <c r="J300" s="68">
        <v>30.8</v>
      </c>
      <c r="K300" s="68">
        <v>61.6</v>
      </c>
      <c r="L300">
        <f t="shared" si="4"/>
        <v>44</v>
      </c>
    </row>
    <row r="301" spans="4:12">
      <c r="D301" s="66">
        <v>46122</v>
      </c>
      <c r="E301" s="32">
        <v>1593546</v>
      </c>
      <c r="F301" s="32" t="s">
        <v>27</v>
      </c>
      <c r="G301" s="67">
        <v>20006853</v>
      </c>
      <c r="H301" s="32" t="s">
        <v>186</v>
      </c>
      <c r="I301" s="67">
        <v>1</v>
      </c>
      <c r="J301" s="68">
        <v>24.5</v>
      </c>
      <c r="K301" s="68">
        <v>24.5</v>
      </c>
      <c r="L301">
        <f t="shared" si="4"/>
        <v>35</v>
      </c>
    </row>
    <row r="302" spans="4:12">
      <c r="D302" s="66">
        <v>46122</v>
      </c>
      <c r="E302" s="32">
        <v>1593546</v>
      </c>
      <c r="F302" s="32" t="s">
        <v>27</v>
      </c>
      <c r="G302" s="67">
        <v>20405041</v>
      </c>
      <c r="H302" s="32" t="s">
        <v>201</v>
      </c>
      <c r="I302" s="67">
        <v>1</v>
      </c>
      <c r="J302" s="68">
        <v>46.2</v>
      </c>
      <c r="K302" s="68">
        <v>46.2</v>
      </c>
      <c r="L302">
        <f t="shared" si="4"/>
        <v>66</v>
      </c>
    </row>
    <row r="303" spans="4:12">
      <c r="D303" s="66">
        <v>46122</v>
      </c>
      <c r="E303" s="32">
        <v>1593546</v>
      </c>
      <c r="F303" s="32" t="s">
        <v>27</v>
      </c>
      <c r="G303" s="67">
        <v>20388302</v>
      </c>
      <c r="H303" s="32" t="s">
        <v>202</v>
      </c>
      <c r="I303" s="67">
        <v>3</v>
      </c>
      <c r="J303" s="68">
        <v>24.5</v>
      </c>
      <c r="K303" s="68">
        <v>73.5</v>
      </c>
      <c r="L303">
        <f t="shared" si="4"/>
        <v>35</v>
      </c>
    </row>
    <row r="304" spans="4:12">
      <c r="D304" s="66">
        <v>46122</v>
      </c>
      <c r="E304" s="32">
        <v>1593546</v>
      </c>
      <c r="F304" s="32" t="s">
        <v>27</v>
      </c>
      <c r="G304" s="67">
        <v>20012362</v>
      </c>
      <c r="H304" s="32" t="s">
        <v>237</v>
      </c>
      <c r="I304" s="67">
        <v>3</v>
      </c>
      <c r="J304" s="68">
        <v>30.8</v>
      </c>
      <c r="K304" s="68">
        <v>92.4</v>
      </c>
      <c r="L304">
        <f t="shared" si="4"/>
        <v>44</v>
      </c>
    </row>
    <row r="305" spans="4:12">
      <c r="D305" s="66">
        <v>46122</v>
      </c>
      <c r="E305" s="32">
        <v>1593546</v>
      </c>
      <c r="F305" s="32" t="s">
        <v>27</v>
      </c>
      <c r="G305" s="67">
        <v>20348167</v>
      </c>
      <c r="H305" s="32" t="s">
        <v>240</v>
      </c>
      <c r="I305" s="67">
        <v>1</v>
      </c>
      <c r="J305" s="68">
        <v>61.6</v>
      </c>
      <c r="K305" s="68">
        <v>61.6</v>
      </c>
      <c r="L305">
        <f t="shared" si="4"/>
        <v>88</v>
      </c>
    </row>
    <row r="306" spans="4:12">
      <c r="D306" s="66">
        <v>46122</v>
      </c>
      <c r="E306" s="32">
        <v>1593546</v>
      </c>
      <c r="F306" s="32" t="s">
        <v>27</v>
      </c>
      <c r="G306" s="67">
        <v>20300196</v>
      </c>
      <c r="H306" s="32" t="s">
        <v>291</v>
      </c>
      <c r="I306" s="67">
        <v>1</v>
      </c>
      <c r="J306" s="68">
        <v>30.8</v>
      </c>
      <c r="K306" s="68">
        <v>30.8</v>
      </c>
      <c r="L306">
        <f t="shared" si="4"/>
        <v>44</v>
      </c>
    </row>
    <row r="307" spans="4:12">
      <c r="D307" s="66">
        <v>46122</v>
      </c>
      <c r="E307" s="32">
        <v>1593546</v>
      </c>
      <c r="F307" s="32" t="s">
        <v>27</v>
      </c>
      <c r="G307" s="67">
        <v>20007639</v>
      </c>
      <c r="H307" s="32" t="s">
        <v>189</v>
      </c>
      <c r="I307" s="67">
        <v>1</v>
      </c>
      <c r="J307" s="68">
        <v>19.6</v>
      </c>
      <c r="K307" s="68">
        <v>19.6</v>
      </c>
      <c r="L307">
        <f t="shared" si="4"/>
        <v>28</v>
      </c>
    </row>
    <row r="308" spans="4:12">
      <c r="D308" s="66">
        <v>46122</v>
      </c>
      <c r="E308" s="32">
        <v>1593546</v>
      </c>
      <c r="F308" s="32" t="s">
        <v>27</v>
      </c>
      <c r="G308" s="67">
        <v>20007638</v>
      </c>
      <c r="H308" s="32" t="s">
        <v>190</v>
      </c>
      <c r="I308" s="67">
        <v>1</v>
      </c>
      <c r="J308" s="68">
        <v>19.6</v>
      </c>
      <c r="K308" s="68">
        <v>19.6</v>
      </c>
      <c r="L308">
        <f t="shared" si="4"/>
        <v>28</v>
      </c>
    </row>
    <row r="309" spans="4:12">
      <c r="D309" s="66">
        <v>46122</v>
      </c>
      <c r="E309" s="32">
        <v>1593546</v>
      </c>
      <c r="F309" s="32" t="s">
        <v>27</v>
      </c>
      <c r="G309" s="67">
        <v>20008639</v>
      </c>
      <c r="H309" s="32" t="s">
        <v>191</v>
      </c>
      <c r="I309" s="67">
        <v>1</v>
      </c>
      <c r="J309" s="68">
        <v>17.5</v>
      </c>
      <c r="K309" s="68">
        <v>17.5</v>
      </c>
      <c r="L309">
        <f t="shared" si="4"/>
        <v>25</v>
      </c>
    </row>
    <row r="310" spans="4:12">
      <c r="D310" s="66">
        <v>46122</v>
      </c>
      <c r="E310" s="32">
        <v>1593546</v>
      </c>
      <c r="F310" s="32" t="s">
        <v>27</v>
      </c>
      <c r="G310" s="67">
        <v>20008383</v>
      </c>
      <c r="H310" s="32" t="s">
        <v>243</v>
      </c>
      <c r="I310" s="67">
        <v>1</v>
      </c>
      <c r="J310" s="68">
        <v>61.6</v>
      </c>
      <c r="K310" s="68">
        <v>61.6</v>
      </c>
      <c r="L310">
        <f t="shared" si="4"/>
        <v>88</v>
      </c>
    </row>
    <row r="311" spans="4:12">
      <c r="D311" s="66">
        <v>46122</v>
      </c>
      <c r="E311" s="32">
        <v>1593546</v>
      </c>
      <c r="F311" s="32" t="s">
        <v>69</v>
      </c>
      <c r="G311" s="67">
        <v>20395507</v>
      </c>
      <c r="H311" s="32" t="s">
        <v>192</v>
      </c>
      <c r="I311" s="67">
        <v>1</v>
      </c>
      <c r="J311" s="68">
        <v>19.6</v>
      </c>
      <c r="K311" s="68">
        <v>19.6</v>
      </c>
      <c r="L311">
        <f t="shared" si="4"/>
        <v>28</v>
      </c>
    </row>
    <row r="312" spans="4:12">
      <c r="D312" s="66">
        <v>46122</v>
      </c>
      <c r="E312" s="32">
        <v>1593546</v>
      </c>
      <c r="F312" s="32" t="s">
        <v>69</v>
      </c>
      <c r="G312" s="67">
        <v>20008378</v>
      </c>
      <c r="H312" s="32" t="s">
        <v>246</v>
      </c>
      <c r="I312" s="67">
        <v>1</v>
      </c>
      <c r="J312" s="68">
        <v>19.6</v>
      </c>
      <c r="K312" s="68">
        <v>19.6</v>
      </c>
      <c r="L312">
        <f t="shared" si="4"/>
        <v>28</v>
      </c>
    </row>
    <row r="313" spans="4:12">
      <c r="D313" s="66">
        <v>46122</v>
      </c>
      <c r="E313" s="32">
        <v>1593546</v>
      </c>
      <c r="F313" s="32" t="s">
        <v>69</v>
      </c>
      <c r="G313" s="67">
        <v>20012368</v>
      </c>
      <c r="H313" s="32" t="s">
        <v>247</v>
      </c>
      <c r="I313" s="67">
        <v>1</v>
      </c>
      <c r="J313" s="68">
        <v>19.6</v>
      </c>
      <c r="K313" s="68">
        <v>19.6</v>
      </c>
      <c r="L313">
        <f t="shared" si="4"/>
        <v>28</v>
      </c>
    </row>
    <row r="314" spans="4:12">
      <c r="D314" s="66">
        <v>46122</v>
      </c>
      <c r="E314" s="32">
        <v>1593546</v>
      </c>
      <c r="F314" s="32" t="s">
        <v>69</v>
      </c>
      <c r="G314" s="67">
        <v>20012907</v>
      </c>
      <c r="H314" s="32" t="s">
        <v>205</v>
      </c>
      <c r="I314" s="67">
        <v>1</v>
      </c>
      <c r="J314" s="68">
        <v>19.6</v>
      </c>
      <c r="K314" s="68">
        <v>19.6</v>
      </c>
      <c r="L314">
        <f t="shared" si="4"/>
        <v>28</v>
      </c>
    </row>
    <row r="315" spans="4:12">
      <c r="D315" s="66">
        <v>46122</v>
      </c>
      <c r="E315" s="32">
        <v>1593655</v>
      </c>
      <c r="F315" s="32" t="s">
        <v>36</v>
      </c>
      <c r="G315" s="67">
        <v>20007716</v>
      </c>
      <c r="H315" s="32" t="s">
        <v>172</v>
      </c>
      <c r="I315" s="67">
        <v>1</v>
      </c>
      <c r="J315" s="68">
        <v>284.9</v>
      </c>
      <c r="K315" s="68">
        <v>284.9</v>
      </c>
      <c r="L315">
        <f t="shared" si="4"/>
        <v>407</v>
      </c>
    </row>
    <row r="316" spans="4:12">
      <c r="D316" s="66">
        <v>46122</v>
      </c>
      <c r="E316" s="32">
        <v>1593655</v>
      </c>
      <c r="F316" s="32" t="s">
        <v>36</v>
      </c>
      <c r="G316" s="67">
        <v>20311037</v>
      </c>
      <c r="H316" s="32" t="s">
        <v>194</v>
      </c>
      <c r="I316" s="67">
        <v>1</v>
      </c>
      <c r="J316" s="68">
        <v>53.55</v>
      </c>
      <c r="K316" s="68">
        <v>53.55</v>
      </c>
      <c r="L316">
        <f t="shared" si="4"/>
        <v>76.5</v>
      </c>
    </row>
    <row r="317" spans="4:12">
      <c r="D317" s="66">
        <v>46122</v>
      </c>
      <c r="E317" s="32">
        <v>1593655</v>
      </c>
      <c r="F317" s="32" t="s">
        <v>25</v>
      </c>
      <c r="G317" s="67">
        <v>20008214</v>
      </c>
      <c r="H317" s="32" t="s">
        <v>99</v>
      </c>
      <c r="I317" s="67">
        <v>2</v>
      </c>
      <c r="J317" s="68">
        <v>11.55</v>
      </c>
      <c r="K317" s="68">
        <v>23.1</v>
      </c>
      <c r="L317">
        <f t="shared" si="4"/>
        <v>16.5</v>
      </c>
    </row>
    <row r="318" spans="4:12">
      <c r="D318" s="66">
        <v>46122</v>
      </c>
      <c r="E318" s="32">
        <v>1593658</v>
      </c>
      <c r="F318" s="32" t="s">
        <v>27</v>
      </c>
      <c r="G318" s="67">
        <v>20008202</v>
      </c>
      <c r="H318" s="32" t="s">
        <v>257</v>
      </c>
      <c r="I318" s="67">
        <v>1</v>
      </c>
      <c r="J318" s="68">
        <v>19.6</v>
      </c>
      <c r="K318" s="68">
        <v>19.6</v>
      </c>
      <c r="L318">
        <f t="shared" si="4"/>
        <v>28</v>
      </c>
    </row>
    <row r="319" spans="4:12">
      <c r="D319" s="66">
        <v>46122</v>
      </c>
      <c r="E319" s="32">
        <v>1593658</v>
      </c>
      <c r="F319" s="32" t="s">
        <v>27</v>
      </c>
      <c r="G319" s="67">
        <v>20370992</v>
      </c>
      <c r="H319" s="32" t="s">
        <v>183</v>
      </c>
      <c r="I319" s="67">
        <v>1</v>
      </c>
      <c r="J319" s="68">
        <v>24.5</v>
      </c>
      <c r="K319" s="68">
        <v>24.5</v>
      </c>
      <c r="L319">
        <f t="shared" si="4"/>
        <v>35</v>
      </c>
    </row>
    <row r="320" spans="4:12">
      <c r="D320" s="66">
        <v>46122</v>
      </c>
      <c r="E320" s="32">
        <v>1593658</v>
      </c>
      <c r="F320" s="32" t="s">
        <v>27</v>
      </c>
      <c r="G320" s="67">
        <v>20007567</v>
      </c>
      <c r="H320" s="32" t="s">
        <v>258</v>
      </c>
      <c r="I320" s="67">
        <v>1</v>
      </c>
      <c r="J320" s="68">
        <v>17.5</v>
      </c>
      <c r="K320" s="68">
        <v>17.5</v>
      </c>
      <c r="L320">
        <f t="shared" si="4"/>
        <v>25</v>
      </c>
    </row>
    <row r="321" spans="4:12">
      <c r="D321" s="66">
        <v>46122</v>
      </c>
      <c r="E321" s="32">
        <v>1593658</v>
      </c>
      <c r="F321" s="32" t="s">
        <v>27</v>
      </c>
      <c r="G321" s="67">
        <v>20313974</v>
      </c>
      <c r="H321" s="32" t="s">
        <v>185</v>
      </c>
      <c r="I321" s="67">
        <v>1</v>
      </c>
      <c r="J321" s="68">
        <v>30.8</v>
      </c>
      <c r="K321" s="68">
        <v>30.8</v>
      </c>
      <c r="L321">
        <f t="shared" si="4"/>
        <v>44</v>
      </c>
    </row>
    <row r="322" spans="4:12">
      <c r="D322" s="66">
        <v>46122</v>
      </c>
      <c r="E322" s="32">
        <v>1593658</v>
      </c>
      <c r="F322" s="32" t="s">
        <v>27</v>
      </c>
      <c r="G322" s="67">
        <v>20006853</v>
      </c>
      <c r="H322" s="32" t="s">
        <v>186</v>
      </c>
      <c r="I322" s="67">
        <v>1</v>
      </c>
      <c r="J322" s="68">
        <v>24.5</v>
      </c>
      <c r="K322" s="68">
        <v>24.5</v>
      </c>
      <c r="L322">
        <f t="shared" si="4"/>
        <v>35</v>
      </c>
    </row>
    <row r="323" spans="4:12">
      <c r="D323" s="66">
        <v>46122</v>
      </c>
      <c r="E323" s="32">
        <v>1593658</v>
      </c>
      <c r="F323" s="32" t="s">
        <v>27</v>
      </c>
      <c r="G323" s="67">
        <v>20400917</v>
      </c>
      <c r="H323" s="32" t="s">
        <v>188</v>
      </c>
      <c r="I323" s="67">
        <v>1</v>
      </c>
      <c r="J323" s="68">
        <v>17.5</v>
      </c>
      <c r="K323" s="68">
        <v>17.5</v>
      </c>
      <c r="L323">
        <f t="shared" si="4"/>
        <v>25</v>
      </c>
    </row>
    <row r="324" spans="4:12">
      <c r="D324" s="66">
        <v>46122</v>
      </c>
      <c r="E324" s="32">
        <v>1593658</v>
      </c>
      <c r="F324" s="32" t="s">
        <v>27</v>
      </c>
      <c r="G324" s="67">
        <v>20007639</v>
      </c>
      <c r="H324" s="32" t="s">
        <v>189</v>
      </c>
      <c r="I324" s="67">
        <v>1</v>
      </c>
      <c r="J324" s="68">
        <v>19.6</v>
      </c>
      <c r="K324" s="68">
        <v>19.6</v>
      </c>
      <c r="L324">
        <f t="shared" si="4"/>
        <v>28</v>
      </c>
    </row>
    <row r="325" spans="4:12">
      <c r="D325" s="66">
        <v>46122</v>
      </c>
      <c r="E325" s="32">
        <v>1593658</v>
      </c>
      <c r="F325" s="32" t="s">
        <v>27</v>
      </c>
      <c r="G325" s="67">
        <v>20007638</v>
      </c>
      <c r="H325" s="32" t="s">
        <v>190</v>
      </c>
      <c r="I325" s="67">
        <v>1</v>
      </c>
      <c r="J325" s="68">
        <v>19.6</v>
      </c>
      <c r="K325" s="68">
        <v>19.6</v>
      </c>
      <c r="L325">
        <f t="shared" si="4"/>
        <v>28</v>
      </c>
    </row>
    <row r="326" spans="4:12">
      <c r="D326" s="66">
        <v>46122</v>
      </c>
      <c r="E326" s="32">
        <v>1593658</v>
      </c>
      <c r="F326" s="32" t="s">
        <v>27</v>
      </c>
      <c r="G326" s="67">
        <v>20008639</v>
      </c>
      <c r="H326" s="32" t="s">
        <v>191</v>
      </c>
      <c r="I326" s="67">
        <v>1</v>
      </c>
      <c r="J326" s="68">
        <v>17.5</v>
      </c>
      <c r="K326" s="68">
        <v>17.5</v>
      </c>
      <c r="L326">
        <f t="shared" si="4"/>
        <v>25</v>
      </c>
    </row>
    <row r="327" spans="4:12">
      <c r="D327" s="66">
        <v>46122</v>
      </c>
      <c r="E327" s="32">
        <v>1593658</v>
      </c>
      <c r="F327" s="32" t="s">
        <v>69</v>
      </c>
      <c r="G327" s="67">
        <v>20395507</v>
      </c>
      <c r="H327" s="32" t="s">
        <v>192</v>
      </c>
      <c r="I327" s="67">
        <v>1</v>
      </c>
      <c r="J327" s="68">
        <v>19.6</v>
      </c>
      <c r="K327" s="68">
        <v>19.6</v>
      </c>
      <c r="L327">
        <f t="shared" si="4"/>
        <v>28</v>
      </c>
    </row>
    <row r="328" spans="4:12">
      <c r="D328" s="66">
        <v>46122</v>
      </c>
      <c r="E328" s="32">
        <v>1593863</v>
      </c>
      <c r="F328" s="32" t="s">
        <v>36</v>
      </c>
      <c r="G328" s="67">
        <v>20006867</v>
      </c>
      <c r="H328" s="32" t="s">
        <v>215</v>
      </c>
      <c r="I328" s="67">
        <v>2</v>
      </c>
      <c r="J328" s="68">
        <v>246.4</v>
      </c>
      <c r="K328" s="68">
        <v>492.8</v>
      </c>
      <c r="L328">
        <f t="shared" si="4"/>
        <v>352</v>
      </c>
    </row>
    <row r="329" spans="4:12">
      <c r="D329" s="66">
        <v>46122</v>
      </c>
      <c r="E329" s="32">
        <v>1593863</v>
      </c>
      <c r="F329" s="32" t="s">
        <v>36</v>
      </c>
      <c r="G329" s="67">
        <v>20007715</v>
      </c>
      <c r="H329" s="32" t="s">
        <v>193</v>
      </c>
      <c r="I329" s="67">
        <v>1</v>
      </c>
      <c r="J329" s="68">
        <v>180.95</v>
      </c>
      <c r="K329" s="68">
        <v>180.95</v>
      </c>
      <c r="L329">
        <f t="shared" si="4"/>
        <v>258.5</v>
      </c>
    </row>
    <row r="330" spans="4:12">
      <c r="D330" s="66">
        <v>46122</v>
      </c>
      <c r="E330" s="32">
        <v>1593863</v>
      </c>
      <c r="F330" s="32" t="s">
        <v>36</v>
      </c>
      <c r="G330" s="67">
        <v>20008128</v>
      </c>
      <c r="H330" s="32" t="s">
        <v>174</v>
      </c>
      <c r="I330" s="67">
        <v>2</v>
      </c>
      <c r="J330" s="68">
        <v>130.9</v>
      </c>
      <c r="K330" s="68">
        <v>261.8</v>
      </c>
      <c r="L330">
        <f t="shared" ref="L330:L393" si="5">J330/0.7</f>
        <v>187</v>
      </c>
    </row>
    <row r="331" spans="4:12">
      <c r="D331" s="66">
        <v>46122</v>
      </c>
      <c r="E331" s="32">
        <v>1593863</v>
      </c>
      <c r="F331" s="32" t="s">
        <v>25</v>
      </c>
      <c r="G331" s="67">
        <v>20008214</v>
      </c>
      <c r="H331" s="32" t="s">
        <v>99</v>
      </c>
      <c r="I331" s="67">
        <v>4</v>
      </c>
      <c r="J331" s="68">
        <v>11.55</v>
      </c>
      <c r="K331" s="68">
        <v>46.2</v>
      </c>
      <c r="L331">
        <f t="shared" si="5"/>
        <v>16.5</v>
      </c>
    </row>
    <row r="332" spans="4:12">
      <c r="D332" s="66">
        <v>46123</v>
      </c>
      <c r="E332" s="32">
        <v>1593932</v>
      </c>
      <c r="F332" s="32" t="s">
        <v>36</v>
      </c>
      <c r="G332" s="67">
        <v>20013223</v>
      </c>
      <c r="H332" s="32" t="s">
        <v>292</v>
      </c>
      <c r="I332" s="67">
        <v>1</v>
      </c>
      <c r="J332" s="68">
        <v>150.15</v>
      </c>
      <c r="K332" s="68">
        <v>150.15</v>
      </c>
      <c r="L332">
        <f t="shared" si="5"/>
        <v>214.5</v>
      </c>
    </row>
    <row r="333" spans="4:12">
      <c r="D333" s="66">
        <v>46123</v>
      </c>
      <c r="E333" s="32">
        <v>1593932</v>
      </c>
      <c r="F333" s="32" t="s">
        <v>36</v>
      </c>
      <c r="G333" s="67">
        <v>20008128</v>
      </c>
      <c r="H333" s="32" t="s">
        <v>174</v>
      </c>
      <c r="I333" s="67">
        <v>2</v>
      </c>
      <c r="J333" s="68">
        <v>130.9</v>
      </c>
      <c r="K333" s="68">
        <v>261.8</v>
      </c>
      <c r="L333">
        <f t="shared" si="5"/>
        <v>187</v>
      </c>
    </row>
    <row r="334" spans="4:12">
      <c r="D334" s="66">
        <v>46123</v>
      </c>
      <c r="E334" s="32">
        <v>1593932</v>
      </c>
      <c r="F334" s="32" t="s">
        <v>13</v>
      </c>
      <c r="G334" s="67">
        <v>20012489</v>
      </c>
      <c r="H334" s="32" t="s">
        <v>75</v>
      </c>
      <c r="I334" s="67">
        <v>3</v>
      </c>
      <c r="J334" s="68">
        <v>5.6</v>
      </c>
      <c r="K334" s="68">
        <v>16.8</v>
      </c>
      <c r="L334">
        <f t="shared" si="5"/>
        <v>8</v>
      </c>
    </row>
    <row r="335" spans="4:12">
      <c r="D335" s="66">
        <v>46123</v>
      </c>
      <c r="E335" s="32">
        <v>1593932</v>
      </c>
      <c r="F335" s="32" t="s">
        <v>13</v>
      </c>
      <c r="G335" s="67">
        <v>20376042</v>
      </c>
      <c r="H335" s="32" t="s">
        <v>196</v>
      </c>
      <c r="I335" s="67">
        <v>2</v>
      </c>
      <c r="J335" s="68">
        <v>5.6</v>
      </c>
      <c r="K335" s="68">
        <v>11.2</v>
      </c>
      <c r="L335">
        <f t="shared" si="5"/>
        <v>8</v>
      </c>
    </row>
    <row r="336" spans="4:12">
      <c r="D336" s="66">
        <v>46123</v>
      </c>
      <c r="E336" s="32">
        <v>1593932</v>
      </c>
      <c r="F336" s="32" t="s">
        <v>13</v>
      </c>
      <c r="G336" s="67">
        <v>20315578</v>
      </c>
      <c r="H336" s="32" t="s">
        <v>293</v>
      </c>
      <c r="I336" s="67">
        <v>1</v>
      </c>
      <c r="J336" s="68">
        <v>23.1</v>
      </c>
      <c r="K336" s="68">
        <v>23.1</v>
      </c>
      <c r="L336">
        <f t="shared" si="5"/>
        <v>33</v>
      </c>
    </row>
    <row r="337" spans="4:12">
      <c r="D337" s="66">
        <v>46123</v>
      </c>
      <c r="E337" s="32">
        <v>1593932</v>
      </c>
      <c r="F337" s="32" t="s">
        <v>180</v>
      </c>
      <c r="G337" s="67">
        <v>20362791</v>
      </c>
      <c r="H337" s="32" t="s">
        <v>181</v>
      </c>
      <c r="I337" s="67">
        <v>1</v>
      </c>
      <c r="J337" s="68">
        <v>24.5</v>
      </c>
      <c r="K337" s="68">
        <v>24.5</v>
      </c>
      <c r="L337">
        <f t="shared" si="5"/>
        <v>35</v>
      </c>
    </row>
    <row r="338" spans="4:12">
      <c r="D338" s="66">
        <v>46123</v>
      </c>
      <c r="E338" s="32">
        <v>1593932</v>
      </c>
      <c r="F338" s="32" t="s">
        <v>25</v>
      </c>
      <c r="G338" s="67">
        <v>20382732</v>
      </c>
      <c r="H338" s="32" t="s">
        <v>294</v>
      </c>
      <c r="I338" s="67">
        <v>1</v>
      </c>
      <c r="J338" s="68">
        <v>11.55</v>
      </c>
      <c r="K338" s="68">
        <v>11.55</v>
      </c>
      <c r="L338">
        <f t="shared" si="5"/>
        <v>16.5</v>
      </c>
    </row>
    <row r="339" spans="4:12">
      <c r="D339" s="66">
        <v>46123</v>
      </c>
      <c r="E339" s="32">
        <v>1593939</v>
      </c>
      <c r="F339" s="32" t="s">
        <v>27</v>
      </c>
      <c r="G339" s="67">
        <v>20370992</v>
      </c>
      <c r="H339" s="32" t="s">
        <v>183</v>
      </c>
      <c r="I339" s="67">
        <v>2</v>
      </c>
      <c r="J339" s="68">
        <v>24.5</v>
      </c>
      <c r="K339" s="68">
        <v>49</v>
      </c>
      <c r="L339">
        <f t="shared" si="5"/>
        <v>35</v>
      </c>
    </row>
    <row r="340" spans="4:12">
      <c r="D340" s="66">
        <v>46123</v>
      </c>
      <c r="E340" s="32">
        <v>1593939</v>
      </c>
      <c r="F340" s="32" t="s">
        <v>27</v>
      </c>
      <c r="G340" s="67">
        <v>20008885</v>
      </c>
      <c r="H340" s="32" t="s">
        <v>184</v>
      </c>
      <c r="I340" s="67">
        <v>1</v>
      </c>
      <c r="J340" s="68">
        <v>24.5</v>
      </c>
      <c r="K340" s="68">
        <v>24.5</v>
      </c>
      <c r="L340">
        <f t="shared" si="5"/>
        <v>35</v>
      </c>
    </row>
    <row r="341" spans="4:12">
      <c r="D341" s="66">
        <v>46123</v>
      </c>
      <c r="E341" s="32">
        <v>1593939</v>
      </c>
      <c r="F341" s="32" t="s">
        <v>27</v>
      </c>
      <c r="G341" s="67">
        <v>20313974</v>
      </c>
      <c r="H341" s="32" t="s">
        <v>185</v>
      </c>
      <c r="I341" s="67">
        <v>2</v>
      </c>
      <c r="J341" s="68">
        <v>30.8</v>
      </c>
      <c r="K341" s="68">
        <v>61.6</v>
      </c>
      <c r="L341">
        <f t="shared" si="5"/>
        <v>44</v>
      </c>
    </row>
    <row r="342" spans="4:12">
      <c r="D342" s="66">
        <v>46123</v>
      </c>
      <c r="E342" s="32">
        <v>1593939</v>
      </c>
      <c r="F342" s="32" t="s">
        <v>27</v>
      </c>
      <c r="G342" s="67">
        <v>20006853</v>
      </c>
      <c r="H342" s="32" t="s">
        <v>186</v>
      </c>
      <c r="I342" s="67">
        <v>2</v>
      </c>
      <c r="J342" s="68">
        <v>24.5</v>
      </c>
      <c r="K342" s="68">
        <v>49</v>
      </c>
      <c r="L342">
        <f t="shared" si="5"/>
        <v>35</v>
      </c>
    </row>
    <row r="343" spans="4:12">
      <c r="D343" s="66">
        <v>46123</v>
      </c>
      <c r="E343" s="32">
        <v>1593939</v>
      </c>
      <c r="F343" s="32" t="s">
        <v>27</v>
      </c>
      <c r="G343" s="67">
        <v>20388302</v>
      </c>
      <c r="H343" s="32" t="s">
        <v>202</v>
      </c>
      <c r="I343" s="67">
        <v>2</v>
      </c>
      <c r="J343" s="68">
        <v>24.5</v>
      </c>
      <c r="K343" s="68">
        <v>49</v>
      </c>
      <c r="L343">
        <f t="shared" si="5"/>
        <v>35</v>
      </c>
    </row>
    <row r="344" spans="4:12">
      <c r="D344" s="66">
        <v>46123</v>
      </c>
      <c r="E344" s="32">
        <v>1593939</v>
      </c>
      <c r="F344" s="32" t="s">
        <v>27</v>
      </c>
      <c r="G344" s="67">
        <v>20400917</v>
      </c>
      <c r="H344" s="32" t="s">
        <v>188</v>
      </c>
      <c r="I344" s="67">
        <v>2</v>
      </c>
      <c r="J344" s="68">
        <v>17.5</v>
      </c>
      <c r="K344" s="68">
        <v>35</v>
      </c>
      <c r="L344">
        <f t="shared" si="5"/>
        <v>25</v>
      </c>
    </row>
    <row r="345" spans="4:12">
      <c r="D345" s="66">
        <v>46123</v>
      </c>
      <c r="E345" s="32">
        <v>1593939</v>
      </c>
      <c r="F345" s="32" t="s">
        <v>27</v>
      </c>
      <c r="G345" s="67">
        <v>20382022</v>
      </c>
      <c r="H345" s="32" t="s">
        <v>282</v>
      </c>
      <c r="I345" s="67">
        <v>2</v>
      </c>
      <c r="J345" s="68">
        <v>19.6</v>
      </c>
      <c r="K345" s="68">
        <v>39.2</v>
      </c>
      <c r="L345">
        <f t="shared" si="5"/>
        <v>28</v>
      </c>
    </row>
    <row r="346" spans="4:12">
      <c r="D346" s="66">
        <v>46123</v>
      </c>
      <c r="E346" s="32">
        <v>1593939</v>
      </c>
      <c r="F346" s="32" t="s">
        <v>27</v>
      </c>
      <c r="G346" s="67">
        <v>20007639</v>
      </c>
      <c r="H346" s="32" t="s">
        <v>189</v>
      </c>
      <c r="I346" s="67">
        <v>5</v>
      </c>
      <c r="J346" s="68">
        <v>19.6</v>
      </c>
      <c r="K346" s="68">
        <v>98</v>
      </c>
      <c r="L346">
        <f t="shared" si="5"/>
        <v>28</v>
      </c>
    </row>
    <row r="347" spans="4:12">
      <c r="D347" s="66">
        <v>46123</v>
      </c>
      <c r="E347" s="32">
        <v>1593939</v>
      </c>
      <c r="F347" s="32" t="s">
        <v>27</v>
      </c>
      <c r="G347" s="67">
        <v>20009272</v>
      </c>
      <c r="H347" s="32" t="s">
        <v>261</v>
      </c>
      <c r="I347" s="67">
        <v>3</v>
      </c>
      <c r="J347" s="68">
        <v>19.6</v>
      </c>
      <c r="K347" s="68">
        <v>58.8</v>
      </c>
      <c r="L347">
        <f t="shared" si="5"/>
        <v>28</v>
      </c>
    </row>
    <row r="348" spans="4:12">
      <c r="D348" s="66">
        <v>46123</v>
      </c>
      <c r="E348" s="32">
        <v>1593939</v>
      </c>
      <c r="F348" s="32" t="s">
        <v>27</v>
      </c>
      <c r="G348" s="67">
        <v>20007638</v>
      </c>
      <c r="H348" s="32" t="s">
        <v>190</v>
      </c>
      <c r="I348" s="67">
        <v>2</v>
      </c>
      <c r="J348" s="68">
        <v>19.6</v>
      </c>
      <c r="K348" s="68">
        <v>39.2</v>
      </c>
      <c r="L348">
        <f t="shared" si="5"/>
        <v>28</v>
      </c>
    </row>
    <row r="349" spans="4:12">
      <c r="D349" s="66">
        <v>46123</v>
      </c>
      <c r="E349" s="32">
        <v>1593939</v>
      </c>
      <c r="F349" s="32" t="s">
        <v>27</v>
      </c>
      <c r="G349" s="67">
        <v>20008639</v>
      </c>
      <c r="H349" s="32" t="s">
        <v>191</v>
      </c>
      <c r="I349" s="67">
        <v>2</v>
      </c>
      <c r="J349" s="68">
        <v>17.5</v>
      </c>
      <c r="K349" s="68">
        <v>35</v>
      </c>
      <c r="L349">
        <f t="shared" si="5"/>
        <v>25</v>
      </c>
    </row>
    <row r="350" spans="4:12">
      <c r="D350" s="66">
        <v>46123</v>
      </c>
      <c r="E350" s="32">
        <v>1593939</v>
      </c>
      <c r="F350" s="32" t="s">
        <v>69</v>
      </c>
      <c r="G350" s="67">
        <v>20395507</v>
      </c>
      <c r="H350" s="32" t="s">
        <v>192</v>
      </c>
      <c r="I350" s="67">
        <v>1</v>
      </c>
      <c r="J350" s="68">
        <v>19.6</v>
      </c>
      <c r="K350" s="68">
        <v>19.6</v>
      </c>
      <c r="L350">
        <f t="shared" si="5"/>
        <v>28</v>
      </c>
    </row>
    <row r="351" spans="4:12">
      <c r="D351" s="66">
        <v>46123</v>
      </c>
      <c r="E351" s="32">
        <v>1593939</v>
      </c>
      <c r="F351" s="32" t="s">
        <v>69</v>
      </c>
      <c r="G351" s="67">
        <v>20008210</v>
      </c>
      <c r="H351" s="32" t="s">
        <v>272</v>
      </c>
      <c r="I351" s="67">
        <v>1</v>
      </c>
      <c r="J351" s="68">
        <v>19.6</v>
      </c>
      <c r="K351" s="68">
        <v>19.6</v>
      </c>
      <c r="L351">
        <f t="shared" si="5"/>
        <v>28</v>
      </c>
    </row>
    <row r="352" spans="4:12">
      <c r="D352" s="66">
        <v>46123</v>
      </c>
      <c r="E352" s="32">
        <v>1593944</v>
      </c>
      <c r="F352" s="32" t="s">
        <v>25</v>
      </c>
      <c r="G352" s="67">
        <v>20008345</v>
      </c>
      <c r="H352" s="32" t="s">
        <v>131</v>
      </c>
      <c r="I352" s="67">
        <v>2</v>
      </c>
      <c r="J352" s="68">
        <v>19.25</v>
      </c>
      <c r="K352" s="68">
        <v>38.5</v>
      </c>
      <c r="L352">
        <f t="shared" si="5"/>
        <v>27.5</v>
      </c>
    </row>
    <row r="353" spans="4:12">
      <c r="D353" s="66">
        <v>46124</v>
      </c>
      <c r="E353" s="32">
        <v>1594109</v>
      </c>
      <c r="F353" s="32" t="s">
        <v>36</v>
      </c>
      <c r="G353" s="67">
        <v>20007716</v>
      </c>
      <c r="H353" s="32" t="s">
        <v>172</v>
      </c>
      <c r="I353" s="67">
        <v>1</v>
      </c>
      <c r="J353" s="68">
        <v>284.9</v>
      </c>
      <c r="K353" s="68">
        <v>284.9</v>
      </c>
      <c r="L353">
        <f t="shared" si="5"/>
        <v>407</v>
      </c>
    </row>
    <row r="354" spans="4:12">
      <c r="D354" s="66">
        <v>46124</v>
      </c>
      <c r="E354" s="32">
        <v>1594109</v>
      </c>
      <c r="F354" s="32" t="s">
        <v>36</v>
      </c>
      <c r="G354" s="67">
        <v>20301286</v>
      </c>
      <c r="H354" s="32" t="s">
        <v>173</v>
      </c>
      <c r="I354" s="67">
        <v>1</v>
      </c>
      <c r="J354" s="68">
        <v>26.95</v>
      </c>
      <c r="K354" s="68">
        <v>26.95</v>
      </c>
      <c r="L354">
        <f t="shared" si="5"/>
        <v>38.5</v>
      </c>
    </row>
    <row r="355" spans="4:12">
      <c r="D355" s="66">
        <v>46124</v>
      </c>
      <c r="E355" s="32">
        <v>1594109</v>
      </c>
      <c r="F355" s="32" t="s">
        <v>36</v>
      </c>
      <c r="G355" s="67">
        <v>20008128</v>
      </c>
      <c r="H355" s="32" t="s">
        <v>174</v>
      </c>
      <c r="I355" s="67">
        <v>2</v>
      </c>
      <c r="J355" s="68">
        <v>130.9</v>
      </c>
      <c r="K355" s="68">
        <v>261.8</v>
      </c>
      <c r="L355">
        <f t="shared" si="5"/>
        <v>187</v>
      </c>
    </row>
    <row r="356" spans="4:12">
      <c r="D356" s="66">
        <v>46124</v>
      </c>
      <c r="E356" s="32">
        <v>1594109</v>
      </c>
      <c r="F356" s="32" t="s">
        <v>36</v>
      </c>
      <c r="G356" s="67">
        <v>20311037</v>
      </c>
      <c r="H356" s="32" t="s">
        <v>194</v>
      </c>
      <c r="I356" s="67">
        <v>1</v>
      </c>
      <c r="J356" s="68">
        <v>53.55</v>
      </c>
      <c r="K356" s="68">
        <v>53.55</v>
      </c>
      <c r="L356">
        <f t="shared" si="5"/>
        <v>76.5</v>
      </c>
    </row>
    <row r="357" spans="4:12">
      <c r="D357" s="66">
        <v>46124</v>
      </c>
      <c r="E357" s="32">
        <v>1594109</v>
      </c>
      <c r="F357" s="32" t="s">
        <v>13</v>
      </c>
      <c r="G357" s="67">
        <v>20316841</v>
      </c>
      <c r="H357" s="32" t="s">
        <v>220</v>
      </c>
      <c r="I357" s="67">
        <v>2</v>
      </c>
      <c r="J357" s="68">
        <v>7.35</v>
      </c>
      <c r="K357" s="68">
        <v>14.7</v>
      </c>
      <c r="L357">
        <f t="shared" si="5"/>
        <v>10.5</v>
      </c>
    </row>
    <row r="358" spans="4:12">
      <c r="D358" s="66">
        <v>46124</v>
      </c>
      <c r="E358" s="32">
        <v>1594109</v>
      </c>
      <c r="F358" s="32" t="s">
        <v>13</v>
      </c>
      <c r="G358" s="67">
        <v>20345685</v>
      </c>
      <c r="H358" s="32" t="s">
        <v>123</v>
      </c>
      <c r="I358" s="67">
        <v>1</v>
      </c>
      <c r="J358" s="68">
        <v>5.6</v>
      </c>
      <c r="K358" s="68">
        <v>5.6</v>
      </c>
      <c r="L358">
        <f t="shared" si="5"/>
        <v>8</v>
      </c>
    </row>
    <row r="359" spans="4:12">
      <c r="D359" s="66">
        <v>46124</v>
      </c>
      <c r="E359" s="32">
        <v>1594109</v>
      </c>
      <c r="F359" s="32" t="s">
        <v>13</v>
      </c>
      <c r="G359" s="67">
        <v>20008491</v>
      </c>
      <c r="H359" s="32" t="s">
        <v>104</v>
      </c>
      <c r="I359" s="67">
        <v>2</v>
      </c>
      <c r="J359" s="68">
        <v>11.55</v>
      </c>
      <c r="K359" s="68">
        <v>23.1</v>
      </c>
      <c r="L359">
        <f t="shared" si="5"/>
        <v>16.5</v>
      </c>
    </row>
    <row r="360" spans="4:12">
      <c r="D360" s="66">
        <v>46124</v>
      </c>
      <c r="E360" s="32">
        <v>1594109</v>
      </c>
      <c r="F360" s="32" t="s">
        <v>25</v>
      </c>
      <c r="G360" s="67">
        <v>20009014</v>
      </c>
      <c r="H360" s="32" t="s">
        <v>130</v>
      </c>
      <c r="I360" s="67">
        <v>1</v>
      </c>
      <c r="J360" s="68">
        <v>11.55</v>
      </c>
      <c r="K360" s="68">
        <v>11.55</v>
      </c>
      <c r="L360">
        <f t="shared" si="5"/>
        <v>16.5</v>
      </c>
    </row>
    <row r="361" spans="4:12">
      <c r="D361" s="66">
        <v>46124</v>
      </c>
      <c r="E361" s="32">
        <v>1594109</v>
      </c>
      <c r="F361" s="32" t="s">
        <v>25</v>
      </c>
      <c r="G361" s="67">
        <v>20013068</v>
      </c>
      <c r="H361" s="32" t="s">
        <v>295</v>
      </c>
      <c r="I361" s="67">
        <v>1</v>
      </c>
      <c r="J361" s="68">
        <v>11.55</v>
      </c>
      <c r="K361" s="68">
        <v>11.55</v>
      </c>
      <c r="L361">
        <f t="shared" si="5"/>
        <v>16.5</v>
      </c>
    </row>
    <row r="362" spans="4:12">
      <c r="D362" s="66">
        <v>46124</v>
      </c>
      <c r="E362" s="32">
        <v>1594109</v>
      </c>
      <c r="F362" s="32" t="s">
        <v>25</v>
      </c>
      <c r="G362" s="67">
        <v>20313526</v>
      </c>
      <c r="H362" s="32" t="s">
        <v>296</v>
      </c>
      <c r="I362" s="67">
        <v>1</v>
      </c>
      <c r="J362" s="68">
        <v>11.55</v>
      </c>
      <c r="K362" s="68">
        <v>11.55</v>
      </c>
      <c r="L362">
        <f t="shared" si="5"/>
        <v>16.5</v>
      </c>
    </row>
    <row r="363" spans="4:12">
      <c r="D363" s="66">
        <v>46124</v>
      </c>
      <c r="E363" s="32">
        <v>1594109</v>
      </c>
      <c r="F363" s="32" t="s">
        <v>25</v>
      </c>
      <c r="G363" s="67">
        <v>20008214</v>
      </c>
      <c r="H363" s="32" t="s">
        <v>99</v>
      </c>
      <c r="I363" s="67">
        <v>4</v>
      </c>
      <c r="J363" s="68">
        <v>11.55</v>
      </c>
      <c r="K363" s="68">
        <v>46.2</v>
      </c>
      <c r="L363">
        <f t="shared" si="5"/>
        <v>16.5</v>
      </c>
    </row>
    <row r="364" spans="4:12">
      <c r="D364" s="66">
        <v>46124</v>
      </c>
      <c r="E364" s="32">
        <v>1594109</v>
      </c>
      <c r="F364" s="32" t="s">
        <v>25</v>
      </c>
      <c r="G364" s="67">
        <v>20008345</v>
      </c>
      <c r="H364" s="32" t="s">
        <v>131</v>
      </c>
      <c r="I364" s="67">
        <v>2</v>
      </c>
      <c r="J364" s="68">
        <v>19.25</v>
      </c>
      <c r="K364" s="68">
        <v>38.5</v>
      </c>
      <c r="L364">
        <f t="shared" si="5"/>
        <v>27.5</v>
      </c>
    </row>
    <row r="365" spans="4:12">
      <c r="D365" s="66">
        <v>46124</v>
      </c>
      <c r="E365" s="32">
        <v>1594110</v>
      </c>
      <c r="F365" s="32" t="s">
        <v>27</v>
      </c>
      <c r="G365" s="67">
        <v>20370992</v>
      </c>
      <c r="H365" s="32" t="s">
        <v>183</v>
      </c>
      <c r="I365" s="67">
        <v>1</v>
      </c>
      <c r="J365" s="68">
        <v>24.5</v>
      </c>
      <c r="K365" s="68">
        <v>24.5</v>
      </c>
      <c r="L365">
        <f t="shared" si="5"/>
        <v>35</v>
      </c>
    </row>
    <row r="366" spans="4:12">
      <c r="D366" s="66">
        <v>46124</v>
      </c>
      <c r="E366" s="32">
        <v>1594110</v>
      </c>
      <c r="F366" s="32" t="s">
        <v>27</v>
      </c>
      <c r="G366" s="67">
        <v>20338493</v>
      </c>
      <c r="H366" s="32" t="s">
        <v>259</v>
      </c>
      <c r="I366" s="67">
        <v>5</v>
      </c>
      <c r="J366" s="68">
        <v>17.5</v>
      </c>
      <c r="K366" s="68">
        <v>87.5</v>
      </c>
      <c r="L366">
        <f t="shared" si="5"/>
        <v>25</v>
      </c>
    </row>
    <row r="367" spans="4:12">
      <c r="D367" s="66">
        <v>46124</v>
      </c>
      <c r="E367" s="32">
        <v>1594110</v>
      </c>
      <c r="F367" s="32" t="s">
        <v>27</v>
      </c>
      <c r="G367" s="67">
        <v>20013300</v>
      </c>
      <c r="H367" s="32" t="s">
        <v>235</v>
      </c>
      <c r="I367" s="67">
        <v>1</v>
      </c>
      <c r="J367" s="68">
        <v>24.5</v>
      </c>
      <c r="K367" s="68">
        <v>24.5</v>
      </c>
      <c r="L367">
        <f t="shared" si="5"/>
        <v>35</v>
      </c>
    </row>
    <row r="368" spans="4:12">
      <c r="D368" s="66">
        <v>46124</v>
      </c>
      <c r="E368" s="32">
        <v>1594110</v>
      </c>
      <c r="F368" s="32" t="s">
        <v>27</v>
      </c>
      <c r="G368" s="67">
        <v>20008885</v>
      </c>
      <c r="H368" s="32" t="s">
        <v>184</v>
      </c>
      <c r="I368" s="67">
        <v>2</v>
      </c>
      <c r="J368" s="68">
        <v>24.5</v>
      </c>
      <c r="K368" s="68">
        <v>49</v>
      </c>
      <c r="L368">
        <f t="shared" si="5"/>
        <v>35</v>
      </c>
    </row>
    <row r="369" spans="4:12">
      <c r="D369" s="66">
        <v>46124</v>
      </c>
      <c r="E369" s="32">
        <v>1594110</v>
      </c>
      <c r="F369" s="32" t="s">
        <v>27</v>
      </c>
      <c r="G369" s="67">
        <v>20313974</v>
      </c>
      <c r="H369" s="32" t="s">
        <v>185</v>
      </c>
      <c r="I369" s="67">
        <v>1</v>
      </c>
      <c r="J369" s="68">
        <v>30.8</v>
      </c>
      <c r="K369" s="68">
        <v>30.8</v>
      </c>
      <c r="L369">
        <f t="shared" si="5"/>
        <v>44</v>
      </c>
    </row>
    <row r="370" spans="4:12">
      <c r="D370" s="66">
        <v>46124</v>
      </c>
      <c r="E370" s="32">
        <v>1594110</v>
      </c>
      <c r="F370" s="32" t="s">
        <v>27</v>
      </c>
      <c r="G370" s="67">
        <v>20008170</v>
      </c>
      <c r="H370" s="32" t="s">
        <v>297</v>
      </c>
      <c r="I370" s="67">
        <v>1</v>
      </c>
      <c r="J370" s="68">
        <v>19.6</v>
      </c>
      <c r="K370" s="68">
        <v>19.6</v>
      </c>
      <c r="L370">
        <f t="shared" si="5"/>
        <v>28</v>
      </c>
    </row>
    <row r="371" spans="4:12">
      <c r="D371" s="66">
        <v>46124</v>
      </c>
      <c r="E371" s="32">
        <v>1594110</v>
      </c>
      <c r="F371" s="32" t="s">
        <v>27</v>
      </c>
      <c r="G371" s="67">
        <v>20006853</v>
      </c>
      <c r="H371" s="32" t="s">
        <v>186</v>
      </c>
      <c r="I371" s="67">
        <v>1</v>
      </c>
      <c r="J371" s="68">
        <v>24.5</v>
      </c>
      <c r="K371" s="68">
        <v>24.5</v>
      </c>
      <c r="L371">
        <f t="shared" si="5"/>
        <v>35</v>
      </c>
    </row>
    <row r="372" spans="4:12">
      <c r="D372" s="66">
        <v>46124</v>
      </c>
      <c r="E372" s="32">
        <v>1594110</v>
      </c>
      <c r="F372" s="32" t="s">
        <v>27</v>
      </c>
      <c r="G372" s="67">
        <v>20388302</v>
      </c>
      <c r="H372" s="32" t="s">
        <v>202</v>
      </c>
      <c r="I372" s="67">
        <v>1</v>
      </c>
      <c r="J372" s="68">
        <v>24.5</v>
      </c>
      <c r="K372" s="68">
        <v>24.5</v>
      </c>
      <c r="L372">
        <f t="shared" si="5"/>
        <v>35</v>
      </c>
    </row>
    <row r="373" spans="4:12">
      <c r="D373" s="66">
        <v>46124</v>
      </c>
      <c r="E373" s="32">
        <v>1594110</v>
      </c>
      <c r="F373" s="32" t="s">
        <v>27</v>
      </c>
      <c r="G373" s="67">
        <v>20012182</v>
      </c>
      <c r="H373" s="32" t="s">
        <v>248</v>
      </c>
      <c r="I373" s="67">
        <v>1</v>
      </c>
      <c r="J373" s="68">
        <v>19.6</v>
      </c>
      <c r="K373" s="68">
        <v>19.6</v>
      </c>
      <c r="L373">
        <f t="shared" si="5"/>
        <v>28</v>
      </c>
    </row>
    <row r="374" spans="4:12">
      <c r="D374" s="66">
        <v>46124</v>
      </c>
      <c r="E374" s="32">
        <v>1594110</v>
      </c>
      <c r="F374" s="32" t="s">
        <v>27</v>
      </c>
      <c r="G374" s="67">
        <v>20008389</v>
      </c>
      <c r="H374" s="32" t="s">
        <v>203</v>
      </c>
      <c r="I374" s="67">
        <v>1</v>
      </c>
      <c r="J374" s="68">
        <v>17.5</v>
      </c>
      <c r="K374" s="68">
        <v>17.5</v>
      </c>
      <c r="L374">
        <f t="shared" si="5"/>
        <v>25</v>
      </c>
    </row>
    <row r="375" spans="4:12">
      <c r="D375" s="66">
        <v>46124</v>
      </c>
      <c r="E375" s="32">
        <v>1594110</v>
      </c>
      <c r="F375" s="32" t="s">
        <v>27</v>
      </c>
      <c r="G375" s="67">
        <v>20006863</v>
      </c>
      <c r="H375" s="32" t="s">
        <v>204</v>
      </c>
      <c r="I375" s="67">
        <v>1</v>
      </c>
      <c r="J375" s="68">
        <v>24.5</v>
      </c>
      <c r="K375" s="68">
        <v>24.5</v>
      </c>
      <c r="L375">
        <f t="shared" si="5"/>
        <v>35</v>
      </c>
    </row>
    <row r="376" spans="4:12">
      <c r="D376" s="66">
        <v>46124</v>
      </c>
      <c r="E376" s="32">
        <v>1594110</v>
      </c>
      <c r="F376" s="32" t="s">
        <v>27</v>
      </c>
      <c r="G376" s="67">
        <v>20377562</v>
      </c>
      <c r="H376" s="32" t="s">
        <v>241</v>
      </c>
      <c r="I376" s="67">
        <v>1</v>
      </c>
      <c r="J376" s="68">
        <v>15.4</v>
      </c>
      <c r="K376" s="68">
        <v>15.4</v>
      </c>
      <c r="L376">
        <f t="shared" si="5"/>
        <v>22</v>
      </c>
    </row>
    <row r="377" spans="4:12">
      <c r="D377" s="66">
        <v>46124</v>
      </c>
      <c r="E377" s="32">
        <v>1594110</v>
      </c>
      <c r="F377" s="32" t="s">
        <v>27</v>
      </c>
      <c r="G377" s="67">
        <v>20009272</v>
      </c>
      <c r="H377" s="32" t="s">
        <v>261</v>
      </c>
      <c r="I377" s="67">
        <v>1</v>
      </c>
      <c r="J377" s="68">
        <v>19.6</v>
      </c>
      <c r="K377" s="68">
        <v>19.6</v>
      </c>
      <c r="L377">
        <f t="shared" si="5"/>
        <v>28</v>
      </c>
    </row>
    <row r="378" spans="4:12">
      <c r="D378" s="66">
        <v>46124</v>
      </c>
      <c r="E378" s="32">
        <v>1594110</v>
      </c>
      <c r="F378" s="32" t="s">
        <v>27</v>
      </c>
      <c r="G378" s="67">
        <v>20007638</v>
      </c>
      <c r="H378" s="32" t="s">
        <v>190</v>
      </c>
      <c r="I378" s="67">
        <v>1</v>
      </c>
      <c r="J378" s="68">
        <v>19.6</v>
      </c>
      <c r="K378" s="68">
        <v>19.6</v>
      </c>
      <c r="L378">
        <f t="shared" si="5"/>
        <v>28</v>
      </c>
    </row>
    <row r="379" spans="4:12">
      <c r="D379" s="66">
        <v>46124</v>
      </c>
      <c r="E379" s="32">
        <v>1594110</v>
      </c>
      <c r="F379" s="32" t="s">
        <v>27</v>
      </c>
      <c r="G379" s="67">
        <v>20008639</v>
      </c>
      <c r="H379" s="32" t="s">
        <v>191</v>
      </c>
      <c r="I379" s="67">
        <v>1</v>
      </c>
      <c r="J379" s="68">
        <v>17.5</v>
      </c>
      <c r="K379" s="68">
        <v>17.5</v>
      </c>
      <c r="L379">
        <f t="shared" si="5"/>
        <v>25</v>
      </c>
    </row>
    <row r="380" spans="4:12">
      <c r="D380" s="66">
        <v>46124</v>
      </c>
      <c r="E380" s="32">
        <v>1594110</v>
      </c>
      <c r="F380" s="32" t="s">
        <v>27</v>
      </c>
      <c r="G380" s="67">
        <v>20321486</v>
      </c>
      <c r="H380" s="32" t="s">
        <v>245</v>
      </c>
      <c r="I380" s="67">
        <v>1</v>
      </c>
      <c r="J380" s="68">
        <v>15.4</v>
      </c>
      <c r="K380" s="68">
        <v>15.4</v>
      </c>
      <c r="L380">
        <f t="shared" si="5"/>
        <v>22</v>
      </c>
    </row>
    <row r="381" spans="4:12">
      <c r="D381" s="66">
        <v>46124</v>
      </c>
      <c r="E381" s="32">
        <v>1594110</v>
      </c>
      <c r="F381" s="32" t="s">
        <v>27</v>
      </c>
      <c r="G381" s="67">
        <v>20007573</v>
      </c>
      <c r="H381" s="32" t="s">
        <v>298</v>
      </c>
      <c r="I381" s="67">
        <v>1</v>
      </c>
      <c r="J381" s="68">
        <v>19.6</v>
      </c>
      <c r="K381" s="68">
        <v>19.6</v>
      </c>
      <c r="L381">
        <f t="shared" si="5"/>
        <v>28</v>
      </c>
    </row>
    <row r="382" spans="4:12">
      <c r="D382" s="66">
        <v>46124</v>
      </c>
      <c r="E382" s="32">
        <v>1594110</v>
      </c>
      <c r="F382" s="32" t="s">
        <v>69</v>
      </c>
      <c r="G382" s="67">
        <v>20395507</v>
      </c>
      <c r="H382" s="32" t="s">
        <v>192</v>
      </c>
      <c r="I382" s="67">
        <v>1</v>
      </c>
      <c r="J382" s="68">
        <v>19.6</v>
      </c>
      <c r="K382" s="68">
        <v>19.6</v>
      </c>
      <c r="L382">
        <f t="shared" si="5"/>
        <v>28</v>
      </c>
    </row>
    <row r="383" spans="4:12">
      <c r="D383" s="66">
        <v>46124</v>
      </c>
      <c r="E383" s="32">
        <v>1594110</v>
      </c>
      <c r="F383" s="32" t="s">
        <v>69</v>
      </c>
      <c r="G383" s="67">
        <v>20013036</v>
      </c>
      <c r="H383" s="32" t="s">
        <v>206</v>
      </c>
      <c r="I383" s="67">
        <v>1</v>
      </c>
      <c r="J383" s="68">
        <v>30.8</v>
      </c>
      <c r="K383" s="68">
        <v>30.8</v>
      </c>
      <c r="L383">
        <f t="shared" si="5"/>
        <v>44</v>
      </c>
    </row>
    <row r="384" spans="4:12">
      <c r="D384" s="66">
        <v>46125</v>
      </c>
      <c r="E384" s="32">
        <v>1594184</v>
      </c>
      <c r="F384" s="32" t="s">
        <v>27</v>
      </c>
      <c r="G384" s="67">
        <v>20338493</v>
      </c>
      <c r="H384" s="32" t="s">
        <v>259</v>
      </c>
      <c r="I384" s="67">
        <v>2</v>
      </c>
      <c r="J384" s="68">
        <v>17.5</v>
      </c>
      <c r="K384" s="68">
        <v>35</v>
      </c>
      <c r="L384">
        <f t="shared" si="5"/>
        <v>25</v>
      </c>
    </row>
    <row r="385" spans="4:12">
      <c r="D385" s="66">
        <v>46125</v>
      </c>
      <c r="E385" s="32">
        <v>1594184</v>
      </c>
      <c r="F385" s="32" t="s">
        <v>27</v>
      </c>
      <c r="G385" s="67">
        <v>20313974</v>
      </c>
      <c r="H385" s="32" t="s">
        <v>185</v>
      </c>
      <c r="I385" s="67">
        <v>1</v>
      </c>
      <c r="J385" s="68">
        <v>30.8</v>
      </c>
      <c r="K385" s="68">
        <v>30.8</v>
      </c>
      <c r="L385">
        <f t="shared" si="5"/>
        <v>44</v>
      </c>
    </row>
    <row r="386" spans="4:12">
      <c r="D386" s="66">
        <v>46125</v>
      </c>
      <c r="E386" s="32">
        <v>1594184</v>
      </c>
      <c r="F386" s="32" t="s">
        <v>27</v>
      </c>
      <c r="G386" s="67">
        <v>20006853</v>
      </c>
      <c r="H386" s="32" t="s">
        <v>186</v>
      </c>
      <c r="I386" s="67">
        <v>1</v>
      </c>
      <c r="J386" s="68">
        <v>24.5</v>
      </c>
      <c r="K386" s="68">
        <v>24.5</v>
      </c>
      <c r="L386">
        <f t="shared" si="5"/>
        <v>35</v>
      </c>
    </row>
    <row r="387" spans="4:12">
      <c r="D387" s="66">
        <v>46125</v>
      </c>
      <c r="E387" s="32">
        <v>1594184</v>
      </c>
      <c r="F387" s="32" t="s">
        <v>27</v>
      </c>
      <c r="G387" s="67">
        <v>20400917</v>
      </c>
      <c r="H387" s="32" t="s">
        <v>188</v>
      </c>
      <c r="I387" s="67">
        <v>1</v>
      </c>
      <c r="J387" s="68">
        <v>17.5</v>
      </c>
      <c r="K387" s="68">
        <v>17.5</v>
      </c>
      <c r="L387">
        <f t="shared" si="5"/>
        <v>25</v>
      </c>
    </row>
    <row r="388" spans="4:12">
      <c r="D388" s="66">
        <v>46125</v>
      </c>
      <c r="E388" s="32">
        <v>1594184</v>
      </c>
      <c r="F388" s="32" t="s">
        <v>27</v>
      </c>
      <c r="G388" s="67">
        <v>20007639</v>
      </c>
      <c r="H388" s="32" t="s">
        <v>189</v>
      </c>
      <c r="I388" s="67">
        <v>1</v>
      </c>
      <c r="J388" s="68">
        <v>19.6</v>
      </c>
      <c r="K388" s="68">
        <v>19.6</v>
      </c>
      <c r="L388">
        <f t="shared" si="5"/>
        <v>28</v>
      </c>
    </row>
    <row r="389" spans="4:12">
      <c r="D389" s="66">
        <v>46125</v>
      </c>
      <c r="E389" s="32">
        <v>1594184</v>
      </c>
      <c r="F389" s="32" t="s">
        <v>27</v>
      </c>
      <c r="G389" s="67">
        <v>20009272</v>
      </c>
      <c r="H389" s="32" t="s">
        <v>261</v>
      </c>
      <c r="I389" s="67">
        <v>2</v>
      </c>
      <c r="J389" s="68">
        <v>19.6</v>
      </c>
      <c r="K389" s="68">
        <v>39.2</v>
      </c>
      <c r="L389">
        <f t="shared" si="5"/>
        <v>28</v>
      </c>
    </row>
    <row r="390" spans="4:12">
      <c r="D390" s="66">
        <v>46125</v>
      </c>
      <c r="E390" s="32">
        <v>1594184</v>
      </c>
      <c r="F390" s="32" t="s">
        <v>27</v>
      </c>
      <c r="G390" s="67">
        <v>20007638</v>
      </c>
      <c r="H390" s="32" t="s">
        <v>190</v>
      </c>
      <c r="I390" s="67">
        <v>1</v>
      </c>
      <c r="J390" s="68">
        <v>19.6</v>
      </c>
      <c r="K390" s="68">
        <v>19.6</v>
      </c>
      <c r="L390">
        <f t="shared" si="5"/>
        <v>28</v>
      </c>
    </row>
    <row r="391" spans="4:12">
      <c r="D391" s="66">
        <v>46125</v>
      </c>
      <c r="E391" s="32">
        <v>1594184</v>
      </c>
      <c r="F391" s="32" t="s">
        <v>27</v>
      </c>
      <c r="G391" s="67">
        <v>20008639</v>
      </c>
      <c r="H391" s="32" t="s">
        <v>191</v>
      </c>
      <c r="I391" s="67">
        <v>1</v>
      </c>
      <c r="J391" s="68">
        <v>17.5</v>
      </c>
      <c r="K391" s="68">
        <v>17.5</v>
      </c>
      <c r="L391">
        <f t="shared" si="5"/>
        <v>25</v>
      </c>
    </row>
    <row r="392" spans="4:12">
      <c r="D392" s="66">
        <v>46125</v>
      </c>
      <c r="E392" s="32">
        <v>1594184</v>
      </c>
      <c r="F392" s="32" t="s">
        <v>69</v>
      </c>
      <c r="G392" s="67">
        <v>20395507</v>
      </c>
      <c r="H392" s="32" t="s">
        <v>192</v>
      </c>
      <c r="I392" s="67">
        <v>1</v>
      </c>
      <c r="J392" s="68">
        <v>19.6</v>
      </c>
      <c r="K392" s="68">
        <v>19.6</v>
      </c>
      <c r="L392">
        <f t="shared" si="5"/>
        <v>28</v>
      </c>
    </row>
    <row r="393" spans="4:12">
      <c r="D393" s="66">
        <v>46125</v>
      </c>
      <c r="E393" s="32">
        <v>1594228</v>
      </c>
      <c r="F393" s="32" t="s">
        <v>36</v>
      </c>
      <c r="G393" s="67">
        <v>20008128</v>
      </c>
      <c r="H393" s="32" t="s">
        <v>174</v>
      </c>
      <c r="I393" s="67">
        <v>1</v>
      </c>
      <c r="J393" s="68">
        <v>130.9</v>
      </c>
      <c r="K393" s="68">
        <v>130.9</v>
      </c>
      <c r="L393">
        <f t="shared" si="5"/>
        <v>187</v>
      </c>
    </row>
    <row r="394" spans="4:12">
      <c r="D394" s="66">
        <v>46125</v>
      </c>
      <c r="E394" s="32">
        <v>1594228</v>
      </c>
      <c r="F394" s="32" t="s">
        <v>13</v>
      </c>
      <c r="G394" s="67">
        <v>20008491</v>
      </c>
      <c r="H394" s="32" t="s">
        <v>104</v>
      </c>
      <c r="I394" s="67">
        <v>1</v>
      </c>
      <c r="J394" s="68">
        <v>11.55</v>
      </c>
      <c r="K394" s="68">
        <v>11.55</v>
      </c>
      <c r="L394">
        <f t="shared" ref="L394:L457" si="6">J394/0.7</f>
        <v>16.5</v>
      </c>
    </row>
    <row r="395" spans="4:12">
      <c r="D395" s="66">
        <v>46125</v>
      </c>
      <c r="E395" s="32">
        <v>1594228</v>
      </c>
      <c r="F395" s="32" t="s">
        <v>13</v>
      </c>
      <c r="G395" s="67">
        <v>20008280</v>
      </c>
      <c r="H395" s="32" t="s">
        <v>212</v>
      </c>
      <c r="I395" s="67">
        <v>1</v>
      </c>
      <c r="J395" s="68">
        <v>11.55</v>
      </c>
      <c r="K395" s="68">
        <v>11.55</v>
      </c>
      <c r="L395">
        <f t="shared" si="6"/>
        <v>16.5</v>
      </c>
    </row>
    <row r="396" spans="4:12">
      <c r="D396" s="66">
        <v>46125</v>
      </c>
      <c r="E396" s="32">
        <v>1594228</v>
      </c>
      <c r="F396" s="32" t="s">
        <v>25</v>
      </c>
      <c r="G396" s="67">
        <v>20008214</v>
      </c>
      <c r="H396" s="32" t="s">
        <v>99</v>
      </c>
      <c r="I396" s="67">
        <v>1</v>
      </c>
      <c r="J396" s="68">
        <v>11.55</v>
      </c>
      <c r="K396" s="68">
        <v>11.55</v>
      </c>
      <c r="L396">
        <f t="shared" si="6"/>
        <v>16.5</v>
      </c>
    </row>
    <row r="397" spans="4:12">
      <c r="D397" s="66">
        <v>46125</v>
      </c>
      <c r="E397" s="32">
        <v>1594437</v>
      </c>
      <c r="F397" s="32" t="s">
        <v>36</v>
      </c>
      <c r="G397" s="67">
        <v>20008128</v>
      </c>
      <c r="H397" s="32" t="s">
        <v>174</v>
      </c>
      <c r="I397" s="67">
        <v>2</v>
      </c>
      <c r="J397" s="68">
        <v>130.9</v>
      </c>
      <c r="K397" s="68">
        <v>261.8</v>
      </c>
      <c r="L397">
        <f t="shared" si="6"/>
        <v>187</v>
      </c>
    </row>
    <row r="398" spans="4:12">
      <c r="D398" s="66">
        <v>46125</v>
      </c>
      <c r="E398" s="32">
        <v>1594437</v>
      </c>
      <c r="F398" s="32" t="s">
        <v>36</v>
      </c>
      <c r="G398" s="67">
        <v>20311037</v>
      </c>
      <c r="H398" s="32" t="s">
        <v>194</v>
      </c>
      <c r="I398" s="67">
        <v>1</v>
      </c>
      <c r="J398" s="68">
        <v>53.55</v>
      </c>
      <c r="K398" s="68">
        <v>53.55</v>
      </c>
      <c r="L398">
        <f t="shared" si="6"/>
        <v>76.5</v>
      </c>
    </row>
    <row r="399" spans="4:12">
      <c r="D399" s="66">
        <v>46125</v>
      </c>
      <c r="E399" s="32">
        <v>1594437</v>
      </c>
      <c r="F399" s="32" t="s">
        <v>13</v>
      </c>
      <c r="G399" s="67">
        <v>20006845</v>
      </c>
      <c r="H399" s="32" t="s">
        <v>103</v>
      </c>
      <c r="I399" s="67">
        <v>1</v>
      </c>
      <c r="J399" s="68">
        <v>11.55</v>
      </c>
      <c r="K399" s="68">
        <v>11.55</v>
      </c>
      <c r="L399">
        <f t="shared" si="6"/>
        <v>16.5</v>
      </c>
    </row>
    <row r="400" spans="4:12">
      <c r="D400" s="66">
        <v>46125</v>
      </c>
      <c r="E400" s="32">
        <v>1594437</v>
      </c>
      <c r="F400" s="32" t="s">
        <v>13</v>
      </c>
      <c r="G400" s="67">
        <v>20008491</v>
      </c>
      <c r="H400" s="32" t="s">
        <v>104</v>
      </c>
      <c r="I400" s="67">
        <v>1</v>
      </c>
      <c r="J400" s="68">
        <v>11.55</v>
      </c>
      <c r="K400" s="68">
        <v>11.55</v>
      </c>
      <c r="L400">
        <f t="shared" si="6"/>
        <v>16.5</v>
      </c>
    </row>
    <row r="401" spans="4:12">
      <c r="D401" s="66">
        <v>46125</v>
      </c>
      <c r="E401" s="32">
        <v>1594437</v>
      </c>
      <c r="F401" s="32" t="s">
        <v>13</v>
      </c>
      <c r="G401" s="67">
        <v>20008204</v>
      </c>
      <c r="H401" s="32" t="s">
        <v>116</v>
      </c>
      <c r="I401" s="67">
        <v>1</v>
      </c>
      <c r="J401" s="68">
        <v>9.45</v>
      </c>
      <c r="K401" s="68">
        <v>9.45</v>
      </c>
      <c r="L401">
        <f t="shared" si="6"/>
        <v>13.5</v>
      </c>
    </row>
    <row r="402" spans="4:12">
      <c r="D402" s="66">
        <v>46125</v>
      </c>
      <c r="E402" s="32">
        <v>1594437</v>
      </c>
      <c r="F402" s="32" t="s">
        <v>180</v>
      </c>
      <c r="G402" s="67">
        <v>20362791</v>
      </c>
      <c r="H402" s="32" t="s">
        <v>181</v>
      </c>
      <c r="I402" s="67">
        <v>1</v>
      </c>
      <c r="J402" s="68">
        <v>24.5</v>
      </c>
      <c r="K402" s="68">
        <v>24.5</v>
      </c>
      <c r="L402">
        <f t="shared" si="6"/>
        <v>35</v>
      </c>
    </row>
    <row r="403" spans="4:12">
      <c r="D403" s="66">
        <v>46125</v>
      </c>
      <c r="E403" s="32">
        <v>1594437</v>
      </c>
      <c r="F403" s="32" t="s">
        <v>23</v>
      </c>
      <c r="G403" s="67">
        <v>20371299</v>
      </c>
      <c r="H403" s="32" t="s">
        <v>177</v>
      </c>
      <c r="I403" s="67">
        <v>1</v>
      </c>
      <c r="J403" s="68">
        <v>42.35</v>
      </c>
      <c r="K403" s="68">
        <v>42.35</v>
      </c>
      <c r="L403">
        <f t="shared" si="6"/>
        <v>60.5</v>
      </c>
    </row>
    <row r="404" spans="4:12">
      <c r="D404" s="66">
        <v>46125</v>
      </c>
      <c r="E404" s="32">
        <v>1594437</v>
      </c>
      <c r="F404" s="32" t="s">
        <v>25</v>
      </c>
      <c r="G404" s="67">
        <v>20008214</v>
      </c>
      <c r="H404" s="32" t="s">
        <v>99</v>
      </c>
      <c r="I404" s="67">
        <v>3</v>
      </c>
      <c r="J404" s="68">
        <v>11.55</v>
      </c>
      <c r="K404" s="68">
        <v>34.65</v>
      </c>
      <c r="L404">
        <f t="shared" si="6"/>
        <v>16.5</v>
      </c>
    </row>
    <row r="405" spans="4:12">
      <c r="D405" s="66">
        <v>46125</v>
      </c>
      <c r="E405" s="32">
        <v>1594437</v>
      </c>
      <c r="F405" s="32" t="s">
        <v>25</v>
      </c>
      <c r="G405" s="67">
        <v>20008345</v>
      </c>
      <c r="H405" s="32" t="s">
        <v>131</v>
      </c>
      <c r="I405" s="67">
        <v>1</v>
      </c>
      <c r="J405" s="68">
        <v>19.25</v>
      </c>
      <c r="K405" s="68">
        <v>19.25</v>
      </c>
      <c r="L405">
        <f t="shared" si="6"/>
        <v>27.5</v>
      </c>
    </row>
    <row r="406" spans="4:12">
      <c r="D406" s="66">
        <v>46126</v>
      </c>
      <c r="E406" s="32">
        <v>1594509</v>
      </c>
      <c r="F406" s="32" t="s">
        <v>27</v>
      </c>
      <c r="G406" s="67">
        <v>20323753</v>
      </c>
      <c r="H406" s="32" t="s">
        <v>299</v>
      </c>
      <c r="I406" s="67">
        <v>1</v>
      </c>
      <c r="J406" s="68">
        <v>24.5</v>
      </c>
      <c r="K406" s="68">
        <v>24.5</v>
      </c>
      <c r="L406">
        <f t="shared" si="6"/>
        <v>35</v>
      </c>
    </row>
    <row r="407" spans="4:12">
      <c r="D407" s="66">
        <v>46126</v>
      </c>
      <c r="E407" s="32">
        <v>1594509</v>
      </c>
      <c r="F407" s="32" t="s">
        <v>27</v>
      </c>
      <c r="G407" s="67">
        <v>20007288</v>
      </c>
      <c r="H407" s="32" t="s">
        <v>300</v>
      </c>
      <c r="I407" s="67">
        <v>1</v>
      </c>
      <c r="J407" s="68">
        <v>24.5</v>
      </c>
      <c r="K407" s="68">
        <v>24.5</v>
      </c>
      <c r="L407">
        <f t="shared" si="6"/>
        <v>35</v>
      </c>
    </row>
    <row r="408" spans="4:12">
      <c r="D408" s="66">
        <v>46126</v>
      </c>
      <c r="E408" s="32">
        <v>1594509</v>
      </c>
      <c r="F408" s="32" t="s">
        <v>27</v>
      </c>
      <c r="G408" s="67">
        <v>20365405</v>
      </c>
      <c r="H408" s="32" t="s">
        <v>71</v>
      </c>
      <c r="I408" s="67">
        <v>1</v>
      </c>
      <c r="J408" s="68">
        <v>61.6</v>
      </c>
      <c r="K408" s="68">
        <v>61.6</v>
      </c>
      <c r="L408">
        <f t="shared" si="6"/>
        <v>88</v>
      </c>
    </row>
    <row r="409" spans="4:12">
      <c r="D409" s="66">
        <v>46126</v>
      </c>
      <c r="E409" s="32">
        <v>1594509</v>
      </c>
      <c r="F409" s="32" t="s">
        <v>27</v>
      </c>
      <c r="G409" s="67">
        <v>20313974</v>
      </c>
      <c r="H409" s="32" t="s">
        <v>185</v>
      </c>
      <c r="I409" s="67">
        <v>1</v>
      </c>
      <c r="J409" s="68">
        <v>30.8</v>
      </c>
      <c r="K409" s="68">
        <v>30.8</v>
      </c>
      <c r="L409">
        <f t="shared" si="6"/>
        <v>44</v>
      </c>
    </row>
    <row r="410" spans="4:12">
      <c r="D410" s="66">
        <v>46126</v>
      </c>
      <c r="E410" s="32">
        <v>1594509</v>
      </c>
      <c r="F410" s="32" t="s">
        <v>27</v>
      </c>
      <c r="G410" s="67">
        <v>20008623</v>
      </c>
      <c r="H410" s="32" t="s">
        <v>72</v>
      </c>
      <c r="I410" s="67">
        <v>1</v>
      </c>
      <c r="J410" s="68">
        <v>15.4</v>
      </c>
      <c r="K410" s="68">
        <v>15.4</v>
      </c>
      <c r="L410">
        <f t="shared" si="6"/>
        <v>22</v>
      </c>
    </row>
    <row r="411" spans="4:12">
      <c r="D411" s="66">
        <v>46126</v>
      </c>
      <c r="E411" s="32">
        <v>1594509</v>
      </c>
      <c r="F411" s="32" t="s">
        <v>27</v>
      </c>
      <c r="G411" s="67">
        <v>20007633</v>
      </c>
      <c r="H411" s="32" t="s">
        <v>68</v>
      </c>
      <c r="I411" s="67">
        <v>1</v>
      </c>
      <c r="J411" s="68">
        <v>24.5</v>
      </c>
      <c r="K411" s="68">
        <v>24.5</v>
      </c>
      <c r="L411">
        <f t="shared" si="6"/>
        <v>35</v>
      </c>
    </row>
    <row r="412" spans="4:12">
      <c r="D412" s="66">
        <v>46126</v>
      </c>
      <c r="E412" s="32">
        <v>1594509</v>
      </c>
      <c r="F412" s="32" t="s">
        <v>27</v>
      </c>
      <c r="G412" s="67">
        <v>20006853</v>
      </c>
      <c r="H412" s="32" t="s">
        <v>186</v>
      </c>
      <c r="I412" s="67">
        <v>1</v>
      </c>
      <c r="J412" s="68">
        <v>24.5</v>
      </c>
      <c r="K412" s="68">
        <v>24.5</v>
      </c>
      <c r="L412">
        <f t="shared" si="6"/>
        <v>35</v>
      </c>
    </row>
    <row r="413" spans="4:12">
      <c r="D413" s="66">
        <v>46126</v>
      </c>
      <c r="E413" s="32">
        <v>1594509</v>
      </c>
      <c r="F413" s="32" t="s">
        <v>27</v>
      </c>
      <c r="G413" s="67">
        <v>20382022</v>
      </c>
      <c r="H413" s="32" t="s">
        <v>282</v>
      </c>
      <c r="I413" s="67">
        <v>1</v>
      </c>
      <c r="J413" s="68">
        <v>19.6</v>
      </c>
      <c r="K413" s="68">
        <v>19.6</v>
      </c>
      <c r="L413">
        <f t="shared" si="6"/>
        <v>28</v>
      </c>
    </row>
    <row r="414" spans="4:12">
      <c r="D414" s="66">
        <v>46126</v>
      </c>
      <c r="E414" s="32">
        <v>1594509</v>
      </c>
      <c r="F414" s="32" t="s">
        <v>27</v>
      </c>
      <c r="G414" s="67">
        <v>20012362</v>
      </c>
      <c r="H414" s="32" t="s">
        <v>237</v>
      </c>
      <c r="I414" s="67">
        <v>2</v>
      </c>
      <c r="J414" s="68">
        <v>30.8</v>
      </c>
      <c r="K414" s="68">
        <v>61.6</v>
      </c>
      <c r="L414">
        <f t="shared" si="6"/>
        <v>44</v>
      </c>
    </row>
    <row r="415" spans="4:12">
      <c r="D415" s="66">
        <v>46126</v>
      </c>
      <c r="E415" s="32">
        <v>1594509</v>
      </c>
      <c r="F415" s="32" t="s">
        <v>27</v>
      </c>
      <c r="G415" s="67">
        <v>20006864</v>
      </c>
      <c r="H415" s="32" t="s">
        <v>238</v>
      </c>
      <c r="I415" s="67">
        <v>1</v>
      </c>
      <c r="J415" s="68">
        <v>19.6</v>
      </c>
      <c r="K415" s="68">
        <v>19.6</v>
      </c>
      <c r="L415">
        <f t="shared" si="6"/>
        <v>28</v>
      </c>
    </row>
    <row r="416" spans="4:12">
      <c r="D416" s="66">
        <v>46126</v>
      </c>
      <c r="E416" s="32">
        <v>1594509</v>
      </c>
      <c r="F416" s="32" t="s">
        <v>27</v>
      </c>
      <c r="G416" s="67">
        <v>20348167</v>
      </c>
      <c r="H416" s="32" t="s">
        <v>240</v>
      </c>
      <c r="I416" s="67">
        <v>1</v>
      </c>
      <c r="J416" s="68">
        <v>61.6</v>
      </c>
      <c r="K416" s="68">
        <v>61.6</v>
      </c>
      <c r="L416">
        <f t="shared" si="6"/>
        <v>88</v>
      </c>
    </row>
    <row r="417" spans="4:12">
      <c r="D417" s="66">
        <v>46126</v>
      </c>
      <c r="E417" s="32">
        <v>1594509</v>
      </c>
      <c r="F417" s="32" t="s">
        <v>27</v>
      </c>
      <c r="G417" s="67">
        <v>20007638</v>
      </c>
      <c r="H417" s="32" t="s">
        <v>190</v>
      </c>
      <c r="I417" s="67">
        <v>1</v>
      </c>
      <c r="J417" s="68">
        <v>19.6</v>
      </c>
      <c r="K417" s="68">
        <v>19.6</v>
      </c>
      <c r="L417">
        <f t="shared" si="6"/>
        <v>28</v>
      </c>
    </row>
    <row r="418" spans="4:12">
      <c r="D418" s="66">
        <v>46126</v>
      </c>
      <c r="E418" s="32">
        <v>1594509</v>
      </c>
      <c r="F418" s="32" t="s">
        <v>27</v>
      </c>
      <c r="G418" s="67">
        <v>20008639</v>
      </c>
      <c r="H418" s="32" t="s">
        <v>191</v>
      </c>
      <c r="I418" s="67">
        <v>1</v>
      </c>
      <c r="J418" s="68">
        <v>17.5</v>
      </c>
      <c r="K418" s="68">
        <v>17.5</v>
      </c>
      <c r="L418">
        <f t="shared" si="6"/>
        <v>25</v>
      </c>
    </row>
    <row r="419" spans="4:12">
      <c r="D419" s="66">
        <v>46126</v>
      </c>
      <c r="E419" s="32">
        <v>1594509</v>
      </c>
      <c r="F419" s="32" t="s">
        <v>27</v>
      </c>
      <c r="G419" s="67">
        <v>20335398</v>
      </c>
      <c r="H419" s="32" t="s">
        <v>301</v>
      </c>
      <c r="I419" s="67">
        <v>1</v>
      </c>
      <c r="J419" s="68">
        <v>61.6</v>
      </c>
      <c r="K419" s="68">
        <v>61.6</v>
      </c>
      <c r="L419">
        <f t="shared" si="6"/>
        <v>88</v>
      </c>
    </row>
    <row r="420" spans="4:12">
      <c r="D420" s="66">
        <v>46126</v>
      </c>
      <c r="E420" s="32">
        <v>1594509</v>
      </c>
      <c r="F420" s="32" t="s">
        <v>27</v>
      </c>
      <c r="G420" s="67">
        <v>20007573</v>
      </c>
      <c r="H420" s="32" t="s">
        <v>298</v>
      </c>
      <c r="I420" s="67">
        <v>2</v>
      </c>
      <c r="J420" s="68">
        <v>19.6</v>
      </c>
      <c r="K420" s="68">
        <v>39.2</v>
      </c>
      <c r="L420">
        <f t="shared" si="6"/>
        <v>28</v>
      </c>
    </row>
    <row r="421" spans="4:12">
      <c r="D421" s="66">
        <v>46126</v>
      </c>
      <c r="E421" s="32">
        <v>1594509</v>
      </c>
      <c r="F421" s="32" t="s">
        <v>69</v>
      </c>
      <c r="G421" s="67">
        <v>20395507</v>
      </c>
      <c r="H421" s="32" t="s">
        <v>192</v>
      </c>
      <c r="I421" s="67">
        <v>1</v>
      </c>
      <c r="J421" s="68">
        <v>19.6</v>
      </c>
      <c r="K421" s="68">
        <v>19.6</v>
      </c>
      <c r="L421">
        <f t="shared" si="6"/>
        <v>28</v>
      </c>
    </row>
    <row r="422" spans="4:12">
      <c r="D422" s="66">
        <v>46126</v>
      </c>
      <c r="E422" s="32">
        <v>1594509</v>
      </c>
      <c r="F422" s="32" t="s">
        <v>69</v>
      </c>
      <c r="G422" s="67">
        <v>20008376</v>
      </c>
      <c r="H422" s="32" t="s">
        <v>263</v>
      </c>
      <c r="I422" s="67">
        <v>1</v>
      </c>
      <c r="J422" s="68">
        <v>19.6</v>
      </c>
      <c r="K422" s="68">
        <v>19.6</v>
      </c>
      <c r="L422">
        <f t="shared" si="6"/>
        <v>28</v>
      </c>
    </row>
    <row r="423" spans="4:12">
      <c r="D423" s="66">
        <v>46126</v>
      </c>
      <c r="E423" s="32">
        <v>1594509</v>
      </c>
      <c r="F423" s="32" t="s">
        <v>69</v>
      </c>
      <c r="G423" s="67">
        <v>20012368</v>
      </c>
      <c r="H423" s="32" t="s">
        <v>247</v>
      </c>
      <c r="I423" s="67">
        <v>1</v>
      </c>
      <c r="J423" s="68">
        <v>19.6</v>
      </c>
      <c r="K423" s="68">
        <v>19.6</v>
      </c>
      <c r="L423">
        <f t="shared" si="6"/>
        <v>28</v>
      </c>
    </row>
    <row r="424" spans="4:12">
      <c r="D424" s="66">
        <v>46127</v>
      </c>
      <c r="E424" s="32">
        <v>1594899</v>
      </c>
      <c r="F424" s="32" t="s">
        <v>36</v>
      </c>
      <c r="G424" s="67">
        <v>20007715</v>
      </c>
      <c r="H424" s="32" t="s">
        <v>193</v>
      </c>
      <c r="I424" s="67">
        <v>2</v>
      </c>
      <c r="J424" s="68">
        <v>180.95</v>
      </c>
      <c r="K424" s="68">
        <v>361.9</v>
      </c>
      <c r="L424">
        <f t="shared" si="6"/>
        <v>258.5</v>
      </c>
    </row>
    <row r="425" spans="4:12">
      <c r="D425" s="66">
        <v>46127</v>
      </c>
      <c r="E425" s="32">
        <v>1594899</v>
      </c>
      <c r="F425" s="32" t="s">
        <v>36</v>
      </c>
      <c r="G425" s="67">
        <v>20008128</v>
      </c>
      <c r="H425" s="32" t="s">
        <v>174</v>
      </c>
      <c r="I425" s="67">
        <v>3</v>
      </c>
      <c r="J425" s="68">
        <v>130.9</v>
      </c>
      <c r="K425" s="68">
        <v>392.7</v>
      </c>
      <c r="L425">
        <f t="shared" si="6"/>
        <v>187</v>
      </c>
    </row>
    <row r="426" spans="4:12">
      <c r="D426" s="66">
        <v>46127</v>
      </c>
      <c r="E426" s="32">
        <v>1594899</v>
      </c>
      <c r="F426" s="32" t="s">
        <v>36</v>
      </c>
      <c r="G426" s="67">
        <v>20008129</v>
      </c>
      <c r="H426" s="32" t="s">
        <v>208</v>
      </c>
      <c r="I426" s="67">
        <v>1</v>
      </c>
      <c r="J426" s="68">
        <v>196.35</v>
      </c>
      <c r="K426" s="68">
        <v>196.35</v>
      </c>
      <c r="L426">
        <f t="shared" si="6"/>
        <v>280.5</v>
      </c>
    </row>
    <row r="427" spans="4:12">
      <c r="D427" s="66">
        <v>46127</v>
      </c>
      <c r="E427" s="32">
        <v>1594899</v>
      </c>
      <c r="F427" s="32" t="s">
        <v>36</v>
      </c>
      <c r="G427" s="67">
        <v>20311037</v>
      </c>
      <c r="H427" s="32" t="s">
        <v>194</v>
      </c>
      <c r="I427" s="67">
        <v>2</v>
      </c>
      <c r="J427" s="68">
        <v>53.55</v>
      </c>
      <c r="K427" s="68">
        <v>107.1</v>
      </c>
      <c r="L427">
        <f t="shared" si="6"/>
        <v>76.5</v>
      </c>
    </row>
    <row r="428" spans="4:12">
      <c r="D428" s="66">
        <v>46127</v>
      </c>
      <c r="E428" s="32">
        <v>1594899</v>
      </c>
      <c r="F428" s="32" t="s">
        <v>13</v>
      </c>
      <c r="G428" s="67">
        <v>20009483</v>
      </c>
      <c r="H428" s="32" t="s">
        <v>60</v>
      </c>
      <c r="I428" s="67">
        <v>1</v>
      </c>
      <c r="J428" s="68">
        <v>7.7</v>
      </c>
      <c r="K428" s="68">
        <v>7.7</v>
      </c>
      <c r="L428">
        <f t="shared" si="6"/>
        <v>11</v>
      </c>
    </row>
    <row r="429" spans="4:12">
      <c r="D429" s="66">
        <v>46127</v>
      </c>
      <c r="E429" s="32">
        <v>1594899</v>
      </c>
      <c r="F429" s="32" t="s">
        <v>180</v>
      </c>
      <c r="G429" s="67">
        <v>20362791</v>
      </c>
      <c r="H429" s="32" t="s">
        <v>181</v>
      </c>
      <c r="I429" s="67">
        <v>1</v>
      </c>
      <c r="J429" s="68">
        <v>24.5</v>
      </c>
      <c r="K429" s="68">
        <v>24.5</v>
      </c>
      <c r="L429">
        <f t="shared" si="6"/>
        <v>35</v>
      </c>
    </row>
    <row r="430" spans="4:12">
      <c r="D430" s="66">
        <v>46127</v>
      </c>
      <c r="E430" s="32">
        <v>1594899</v>
      </c>
      <c r="F430" s="32" t="s">
        <v>25</v>
      </c>
      <c r="G430" s="67">
        <v>20008214</v>
      </c>
      <c r="H430" s="32" t="s">
        <v>99</v>
      </c>
      <c r="I430" s="67">
        <v>6</v>
      </c>
      <c r="J430" s="68">
        <v>11.55</v>
      </c>
      <c r="K430" s="68">
        <v>69.3</v>
      </c>
      <c r="L430">
        <f t="shared" si="6"/>
        <v>16.5</v>
      </c>
    </row>
    <row r="431" spans="4:12">
      <c r="D431" s="66">
        <v>46127</v>
      </c>
      <c r="E431" s="32">
        <v>1594899</v>
      </c>
      <c r="F431" s="32" t="s">
        <v>25</v>
      </c>
      <c r="G431" s="67">
        <v>20326293</v>
      </c>
      <c r="H431" s="32" t="s">
        <v>302</v>
      </c>
      <c r="I431" s="67">
        <v>1</v>
      </c>
      <c r="J431" s="68">
        <v>11.55</v>
      </c>
      <c r="K431" s="68">
        <v>11.55</v>
      </c>
      <c r="L431">
        <f t="shared" si="6"/>
        <v>16.5</v>
      </c>
    </row>
    <row r="432" spans="4:12">
      <c r="D432" s="66">
        <v>46127</v>
      </c>
      <c r="E432" s="32">
        <v>1594899</v>
      </c>
      <c r="F432" s="32" t="s">
        <v>25</v>
      </c>
      <c r="G432" s="67">
        <v>20008345</v>
      </c>
      <c r="H432" s="32" t="s">
        <v>131</v>
      </c>
      <c r="I432" s="67">
        <v>3</v>
      </c>
      <c r="J432" s="68">
        <v>19.25</v>
      </c>
      <c r="K432" s="68">
        <v>57.75</v>
      </c>
      <c r="L432">
        <f t="shared" si="6"/>
        <v>27.5</v>
      </c>
    </row>
    <row r="433" spans="4:12">
      <c r="D433" s="66">
        <v>46127</v>
      </c>
      <c r="E433" s="32">
        <v>1594899</v>
      </c>
      <c r="F433" s="32" t="s">
        <v>25</v>
      </c>
      <c r="G433" s="67">
        <v>20347868</v>
      </c>
      <c r="H433" s="32" t="s">
        <v>303</v>
      </c>
      <c r="I433" s="67">
        <v>1</v>
      </c>
      <c r="J433" s="68">
        <v>11.55</v>
      </c>
      <c r="K433" s="68">
        <v>11.55</v>
      </c>
      <c r="L433">
        <f t="shared" si="6"/>
        <v>16.5</v>
      </c>
    </row>
    <row r="434" spans="4:12">
      <c r="D434" s="66">
        <v>46127</v>
      </c>
      <c r="E434" s="32">
        <v>1594908</v>
      </c>
      <c r="F434" s="32" t="s">
        <v>27</v>
      </c>
      <c r="G434" s="67">
        <v>20348232</v>
      </c>
      <c r="H434" s="32" t="s">
        <v>264</v>
      </c>
      <c r="I434" s="67">
        <v>1</v>
      </c>
      <c r="J434" s="68">
        <v>46.2</v>
      </c>
      <c r="K434" s="68">
        <v>46.2</v>
      </c>
      <c r="L434">
        <f t="shared" si="6"/>
        <v>66</v>
      </c>
    </row>
    <row r="435" spans="4:12">
      <c r="D435" s="66">
        <v>46127</v>
      </c>
      <c r="E435" s="32">
        <v>1594908</v>
      </c>
      <c r="F435" s="32" t="s">
        <v>27</v>
      </c>
      <c r="G435" s="67">
        <v>20015198</v>
      </c>
      <c r="H435" s="32" t="s">
        <v>274</v>
      </c>
      <c r="I435" s="67">
        <v>3</v>
      </c>
      <c r="J435" s="68">
        <v>24.5</v>
      </c>
      <c r="K435" s="68">
        <v>73.5</v>
      </c>
      <c r="L435">
        <f t="shared" si="6"/>
        <v>35</v>
      </c>
    </row>
    <row r="436" spans="4:12">
      <c r="D436" s="66">
        <v>46127</v>
      </c>
      <c r="E436" s="32">
        <v>1594908</v>
      </c>
      <c r="F436" s="32" t="s">
        <v>27</v>
      </c>
      <c r="G436" s="67">
        <v>20333137</v>
      </c>
      <c r="H436" s="32" t="s">
        <v>304</v>
      </c>
      <c r="I436" s="67">
        <v>1</v>
      </c>
      <c r="J436" s="68">
        <v>19.6</v>
      </c>
      <c r="K436" s="68">
        <v>19.6</v>
      </c>
      <c r="L436">
        <f t="shared" si="6"/>
        <v>28</v>
      </c>
    </row>
    <row r="437" spans="4:12">
      <c r="D437" s="66">
        <v>46127</v>
      </c>
      <c r="E437" s="32">
        <v>1594908</v>
      </c>
      <c r="F437" s="32" t="s">
        <v>27</v>
      </c>
      <c r="G437" s="67">
        <v>20365405</v>
      </c>
      <c r="H437" s="32" t="s">
        <v>71</v>
      </c>
      <c r="I437" s="67">
        <v>1</v>
      </c>
      <c r="J437" s="68">
        <v>61.6</v>
      </c>
      <c r="K437" s="68">
        <v>61.6</v>
      </c>
      <c r="L437">
        <f t="shared" si="6"/>
        <v>88</v>
      </c>
    </row>
    <row r="438" spans="4:12">
      <c r="D438" s="66">
        <v>46127</v>
      </c>
      <c r="E438" s="32">
        <v>1594908</v>
      </c>
      <c r="F438" s="32" t="s">
        <v>27</v>
      </c>
      <c r="G438" s="67">
        <v>20008885</v>
      </c>
      <c r="H438" s="32" t="s">
        <v>184</v>
      </c>
      <c r="I438" s="67">
        <v>1</v>
      </c>
      <c r="J438" s="68">
        <v>24.5</v>
      </c>
      <c r="K438" s="68">
        <v>24.5</v>
      </c>
      <c r="L438">
        <f t="shared" si="6"/>
        <v>35</v>
      </c>
    </row>
    <row r="439" spans="4:12">
      <c r="D439" s="66">
        <v>46127</v>
      </c>
      <c r="E439" s="32">
        <v>1594908</v>
      </c>
      <c r="F439" s="32" t="s">
        <v>27</v>
      </c>
      <c r="G439" s="67">
        <v>20008623</v>
      </c>
      <c r="H439" s="32" t="s">
        <v>72</v>
      </c>
      <c r="I439" s="67">
        <v>1</v>
      </c>
      <c r="J439" s="68">
        <v>15.4</v>
      </c>
      <c r="K439" s="68">
        <v>15.4</v>
      </c>
      <c r="L439">
        <f t="shared" si="6"/>
        <v>22</v>
      </c>
    </row>
    <row r="440" spans="4:12">
      <c r="D440" s="66">
        <v>46127</v>
      </c>
      <c r="E440" s="32">
        <v>1594908</v>
      </c>
      <c r="F440" s="32" t="s">
        <v>27</v>
      </c>
      <c r="G440" s="67">
        <v>20007633</v>
      </c>
      <c r="H440" s="32" t="s">
        <v>68</v>
      </c>
      <c r="I440" s="67">
        <v>1</v>
      </c>
      <c r="J440" s="68">
        <v>24.5</v>
      </c>
      <c r="K440" s="68">
        <v>24.5</v>
      </c>
      <c r="L440">
        <f t="shared" si="6"/>
        <v>35</v>
      </c>
    </row>
    <row r="441" spans="4:12">
      <c r="D441" s="66">
        <v>46127</v>
      </c>
      <c r="E441" s="32">
        <v>1594908</v>
      </c>
      <c r="F441" s="32" t="s">
        <v>27</v>
      </c>
      <c r="G441" s="67">
        <v>20388302</v>
      </c>
      <c r="H441" s="32" t="s">
        <v>202</v>
      </c>
      <c r="I441" s="67">
        <v>1</v>
      </c>
      <c r="J441" s="68">
        <v>24.5</v>
      </c>
      <c r="K441" s="68">
        <v>24.5</v>
      </c>
      <c r="L441">
        <f t="shared" si="6"/>
        <v>35</v>
      </c>
    </row>
    <row r="442" spans="4:12">
      <c r="D442" s="66">
        <v>46127</v>
      </c>
      <c r="E442" s="32">
        <v>1594908</v>
      </c>
      <c r="F442" s="32" t="s">
        <v>27</v>
      </c>
      <c r="G442" s="67">
        <v>20013381</v>
      </c>
      <c r="H442" s="32" t="s">
        <v>275</v>
      </c>
      <c r="I442" s="67">
        <v>3</v>
      </c>
      <c r="J442" s="68">
        <v>24.5</v>
      </c>
      <c r="K442" s="68">
        <v>73.5</v>
      </c>
      <c r="L442">
        <f t="shared" si="6"/>
        <v>35</v>
      </c>
    </row>
    <row r="443" spans="4:12">
      <c r="D443" s="66">
        <v>46127</v>
      </c>
      <c r="E443" s="32">
        <v>1594908</v>
      </c>
      <c r="F443" s="32" t="s">
        <v>27</v>
      </c>
      <c r="G443" s="67">
        <v>20012182</v>
      </c>
      <c r="H443" s="32" t="s">
        <v>248</v>
      </c>
      <c r="I443" s="67">
        <v>1</v>
      </c>
      <c r="J443" s="68">
        <v>19.6</v>
      </c>
      <c r="K443" s="68">
        <v>19.6</v>
      </c>
      <c r="L443">
        <f t="shared" si="6"/>
        <v>28</v>
      </c>
    </row>
    <row r="444" spans="4:12">
      <c r="D444" s="66">
        <v>46127</v>
      </c>
      <c r="E444" s="32">
        <v>1594908</v>
      </c>
      <c r="F444" s="32" t="s">
        <v>27</v>
      </c>
      <c r="G444" s="67">
        <v>20006864</v>
      </c>
      <c r="H444" s="32" t="s">
        <v>238</v>
      </c>
      <c r="I444" s="67">
        <v>1</v>
      </c>
      <c r="J444" s="68">
        <v>19.6</v>
      </c>
      <c r="K444" s="68">
        <v>19.6</v>
      </c>
      <c r="L444">
        <f t="shared" si="6"/>
        <v>28</v>
      </c>
    </row>
    <row r="445" spans="4:12">
      <c r="D445" s="66">
        <v>46127</v>
      </c>
      <c r="E445" s="32">
        <v>1594908</v>
      </c>
      <c r="F445" s="32" t="s">
        <v>27</v>
      </c>
      <c r="G445" s="67">
        <v>20008387</v>
      </c>
      <c r="H445" s="32" t="s">
        <v>260</v>
      </c>
      <c r="I445" s="67">
        <v>1</v>
      </c>
      <c r="J445" s="68">
        <v>17.5</v>
      </c>
      <c r="K445" s="68">
        <v>17.5</v>
      </c>
      <c r="L445">
        <f t="shared" si="6"/>
        <v>25</v>
      </c>
    </row>
    <row r="446" spans="4:12">
      <c r="D446" s="66">
        <v>46127</v>
      </c>
      <c r="E446" s="32">
        <v>1594908</v>
      </c>
      <c r="F446" s="32" t="s">
        <v>27</v>
      </c>
      <c r="G446" s="67">
        <v>20008389</v>
      </c>
      <c r="H446" s="32" t="s">
        <v>203</v>
      </c>
      <c r="I446" s="67">
        <v>1</v>
      </c>
      <c r="J446" s="68">
        <v>17.5</v>
      </c>
      <c r="K446" s="68">
        <v>17.5</v>
      </c>
      <c r="L446">
        <f t="shared" si="6"/>
        <v>25</v>
      </c>
    </row>
    <row r="447" spans="4:12">
      <c r="D447" s="66">
        <v>46127</v>
      </c>
      <c r="E447" s="32">
        <v>1594908</v>
      </c>
      <c r="F447" s="32" t="s">
        <v>27</v>
      </c>
      <c r="G447" s="67">
        <v>20348167</v>
      </c>
      <c r="H447" s="32" t="s">
        <v>240</v>
      </c>
      <c r="I447" s="67">
        <v>1</v>
      </c>
      <c r="J447" s="68">
        <v>61.6</v>
      </c>
      <c r="K447" s="68">
        <v>61.6</v>
      </c>
      <c r="L447">
        <f t="shared" si="6"/>
        <v>88</v>
      </c>
    </row>
    <row r="448" spans="4:12">
      <c r="D448" s="66">
        <v>46127</v>
      </c>
      <c r="E448" s="32">
        <v>1594908</v>
      </c>
      <c r="F448" s="32" t="s">
        <v>27</v>
      </c>
      <c r="G448" s="67">
        <v>20006863</v>
      </c>
      <c r="H448" s="32" t="s">
        <v>204</v>
      </c>
      <c r="I448" s="67">
        <v>1</v>
      </c>
      <c r="J448" s="68">
        <v>24.5</v>
      </c>
      <c r="K448" s="68">
        <v>24.5</v>
      </c>
      <c r="L448">
        <f t="shared" si="6"/>
        <v>35</v>
      </c>
    </row>
    <row r="449" spans="4:12">
      <c r="D449" s="66">
        <v>46127</v>
      </c>
      <c r="E449" s="32">
        <v>1594908</v>
      </c>
      <c r="F449" s="32" t="s">
        <v>27</v>
      </c>
      <c r="G449" s="67">
        <v>20335398</v>
      </c>
      <c r="H449" s="32" t="s">
        <v>301</v>
      </c>
      <c r="I449" s="67">
        <v>1</v>
      </c>
      <c r="J449" s="68">
        <v>61.6</v>
      </c>
      <c r="K449" s="68">
        <v>61.6</v>
      </c>
      <c r="L449">
        <f t="shared" si="6"/>
        <v>88</v>
      </c>
    </row>
    <row r="450" spans="4:12">
      <c r="D450" s="66">
        <v>46127</v>
      </c>
      <c r="E450" s="32">
        <v>1594908</v>
      </c>
      <c r="F450" s="32" t="s">
        <v>27</v>
      </c>
      <c r="G450" s="67">
        <v>20347869</v>
      </c>
      <c r="H450" s="32" t="s">
        <v>244</v>
      </c>
      <c r="I450" s="67">
        <v>1</v>
      </c>
      <c r="J450" s="68">
        <v>15.4</v>
      </c>
      <c r="K450" s="68">
        <v>15.4</v>
      </c>
      <c r="L450">
        <f t="shared" si="6"/>
        <v>22</v>
      </c>
    </row>
    <row r="451" spans="4:12">
      <c r="D451" s="66">
        <v>46127</v>
      </c>
      <c r="E451" s="32">
        <v>1594908</v>
      </c>
      <c r="F451" s="32" t="s">
        <v>69</v>
      </c>
      <c r="G451" s="67">
        <v>20008378</v>
      </c>
      <c r="H451" s="32" t="s">
        <v>246</v>
      </c>
      <c r="I451" s="67">
        <v>1</v>
      </c>
      <c r="J451" s="68">
        <v>19.6</v>
      </c>
      <c r="K451" s="68">
        <v>19.6</v>
      </c>
      <c r="L451">
        <f t="shared" si="6"/>
        <v>28</v>
      </c>
    </row>
    <row r="452" spans="4:12">
      <c r="D452" s="66">
        <v>46127</v>
      </c>
      <c r="E452" s="32">
        <v>1594908</v>
      </c>
      <c r="F452" s="32" t="s">
        <v>69</v>
      </c>
      <c r="G452" s="67">
        <v>20008376</v>
      </c>
      <c r="H452" s="32" t="s">
        <v>263</v>
      </c>
      <c r="I452" s="67">
        <v>1</v>
      </c>
      <c r="J452" s="68">
        <v>19.6</v>
      </c>
      <c r="K452" s="68">
        <v>19.6</v>
      </c>
      <c r="L452">
        <f t="shared" si="6"/>
        <v>28</v>
      </c>
    </row>
    <row r="453" spans="4:12">
      <c r="D453" s="66">
        <v>46127</v>
      </c>
      <c r="E453" s="32">
        <v>1594908</v>
      </c>
      <c r="F453" s="32" t="s">
        <v>69</v>
      </c>
      <c r="G453" s="67">
        <v>20012368</v>
      </c>
      <c r="H453" s="32" t="s">
        <v>247</v>
      </c>
      <c r="I453" s="67">
        <v>1</v>
      </c>
      <c r="J453" s="68">
        <v>19.6</v>
      </c>
      <c r="K453" s="68">
        <v>19.6</v>
      </c>
      <c r="L453">
        <f t="shared" si="6"/>
        <v>28</v>
      </c>
    </row>
    <row r="454" spans="4:12">
      <c r="D454" s="66">
        <v>46127</v>
      </c>
      <c r="E454" s="32">
        <v>1594908</v>
      </c>
      <c r="F454" s="32" t="s">
        <v>69</v>
      </c>
      <c r="G454" s="67">
        <v>20013036</v>
      </c>
      <c r="H454" s="32" t="s">
        <v>206</v>
      </c>
      <c r="I454" s="67">
        <v>1</v>
      </c>
      <c r="J454" s="68">
        <v>30.8</v>
      </c>
      <c r="K454" s="68">
        <v>30.8</v>
      </c>
      <c r="L454">
        <f t="shared" si="6"/>
        <v>44</v>
      </c>
    </row>
    <row r="455" spans="4:12">
      <c r="D455" s="66">
        <v>46127</v>
      </c>
      <c r="E455" s="32">
        <v>1595201</v>
      </c>
      <c r="F455" s="32" t="s">
        <v>36</v>
      </c>
      <c r="G455" s="67">
        <v>20006867</v>
      </c>
      <c r="H455" s="32" t="s">
        <v>215</v>
      </c>
      <c r="I455" s="67">
        <v>2</v>
      </c>
      <c r="J455" s="68">
        <v>246.4</v>
      </c>
      <c r="K455" s="68">
        <v>492.8</v>
      </c>
      <c r="L455">
        <f t="shared" si="6"/>
        <v>352</v>
      </c>
    </row>
    <row r="456" spans="4:12">
      <c r="D456" s="66">
        <v>46127</v>
      </c>
      <c r="E456" s="32">
        <v>1595201</v>
      </c>
      <c r="F456" s="32" t="s">
        <v>36</v>
      </c>
      <c r="G456" s="67">
        <v>20008128</v>
      </c>
      <c r="H456" s="32" t="s">
        <v>174</v>
      </c>
      <c r="I456" s="67">
        <v>4</v>
      </c>
      <c r="J456" s="68">
        <v>130.9</v>
      </c>
      <c r="K456" s="68">
        <v>523.6</v>
      </c>
      <c r="L456">
        <f t="shared" si="6"/>
        <v>187</v>
      </c>
    </row>
    <row r="457" spans="4:12">
      <c r="D457" s="66">
        <v>46127</v>
      </c>
      <c r="E457" s="32">
        <v>1595201</v>
      </c>
      <c r="F457" s="32" t="s">
        <v>13</v>
      </c>
      <c r="G457" s="67">
        <v>20012489</v>
      </c>
      <c r="H457" s="32" t="s">
        <v>75</v>
      </c>
      <c r="I457" s="67">
        <v>2</v>
      </c>
      <c r="J457" s="68">
        <v>5.6</v>
      </c>
      <c r="K457" s="68">
        <v>11.2</v>
      </c>
      <c r="L457">
        <f t="shared" si="6"/>
        <v>8</v>
      </c>
    </row>
    <row r="458" spans="4:12">
      <c r="D458" s="66">
        <v>46127</v>
      </c>
      <c r="E458" s="32">
        <v>1595201</v>
      </c>
      <c r="F458" s="32" t="s">
        <v>13</v>
      </c>
      <c r="G458" s="67">
        <v>20413736</v>
      </c>
      <c r="H458" s="32" t="s">
        <v>285</v>
      </c>
      <c r="I458" s="67">
        <v>1</v>
      </c>
      <c r="J458" s="68">
        <v>5.6</v>
      </c>
      <c r="K458" s="68">
        <v>5.6</v>
      </c>
      <c r="L458">
        <f t="shared" ref="L458:L521" si="7">J458/0.7</f>
        <v>8</v>
      </c>
    </row>
    <row r="459" spans="4:12">
      <c r="D459" s="66">
        <v>46127</v>
      </c>
      <c r="E459" s="32">
        <v>1595201</v>
      </c>
      <c r="F459" s="32" t="s">
        <v>13</v>
      </c>
      <c r="G459" s="67">
        <v>20405158</v>
      </c>
      <c r="H459" s="32" t="s">
        <v>197</v>
      </c>
      <c r="I459" s="67">
        <v>1</v>
      </c>
      <c r="J459" s="68">
        <v>7.7</v>
      </c>
      <c r="K459" s="68">
        <v>7.7</v>
      </c>
      <c r="L459">
        <f t="shared" si="7"/>
        <v>11</v>
      </c>
    </row>
    <row r="460" spans="4:12">
      <c r="D460" s="66">
        <v>46127</v>
      </c>
      <c r="E460" s="32">
        <v>1595201</v>
      </c>
      <c r="F460" s="32" t="s">
        <v>13</v>
      </c>
      <c r="G460" s="67">
        <v>20421676</v>
      </c>
      <c r="H460" s="32" t="s">
        <v>305</v>
      </c>
      <c r="I460" s="67">
        <v>1</v>
      </c>
      <c r="J460" s="68">
        <v>9.1</v>
      </c>
      <c r="K460" s="68">
        <v>9.1</v>
      </c>
      <c r="L460">
        <f t="shared" si="7"/>
        <v>13</v>
      </c>
    </row>
    <row r="461" spans="4:12">
      <c r="D461" s="66">
        <v>46127</v>
      </c>
      <c r="E461" s="32">
        <v>1595201</v>
      </c>
      <c r="F461" s="32" t="s">
        <v>13</v>
      </c>
      <c r="G461" s="67">
        <v>20421675</v>
      </c>
      <c r="H461" s="32" t="s">
        <v>306</v>
      </c>
      <c r="I461" s="67">
        <v>1</v>
      </c>
      <c r="J461" s="68">
        <v>9.1</v>
      </c>
      <c r="K461" s="68">
        <v>9.1</v>
      </c>
      <c r="L461">
        <f t="shared" si="7"/>
        <v>13</v>
      </c>
    </row>
    <row r="462" spans="4:12">
      <c r="D462" s="66">
        <v>46127</v>
      </c>
      <c r="E462" s="32">
        <v>1595201</v>
      </c>
      <c r="F462" s="32" t="s">
        <v>13</v>
      </c>
      <c r="G462" s="67">
        <v>20413745</v>
      </c>
      <c r="H462" s="32" t="s">
        <v>198</v>
      </c>
      <c r="I462" s="67">
        <v>1</v>
      </c>
      <c r="J462" s="68">
        <v>5.6</v>
      </c>
      <c r="K462" s="68">
        <v>5.6</v>
      </c>
      <c r="L462">
        <f t="shared" si="7"/>
        <v>8</v>
      </c>
    </row>
    <row r="463" spans="4:12">
      <c r="D463" s="66">
        <v>46127</v>
      </c>
      <c r="E463" s="32">
        <v>1595201</v>
      </c>
      <c r="F463" s="32" t="s">
        <v>13</v>
      </c>
      <c r="G463" s="67">
        <v>20008491</v>
      </c>
      <c r="H463" s="32" t="s">
        <v>104</v>
      </c>
      <c r="I463" s="67">
        <v>4</v>
      </c>
      <c r="J463" s="68">
        <v>11.55</v>
      </c>
      <c r="K463" s="68">
        <v>46.2</v>
      </c>
      <c r="L463">
        <f t="shared" si="7"/>
        <v>16.5</v>
      </c>
    </row>
    <row r="464" spans="4:12">
      <c r="D464" s="66">
        <v>46127</v>
      </c>
      <c r="E464" s="32">
        <v>1595201</v>
      </c>
      <c r="F464" s="32" t="s">
        <v>13</v>
      </c>
      <c r="G464" s="67">
        <v>20011138</v>
      </c>
      <c r="H464" s="32" t="s">
        <v>199</v>
      </c>
      <c r="I464" s="67">
        <v>3</v>
      </c>
      <c r="J464" s="68">
        <v>11.55</v>
      </c>
      <c r="K464" s="68">
        <v>34.65</v>
      </c>
      <c r="L464">
        <f t="shared" si="7"/>
        <v>16.5</v>
      </c>
    </row>
    <row r="465" spans="4:12">
      <c r="D465" s="66">
        <v>46127</v>
      </c>
      <c r="E465" s="32">
        <v>1595201</v>
      </c>
      <c r="F465" s="32" t="s">
        <v>13</v>
      </c>
      <c r="G465" s="67">
        <v>20008280</v>
      </c>
      <c r="H465" s="32" t="s">
        <v>212</v>
      </c>
      <c r="I465" s="67">
        <v>1</v>
      </c>
      <c r="J465" s="68">
        <v>11.55</v>
      </c>
      <c r="K465" s="68">
        <v>11.55</v>
      </c>
      <c r="L465">
        <f t="shared" si="7"/>
        <v>16.5</v>
      </c>
    </row>
    <row r="466" spans="4:12">
      <c r="D466" s="66">
        <v>46127</v>
      </c>
      <c r="E466" s="32">
        <v>1595201</v>
      </c>
      <c r="F466" s="32" t="s">
        <v>180</v>
      </c>
      <c r="G466" s="67">
        <v>20362791</v>
      </c>
      <c r="H466" s="32" t="s">
        <v>181</v>
      </c>
      <c r="I466" s="67">
        <v>1</v>
      </c>
      <c r="J466" s="68">
        <v>24.5</v>
      </c>
      <c r="K466" s="68">
        <v>24.5</v>
      </c>
      <c r="L466">
        <f t="shared" si="7"/>
        <v>35</v>
      </c>
    </row>
    <row r="467" spans="4:12">
      <c r="D467" s="66">
        <v>46127</v>
      </c>
      <c r="E467" s="32">
        <v>1595201</v>
      </c>
      <c r="F467" s="32" t="s">
        <v>25</v>
      </c>
      <c r="G467" s="67">
        <v>20008214</v>
      </c>
      <c r="H467" s="32" t="s">
        <v>99</v>
      </c>
      <c r="I467" s="67">
        <v>4</v>
      </c>
      <c r="J467" s="68">
        <v>11.55</v>
      </c>
      <c r="K467" s="68">
        <v>46.2</v>
      </c>
      <c r="L467">
        <f t="shared" si="7"/>
        <v>16.5</v>
      </c>
    </row>
    <row r="468" spans="4:12">
      <c r="D468" s="66">
        <v>46127</v>
      </c>
      <c r="E468" s="32">
        <v>1595201</v>
      </c>
      <c r="F468" s="32" t="s">
        <v>25</v>
      </c>
      <c r="G468" s="67">
        <v>20008345</v>
      </c>
      <c r="H468" s="32" t="s">
        <v>131</v>
      </c>
      <c r="I468" s="67">
        <v>3</v>
      </c>
      <c r="J468" s="68">
        <v>19.25</v>
      </c>
      <c r="K468" s="68">
        <v>57.75</v>
      </c>
      <c r="L468">
        <f t="shared" si="7"/>
        <v>27.5</v>
      </c>
    </row>
    <row r="469" spans="4:12">
      <c r="D469" s="66">
        <v>46127</v>
      </c>
      <c r="E469" s="32">
        <v>1595249</v>
      </c>
      <c r="F469" s="32" t="s">
        <v>27</v>
      </c>
      <c r="G469" s="67">
        <v>20328214</v>
      </c>
      <c r="H469" s="32" t="s">
        <v>307</v>
      </c>
      <c r="I469" s="67">
        <v>1</v>
      </c>
      <c r="J469" s="68">
        <v>46.2</v>
      </c>
      <c r="K469" s="68">
        <v>46.2</v>
      </c>
      <c r="L469">
        <f t="shared" si="7"/>
        <v>66</v>
      </c>
    </row>
    <row r="470" spans="4:12">
      <c r="D470" s="66">
        <v>46127</v>
      </c>
      <c r="E470" s="32">
        <v>1595249</v>
      </c>
      <c r="F470" s="32" t="s">
        <v>27</v>
      </c>
      <c r="G470" s="67">
        <v>20388302</v>
      </c>
      <c r="H470" s="32" t="s">
        <v>202</v>
      </c>
      <c r="I470" s="67">
        <v>2</v>
      </c>
      <c r="J470" s="68">
        <v>24.5</v>
      </c>
      <c r="K470" s="68">
        <v>49</v>
      </c>
      <c r="L470">
        <f t="shared" si="7"/>
        <v>35</v>
      </c>
    </row>
    <row r="471" spans="4:12">
      <c r="D471" s="66">
        <v>46127</v>
      </c>
      <c r="E471" s="32">
        <v>1595249</v>
      </c>
      <c r="F471" s="32" t="s">
        <v>69</v>
      </c>
      <c r="G471" s="67">
        <v>20012907</v>
      </c>
      <c r="H471" s="32" t="s">
        <v>205</v>
      </c>
      <c r="I471" s="67">
        <v>1</v>
      </c>
      <c r="J471" s="68">
        <v>19.6</v>
      </c>
      <c r="K471" s="68">
        <v>19.6</v>
      </c>
      <c r="L471">
        <f t="shared" si="7"/>
        <v>28</v>
      </c>
    </row>
    <row r="472" spans="4:12">
      <c r="D472" s="66">
        <v>46129</v>
      </c>
      <c r="E472" s="32">
        <v>1595684</v>
      </c>
      <c r="F472" s="32" t="s">
        <v>36</v>
      </c>
      <c r="G472" s="67">
        <v>20006867</v>
      </c>
      <c r="H472" s="32" t="s">
        <v>215</v>
      </c>
      <c r="I472" s="67">
        <v>1</v>
      </c>
      <c r="J472" s="68">
        <v>246.4</v>
      </c>
      <c r="K472" s="68">
        <v>246.4</v>
      </c>
      <c r="L472">
        <f t="shared" si="7"/>
        <v>352</v>
      </c>
    </row>
    <row r="473" spans="4:12">
      <c r="D473" s="66">
        <v>46129</v>
      </c>
      <c r="E473" s="32">
        <v>1595684</v>
      </c>
      <c r="F473" s="32" t="s">
        <v>36</v>
      </c>
      <c r="G473" s="67">
        <v>20421827</v>
      </c>
      <c r="H473" s="32" t="s">
        <v>308</v>
      </c>
      <c r="I473" s="67">
        <v>1</v>
      </c>
      <c r="J473" s="68">
        <v>53.9</v>
      </c>
      <c r="K473" s="68">
        <v>53.9</v>
      </c>
      <c r="L473">
        <f t="shared" si="7"/>
        <v>77</v>
      </c>
    </row>
    <row r="474" spans="4:12">
      <c r="D474" s="66">
        <v>46129</v>
      </c>
      <c r="E474" s="32">
        <v>1595684</v>
      </c>
      <c r="F474" s="32" t="s">
        <v>36</v>
      </c>
      <c r="G474" s="67">
        <v>20007715</v>
      </c>
      <c r="H474" s="32" t="s">
        <v>193</v>
      </c>
      <c r="I474" s="67">
        <v>2</v>
      </c>
      <c r="J474" s="68">
        <v>180.95</v>
      </c>
      <c r="K474" s="68">
        <v>361.9</v>
      </c>
      <c r="L474">
        <f t="shared" si="7"/>
        <v>258.5</v>
      </c>
    </row>
    <row r="475" spans="4:12">
      <c r="D475" s="66">
        <v>46129</v>
      </c>
      <c r="E475" s="32">
        <v>1595684</v>
      </c>
      <c r="F475" s="32" t="s">
        <v>36</v>
      </c>
      <c r="G475" s="67">
        <v>20008128</v>
      </c>
      <c r="H475" s="32" t="s">
        <v>174</v>
      </c>
      <c r="I475" s="67">
        <v>4</v>
      </c>
      <c r="J475" s="68">
        <v>130.9</v>
      </c>
      <c r="K475" s="68">
        <v>523.6</v>
      </c>
      <c r="L475">
        <f t="shared" si="7"/>
        <v>187</v>
      </c>
    </row>
    <row r="476" spans="4:12">
      <c r="D476" s="66">
        <v>46129</v>
      </c>
      <c r="E476" s="32">
        <v>1595684</v>
      </c>
      <c r="F476" s="32" t="s">
        <v>36</v>
      </c>
      <c r="G476" s="67">
        <v>20325851</v>
      </c>
      <c r="H476" s="32" t="s">
        <v>175</v>
      </c>
      <c r="I476" s="67">
        <v>1</v>
      </c>
      <c r="J476" s="68">
        <v>150.15</v>
      </c>
      <c r="K476" s="68">
        <v>150.15</v>
      </c>
      <c r="L476">
        <f t="shared" si="7"/>
        <v>214.5</v>
      </c>
    </row>
    <row r="477" spans="4:12">
      <c r="D477" s="66">
        <v>46129</v>
      </c>
      <c r="E477" s="32">
        <v>1595684</v>
      </c>
      <c r="F477" s="32" t="s">
        <v>36</v>
      </c>
      <c r="G477" s="67">
        <v>20421828</v>
      </c>
      <c r="H477" s="32" t="s">
        <v>309</v>
      </c>
      <c r="I477" s="67">
        <v>2</v>
      </c>
      <c r="J477" s="68">
        <v>50.05</v>
      </c>
      <c r="K477" s="68">
        <v>100.1</v>
      </c>
      <c r="L477">
        <f t="shared" si="7"/>
        <v>71.5</v>
      </c>
    </row>
    <row r="478" spans="4:12">
      <c r="D478" s="66">
        <v>46129</v>
      </c>
      <c r="E478" s="32">
        <v>1595684</v>
      </c>
      <c r="F478" s="32" t="s">
        <v>13</v>
      </c>
      <c r="G478" s="67">
        <v>20346304</v>
      </c>
      <c r="H478" s="32" t="s">
        <v>310</v>
      </c>
      <c r="I478" s="67">
        <v>1</v>
      </c>
      <c r="J478" s="68">
        <v>5.6</v>
      </c>
      <c r="K478" s="68">
        <v>5.6</v>
      </c>
      <c r="L478">
        <f t="shared" si="7"/>
        <v>8</v>
      </c>
    </row>
    <row r="479" spans="4:12">
      <c r="D479" s="66">
        <v>46129</v>
      </c>
      <c r="E479" s="32">
        <v>1595684</v>
      </c>
      <c r="F479" s="32" t="s">
        <v>13</v>
      </c>
      <c r="G479" s="67">
        <v>20008180</v>
      </c>
      <c r="H479" s="32" t="s">
        <v>217</v>
      </c>
      <c r="I479" s="67">
        <v>2</v>
      </c>
      <c r="J479" s="68">
        <v>5.6</v>
      </c>
      <c r="K479" s="68">
        <v>11.2</v>
      </c>
      <c r="L479">
        <f t="shared" si="7"/>
        <v>8</v>
      </c>
    </row>
    <row r="480" spans="4:12">
      <c r="D480" s="66">
        <v>46129</v>
      </c>
      <c r="E480" s="32">
        <v>1595684</v>
      </c>
      <c r="F480" s="32" t="s">
        <v>13</v>
      </c>
      <c r="G480" s="67">
        <v>20411498</v>
      </c>
      <c r="H480" s="32" t="s">
        <v>311</v>
      </c>
      <c r="I480" s="67">
        <v>1</v>
      </c>
      <c r="J480" s="68">
        <v>5.6</v>
      </c>
      <c r="K480" s="68">
        <v>5.6</v>
      </c>
      <c r="L480">
        <f t="shared" si="7"/>
        <v>8</v>
      </c>
    </row>
    <row r="481" spans="4:12">
      <c r="D481" s="66">
        <v>46129</v>
      </c>
      <c r="E481" s="32">
        <v>1595684</v>
      </c>
      <c r="F481" s="32" t="s">
        <v>13</v>
      </c>
      <c r="G481" s="67">
        <v>20012489</v>
      </c>
      <c r="H481" s="32" t="s">
        <v>75</v>
      </c>
      <c r="I481" s="67">
        <v>1</v>
      </c>
      <c r="J481" s="68">
        <v>5.6</v>
      </c>
      <c r="K481" s="68">
        <v>5.6</v>
      </c>
      <c r="L481">
        <f t="shared" si="7"/>
        <v>8</v>
      </c>
    </row>
    <row r="482" spans="4:12">
      <c r="D482" s="66">
        <v>46129</v>
      </c>
      <c r="E482" s="32">
        <v>1595684</v>
      </c>
      <c r="F482" s="32" t="s">
        <v>13</v>
      </c>
      <c r="G482" s="67">
        <v>20012311</v>
      </c>
      <c r="H482" s="32" t="s">
        <v>211</v>
      </c>
      <c r="I482" s="67">
        <v>1</v>
      </c>
      <c r="J482" s="68">
        <v>7.7</v>
      </c>
      <c r="K482" s="68">
        <v>7.7</v>
      </c>
      <c r="L482">
        <f t="shared" si="7"/>
        <v>11</v>
      </c>
    </row>
    <row r="483" spans="4:12">
      <c r="D483" s="66">
        <v>46129</v>
      </c>
      <c r="E483" s="32">
        <v>1595684</v>
      </c>
      <c r="F483" s="32" t="s">
        <v>13</v>
      </c>
      <c r="G483" s="67">
        <v>20421829</v>
      </c>
      <c r="H483" s="32" t="s">
        <v>312</v>
      </c>
      <c r="I483" s="67">
        <v>2</v>
      </c>
      <c r="J483" s="68">
        <v>9.45</v>
      </c>
      <c r="K483" s="68">
        <v>18.9</v>
      </c>
      <c r="L483">
        <f t="shared" si="7"/>
        <v>13.5</v>
      </c>
    </row>
    <row r="484" spans="4:12">
      <c r="D484" s="66">
        <v>46129</v>
      </c>
      <c r="E484" s="32">
        <v>1595684</v>
      </c>
      <c r="F484" s="32" t="s">
        <v>13</v>
      </c>
      <c r="G484" s="67">
        <v>20416608</v>
      </c>
      <c r="H484" s="32" t="s">
        <v>195</v>
      </c>
      <c r="I484" s="67">
        <v>1</v>
      </c>
      <c r="J484" s="68">
        <v>7.7</v>
      </c>
      <c r="K484" s="68">
        <v>7.7</v>
      </c>
      <c r="L484">
        <f t="shared" si="7"/>
        <v>11</v>
      </c>
    </row>
    <row r="485" spans="4:12">
      <c r="D485" s="66">
        <v>46129</v>
      </c>
      <c r="E485" s="32">
        <v>1595684</v>
      </c>
      <c r="F485" s="32" t="s">
        <v>13</v>
      </c>
      <c r="G485" s="67">
        <v>20006845</v>
      </c>
      <c r="H485" s="32" t="s">
        <v>103</v>
      </c>
      <c r="I485" s="67">
        <v>4</v>
      </c>
      <c r="J485" s="68">
        <v>11.55</v>
      </c>
      <c r="K485" s="68">
        <v>46.2</v>
      </c>
      <c r="L485">
        <f t="shared" si="7"/>
        <v>16.5</v>
      </c>
    </row>
    <row r="486" spans="4:12">
      <c r="D486" s="66">
        <v>46129</v>
      </c>
      <c r="E486" s="32">
        <v>1595684</v>
      </c>
      <c r="F486" s="32" t="s">
        <v>13</v>
      </c>
      <c r="G486" s="67">
        <v>20008322</v>
      </c>
      <c r="H486" s="32" t="s">
        <v>14</v>
      </c>
      <c r="I486" s="67">
        <v>2</v>
      </c>
      <c r="J486" s="68">
        <v>5.6</v>
      </c>
      <c r="K486" s="68">
        <v>11.2</v>
      </c>
      <c r="L486">
        <f t="shared" si="7"/>
        <v>8</v>
      </c>
    </row>
    <row r="487" spans="4:12">
      <c r="D487" s="66">
        <v>46129</v>
      </c>
      <c r="E487" s="32">
        <v>1595684</v>
      </c>
      <c r="F487" s="32" t="s">
        <v>13</v>
      </c>
      <c r="G487" s="67">
        <v>20376042</v>
      </c>
      <c r="H487" s="32" t="s">
        <v>196</v>
      </c>
      <c r="I487" s="67">
        <v>1</v>
      </c>
      <c r="J487" s="68">
        <v>5.6</v>
      </c>
      <c r="K487" s="68">
        <v>5.6</v>
      </c>
      <c r="L487">
        <f t="shared" si="7"/>
        <v>8</v>
      </c>
    </row>
    <row r="488" spans="4:12">
      <c r="D488" s="66">
        <v>46129</v>
      </c>
      <c r="E488" s="32">
        <v>1595684</v>
      </c>
      <c r="F488" s="32" t="s">
        <v>13</v>
      </c>
      <c r="G488" s="67">
        <v>20405158</v>
      </c>
      <c r="H488" s="32" t="s">
        <v>197</v>
      </c>
      <c r="I488" s="67">
        <v>2</v>
      </c>
      <c r="J488" s="68">
        <v>7.7</v>
      </c>
      <c r="K488" s="68">
        <v>15.4</v>
      </c>
      <c r="L488">
        <f t="shared" si="7"/>
        <v>11</v>
      </c>
    </row>
    <row r="489" spans="4:12">
      <c r="D489" s="66">
        <v>46129</v>
      </c>
      <c r="E489" s="32">
        <v>1595684</v>
      </c>
      <c r="F489" s="32" t="s">
        <v>13</v>
      </c>
      <c r="G489" s="67">
        <v>20008491</v>
      </c>
      <c r="H489" s="32" t="s">
        <v>104</v>
      </c>
      <c r="I489" s="67">
        <v>6</v>
      </c>
      <c r="J489" s="68">
        <v>11.55</v>
      </c>
      <c r="K489" s="68">
        <v>69.3</v>
      </c>
      <c r="L489">
        <f t="shared" si="7"/>
        <v>16.5</v>
      </c>
    </row>
    <row r="490" spans="4:12">
      <c r="D490" s="66">
        <v>46129</v>
      </c>
      <c r="E490" s="32">
        <v>1595684</v>
      </c>
      <c r="F490" s="32" t="s">
        <v>13</v>
      </c>
      <c r="G490" s="67">
        <v>20011138</v>
      </c>
      <c r="H490" s="32" t="s">
        <v>199</v>
      </c>
      <c r="I490" s="67">
        <v>1</v>
      </c>
      <c r="J490" s="68">
        <v>11.55</v>
      </c>
      <c r="K490" s="68">
        <v>11.55</v>
      </c>
      <c r="L490">
        <f t="shared" si="7"/>
        <v>16.5</v>
      </c>
    </row>
    <row r="491" spans="4:12">
      <c r="D491" s="66">
        <v>46129</v>
      </c>
      <c r="E491" s="32">
        <v>1595684</v>
      </c>
      <c r="F491" s="32" t="s">
        <v>13</v>
      </c>
      <c r="G491" s="67">
        <v>20013461</v>
      </c>
      <c r="H491" s="32" t="s">
        <v>89</v>
      </c>
      <c r="I491" s="67">
        <v>1</v>
      </c>
      <c r="J491" s="68">
        <v>11.55</v>
      </c>
      <c r="K491" s="68">
        <v>11.55</v>
      </c>
      <c r="L491">
        <f t="shared" si="7"/>
        <v>16.5</v>
      </c>
    </row>
    <row r="492" spans="4:12">
      <c r="D492" s="66">
        <v>46129</v>
      </c>
      <c r="E492" s="32">
        <v>1595684</v>
      </c>
      <c r="F492" s="32" t="s">
        <v>180</v>
      </c>
      <c r="G492" s="67">
        <v>20008293</v>
      </c>
      <c r="H492" s="32" t="s">
        <v>313</v>
      </c>
      <c r="I492" s="67">
        <v>1</v>
      </c>
      <c r="J492" s="68">
        <v>24.5</v>
      </c>
      <c r="K492" s="68">
        <v>24.5</v>
      </c>
      <c r="L492">
        <f t="shared" si="7"/>
        <v>35</v>
      </c>
    </row>
    <row r="493" spans="4:12">
      <c r="D493" s="66">
        <v>46129</v>
      </c>
      <c r="E493" s="32">
        <v>1595684</v>
      </c>
      <c r="F493" s="32" t="s">
        <v>25</v>
      </c>
      <c r="G493" s="67">
        <v>20008214</v>
      </c>
      <c r="H493" s="32" t="s">
        <v>99</v>
      </c>
      <c r="I493" s="67">
        <v>6</v>
      </c>
      <c r="J493" s="68">
        <v>11.55</v>
      </c>
      <c r="K493" s="68">
        <v>69.3</v>
      </c>
      <c r="L493">
        <f t="shared" si="7"/>
        <v>16.5</v>
      </c>
    </row>
    <row r="494" spans="4:12">
      <c r="D494" s="66">
        <v>46129</v>
      </c>
      <c r="E494" s="32">
        <v>1595684</v>
      </c>
      <c r="F494" s="32" t="s">
        <v>25</v>
      </c>
      <c r="G494" s="67">
        <v>20012460</v>
      </c>
      <c r="H494" s="32" t="s">
        <v>314</v>
      </c>
      <c r="I494" s="67">
        <v>1</v>
      </c>
      <c r="J494" s="68">
        <v>11.55</v>
      </c>
      <c r="K494" s="68">
        <v>11.55</v>
      </c>
      <c r="L494">
        <f t="shared" si="7"/>
        <v>16.5</v>
      </c>
    </row>
    <row r="495" ht="25.5" spans="4:12">
      <c r="D495" s="66">
        <v>46129</v>
      </c>
      <c r="E495" s="32">
        <v>1595684</v>
      </c>
      <c r="F495" s="32" t="s">
        <v>25</v>
      </c>
      <c r="G495" s="67">
        <v>20421844</v>
      </c>
      <c r="H495" s="32" t="s">
        <v>315</v>
      </c>
      <c r="I495" s="67">
        <v>1</v>
      </c>
      <c r="J495" s="68">
        <v>15.4</v>
      </c>
      <c r="K495" s="68">
        <v>15.4</v>
      </c>
      <c r="L495">
        <f t="shared" si="7"/>
        <v>22</v>
      </c>
    </row>
    <row r="496" spans="4:12">
      <c r="D496" s="66">
        <v>46129</v>
      </c>
      <c r="E496" s="32">
        <v>1595684</v>
      </c>
      <c r="F496" s="32" t="s">
        <v>25</v>
      </c>
      <c r="G496" s="67">
        <v>20008345</v>
      </c>
      <c r="H496" s="32" t="s">
        <v>131</v>
      </c>
      <c r="I496" s="67">
        <v>2</v>
      </c>
      <c r="J496" s="68">
        <v>19.25</v>
      </c>
      <c r="K496" s="68">
        <v>38.5</v>
      </c>
      <c r="L496">
        <f t="shared" si="7"/>
        <v>27.5</v>
      </c>
    </row>
    <row r="497" spans="4:12">
      <c r="D497" s="66">
        <v>46129</v>
      </c>
      <c r="E497" s="32">
        <v>1595684</v>
      </c>
      <c r="F497" s="32" t="s">
        <v>25</v>
      </c>
      <c r="G497" s="67">
        <v>20014191</v>
      </c>
      <c r="H497" s="32" t="s">
        <v>316</v>
      </c>
      <c r="I497" s="67">
        <v>2</v>
      </c>
      <c r="J497" s="68">
        <v>11.55</v>
      </c>
      <c r="K497" s="68">
        <v>23.1</v>
      </c>
      <c r="L497">
        <f t="shared" si="7"/>
        <v>16.5</v>
      </c>
    </row>
    <row r="498" spans="4:12">
      <c r="D498" s="66">
        <v>46129</v>
      </c>
      <c r="E498" s="32">
        <v>1595684</v>
      </c>
      <c r="F498" s="32" t="s">
        <v>25</v>
      </c>
      <c r="G498" s="67">
        <v>20309818</v>
      </c>
      <c r="H498" s="32" t="s">
        <v>317</v>
      </c>
      <c r="I498" s="67">
        <v>1</v>
      </c>
      <c r="J498" s="68">
        <v>11.55</v>
      </c>
      <c r="K498" s="68">
        <v>11.55</v>
      </c>
      <c r="L498">
        <f t="shared" si="7"/>
        <v>16.5</v>
      </c>
    </row>
    <row r="499" spans="4:12">
      <c r="D499" s="66">
        <v>46129</v>
      </c>
      <c r="E499" s="32">
        <v>1595696</v>
      </c>
      <c r="F499" s="32" t="s">
        <v>27</v>
      </c>
      <c r="G499" s="67">
        <v>20388302</v>
      </c>
      <c r="H499" s="32" t="s">
        <v>202</v>
      </c>
      <c r="I499" s="67">
        <v>1</v>
      </c>
      <c r="J499" s="68">
        <v>24.5</v>
      </c>
      <c r="K499" s="68">
        <v>24.5</v>
      </c>
      <c r="L499">
        <f t="shared" si="7"/>
        <v>35</v>
      </c>
    </row>
    <row r="500" spans="4:12">
      <c r="D500" s="66">
        <v>46129</v>
      </c>
      <c r="E500" s="32">
        <v>1595696</v>
      </c>
      <c r="F500" s="32" t="s">
        <v>27</v>
      </c>
      <c r="G500" s="67">
        <v>20421843</v>
      </c>
      <c r="H500" s="32" t="s">
        <v>318</v>
      </c>
      <c r="I500" s="67">
        <v>2</v>
      </c>
      <c r="J500" s="68">
        <v>21</v>
      </c>
      <c r="K500" s="68">
        <v>42</v>
      </c>
      <c r="L500">
        <f t="shared" si="7"/>
        <v>30</v>
      </c>
    </row>
    <row r="501" spans="4:12">
      <c r="D501" s="66">
        <v>46129</v>
      </c>
      <c r="E501" s="32">
        <v>1595696</v>
      </c>
      <c r="F501" s="32" t="s">
        <v>27</v>
      </c>
      <c r="G501" s="67">
        <v>20012182</v>
      </c>
      <c r="H501" s="32" t="s">
        <v>248</v>
      </c>
      <c r="I501" s="67">
        <v>1</v>
      </c>
      <c r="J501" s="68">
        <v>19.6</v>
      </c>
      <c r="K501" s="68">
        <v>19.6</v>
      </c>
      <c r="L501">
        <f t="shared" si="7"/>
        <v>28</v>
      </c>
    </row>
    <row r="502" spans="4:12">
      <c r="D502" s="66">
        <v>46129</v>
      </c>
      <c r="E502" s="32">
        <v>1595696</v>
      </c>
      <c r="F502" s="32" t="s">
        <v>69</v>
      </c>
      <c r="G502" s="67">
        <v>20421830</v>
      </c>
      <c r="H502" s="32" t="s">
        <v>319</v>
      </c>
      <c r="I502" s="67">
        <v>1</v>
      </c>
      <c r="J502" s="68">
        <v>25.2</v>
      </c>
      <c r="K502" s="68">
        <v>25.2</v>
      </c>
      <c r="L502">
        <f t="shared" si="7"/>
        <v>36</v>
      </c>
    </row>
    <row r="503" spans="4:12">
      <c r="D503" s="66">
        <v>46129</v>
      </c>
      <c r="E503" s="32">
        <v>1595696</v>
      </c>
      <c r="F503" s="32" t="s">
        <v>69</v>
      </c>
      <c r="G503" s="67">
        <v>20421831</v>
      </c>
      <c r="H503" s="32" t="s">
        <v>320</v>
      </c>
      <c r="I503" s="67">
        <v>1</v>
      </c>
      <c r="J503" s="68">
        <v>25.2</v>
      </c>
      <c r="K503" s="68">
        <v>25.2</v>
      </c>
      <c r="L503">
        <f t="shared" si="7"/>
        <v>36</v>
      </c>
    </row>
    <row r="504" spans="4:12">
      <c r="D504" s="66">
        <v>46129</v>
      </c>
      <c r="E504" s="32">
        <v>1595790</v>
      </c>
      <c r="F504" s="32" t="s">
        <v>27</v>
      </c>
      <c r="G504" s="67">
        <v>20388302</v>
      </c>
      <c r="H504" s="32" t="s">
        <v>202</v>
      </c>
      <c r="I504" s="67">
        <v>1</v>
      </c>
      <c r="J504" s="68">
        <v>24.5</v>
      </c>
      <c r="K504" s="68">
        <v>24.5</v>
      </c>
      <c r="L504">
        <f t="shared" si="7"/>
        <v>35</v>
      </c>
    </row>
    <row r="505" spans="4:12">
      <c r="D505" s="66">
        <v>46129</v>
      </c>
      <c r="E505" s="32">
        <v>1595816</v>
      </c>
      <c r="F505" s="32" t="s">
        <v>36</v>
      </c>
      <c r="G505" s="67">
        <v>20006867</v>
      </c>
      <c r="H505" s="32" t="s">
        <v>215</v>
      </c>
      <c r="I505" s="67">
        <v>1</v>
      </c>
      <c r="J505" s="68">
        <v>246.4</v>
      </c>
      <c r="K505" s="68">
        <v>246.4</v>
      </c>
      <c r="L505">
        <f t="shared" si="7"/>
        <v>352</v>
      </c>
    </row>
    <row r="506" spans="4:12">
      <c r="D506" s="66">
        <v>46129</v>
      </c>
      <c r="E506" s="32">
        <v>1595816</v>
      </c>
      <c r="F506" s="32" t="s">
        <v>36</v>
      </c>
      <c r="G506" s="67">
        <v>20007715</v>
      </c>
      <c r="H506" s="32" t="s">
        <v>193</v>
      </c>
      <c r="I506" s="67">
        <v>1</v>
      </c>
      <c r="J506" s="68">
        <v>180.95</v>
      </c>
      <c r="K506" s="68">
        <v>180.95</v>
      </c>
      <c r="L506">
        <f t="shared" si="7"/>
        <v>258.5</v>
      </c>
    </row>
    <row r="507" spans="4:12">
      <c r="D507" s="66">
        <v>46129</v>
      </c>
      <c r="E507" s="32">
        <v>1595816</v>
      </c>
      <c r="F507" s="32" t="s">
        <v>36</v>
      </c>
      <c r="G507" s="67">
        <v>20008128</v>
      </c>
      <c r="H507" s="32" t="s">
        <v>174</v>
      </c>
      <c r="I507" s="67">
        <v>1</v>
      </c>
      <c r="J507" s="68">
        <v>130.9</v>
      </c>
      <c r="K507" s="68">
        <v>130.9</v>
      </c>
      <c r="L507">
        <f t="shared" si="7"/>
        <v>187</v>
      </c>
    </row>
    <row r="508" spans="4:12">
      <c r="D508" s="66">
        <v>46129</v>
      </c>
      <c r="E508" s="32">
        <v>1595816</v>
      </c>
      <c r="F508" s="32" t="s">
        <v>13</v>
      </c>
      <c r="G508" s="67">
        <v>20012489</v>
      </c>
      <c r="H508" s="32" t="s">
        <v>75</v>
      </c>
      <c r="I508" s="67">
        <v>1</v>
      </c>
      <c r="J508" s="68">
        <v>5.6</v>
      </c>
      <c r="K508" s="68">
        <v>5.6</v>
      </c>
      <c r="L508">
        <f t="shared" si="7"/>
        <v>8</v>
      </c>
    </row>
    <row r="509" spans="4:12">
      <c r="D509" s="66">
        <v>46129</v>
      </c>
      <c r="E509" s="32">
        <v>1595816</v>
      </c>
      <c r="F509" s="32" t="s">
        <v>13</v>
      </c>
      <c r="G509" s="67">
        <v>20008196</v>
      </c>
      <c r="H509" s="32" t="s">
        <v>250</v>
      </c>
      <c r="I509" s="67">
        <v>1</v>
      </c>
      <c r="J509" s="68">
        <v>7.7</v>
      </c>
      <c r="K509" s="68">
        <v>7.7</v>
      </c>
      <c r="L509">
        <f t="shared" si="7"/>
        <v>11</v>
      </c>
    </row>
    <row r="510" spans="4:12">
      <c r="D510" s="66">
        <v>46129</v>
      </c>
      <c r="E510" s="32">
        <v>1595816</v>
      </c>
      <c r="F510" s="32" t="s">
        <v>13</v>
      </c>
      <c r="G510" s="67">
        <v>20376042</v>
      </c>
      <c r="H510" s="32" t="s">
        <v>196</v>
      </c>
      <c r="I510" s="67">
        <v>1</v>
      </c>
      <c r="J510" s="68">
        <v>5.6</v>
      </c>
      <c r="K510" s="68">
        <v>5.6</v>
      </c>
      <c r="L510">
        <f t="shared" si="7"/>
        <v>8</v>
      </c>
    </row>
    <row r="511" spans="4:12">
      <c r="D511" s="66">
        <v>46129</v>
      </c>
      <c r="E511" s="32">
        <v>1595816</v>
      </c>
      <c r="F511" s="32" t="s">
        <v>13</v>
      </c>
      <c r="G511" s="67">
        <v>20008491</v>
      </c>
      <c r="H511" s="32" t="s">
        <v>104</v>
      </c>
      <c r="I511" s="67">
        <v>1</v>
      </c>
      <c r="J511" s="68">
        <v>11.55</v>
      </c>
      <c r="K511" s="68">
        <v>11.55</v>
      </c>
      <c r="L511">
        <f t="shared" si="7"/>
        <v>16.5</v>
      </c>
    </row>
    <row r="512" spans="4:12">
      <c r="D512" s="66">
        <v>46129</v>
      </c>
      <c r="E512" s="32">
        <v>1595816</v>
      </c>
      <c r="F512" s="32" t="s">
        <v>13</v>
      </c>
      <c r="G512" s="67">
        <v>20008204</v>
      </c>
      <c r="H512" s="32" t="s">
        <v>116</v>
      </c>
      <c r="I512" s="67">
        <v>1</v>
      </c>
      <c r="J512" s="68">
        <v>9.45</v>
      </c>
      <c r="K512" s="68">
        <v>9.45</v>
      </c>
      <c r="L512">
        <f t="shared" si="7"/>
        <v>13.5</v>
      </c>
    </row>
    <row r="513" spans="4:12">
      <c r="D513" s="66">
        <v>46129</v>
      </c>
      <c r="E513" s="32">
        <v>1595816</v>
      </c>
      <c r="F513" s="32" t="s">
        <v>13</v>
      </c>
      <c r="G513" s="67">
        <v>20011138</v>
      </c>
      <c r="H513" s="32" t="s">
        <v>199</v>
      </c>
      <c r="I513" s="67">
        <v>1</v>
      </c>
      <c r="J513" s="68">
        <v>11.55</v>
      </c>
      <c r="K513" s="68">
        <v>11.55</v>
      </c>
      <c r="L513">
        <f t="shared" si="7"/>
        <v>16.5</v>
      </c>
    </row>
    <row r="514" spans="4:12">
      <c r="D514" s="66">
        <v>46129</v>
      </c>
      <c r="E514" s="32">
        <v>1595816</v>
      </c>
      <c r="F514" s="32" t="s">
        <v>25</v>
      </c>
      <c r="G514" s="67">
        <v>20008214</v>
      </c>
      <c r="H514" s="32" t="s">
        <v>99</v>
      </c>
      <c r="I514" s="67">
        <v>3</v>
      </c>
      <c r="J514" s="68">
        <v>11.55</v>
      </c>
      <c r="K514" s="68">
        <v>34.65</v>
      </c>
      <c r="L514">
        <f t="shared" si="7"/>
        <v>16.5</v>
      </c>
    </row>
    <row r="515" spans="4:12">
      <c r="D515" s="66">
        <v>46129</v>
      </c>
      <c r="E515" s="32">
        <v>1595816</v>
      </c>
      <c r="F515" s="32" t="s">
        <v>25</v>
      </c>
      <c r="G515" s="67">
        <v>20014802</v>
      </c>
      <c r="H515" s="32" t="s">
        <v>214</v>
      </c>
      <c r="I515" s="67">
        <v>1</v>
      </c>
      <c r="J515" s="68">
        <v>11.55</v>
      </c>
      <c r="K515" s="68">
        <v>11.55</v>
      </c>
      <c r="L515">
        <f t="shared" si="7"/>
        <v>16.5</v>
      </c>
    </row>
    <row r="516" spans="4:12">
      <c r="D516" s="66">
        <v>46129</v>
      </c>
      <c r="E516" s="32">
        <v>1595816</v>
      </c>
      <c r="F516" s="32" t="s">
        <v>25</v>
      </c>
      <c r="G516" s="67">
        <v>20008345</v>
      </c>
      <c r="H516" s="32" t="s">
        <v>131</v>
      </c>
      <c r="I516" s="67">
        <v>1</v>
      </c>
      <c r="J516" s="68">
        <v>19.25</v>
      </c>
      <c r="K516" s="68">
        <v>19.25</v>
      </c>
      <c r="L516">
        <f t="shared" si="7"/>
        <v>27.5</v>
      </c>
    </row>
    <row r="517" spans="4:12">
      <c r="D517" s="66">
        <v>46129</v>
      </c>
      <c r="E517" s="32">
        <v>1595816</v>
      </c>
      <c r="F517" s="32" t="s">
        <v>25</v>
      </c>
      <c r="G517" s="67">
        <v>20013916</v>
      </c>
      <c r="H517" s="32" t="s">
        <v>182</v>
      </c>
      <c r="I517" s="67">
        <v>1</v>
      </c>
      <c r="J517" s="68">
        <v>11.55</v>
      </c>
      <c r="K517" s="68">
        <v>11.55</v>
      </c>
      <c r="L517">
        <f t="shared" si="7"/>
        <v>16.5</v>
      </c>
    </row>
    <row r="518" spans="4:12">
      <c r="D518" s="66">
        <v>46129</v>
      </c>
      <c r="E518" s="32">
        <v>1595816</v>
      </c>
      <c r="F518" s="32" t="s">
        <v>25</v>
      </c>
      <c r="G518" s="67">
        <v>20347868</v>
      </c>
      <c r="H518" s="32" t="s">
        <v>303</v>
      </c>
      <c r="I518" s="67">
        <v>1</v>
      </c>
      <c r="J518" s="68">
        <v>11.55</v>
      </c>
      <c r="K518" s="68">
        <v>11.55</v>
      </c>
      <c r="L518">
        <f t="shared" si="7"/>
        <v>16.5</v>
      </c>
    </row>
    <row r="519" spans="4:12">
      <c r="D519" s="66">
        <v>46129</v>
      </c>
      <c r="E519" s="32">
        <v>1595965</v>
      </c>
      <c r="F519" s="32" t="s">
        <v>36</v>
      </c>
      <c r="G519" s="67">
        <v>20006867</v>
      </c>
      <c r="H519" s="32" t="s">
        <v>215</v>
      </c>
      <c r="I519" s="67">
        <v>1</v>
      </c>
      <c r="J519" s="68">
        <v>246.4</v>
      </c>
      <c r="K519" s="68">
        <v>246.4</v>
      </c>
      <c r="L519">
        <f t="shared" si="7"/>
        <v>352</v>
      </c>
    </row>
    <row r="520" spans="4:12">
      <c r="D520" s="66">
        <v>46129</v>
      </c>
      <c r="E520" s="32">
        <v>1595965</v>
      </c>
      <c r="F520" s="32" t="s">
        <v>36</v>
      </c>
      <c r="G520" s="67">
        <v>20007715</v>
      </c>
      <c r="H520" s="32" t="s">
        <v>193</v>
      </c>
      <c r="I520" s="67">
        <v>1</v>
      </c>
      <c r="J520" s="68">
        <v>180.95</v>
      </c>
      <c r="K520" s="68">
        <v>180.95</v>
      </c>
      <c r="L520">
        <f t="shared" si="7"/>
        <v>258.5</v>
      </c>
    </row>
    <row r="521" spans="4:12">
      <c r="D521" s="66">
        <v>46129</v>
      </c>
      <c r="E521" s="32">
        <v>1595965</v>
      </c>
      <c r="F521" s="32" t="s">
        <v>13</v>
      </c>
      <c r="G521" s="67">
        <v>20011204</v>
      </c>
      <c r="H521" s="32" t="s">
        <v>74</v>
      </c>
      <c r="I521" s="67">
        <v>1</v>
      </c>
      <c r="J521" s="68">
        <v>5.6</v>
      </c>
      <c r="K521" s="68">
        <v>5.6</v>
      </c>
      <c r="L521">
        <f t="shared" si="7"/>
        <v>8</v>
      </c>
    </row>
    <row r="522" spans="4:12">
      <c r="D522" s="66">
        <v>46129</v>
      </c>
      <c r="E522" s="32">
        <v>1595965</v>
      </c>
      <c r="F522" s="32" t="s">
        <v>13</v>
      </c>
      <c r="G522" s="67">
        <v>20012489</v>
      </c>
      <c r="H522" s="32" t="s">
        <v>75</v>
      </c>
      <c r="I522" s="67">
        <v>1</v>
      </c>
      <c r="J522" s="68">
        <v>5.6</v>
      </c>
      <c r="K522" s="68">
        <v>5.6</v>
      </c>
      <c r="L522">
        <f t="shared" ref="L522:L585" si="8">J522/0.7</f>
        <v>8</v>
      </c>
    </row>
    <row r="523" spans="4:12">
      <c r="D523" s="66">
        <v>46129</v>
      </c>
      <c r="E523" s="32">
        <v>1595965</v>
      </c>
      <c r="F523" s="32" t="s">
        <v>13</v>
      </c>
      <c r="G523" s="67">
        <v>20008322</v>
      </c>
      <c r="H523" s="32" t="s">
        <v>14</v>
      </c>
      <c r="I523" s="67">
        <v>1</v>
      </c>
      <c r="J523" s="68">
        <v>5.6</v>
      </c>
      <c r="K523" s="68">
        <v>5.6</v>
      </c>
      <c r="L523">
        <f t="shared" si="8"/>
        <v>8</v>
      </c>
    </row>
    <row r="524" spans="4:12">
      <c r="D524" s="66">
        <v>46129</v>
      </c>
      <c r="E524" s="32">
        <v>1595965</v>
      </c>
      <c r="F524" s="32" t="s">
        <v>13</v>
      </c>
      <c r="G524" s="67">
        <v>20376042</v>
      </c>
      <c r="H524" s="32" t="s">
        <v>196</v>
      </c>
      <c r="I524" s="67">
        <v>1</v>
      </c>
      <c r="J524" s="68">
        <v>5.6</v>
      </c>
      <c r="K524" s="68">
        <v>5.6</v>
      </c>
      <c r="L524">
        <f t="shared" si="8"/>
        <v>8</v>
      </c>
    </row>
    <row r="525" spans="4:12">
      <c r="D525" s="66">
        <v>46129</v>
      </c>
      <c r="E525" s="32">
        <v>1595965</v>
      </c>
      <c r="F525" s="32" t="s">
        <v>13</v>
      </c>
      <c r="G525" s="67">
        <v>20007594</v>
      </c>
      <c r="H525" s="32" t="s">
        <v>321</v>
      </c>
      <c r="I525" s="67">
        <v>1</v>
      </c>
      <c r="J525" s="68">
        <v>5.6</v>
      </c>
      <c r="K525" s="68">
        <v>5.6</v>
      </c>
      <c r="L525">
        <f t="shared" si="8"/>
        <v>8</v>
      </c>
    </row>
    <row r="526" spans="4:12">
      <c r="D526" s="66">
        <v>46129</v>
      </c>
      <c r="E526" s="32">
        <v>1595965</v>
      </c>
      <c r="F526" s="32" t="s">
        <v>13</v>
      </c>
      <c r="G526" s="67">
        <v>20008491</v>
      </c>
      <c r="H526" s="32" t="s">
        <v>104</v>
      </c>
      <c r="I526" s="67">
        <v>2</v>
      </c>
      <c r="J526" s="68">
        <v>11.55</v>
      </c>
      <c r="K526" s="68">
        <v>23.1</v>
      </c>
      <c r="L526">
        <f t="shared" si="8"/>
        <v>16.5</v>
      </c>
    </row>
    <row r="527" spans="4:12">
      <c r="D527" s="66">
        <v>46129</v>
      </c>
      <c r="E527" s="32">
        <v>1595965</v>
      </c>
      <c r="F527" s="32" t="s">
        <v>13</v>
      </c>
      <c r="G527" s="67">
        <v>20008204</v>
      </c>
      <c r="H527" s="32" t="s">
        <v>116</v>
      </c>
      <c r="I527" s="67">
        <v>1</v>
      </c>
      <c r="J527" s="68">
        <v>9.45</v>
      </c>
      <c r="K527" s="68">
        <v>9.45</v>
      </c>
      <c r="L527">
        <f t="shared" si="8"/>
        <v>13.5</v>
      </c>
    </row>
    <row r="528" spans="4:12">
      <c r="D528" s="66">
        <v>46129</v>
      </c>
      <c r="E528" s="32">
        <v>1595965</v>
      </c>
      <c r="F528" s="32" t="s">
        <v>13</v>
      </c>
      <c r="G528" s="67">
        <v>20011138</v>
      </c>
      <c r="H528" s="32" t="s">
        <v>199</v>
      </c>
      <c r="I528" s="67">
        <v>3</v>
      </c>
      <c r="J528" s="68">
        <v>11.55</v>
      </c>
      <c r="K528" s="68">
        <v>34.65</v>
      </c>
      <c r="L528">
        <f t="shared" si="8"/>
        <v>16.5</v>
      </c>
    </row>
    <row r="529" spans="4:12">
      <c r="D529" s="66">
        <v>46129</v>
      </c>
      <c r="E529" s="32">
        <v>1595965</v>
      </c>
      <c r="F529" s="32" t="s">
        <v>13</v>
      </c>
      <c r="G529" s="67">
        <v>20008280</v>
      </c>
      <c r="H529" s="32" t="s">
        <v>212</v>
      </c>
      <c r="I529" s="67">
        <v>1</v>
      </c>
      <c r="J529" s="68">
        <v>11.55</v>
      </c>
      <c r="K529" s="68">
        <v>11.55</v>
      </c>
      <c r="L529">
        <f t="shared" si="8"/>
        <v>16.5</v>
      </c>
    </row>
    <row r="530" spans="4:12">
      <c r="D530" s="66">
        <v>46129</v>
      </c>
      <c r="E530" s="32">
        <v>1595965</v>
      </c>
      <c r="F530" s="32" t="s">
        <v>180</v>
      </c>
      <c r="G530" s="67">
        <v>20008293</v>
      </c>
      <c r="H530" s="32" t="s">
        <v>313</v>
      </c>
      <c r="I530" s="67">
        <v>1</v>
      </c>
      <c r="J530" s="68">
        <v>24.5</v>
      </c>
      <c r="K530" s="68">
        <v>24.5</v>
      </c>
      <c r="L530">
        <f t="shared" si="8"/>
        <v>35</v>
      </c>
    </row>
    <row r="531" spans="4:12">
      <c r="D531" s="66">
        <v>46129</v>
      </c>
      <c r="E531" s="32">
        <v>1595965</v>
      </c>
      <c r="F531" s="32" t="s">
        <v>25</v>
      </c>
      <c r="G531" s="67">
        <v>20008214</v>
      </c>
      <c r="H531" s="32" t="s">
        <v>99</v>
      </c>
      <c r="I531" s="67">
        <v>3</v>
      </c>
      <c r="J531" s="68">
        <v>11.55</v>
      </c>
      <c r="K531" s="68">
        <v>34.65</v>
      </c>
      <c r="L531">
        <f t="shared" si="8"/>
        <v>16.5</v>
      </c>
    </row>
    <row r="532" spans="4:12">
      <c r="D532" s="66">
        <v>46130</v>
      </c>
      <c r="E532" s="32">
        <v>1596003</v>
      </c>
      <c r="F532" s="32" t="s">
        <v>18</v>
      </c>
      <c r="G532" s="67">
        <v>20008294</v>
      </c>
      <c r="H532" s="32" t="s">
        <v>232</v>
      </c>
      <c r="I532" s="67">
        <v>25</v>
      </c>
      <c r="J532" s="68">
        <v>1.75</v>
      </c>
      <c r="K532" s="68">
        <v>43.75</v>
      </c>
      <c r="L532">
        <f t="shared" si="8"/>
        <v>2.5</v>
      </c>
    </row>
    <row r="533" spans="4:12">
      <c r="D533" s="66">
        <v>46130</v>
      </c>
      <c r="E533" s="32">
        <v>1596035</v>
      </c>
      <c r="F533" s="32" t="s">
        <v>27</v>
      </c>
      <c r="G533" s="67">
        <v>20388302</v>
      </c>
      <c r="H533" s="32" t="s">
        <v>202</v>
      </c>
      <c r="I533" s="67">
        <v>2</v>
      </c>
      <c r="J533" s="68">
        <v>24.5</v>
      </c>
      <c r="K533" s="68">
        <v>49</v>
      </c>
      <c r="L533">
        <f t="shared" si="8"/>
        <v>35</v>
      </c>
    </row>
    <row r="534" spans="4:12">
      <c r="D534" s="66">
        <v>46130</v>
      </c>
      <c r="E534" s="32">
        <v>1596160</v>
      </c>
      <c r="F534" s="32" t="s">
        <v>36</v>
      </c>
      <c r="G534" s="67">
        <v>20009533</v>
      </c>
      <c r="H534" s="32" t="s">
        <v>322</v>
      </c>
      <c r="I534" s="67">
        <v>2</v>
      </c>
      <c r="J534" s="68">
        <v>177.1</v>
      </c>
      <c r="K534" s="68">
        <v>354.2</v>
      </c>
      <c r="L534">
        <f t="shared" si="8"/>
        <v>253</v>
      </c>
    </row>
    <row r="535" spans="4:12">
      <c r="D535" s="66">
        <v>46130</v>
      </c>
      <c r="E535" s="32">
        <v>1596160</v>
      </c>
      <c r="F535" s="32" t="s">
        <v>46</v>
      </c>
      <c r="G535" s="67">
        <v>20013667</v>
      </c>
      <c r="H535" s="32" t="s">
        <v>323</v>
      </c>
      <c r="I535" s="67">
        <v>1</v>
      </c>
      <c r="J535" s="68">
        <v>15.4</v>
      </c>
      <c r="K535" s="68">
        <v>15.4</v>
      </c>
      <c r="L535">
        <f t="shared" si="8"/>
        <v>22</v>
      </c>
    </row>
    <row r="536" customFormat="1" spans="4:12">
      <c r="D536" s="66">
        <v>46130</v>
      </c>
      <c r="E536" s="32">
        <v>1596160</v>
      </c>
      <c r="F536" s="32" t="s">
        <v>13</v>
      </c>
      <c r="G536" s="67">
        <v>20013515</v>
      </c>
      <c r="H536" s="32" t="s">
        <v>324</v>
      </c>
      <c r="I536" s="67">
        <v>1</v>
      </c>
      <c r="J536" s="68">
        <v>13.3</v>
      </c>
      <c r="K536" s="68">
        <v>13.3</v>
      </c>
      <c r="L536">
        <f t="shared" si="8"/>
        <v>19</v>
      </c>
    </row>
    <row r="537" customFormat="1" spans="4:12">
      <c r="D537" s="66">
        <v>46130</v>
      </c>
      <c r="E537" s="32">
        <v>1596160</v>
      </c>
      <c r="F537" s="32" t="s">
        <v>13</v>
      </c>
      <c r="G537" s="67">
        <v>20013516</v>
      </c>
      <c r="H537" s="32" t="s">
        <v>325</v>
      </c>
      <c r="I537" s="67">
        <v>1</v>
      </c>
      <c r="J537" s="68">
        <v>15.4</v>
      </c>
      <c r="K537" s="68">
        <f>I537*J537</f>
        <v>15.4</v>
      </c>
      <c r="L537">
        <f t="shared" si="8"/>
        <v>22</v>
      </c>
    </row>
    <row r="538" spans="4:12">
      <c r="D538" s="66">
        <v>46130</v>
      </c>
      <c r="E538" s="32">
        <v>1596160</v>
      </c>
      <c r="F538" s="32" t="s">
        <v>13</v>
      </c>
      <c r="G538" s="67">
        <v>20325069</v>
      </c>
      <c r="H538" s="32" t="s">
        <v>326</v>
      </c>
      <c r="I538" s="67">
        <v>1</v>
      </c>
      <c r="J538" s="68">
        <v>11.55</v>
      </c>
      <c r="K538" s="68">
        <v>11.55</v>
      </c>
      <c r="L538">
        <f t="shared" si="8"/>
        <v>16.5</v>
      </c>
    </row>
    <row r="539" spans="4:12">
      <c r="D539" s="66">
        <v>46130</v>
      </c>
      <c r="E539" s="32">
        <v>1596160</v>
      </c>
      <c r="F539" s="32" t="s">
        <v>13</v>
      </c>
      <c r="G539" s="67">
        <v>20011221</v>
      </c>
      <c r="H539" s="32" t="s">
        <v>327</v>
      </c>
      <c r="I539" s="67">
        <v>1</v>
      </c>
      <c r="J539" s="68">
        <v>5.6</v>
      </c>
      <c r="K539" s="68">
        <v>5.6</v>
      </c>
      <c r="L539">
        <f t="shared" si="8"/>
        <v>8</v>
      </c>
    </row>
    <row r="540" spans="4:12">
      <c r="D540" s="66">
        <v>46130</v>
      </c>
      <c r="E540" s="32">
        <v>1596160</v>
      </c>
      <c r="F540" s="32" t="s">
        <v>25</v>
      </c>
      <c r="G540" s="67">
        <v>20008225</v>
      </c>
      <c r="H540" s="32" t="s">
        <v>328</v>
      </c>
      <c r="I540" s="67">
        <v>2</v>
      </c>
      <c r="J540" s="68">
        <v>11.55</v>
      </c>
      <c r="K540" s="68">
        <v>23.1</v>
      </c>
      <c r="L540">
        <f t="shared" si="8"/>
        <v>16.5</v>
      </c>
    </row>
    <row r="541" spans="4:12">
      <c r="D541" s="66">
        <v>46130</v>
      </c>
      <c r="E541" s="32">
        <v>1596160</v>
      </c>
      <c r="F541" s="32" t="s">
        <v>25</v>
      </c>
      <c r="G541" s="67">
        <v>20012460</v>
      </c>
      <c r="H541" s="32" t="s">
        <v>314</v>
      </c>
      <c r="I541" s="67">
        <v>2</v>
      </c>
      <c r="J541" s="68">
        <v>11.55</v>
      </c>
      <c r="K541" s="68">
        <v>23.1</v>
      </c>
      <c r="L541">
        <f t="shared" si="8"/>
        <v>16.5</v>
      </c>
    </row>
    <row r="542" spans="4:12">
      <c r="D542" s="66">
        <v>46130</v>
      </c>
      <c r="E542" s="32">
        <v>1596160</v>
      </c>
      <c r="F542" s="32" t="s">
        <v>25</v>
      </c>
      <c r="G542" s="67">
        <v>20008345</v>
      </c>
      <c r="H542" s="32" t="s">
        <v>131</v>
      </c>
      <c r="I542" s="67">
        <v>2</v>
      </c>
      <c r="J542" s="68">
        <v>19.25</v>
      </c>
      <c r="K542" s="68">
        <v>38.5</v>
      </c>
      <c r="L542">
        <f t="shared" si="8"/>
        <v>27.5</v>
      </c>
    </row>
    <row r="543" spans="4:12">
      <c r="D543" s="66">
        <v>46130</v>
      </c>
      <c r="E543" s="32">
        <v>1596160</v>
      </c>
      <c r="F543" s="32" t="s">
        <v>25</v>
      </c>
      <c r="G543" s="67">
        <v>20008152</v>
      </c>
      <c r="H543" s="32" t="s">
        <v>329</v>
      </c>
      <c r="I543" s="67">
        <v>1</v>
      </c>
      <c r="J543" s="68">
        <v>19.25</v>
      </c>
      <c r="K543" s="68">
        <v>19.25</v>
      </c>
      <c r="L543">
        <f t="shared" si="8"/>
        <v>27.5</v>
      </c>
    </row>
    <row r="544" spans="4:12">
      <c r="D544" s="66">
        <v>46131</v>
      </c>
      <c r="E544" s="32">
        <v>1596208</v>
      </c>
      <c r="F544" s="32" t="s">
        <v>36</v>
      </c>
      <c r="G544" s="67">
        <v>20012915</v>
      </c>
      <c r="H544" s="32" t="s">
        <v>330</v>
      </c>
      <c r="I544" s="67">
        <v>1</v>
      </c>
      <c r="J544" s="68">
        <v>26.95</v>
      </c>
      <c r="K544" s="68">
        <v>26.95</v>
      </c>
      <c r="L544">
        <f t="shared" si="8"/>
        <v>38.5</v>
      </c>
    </row>
    <row r="545" spans="4:12">
      <c r="D545" s="66">
        <v>46131</v>
      </c>
      <c r="E545" s="32">
        <v>1596208</v>
      </c>
      <c r="F545" s="32" t="s">
        <v>36</v>
      </c>
      <c r="G545" s="67">
        <v>20007715</v>
      </c>
      <c r="H545" s="32" t="s">
        <v>193</v>
      </c>
      <c r="I545" s="67">
        <v>1</v>
      </c>
      <c r="J545" s="68">
        <v>180.95</v>
      </c>
      <c r="K545" s="68">
        <v>180.95</v>
      </c>
      <c r="L545">
        <f t="shared" si="8"/>
        <v>258.5</v>
      </c>
    </row>
    <row r="546" spans="4:12">
      <c r="D546" s="66">
        <v>46131</v>
      </c>
      <c r="E546" s="32">
        <v>1596208</v>
      </c>
      <c r="F546" s="32" t="s">
        <v>36</v>
      </c>
      <c r="G546" s="67">
        <v>20008128</v>
      </c>
      <c r="H546" s="32" t="s">
        <v>174</v>
      </c>
      <c r="I546" s="67">
        <v>2</v>
      </c>
      <c r="J546" s="68">
        <v>130.9</v>
      </c>
      <c r="K546" s="68">
        <v>261.8</v>
      </c>
      <c r="L546">
        <f t="shared" si="8"/>
        <v>187</v>
      </c>
    </row>
    <row r="547" spans="4:12">
      <c r="D547" s="66">
        <v>46131</v>
      </c>
      <c r="E547" s="32">
        <v>1596208</v>
      </c>
      <c r="F547" s="32" t="s">
        <v>13</v>
      </c>
      <c r="G547" s="67">
        <v>20007558</v>
      </c>
      <c r="H547" s="32" t="s">
        <v>331</v>
      </c>
      <c r="I547" s="67">
        <v>1</v>
      </c>
      <c r="J547" s="68">
        <v>11.55</v>
      </c>
      <c r="K547" s="68">
        <v>11.55</v>
      </c>
      <c r="L547">
        <f t="shared" si="8"/>
        <v>16.5</v>
      </c>
    </row>
    <row r="548" spans="4:12">
      <c r="D548" s="66">
        <v>46131</v>
      </c>
      <c r="E548" s="32">
        <v>1596208</v>
      </c>
      <c r="F548" s="32" t="s">
        <v>13</v>
      </c>
      <c r="G548" s="67">
        <v>20007714</v>
      </c>
      <c r="H548" s="32" t="s">
        <v>332</v>
      </c>
      <c r="I548" s="67">
        <v>1</v>
      </c>
      <c r="J548" s="68">
        <v>11.55</v>
      </c>
      <c r="K548" s="68">
        <v>11.55</v>
      </c>
      <c r="L548">
        <f t="shared" si="8"/>
        <v>16.5</v>
      </c>
    </row>
    <row r="549" spans="4:12">
      <c r="D549" s="66">
        <v>46131</v>
      </c>
      <c r="E549" s="32">
        <v>1596208</v>
      </c>
      <c r="F549" s="32" t="s">
        <v>13</v>
      </c>
      <c r="G549" s="67">
        <v>20345685</v>
      </c>
      <c r="H549" s="32" t="s">
        <v>123</v>
      </c>
      <c r="I549" s="67">
        <v>4</v>
      </c>
      <c r="J549" s="68">
        <v>5.6</v>
      </c>
      <c r="K549" s="68">
        <v>22.4</v>
      </c>
      <c r="L549">
        <f t="shared" si="8"/>
        <v>8</v>
      </c>
    </row>
    <row r="550" spans="4:12">
      <c r="D550" s="66">
        <v>46131</v>
      </c>
      <c r="E550" s="32">
        <v>1596208</v>
      </c>
      <c r="F550" s="32" t="s">
        <v>13</v>
      </c>
      <c r="G550" s="67">
        <v>20006845</v>
      </c>
      <c r="H550" s="32" t="s">
        <v>103</v>
      </c>
      <c r="I550" s="67">
        <v>1</v>
      </c>
      <c r="J550" s="68">
        <v>11.55</v>
      </c>
      <c r="K550" s="68">
        <v>11.55</v>
      </c>
      <c r="L550">
        <f t="shared" si="8"/>
        <v>16.5</v>
      </c>
    </row>
    <row r="551" spans="4:12">
      <c r="D551" s="66">
        <v>46131</v>
      </c>
      <c r="E551" s="32">
        <v>1596208</v>
      </c>
      <c r="F551" s="32" t="s">
        <v>13</v>
      </c>
      <c r="G551" s="67">
        <v>20320412</v>
      </c>
      <c r="H551" s="32" t="s">
        <v>96</v>
      </c>
      <c r="I551" s="67">
        <v>1</v>
      </c>
      <c r="J551" s="68">
        <v>7.7</v>
      </c>
      <c r="K551" s="68">
        <v>7.7</v>
      </c>
      <c r="L551">
        <f t="shared" si="8"/>
        <v>11</v>
      </c>
    </row>
    <row r="552" spans="4:12">
      <c r="D552" s="66">
        <v>46131</v>
      </c>
      <c r="E552" s="32">
        <v>1596208</v>
      </c>
      <c r="F552" s="32" t="s">
        <v>13</v>
      </c>
      <c r="G552" s="67">
        <v>20008491</v>
      </c>
      <c r="H552" s="32" t="s">
        <v>104</v>
      </c>
      <c r="I552" s="67">
        <v>3</v>
      </c>
      <c r="J552" s="68">
        <v>11.55</v>
      </c>
      <c r="K552" s="68">
        <v>34.65</v>
      </c>
      <c r="L552">
        <f t="shared" si="8"/>
        <v>16.5</v>
      </c>
    </row>
    <row r="553" spans="4:12">
      <c r="D553" s="66">
        <v>46131</v>
      </c>
      <c r="E553" s="32">
        <v>1596208</v>
      </c>
      <c r="F553" s="32" t="s">
        <v>25</v>
      </c>
      <c r="G553" s="67">
        <v>20008214</v>
      </c>
      <c r="H553" s="32" t="s">
        <v>99</v>
      </c>
      <c r="I553" s="67">
        <v>6</v>
      </c>
      <c r="J553" s="68">
        <v>11.55</v>
      </c>
      <c r="K553" s="68">
        <v>69.3</v>
      </c>
      <c r="L553">
        <f t="shared" si="8"/>
        <v>16.5</v>
      </c>
    </row>
    <row r="554" spans="4:12">
      <c r="D554" s="66">
        <v>46131</v>
      </c>
      <c r="E554" s="32">
        <v>1596208</v>
      </c>
      <c r="F554" s="32" t="s">
        <v>25</v>
      </c>
      <c r="G554" s="67">
        <v>20008345</v>
      </c>
      <c r="H554" s="32" t="s">
        <v>131</v>
      </c>
      <c r="I554" s="67">
        <v>3</v>
      </c>
      <c r="J554" s="68">
        <v>19.25</v>
      </c>
      <c r="K554" s="68">
        <v>57.75</v>
      </c>
      <c r="L554">
        <f t="shared" si="8"/>
        <v>27.5</v>
      </c>
    </row>
    <row r="555" spans="4:12">
      <c r="D555" s="66">
        <v>46131</v>
      </c>
      <c r="E555" s="32">
        <v>1596217</v>
      </c>
      <c r="F555" s="32" t="s">
        <v>27</v>
      </c>
      <c r="G555" s="67">
        <v>20348232</v>
      </c>
      <c r="H555" s="32" t="s">
        <v>264</v>
      </c>
      <c r="I555" s="67">
        <v>1</v>
      </c>
      <c r="J555" s="68">
        <v>46.2</v>
      </c>
      <c r="K555" s="68">
        <v>46.2</v>
      </c>
      <c r="L555">
        <f t="shared" si="8"/>
        <v>66</v>
      </c>
    </row>
    <row r="556" spans="4:12">
      <c r="D556" s="66">
        <v>46131</v>
      </c>
      <c r="E556" s="32">
        <v>1596217</v>
      </c>
      <c r="F556" s="32" t="s">
        <v>27</v>
      </c>
      <c r="G556" s="67">
        <v>20012362</v>
      </c>
      <c r="H556" s="32" t="s">
        <v>237</v>
      </c>
      <c r="I556" s="67">
        <v>1</v>
      </c>
      <c r="J556" s="68">
        <v>30.8</v>
      </c>
      <c r="K556" s="68">
        <v>30.8</v>
      </c>
      <c r="L556">
        <f t="shared" si="8"/>
        <v>44</v>
      </c>
    </row>
    <row r="557" spans="4:12">
      <c r="D557" s="66">
        <v>46131</v>
      </c>
      <c r="E557" s="32">
        <v>1596217</v>
      </c>
      <c r="F557" s="32" t="s">
        <v>27</v>
      </c>
      <c r="G557" s="67">
        <v>20012182</v>
      </c>
      <c r="H557" s="32" t="s">
        <v>248</v>
      </c>
      <c r="I557" s="67">
        <v>2</v>
      </c>
      <c r="J557" s="68">
        <v>19.6</v>
      </c>
      <c r="K557" s="68">
        <v>39.2</v>
      </c>
      <c r="L557">
        <f t="shared" si="8"/>
        <v>28</v>
      </c>
    </row>
    <row r="558" spans="4:12">
      <c r="D558" s="66">
        <v>46131</v>
      </c>
      <c r="E558" s="32">
        <v>1596217</v>
      </c>
      <c r="F558" s="32" t="s">
        <v>27</v>
      </c>
      <c r="G558" s="67">
        <v>20008389</v>
      </c>
      <c r="H558" s="32" t="s">
        <v>203</v>
      </c>
      <c r="I558" s="67">
        <v>1</v>
      </c>
      <c r="J558" s="68">
        <v>17.5</v>
      </c>
      <c r="K558" s="68">
        <v>17.5</v>
      </c>
      <c r="L558">
        <f t="shared" si="8"/>
        <v>25</v>
      </c>
    </row>
    <row r="559" spans="4:12">
      <c r="D559" s="66">
        <v>46131</v>
      </c>
      <c r="E559" s="32">
        <v>1596217</v>
      </c>
      <c r="F559" s="32" t="s">
        <v>27</v>
      </c>
      <c r="G559" s="67">
        <v>20322920</v>
      </c>
      <c r="H559" s="32" t="s">
        <v>151</v>
      </c>
      <c r="I559" s="67">
        <v>1</v>
      </c>
      <c r="J559" s="68">
        <v>19.6</v>
      </c>
      <c r="K559" s="68">
        <v>19.6</v>
      </c>
      <c r="L559">
        <f t="shared" si="8"/>
        <v>28</v>
      </c>
    </row>
    <row r="560" spans="4:12">
      <c r="D560" s="66">
        <v>46131</v>
      </c>
      <c r="E560" s="32">
        <v>1596217</v>
      </c>
      <c r="F560" s="32" t="s">
        <v>69</v>
      </c>
      <c r="G560" s="67">
        <v>20008378</v>
      </c>
      <c r="H560" s="32" t="s">
        <v>246</v>
      </c>
      <c r="I560" s="67">
        <v>1</v>
      </c>
      <c r="J560" s="68">
        <v>19.6</v>
      </c>
      <c r="K560" s="68">
        <v>19.6</v>
      </c>
      <c r="L560">
        <f t="shared" si="8"/>
        <v>28</v>
      </c>
    </row>
    <row r="561" spans="4:12">
      <c r="D561" s="66">
        <v>46132</v>
      </c>
      <c r="E561" s="32">
        <v>1596306</v>
      </c>
      <c r="F561" s="32" t="s">
        <v>36</v>
      </c>
      <c r="G561" s="67">
        <v>20008128</v>
      </c>
      <c r="H561" s="32" t="s">
        <v>174</v>
      </c>
      <c r="I561" s="67">
        <v>1</v>
      </c>
      <c r="J561" s="68">
        <v>130.9</v>
      </c>
      <c r="K561" s="68">
        <v>130.9</v>
      </c>
      <c r="L561">
        <f t="shared" si="8"/>
        <v>187</v>
      </c>
    </row>
    <row r="562" spans="4:12">
      <c r="D562" s="66">
        <v>46132</v>
      </c>
      <c r="E562" s="32">
        <v>1596306</v>
      </c>
      <c r="F562" s="32" t="s">
        <v>36</v>
      </c>
      <c r="G562" s="67">
        <v>20353489</v>
      </c>
      <c r="H562" s="32" t="s">
        <v>210</v>
      </c>
      <c r="I562" s="67">
        <v>1</v>
      </c>
      <c r="J562" s="68">
        <v>111.65</v>
      </c>
      <c r="K562" s="68">
        <v>111.65</v>
      </c>
      <c r="L562">
        <f t="shared" si="8"/>
        <v>159.5</v>
      </c>
    </row>
    <row r="563" spans="4:12">
      <c r="D563" s="66">
        <v>46132</v>
      </c>
      <c r="E563" s="32">
        <v>1596306</v>
      </c>
      <c r="F563" s="32" t="s">
        <v>13</v>
      </c>
      <c r="G563" s="67">
        <v>20012311</v>
      </c>
      <c r="H563" s="32" t="s">
        <v>211</v>
      </c>
      <c r="I563" s="67">
        <v>1</v>
      </c>
      <c r="J563" s="68">
        <v>7.7</v>
      </c>
      <c r="K563" s="68">
        <v>7.7</v>
      </c>
      <c r="L563">
        <f t="shared" si="8"/>
        <v>11</v>
      </c>
    </row>
    <row r="564" spans="4:12">
      <c r="D564" s="66">
        <v>46132</v>
      </c>
      <c r="E564" s="32">
        <v>1596306</v>
      </c>
      <c r="F564" s="32" t="s">
        <v>13</v>
      </c>
      <c r="G564" s="67">
        <v>20008204</v>
      </c>
      <c r="H564" s="32" t="s">
        <v>116</v>
      </c>
      <c r="I564" s="67">
        <v>1</v>
      </c>
      <c r="J564" s="68">
        <v>9.45</v>
      </c>
      <c r="K564" s="68">
        <v>9.45</v>
      </c>
      <c r="L564">
        <f t="shared" si="8"/>
        <v>13.5</v>
      </c>
    </row>
    <row r="565" ht="24.75" spans="4:12">
      <c r="D565" s="66">
        <v>46132</v>
      </c>
      <c r="E565" s="32">
        <v>1596306</v>
      </c>
      <c r="F565" s="32" t="s">
        <v>251</v>
      </c>
      <c r="G565" s="67">
        <v>20333154</v>
      </c>
      <c r="H565" s="32" t="s">
        <v>252</v>
      </c>
      <c r="I565" s="67">
        <v>1</v>
      </c>
      <c r="J565" s="68">
        <v>140</v>
      </c>
      <c r="K565" s="68">
        <v>140</v>
      </c>
      <c r="L565">
        <f t="shared" si="8"/>
        <v>200</v>
      </c>
    </row>
    <row r="566" spans="4:12">
      <c r="D566" s="66">
        <v>46132</v>
      </c>
      <c r="E566" s="32">
        <v>1596306</v>
      </c>
      <c r="F566" s="32" t="s">
        <v>25</v>
      </c>
      <c r="G566" s="67">
        <v>20008214</v>
      </c>
      <c r="H566" s="32" t="s">
        <v>99</v>
      </c>
      <c r="I566" s="67">
        <v>1</v>
      </c>
      <c r="J566" s="68">
        <v>11.55</v>
      </c>
      <c r="K566" s="68">
        <v>11.55</v>
      </c>
      <c r="L566">
        <f t="shared" si="8"/>
        <v>16.5</v>
      </c>
    </row>
    <row r="567" spans="4:12">
      <c r="D567" s="66">
        <v>46132</v>
      </c>
      <c r="E567" s="32">
        <v>1596306</v>
      </c>
      <c r="F567" s="32" t="s">
        <v>25</v>
      </c>
      <c r="G567" s="67">
        <v>20334455</v>
      </c>
      <c r="H567" s="32" t="s">
        <v>255</v>
      </c>
      <c r="I567" s="67">
        <v>1</v>
      </c>
      <c r="J567" s="68">
        <v>11.55</v>
      </c>
      <c r="K567" s="68">
        <v>11.55</v>
      </c>
      <c r="L567">
        <f t="shared" si="8"/>
        <v>16.5</v>
      </c>
    </row>
    <row r="568" spans="4:12">
      <c r="D568" s="66">
        <v>46132</v>
      </c>
      <c r="E568" s="32">
        <v>1596306</v>
      </c>
      <c r="F568" s="32" t="s">
        <v>25</v>
      </c>
      <c r="G568" s="67">
        <v>20013952</v>
      </c>
      <c r="H568" s="32" t="s">
        <v>179</v>
      </c>
      <c r="I568" s="67">
        <v>1</v>
      </c>
      <c r="J568" s="68">
        <v>11.55</v>
      </c>
      <c r="K568" s="68">
        <v>11.55</v>
      </c>
      <c r="L568">
        <f t="shared" si="8"/>
        <v>16.5</v>
      </c>
    </row>
    <row r="569" spans="4:12">
      <c r="D569" s="66">
        <v>46132</v>
      </c>
      <c r="E569" s="32">
        <v>1596306</v>
      </c>
      <c r="F569" s="32" t="s">
        <v>25</v>
      </c>
      <c r="G569" s="67">
        <v>20008345</v>
      </c>
      <c r="H569" s="32" t="s">
        <v>131</v>
      </c>
      <c r="I569" s="67">
        <v>1</v>
      </c>
      <c r="J569" s="68">
        <v>19.25</v>
      </c>
      <c r="K569" s="68">
        <v>19.25</v>
      </c>
      <c r="L569">
        <f t="shared" si="8"/>
        <v>27.5</v>
      </c>
    </row>
    <row r="570" spans="4:12">
      <c r="D570" s="66">
        <v>46133</v>
      </c>
      <c r="E570" s="32">
        <v>1596607</v>
      </c>
      <c r="F570" s="32" t="s">
        <v>36</v>
      </c>
      <c r="G570" s="67">
        <v>20329313</v>
      </c>
      <c r="H570" s="32" t="s">
        <v>333</v>
      </c>
      <c r="I570" s="67">
        <v>1</v>
      </c>
      <c r="J570" s="68">
        <v>107.8</v>
      </c>
      <c r="K570" s="68">
        <v>107.8</v>
      </c>
      <c r="L570">
        <f t="shared" si="8"/>
        <v>154</v>
      </c>
    </row>
    <row r="571" spans="4:12">
      <c r="D571" s="66">
        <v>46133</v>
      </c>
      <c r="E571" s="32">
        <v>1596607</v>
      </c>
      <c r="F571" s="32" t="s">
        <v>36</v>
      </c>
      <c r="G571" s="67">
        <v>20008341</v>
      </c>
      <c r="H571" s="32" t="s">
        <v>334</v>
      </c>
      <c r="I571" s="67">
        <v>1</v>
      </c>
      <c r="J571" s="68">
        <v>157.85</v>
      </c>
      <c r="K571" s="68">
        <v>157.85</v>
      </c>
      <c r="L571">
        <f t="shared" si="8"/>
        <v>225.5</v>
      </c>
    </row>
    <row r="572" spans="4:12">
      <c r="D572" s="66">
        <v>46133</v>
      </c>
      <c r="E572" s="32">
        <v>1596607</v>
      </c>
      <c r="F572" s="32" t="s">
        <v>36</v>
      </c>
      <c r="G572" s="67">
        <v>20311037</v>
      </c>
      <c r="H572" s="32" t="s">
        <v>194</v>
      </c>
      <c r="I572" s="67">
        <v>1</v>
      </c>
      <c r="J572" s="68">
        <v>53.55</v>
      </c>
      <c r="K572" s="68">
        <v>53.55</v>
      </c>
      <c r="L572">
        <f t="shared" si="8"/>
        <v>76.5</v>
      </c>
    </row>
    <row r="573" spans="4:12">
      <c r="D573" s="66">
        <v>46133</v>
      </c>
      <c r="E573" s="32">
        <v>1596607</v>
      </c>
      <c r="F573" s="32" t="s">
        <v>46</v>
      </c>
      <c r="G573" s="67">
        <v>20013667</v>
      </c>
      <c r="H573" s="32" t="s">
        <v>323</v>
      </c>
      <c r="I573" s="67">
        <v>1</v>
      </c>
      <c r="J573" s="68">
        <v>15.4</v>
      </c>
      <c r="K573" s="68">
        <v>15.4</v>
      </c>
      <c r="L573">
        <f t="shared" si="8"/>
        <v>22</v>
      </c>
    </row>
    <row r="574" spans="4:12">
      <c r="D574" s="66">
        <v>46133</v>
      </c>
      <c r="E574" s="32">
        <v>1596607</v>
      </c>
      <c r="F574" s="32" t="s">
        <v>13</v>
      </c>
      <c r="G574" s="67">
        <v>20011204</v>
      </c>
      <c r="H574" s="32" t="s">
        <v>74</v>
      </c>
      <c r="I574" s="67">
        <v>1</v>
      </c>
      <c r="J574" s="68">
        <v>5.6</v>
      </c>
      <c r="K574" s="68">
        <v>5.6</v>
      </c>
      <c r="L574">
        <f t="shared" si="8"/>
        <v>8</v>
      </c>
    </row>
    <row r="575" spans="4:12">
      <c r="D575" s="66">
        <v>46133</v>
      </c>
      <c r="E575" s="32">
        <v>1596607</v>
      </c>
      <c r="F575" s="32" t="s">
        <v>13</v>
      </c>
      <c r="G575" s="67">
        <v>20360422</v>
      </c>
      <c r="H575" s="32" t="s">
        <v>335</v>
      </c>
      <c r="I575" s="67">
        <v>1</v>
      </c>
      <c r="J575" s="68">
        <v>5.6</v>
      </c>
      <c r="K575" s="68">
        <v>5.6</v>
      </c>
      <c r="L575">
        <f t="shared" si="8"/>
        <v>8</v>
      </c>
    </row>
    <row r="576" spans="4:12">
      <c r="D576" s="66">
        <v>46133</v>
      </c>
      <c r="E576" s="32">
        <v>1596607</v>
      </c>
      <c r="F576" s="32" t="s">
        <v>13</v>
      </c>
      <c r="G576" s="67">
        <v>20009483</v>
      </c>
      <c r="H576" s="32" t="s">
        <v>60</v>
      </c>
      <c r="I576" s="67">
        <v>1</v>
      </c>
      <c r="J576" s="68">
        <v>7.7</v>
      </c>
      <c r="K576" s="68">
        <v>7.7</v>
      </c>
      <c r="L576">
        <f t="shared" si="8"/>
        <v>11</v>
      </c>
    </row>
    <row r="577" spans="4:12">
      <c r="D577" s="66">
        <v>46133</v>
      </c>
      <c r="E577" s="32">
        <v>1596607</v>
      </c>
      <c r="F577" s="32" t="s">
        <v>13</v>
      </c>
      <c r="G577" s="67">
        <v>20344018</v>
      </c>
      <c r="H577" s="32" t="s">
        <v>336</v>
      </c>
      <c r="I577" s="67">
        <v>1</v>
      </c>
      <c r="J577" s="68">
        <v>5.6</v>
      </c>
      <c r="K577" s="68">
        <v>5.6</v>
      </c>
      <c r="L577">
        <f t="shared" si="8"/>
        <v>8</v>
      </c>
    </row>
    <row r="578" spans="4:12">
      <c r="D578" s="66">
        <v>46133</v>
      </c>
      <c r="E578" s="32">
        <v>1596607</v>
      </c>
      <c r="F578" s="32" t="s">
        <v>13</v>
      </c>
      <c r="G578" s="67">
        <v>20008188</v>
      </c>
      <c r="H578" s="32" t="s">
        <v>337</v>
      </c>
      <c r="I578" s="67">
        <v>2</v>
      </c>
      <c r="J578" s="68">
        <v>5.6</v>
      </c>
      <c r="K578" s="68">
        <v>11.2</v>
      </c>
      <c r="L578">
        <f t="shared" si="8"/>
        <v>8</v>
      </c>
    </row>
    <row r="579" spans="4:12">
      <c r="D579" s="66">
        <v>46133</v>
      </c>
      <c r="E579" s="32">
        <v>1596607</v>
      </c>
      <c r="F579" s="32" t="s">
        <v>13</v>
      </c>
      <c r="G579" s="67">
        <v>20014209</v>
      </c>
      <c r="H579" s="32" t="s">
        <v>338</v>
      </c>
      <c r="I579" s="67">
        <v>1</v>
      </c>
      <c r="J579" s="68">
        <v>5.6</v>
      </c>
      <c r="K579" s="68">
        <v>5.6</v>
      </c>
      <c r="L579">
        <f t="shared" si="8"/>
        <v>8</v>
      </c>
    </row>
    <row r="580" spans="4:12">
      <c r="D580" s="66">
        <v>46133</v>
      </c>
      <c r="E580" s="32">
        <v>1596607</v>
      </c>
      <c r="F580" s="32" t="s">
        <v>13</v>
      </c>
      <c r="G580" s="67">
        <v>20013900</v>
      </c>
      <c r="H580" s="32" t="s">
        <v>339</v>
      </c>
      <c r="I580" s="67">
        <v>1</v>
      </c>
      <c r="J580" s="68">
        <v>5.6</v>
      </c>
      <c r="K580" s="68">
        <v>5.6</v>
      </c>
      <c r="L580">
        <f t="shared" si="8"/>
        <v>8</v>
      </c>
    </row>
    <row r="581" spans="4:12">
      <c r="D581" s="66">
        <v>46133</v>
      </c>
      <c r="E581" s="32">
        <v>1596607</v>
      </c>
      <c r="F581" s="32" t="s">
        <v>13</v>
      </c>
      <c r="G581" s="67">
        <v>20012488</v>
      </c>
      <c r="H581" s="32" t="s">
        <v>340</v>
      </c>
      <c r="I581" s="67">
        <v>1</v>
      </c>
      <c r="J581" s="68">
        <v>5.6</v>
      </c>
      <c r="K581" s="68">
        <v>5.6</v>
      </c>
      <c r="L581">
        <f t="shared" si="8"/>
        <v>8</v>
      </c>
    </row>
    <row r="582" spans="4:12">
      <c r="D582" s="66">
        <v>46133</v>
      </c>
      <c r="E582" s="32">
        <v>1596607</v>
      </c>
      <c r="F582" s="32" t="s">
        <v>180</v>
      </c>
      <c r="G582" s="67">
        <v>20362791</v>
      </c>
      <c r="H582" s="32" t="s">
        <v>181</v>
      </c>
      <c r="I582" s="67">
        <v>1</v>
      </c>
      <c r="J582" s="68">
        <v>24.5</v>
      </c>
      <c r="K582" s="68">
        <v>24.5</v>
      </c>
      <c r="L582">
        <f t="shared" si="8"/>
        <v>35</v>
      </c>
    </row>
    <row r="583" spans="4:12">
      <c r="D583" s="66">
        <v>46133</v>
      </c>
      <c r="E583" s="32">
        <v>1596607</v>
      </c>
      <c r="F583" s="32" t="s">
        <v>25</v>
      </c>
      <c r="G583" s="67">
        <v>20008214</v>
      </c>
      <c r="H583" s="32" t="s">
        <v>99</v>
      </c>
      <c r="I583" s="67">
        <v>1</v>
      </c>
      <c r="J583" s="68">
        <v>11.55</v>
      </c>
      <c r="K583" s="68">
        <v>11.55</v>
      </c>
      <c r="L583">
        <f t="shared" si="8"/>
        <v>16.5</v>
      </c>
    </row>
    <row r="584" spans="4:12">
      <c r="D584" s="66">
        <v>46133</v>
      </c>
      <c r="E584" s="32">
        <v>1596607</v>
      </c>
      <c r="F584" s="32" t="s">
        <v>25</v>
      </c>
      <c r="G584" s="67">
        <v>20012460</v>
      </c>
      <c r="H584" s="32" t="s">
        <v>314</v>
      </c>
      <c r="I584" s="67">
        <v>1</v>
      </c>
      <c r="J584" s="68">
        <v>11.55</v>
      </c>
      <c r="K584" s="68">
        <v>11.55</v>
      </c>
      <c r="L584">
        <f t="shared" si="8"/>
        <v>16.5</v>
      </c>
    </row>
    <row r="585" spans="4:12">
      <c r="D585" s="66">
        <v>46133</v>
      </c>
      <c r="E585" s="32">
        <v>1596607</v>
      </c>
      <c r="F585" s="32" t="s">
        <v>25</v>
      </c>
      <c r="G585" s="67">
        <v>20008345</v>
      </c>
      <c r="H585" s="32" t="s">
        <v>131</v>
      </c>
      <c r="I585" s="67">
        <v>2</v>
      </c>
      <c r="J585" s="68">
        <v>19.25</v>
      </c>
      <c r="K585" s="68">
        <v>38.5</v>
      </c>
      <c r="L585">
        <f t="shared" si="8"/>
        <v>27.5</v>
      </c>
    </row>
    <row r="586" spans="4:12">
      <c r="D586" s="66">
        <v>46133</v>
      </c>
      <c r="E586" s="32">
        <v>1596607</v>
      </c>
      <c r="F586" s="32" t="s">
        <v>25</v>
      </c>
      <c r="G586" s="67">
        <v>20008263</v>
      </c>
      <c r="H586" s="32" t="s">
        <v>341</v>
      </c>
      <c r="I586" s="67">
        <v>1</v>
      </c>
      <c r="J586" s="68">
        <v>11.55</v>
      </c>
      <c r="K586" s="68">
        <v>11.55</v>
      </c>
      <c r="L586">
        <f t="shared" ref="L586:L649" si="9">J586/0.7</f>
        <v>16.5</v>
      </c>
    </row>
    <row r="587" spans="4:12">
      <c r="D587" s="66">
        <v>46133</v>
      </c>
      <c r="E587" s="32">
        <v>1596607</v>
      </c>
      <c r="F587" s="32" t="s">
        <v>25</v>
      </c>
      <c r="G587" s="67">
        <v>20008281</v>
      </c>
      <c r="H587" s="32" t="s">
        <v>342</v>
      </c>
      <c r="I587" s="67">
        <v>1</v>
      </c>
      <c r="J587" s="68">
        <v>11.55</v>
      </c>
      <c r="K587" s="68">
        <v>11.55</v>
      </c>
      <c r="L587">
        <f t="shared" si="9"/>
        <v>16.5</v>
      </c>
    </row>
    <row r="588" spans="4:12">
      <c r="D588" s="66">
        <v>46133</v>
      </c>
      <c r="E588" s="32">
        <v>1596619</v>
      </c>
      <c r="F588" s="32" t="s">
        <v>27</v>
      </c>
      <c r="G588" s="67">
        <v>20348232</v>
      </c>
      <c r="H588" s="32" t="s">
        <v>264</v>
      </c>
      <c r="I588" s="67">
        <v>1</v>
      </c>
      <c r="J588" s="68">
        <v>46.2</v>
      </c>
      <c r="K588" s="68">
        <v>46.2</v>
      </c>
      <c r="L588">
        <f t="shared" si="9"/>
        <v>66</v>
      </c>
    </row>
    <row r="589" spans="4:12">
      <c r="D589" s="66">
        <v>46133</v>
      </c>
      <c r="E589" s="32">
        <v>1596619</v>
      </c>
      <c r="F589" s="32" t="s">
        <v>27</v>
      </c>
      <c r="G589" s="67">
        <v>20388302</v>
      </c>
      <c r="H589" s="32" t="s">
        <v>202</v>
      </c>
      <c r="I589" s="67">
        <v>1</v>
      </c>
      <c r="J589" s="68">
        <v>24.5</v>
      </c>
      <c r="K589" s="68">
        <v>24.5</v>
      </c>
      <c r="L589">
        <f t="shared" si="9"/>
        <v>35</v>
      </c>
    </row>
    <row r="590" spans="4:12">
      <c r="D590" s="66">
        <v>46133</v>
      </c>
      <c r="E590" s="32">
        <v>1596619</v>
      </c>
      <c r="F590" s="32" t="s">
        <v>27</v>
      </c>
      <c r="G590" s="67">
        <v>20012362</v>
      </c>
      <c r="H590" s="32" t="s">
        <v>237</v>
      </c>
      <c r="I590" s="67">
        <v>1</v>
      </c>
      <c r="J590" s="68">
        <v>30.8</v>
      </c>
      <c r="K590" s="68">
        <v>30.8</v>
      </c>
      <c r="L590">
        <f t="shared" si="9"/>
        <v>44</v>
      </c>
    </row>
    <row r="591" spans="4:12">
      <c r="D591" s="66">
        <v>46133</v>
      </c>
      <c r="E591" s="32">
        <v>1596619</v>
      </c>
      <c r="F591" s="32" t="s">
        <v>27</v>
      </c>
      <c r="G591" s="67">
        <v>20008389</v>
      </c>
      <c r="H591" s="32" t="s">
        <v>203</v>
      </c>
      <c r="I591" s="67">
        <v>1</v>
      </c>
      <c r="J591" s="68">
        <v>17.5</v>
      </c>
      <c r="K591" s="68">
        <v>17.5</v>
      </c>
      <c r="L591">
        <f t="shared" si="9"/>
        <v>25</v>
      </c>
    </row>
    <row r="592" spans="4:12">
      <c r="D592" s="66">
        <v>46133</v>
      </c>
      <c r="E592" s="32">
        <v>1596619</v>
      </c>
      <c r="F592" s="32" t="s">
        <v>27</v>
      </c>
      <c r="G592" s="67">
        <v>20006863</v>
      </c>
      <c r="H592" s="32" t="s">
        <v>204</v>
      </c>
      <c r="I592" s="67">
        <v>1</v>
      </c>
      <c r="J592" s="68">
        <v>24.5</v>
      </c>
      <c r="K592" s="68">
        <v>24.5</v>
      </c>
      <c r="L592">
        <f t="shared" si="9"/>
        <v>35</v>
      </c>
    </row>
    <row r="593" spans="4:12">
      <c r="D593" s="66">
        <v>46133</v>
      </c>
      <c r="E593" s="32">
        <v>1596619</v>
      </c>
      <c r="F593" s="32" t="s">
        <v>69</v>
      </c>
      <c r="G593" s="67">
        <v>20013036</v>
      </c>
      <c r="H593" s="32" t="s">
        <v>206</v>
      </c>
      <c r="I593" s="67">
        <v>1</v>
      </c>
      <c r="J593" s="68">
        <v>30.8</v>
      </c>
      <c r="K593" s="68">
        <v>30.8</v>
      </c>
      <c r="L593">
        <f t="shared" si="9"/>
        <v>44</v>
      </c>
    </row>
    <row r="594" spans="4:12">
      <c r="D594" s="66">
        <v>46133</v>
      </c>
      <c r="E594" s="32">
        <v>1596685</v>
      </c>
      <c r="F594" s="32" t="s">
        <v>27</v>
      </c>
      <c r="G594" s="67">
        <v>20366785</v>
      </c>
      <c r="H594" s="32" t="s">
        <v>343</v>
      </c>
      <c r="I594" s="67">
        <v>1</v>
      </c>
      <c r="J594" s="68">
        <v>15.4</v>
      </c>
      <c r="K594" s="68">
        <v>15.4</v>
      </c>
      <c r="L594">
        <f t="shared" si="9"/>
        <v>22</v>
      </c>
    </row>
    <row r="595" spans="4:12">
      <c r="D595" s="66">
        <v>46133</v>
      </c>
      <c r="E595" s="32">
        <v>1596685</v>
      </c>
      <c r="F595" s="32" t="s">
        <v>27</v>
      </c>
      <c r="G595" s="67">
        <v>20349200</v>
      </c>
      <c r="H595" s="32" t="s">
        <v>344</v>
      </c>
      <c r="I595" s="67">
        <v>1</v>
      </c>
      <c r="J595" s="68">
        <v>61.6</v>
      </c>
      <c r="K595" s="68">
        <v>61.6</v>
      </c>
      <c r="L595">
        <f t="shared" si="9"/>
        <v>88</v>
      </c>
    </row>
    <row r="596" spans="4:12">
      <c r="D596" s="66">
        <v>46133</v>
      </c>
      <c r="E596" s="32">
        <v>1596685</v>
      </c>
      <c r="F596" s="32" t="s">
        <v>27</v>
      </c>
      <c r="G596" s="67">
        <v>20012362</v>
      </c>
      <c r="H596" s="32" t="s">
        <v>237</v>
      </c>
      <c r="I596" s="67">
        <v>1</v>
      </c>
      <c r="J596" s="68">
        <v>30.8</v>
      </c>
      <c r="K596" s="68">
        <v>30.8</v>
      </c>
      <c r="L596">
        <f t="shared" si="9"/>
        <v>44</v>
      </c>
    </row>
    <row r="597" spans="4:12">
      <c r="D597" s="66">
        <v>46133</v>
      </c>
      <c r="E597" s="32">
        <v>1596685</v>
      </c>
      <c r="F597" s="32" t="s">
        <v>69</v>
      </c>
      <c r="G597" s="67">
        <v>20012368</v>
      </c>
      <c r="H597" s="32" t="s">
        <v>247</v>
      </c>
      <c r="I597" s="67">
        <v>1</v>
      </c>
      <c r="J597" s="68">
        <v>19.6</v>
      </c>
      <c r="K597" s="68">
        <v>19.6</v>
      </c>
      <c r="L597">
        <f t="shared" si="9"/>
        <v>28</v>
      </c>
    </row>
    <row r="598" spans="4:12">
      <c r="D598" s="66">
        <v>46133</v>
      </c>
      <c r="E598" s="32">
        <v>1596708</v>
      </c>
      <c r="F598" s="32" t="s">
        <v>36</v>
      </c>
      <c r="G598" s="67">
        <v>20008128</v>
      </c>
      <c r="H598" s="32" t="s">
        <v>174</v>
      </c>
      <c r="I598" s="67">
        <v>1</v>
      </c>
      <c r="J598" s="68">
        <v>130.9</v>
      </c>
      <c r="K598" s="68">
        <v>130.9</v>
      </c>
      <c r="L598">
        <f t="shared" si="9"/>
        <v>187</v>
      </c>
    </row>
    <row r="599" spans="4:12">
      <c r="D599" s="66">
        <v>46133</v>
      </c>
      <c r="E599" s="32">
        <v>1596708</v>
      </c>
      <c r="F599" s="32" t="s">
        <v>36</v>
      </c>
      <c r="G599" s="67">
        <v>20311037</v>
      </c>
      <c r="H599" s="32" t="s">
        <v>194</v>
      </c>
      <c r="I599" s="67">
        <v>1</v>
      </c>
      <c r="J599" s="68">
        <v>53.55</v>
      </c>
      <c r="K599" s="68">
        <v>53.55</v>
      </c>
      <c r="L599">
        <f t="shared" si="9"/>
        <v>76.5</v>
      </c>
    </row>
    <row r="600" spans="4:12">
      <c r="D600" s="66">
        <v>46133</v>
      </c>
      <c r="E600" s="32">
        <v>1596708</v>
      </c>
      <c r="F600" s="32" t="s">
        <v>13</v>
      </c>
      <c r="G600" s="67">
        <v>20008491</v>
      </c>
      <c r="H600" s="32" t="s">
        <v>104</v>
      </c>
      <c r="I600" s="67">
        <v>1</v>
      </c>
      <c r="J600" s="68">
        <v>11.55</v>
      </c>
      <c r="K600" s="68">
        <v>11.55</v>
      </c>
      <c r="L600">
        <f t="shared" si="9"/>
        <v>16.5</v>
      </c>
    </row>
    <row r="601" spans="4:12">
      <c r="D601" s="66">
        <v>46133</v>
      </c>
      <c r="E601" s="32">
        <v>1596708</v>
      </c>
      <c r="F601" s="32" t="s">
        <v>13</v>
      </c>
      <c r="G601" s="67">
        <v>20008204</v>
      </c>
      <c r="H601" s="32" t="s">
        <v>116</v>
      </c>
      <c r="I601" s="67">
        <v>1</v>
      </c>
      <c r="J601" s="68">
        <v>9.45</v>
      </c>
      <c r="K601" s="68">
        <v>9.45</v>
      </c>
      <c r="L601">
        <f t="shared" si="9"/>
        <v>13.5</v>
      </c>
    </row>
    <row r="602" spans="4:12">
      <c r="D602" s="66">
        <v>46133</v>
      </c>
      <c r="E602" s="32">
        <v>1596708</v>
      </c>
      <c r="F602" s="32" t="s">
        <v>13</v>
      </c>
      <c r="G602" s="67">
        <v>20011138</v>
      </c>
      <c r="H602" s="32" t="s">
        <v>199</v>
      </c>
      <c r="I602" s="67">
        <v>3</v>
      </c>
      <c r="J602" s="68">
        <v>11.55</v>
      </c>
      <c r="K602" s="68">
        <v>34.65</v>
      </c>
      <c r="L602">
        <f t="shared" si="9"/>
        <v>16.5</v>
      </c>
    </row>
    <row r="603" spans="4:12">
      <c r="D603" s="66">
        <v>46133</v>
      </c>
      <c r="E603" s="32">
        <v>1596708</v>
      </c>
      <c r="F603" s="32" t="s">
        <v>25</v>
      </c>
      <c r="G603" s="67">
        <v>20008214</v>
      </c>
      <c r="H603" s="32" t="s">
        <v>99</v>
      </c>
      <c r="I603" s="67">
        <v>2</v>
      </c>
      <c r="J603" s="68">
        <v>11.55</v>
      </c>
      <c r="K603" s="68">
        <v>23.1</v>
      </c>
      <c r="L603">
        <f t="shared" si="9"/>
        <v>16.5</v>
      </c>
    </row>
    <row r="604" spans="4:12">
      <c r="D604" s="66">
        <v>46133</v>
      </c>
      <c r="E604" s="32">
        <v>1596708</v>
      </c>
      <c r="F604" s="32" t="s">
        <v>25</v>
      </c>
      <c r="G604" s="67">
        <v>20334455</v>
      </c>
      <c r="H604" s="32" t="s">
        <v>255</v>
      </c>
      <c r="I604" s="67">
        <v>1</v>
      </c>
      <c r="J604" s="68">
        <v>11.55</v>
      </c>
      <c r="K604" s="68">
        <v>11.55</v>
      </c>
      <c r="L604">
        <f t="shared" si="9"/>
        <v>16.5</v>
      </c>
    </row>
    <row r="605" spans="4:12">
      <c r="D605" s="66">
        <v>46133</v>
      </c>
      <c r="E605" s="32">
        <v>1596708</v>
      </c>
      <c r="F605" s="32" t="s">
        <v>25</v>
      </c>
      <c r="G605" s="67">
        <v>20014802</v>
      </c>
      <c r="H605" s="32" t="s">
        <v>214</v>
      </c>
      <c r="I605" s="67">
        <v>1</v>
      </c>
      <c r="J605" s="68">
        <v>11.55</v>
      </c>
      <c r="K605" s="68">
        <v>11.55</v>
      </c>
      <c r="L605">
        <f t="shared" si="9"/>
        <v>16.5</v>
      </c>
    </row>
    <row r="606" spans="4:12">
      <c r="D606" s="66">
        <v>46133</v>
      </c>
      <c r="E606" s="32">
        <v>1596708</v>
      </c>
      <c r="F606" s="32" t="s">
        <v>25</v>
      </c>
      <c r="G606" s="67">
        <v>20300146</v>
      </c>
      <c r="H606" s="32" t="s">
        <v>345</v>
      </c>
      <c r="I606" s="67">
        <v>1</v>
      </c>
      <c r="J606" s="68">
        <v>11.55</v>
      </c>
      <c r="K606" s="68">
        <v>11.55</v>
      </c>
      <c r="L606">
        <f t="shared" si="9"/>
        <v>16.5</v>
      </c>
    </row>
    <row r="607" spans="4:12">
      <c r="D607" s="66">
        <v>46133</v>
      </c>
      <c r="E607" s="32">
        <v>1596708</v>
      </c>
      <c r="F607" s="32" t="s">
        <v>25</v>
      </c>
      <c r="G607" s="67">
        <v>20008345</v>
      </c>
      <c r="H607" s="32" t="s">
        <v>131</v>
      </c>
      <c r="I607" s="67">
        <v>1</v>
      </c>
      <c r="J607" s="68">
        <v>19.25</v>
      </c>
      <c r="K607" s="68">
        <v>19.25</v>
      </c>
      <c r="L607">
        <f t="shared" si="9"/>
        <v>27.5</v>
      </c>
    </row>
    <row r="608" spans="4:12">
      <c r="D608" s="66">
        <v>46133</v>
      </c>
      <c r="E608" s="32">
        <v>1596708</v>
      </c>
      <c r="F608" s="32" t="s">
        <v>25</v>
      </c>
      <c r="G608" s="67">
        <v>20013916</v>
      </c>
      <c r="H608" s="32" t="s">
        <v>182</v>
      </c>
      <c r="I608" s="67">
        <v>1</v>
      </c>
      <c r="J608" s="68">
        <v>11.55</v>
      </c>
      <c r="K608" s="68">
        <v>11.55</v>
      </c>
      <c r="L608">
        <f t="shared" si="9"/>
        <v>16.5</v>
      </c>
    </row>
    <row r="609" spans="4:12">
      <c r="D609" s="66">
        <v>46134</v>
      </c>
      <c r="E609" s="32">
        <v>1596920</v>
      </c>
      <c r="F609" s="32" t="s">
        <v>36</v>
      </c>
      <c r="G609" s="67">
        <v>20012360</v>
      </c>
      <c r="H609" s="32" t="s">
        <v>346</v>
      </c>
      <c r="I609" s="67">
        <v>1</v>
      </c>
      <c r="J609" s="68">
        <v>107.8</v>
      </c>
      <c r="K609" s="68">
        <v>107.8</v>
      </c>
      <c r="L609">
        <f t="shared" si="9"/>
        <v>154</v>
      </c>
    </row>
    <row r="610" spans="4:12">
      <c r="D610" s="66">
        <v>46134</v>
      </c>
      <c r="E610" s="32">
        <v>1596920</v>
      </c>
      <c r="F610" s="32" t="s">
        <v>36</v>
      </c>
      <c r="G610" s="67">
        <v>20007715</v>
      </c>
      <c r="H610" s="32" t="s">
        <v>193</v>
      </c>
      <c r="I610" s="67">
        <v>1</v>
      </c>
      <c r="J610" s="68">
        <v>180.95</v>
      </c>
      <c r="K610" s="68">
        <v>180.95</v>
      </c>
      <c r="L610">
        <f t="shared" si="9"/>
        <v>258.5</v>
      </c>
    </row>
    <row r="611" spans="4:12">
      <c r="D611" s="66">
        <v>46134</v>
      </c>
      <c r="E611" s="32">
        <v>1596920</v>
      </c>
      <c r="F611" s="32" t="s">
        <v>36</v>
      </c>
      <c r="G611" s="67">
        <v>20012472</v>
      </c>
      <c r="H611" s="32" t="s">
        <v>284</v>
      </c>
      <c r="I611" s="67">
        <v>1</v>
      </c>
      <c r="J611" s="68">
        <v>119.35</v>
      </c>
      <c r="K611" s="68">
        <v>119.35</v>
      </c>
      <c r="L611">
        <f t="shared" si="9"/>
        <v>170.5</v>
      </c>
    </row>
    <row r="612" spans="4:12">
      <c r="D612" s="66">
        <v>46134</v>
      </c>
      <c r="E612" s="32">
        <v>1596920</v>
      </c>
      <c r="F612" s="32" t="s">
        <v>36</v>
      </c>
      <c r="G612" s="67">
        <v>20008128</v>
      </c>
      <c r="H612" s="32" t="s">
        <v>174</v>
      </c>
      <c r="I612" s="67">
        <v>1</v>
      </c>
      <c r="J612" s="68">
        <v>130.9</v>
      </c>
      <c r="K612" s="68">
        <v>130.9</v>
      </c>
      <c r="L612">
        <f t="shared" si="9"/>
        <v>187</v>
      </c>
    </row>
    <row r="613" spans="4:12">
      <c r="D613" s="66">
        <v>46134</v>
      </c>
      <c r="E613" s="32">
        <v>1596920</v>
      </c>
      <c r="F613" s="32" t="s">
        <v>36</v>
      </c>
      <c r="G613" s="67">
        <v>20008129</v>
      </c>
      <c r="H613" s="32" t="s">
        <v>208</v>
      </c>
      <c r="I613" s="67">
        <v>1</v>
      </c>
      <c r="J613" s="68">
        <v>196.35</v>
      </c>
      <c r="K613" s="68">
        <v>196.35</v>
      </c>
      <c r="L613">
        <f t="shared" si="9"/>
        <v>280.5</v>
      </c>
    </row>
    <row r="614" spans="4:12">
      <c r="D614" s="66">
        <v>46134</v>
      </c>
      <c r="E614" s="32">
        <v>1596920</v>
      </c>
      <c r="F614" s="32" t="s">
        <v>36</v>
      </c>
      <c r="G614" s="67">
        <v>20353489</v>
      </c>
      <c r="H614" s="32" t="s">
        <v>210</v>
      </c>
      <c r="I614" s="67">
        <v>1</v>
      </c>
      <c r="J614" s="68">
        <v>111.65</v>
      </c>
      <c r="K614" s="68">
        <v>111.65</v>
      </c>
      <c r="L614">
        <f t="shared" si="9"/>
        <v>159.5</v>
      </c>
    </row>
    <row r="615" spans="4:12">
      <c r="D615" s="66">
        <v>46134</v>
      </c>
      <c r="E615" s="32">
        <v>1596920</v>
      </c>
      <c r="F615" s="32" t="s">
        <v>36</v>
      </c>
      <c r="G615" s="67">
        <v>20325851</v>
      </c>
      <c r="H615" s="32" t="s">
        <v>175</v>
      </c>
      <c r="I615" s="67">
        <v>1</v>
      </c>
      <c r="J615" s="68">
        <v>150.15</v>
      </c>
      <c r="K615" s="68">
        <v>150.15</v>
      </c>
      <c r="L615">
        <f t="shared" si="9"/>
        <v>214.5</v>
      </c>
    </row>
    <row r="616" spans="4:12">
      <c r="D616" s="66">
        <v>46134</v>
      </c>
      <c r="E616" s="32">
        <v>1596920</v>
      </c>
      <c r="F616" s="32" t="s">
        <v>36</v>
      </c>
      <c r="G616" s="67">
        <v>20311037</v>
      </c>
      <c r="H616" s="32" t="s">
        <v>194</v>
      </c>
      <c r="I616" s="67">
        <v>1</v>
      </c>
      <c r="J616" s="68">
        <v>53.55</v>
      </c>
      <c r="K616" s="68">
        <v>53.55</v>
      </c>
      <c r="L616">
        <f t="shared" si="9"/>
        <v>76.5</v>
      </c>
    </row>
    <row r="617" spans="4:12">
      <c r="D617" s="66">
        <v>46134</v>
      </c>
      <c r="E617" s="32">
        <v>1596920</v>
      </c>
      <c r="F617" s="32" t="s">
        <v>13</v>
      </c>
      <c r="G617" s="67">
        <v>20007623</v>
      </c>
      <c r="H617" s="32" t="s">
        <v>176</v>
      </c>
      <c r="I617" s="67">
        <v>1</v>
      </c>
      <c r="J617" s="68">
        <v>5.6</v>
      </c>
      <c r="K617" s="68">
        <v>5.6</v>
      </c>
      <c r="L617">
        <f t="shared" si="9"/>
        <v>8</v>
      </c>
    </row>
    <row r="618" spans="4:12">
      <c r="D618" s="66">
        <v>46134</v>
      </c>
      <c r="E618" s="32">
        <v>1596920</v>
      </c>
      <c r="F618" s="32" t="s">
        <v>13</v>
      </c>
      <c r="G618" s="67">
        <v>20012311</v>
      </c>
      <c r="H618" s="32" t="s">
        <v>211</v>
      </c>
      <c r="I618" s="67">
        <v>1</v>
      </c>
      <c r="J618" s="68">
        <v>7.7</v>
      </c>
      <c r="K618" s="68">
        <v>7.7</v>
      </c>
      <c r="L618">
        <f t="shared" si="9"/>
        <v>11</v>
      </c>
    </row>
    <row r="619" spans="4:12">
      <c r="D619" s="66">
        <v>46134</v>
      </c>
      <c r="E619" s="32">
        <v>1596920</v>
      </c>
      <c r="F619" s="32" t="s">
        <v>13</v>
      </c>
      <c r="G619" s="67">
        <v>20008491</v>
      </c>
      <c r="H619" s="32" t="s">
        <v>104</v>
      </c>
      <c r="I619" s="67">
        <v>1</v>
      </c>
      <c r="J619" s="68">
        <v>11.55</v>
      </c>
      <c r="K619" s="68">
        <v>11.55</v>
      </c>
      <c r="L619">
        <f t="shared" si="9"/>
        <v>16.5</v>
      </c>
    </row>
    <row r="620" spans="4:12">
      <c r="D620" s="66">
        <v>46134</v>
      </c>
      <c r="E620" s="32">
        <v>1596920</v>
      </c>
      <c r="F620" s="32" t="s">
        <v>13</v>
      </c>
      <c r="G620" s="67">
        <v>20008204</v>
      </c>
      <c r="H620" s="32" t="s">
        <v>116</v>
      </c>
      <c r="I620" s="67">
        <v>2</v>
      </c>
      <c r="J620" s="68">
        <v>9.45</v>
      </c>
      <c r="K620" s="68">
        <v>18.9</v>
      </c>
      <c r="L620">
        <f t="shared" si="9"/>
        <v>13.5</v>
      </c>
    </row>
    <row r="621" spans="4:12">
      <c r="D621" s="66">
        <v>46134</v>
      </c>
      <c r="E621" s="32">
        <v>1596920</v>
      </c>
      <c r="F621" s="32" t="s">
        <v>13</v>
      </c>
      <c r="G621" s="67">
        <v>20011138</v>
      </c>
      <c r="H621" s="32" t="s">
        <v>199</v>
      </c>
      <c r="I621" s="67">
        <v>3</v>
      </c>
      <c r="J621" s="68">
        <v>11.55</v>
      </c>
      <c r="K621" s="68">
        <v>34.65</v>
      </c>
      <c r="L621">
        <f t="shared" si="9"/>
        <v>16.5</v>
      </c>
    </row>
    <row r="622" spans="4:12">
      <c r="D622" s="66">
        <v>46134</v>
      </c>
      <c r="E622" s="32">
        <v>1596920</v>
      </c>
      <c r="F622" s="32" t="s">
        <v>13</v>
      </c>
      <c r="G622" s="67">
        <v>20007562</v>
      </c>
      <c r="H622" s="32" t="s">
        <v>347</v>
      </c>
      <c r="I622" s="67">
        <v>1</v>
      </c>
      <c r="J622" s="68">
        <v>11.55</v>
      </c>
      <c r="K622" s="68">
        <v>11.55</v>
      </c>
      <c r="L622">
        <f t="shared" si="9"/>
        <v>16.5</v>
      </c>
    </row>
    <row r="623" spans="4:12">
      <c r="D623" s="66">
        <v>46134</v>
      </c>
      <c r="E623" s="32">
        <v>1596920</v>
      </c>
      <c r="F623" s="32" t="s">
        <v>25</v>
      </c>
      <c r="G623" s="67">
        <v>20318556</v>
      </c>
      <c r="H623" s="32" t="s">
        <v>348</v>
      </c>
      <c r="I623" s="67">
        <v>1</v>
      </c>
      <c r="J623" s="68">
        <v>11.55</v>
      </c>
      <c r="K623" s="68">
        <v>11.55</v>
      </c>
      <c r="L623">
        <f t="shared" si="9"/>
        <v>16.5</v>
      </c>
    </row>
    <row r="624" spans="4:12">
      <c r="D624" s="66">
        <v>46134</v>
      </c>
      <c r="E624" s="32">
        <v>1596920</v>
      </c>
      <c r="F624" s="32" t="s">
        <v>25</v>
      </c>
      <c r="G624" s="67">
        <v>20008214</v>
      </c>
      <c r="H624" s="32" t="s">
        <v>99</v>
      </c>
      <c r="I624" s="67">
        <v>5</v>
      </c>
      <c r="J624" s="68">
        <v>11.55</v>
      </c>
      <c r="K624" s="68">
        <v>57.75</v>
      </c>
      <c r="L624">
        <f t="shared" si="9"/>
        <v>16.5</v>
      </c>
    </row>
    <row r="625" spans="4:12">
      <c r="D625" s="66">
        <v>46134</v>
      </c>
      <c r="E625" s="32">
        <v>1596920</v>
      </c>
      <c r="F625" s="32" t="s">
        <v>25</v>
      </c>
      <c r="G625" s="67">
        <v>20334455</v>
      </c>
      <c r="H625" s="32" t="s">
        <v>255</v>
      </c>
      <c r="I625" s="67">
        <v>1</v>
      </c>
      <c r="J625" s="68">
        <v>11.55</v>
      </c>
      <c r="K625" s="68">
        <v>11.55</v>
      </c>
      <c r="L625">
        <f t="shared" si="9"/>
        <v>16.5</v>
      </c>
    </row>
    <row r="626" spans="4:12">
      <c r="D626" s="66">
        <v>46134</v>
      </c>
      <c r="E626" s="32">
        <v>1596920</v>
      </c>
      <c r="F626" s="32" t="s">
        <v>25</v>
      </c>
      <c r="G626" s="67">
        <v>20013952</v>
      </c>
      <c r="H626" s="32" t="s">
        <v>179</v>
      </c>
      <c r="I626" s="67">
        <v>1</v>
      </c>
      <c r="J626" s="68">
        <v>11.55</v>
      </c>
      <c r="K626" s="68">
        <v>11.55</v>
      </c>
      <c r="L626">
        <f t="shared" si="9"/>
        <v>16.5</v>
      </c>
    </row>
    <row r="627" spans="4:12">
      <c r="D627" s="66">
        <v>46134</v>
      </c>
      <c r="E627" s="32">
        <v>1596920</v>
      </c>
      <c r="F627" s="32" t="s">
        <v>25</v>
      </c>
      <c r="G627" s="67">
        <v>20008345</v>
      </c>
      <c r="H627" s="32" t="s">
        <v>131</v>
      </c>
      <c r="I627" s="67">
        <v>3</v>
      </c>
      <c r="J627" s="68">
        <v>19.25</v>
      </c>
      <c r="K627" s="68">
        <v>57.75</v>
      </c>
      <c r="L627">
        <f t="shared" si="9"/>
        <v>27.5</v>
      </c>
    </row>
    <row r="628" spans="4:12">
      <c r="D628" s="66">
        <v>46134</v>
      </c>
      <c r="E628" s="32">
        <v>1596920</v>
      </c>
      <c r="F628" s="32" t="s">
        <v>25</v>
      </c>
      <c r="G628" s="67">
        <v>20013916</v>
      </c>
      <c r="H628" s="32" t="s">
        <v>182</v>
      </c>
      <c r="I628" s="67">
        <v>1</v>
      </c>
      <c r="J628" s="68">
        <v>11.55</v>
      </c>
      <c r="K628" s="68">
        <v>11.55</v>
      </c>
      <c r="L628">
        <f t="shared" si="9"/>
        <v>16.5</v>
      </c>
    </row>
    <row r="629" spans="4:12">
      <c r="D629" s="66">
        <v>46134</v>
      </c>
      <c r="E629" s="32">
        <v>1596975</v>
      </c>
      <c r="F629" s="32" t="s">
        <v>36</v>
      </c>
      <c r="G629" s="67">
        <v>20013592</v>
      </c>
      <c r="H629" s="32" t="s">
        <v>349</v>
      </c>
      <c r="I629" s="67">
        <v>1</v>
      </c>
      <c r="J629" s="68">
        <v>190.05</v>
      </c>
      <c r="K629" s="68">
        <v>190.05</v>
      </c>
      <c r="L629">
        <f t="shared" si="9"/>
        <v>271.5</v>
      </c>
    </row>
    <row r="630" spans="4:12">
      <c r="D630" s="66">
        <v>46134</v>
      </c>
      <c r="E630" s="32">
        <v>1596975</v>
      </c>
      <c r="F630" s="32" t="s">
        <v>36</v>
      </c>
      <c r="G630" s="67">
        <v>20314694</v>
      </c>
      <c r="H630" s="32" t="s">
        <v>209</v>
      </c>
      <c r="I630" s="67">
        <v>1</v>
      </c>
      <c r="J630" s="68">
        <v>140</v>
      </c>
      <c r="K630" s="68">
        <v>140</v>
      </c>
      <c r="L630">
        <f t="shared" si="9"/>
        <v>200</v>
      </c>
    </row>
    <row r="631" spans="4:12">
      <c r="D631" s="66">
        <v>46134</v>
      </c>
      <c r="E631" s="32">
        <v>1596975</v>
      </c>
      <c r="F631" s="32" t="s">
        <v>180</v>
      </c>
      <c r="G631" s="67">
        <v>20362791</v>
      </c>
      <c r="H631" s="32" t="s">
        <v>181</v>
      </c>
      <c r="I631" s="67">
        <v>1</v>
      </c>
      <c r="J631" s="68">
        <v>24.5</v>
      </c>
      <c r="K631" s="68">
        <v>24.5</v>
      </c>
      <c r="L631">
        <f t="shared" si="9"/>
        <v>35</v>
      </c>
    </row>
    <row r="632" spans="4:12">
      <c r="D632" s="66">
        <v>46134</v>
      </c>
      <c r="E632" s="32">
        <v>1596996</v>
      </c>
      <c r="F632" s="32" t="s">
        <v>27</v>
      </c>
      <c r="G632" s="67">
        <v>20015198</v>
      </c>
      <c r="H632" s="32" t="s">
        <v>274</v>
      </c>
      <c r="I632" s="67">
        <v>3</v>
      </c>
      <c r="J632" s="68">
        <v>24.5</v>
      </c>
      <c r="K632" s="68">
        <v>73.5</v>
      </c>
      <c r="L632">
        <f t="shared" si="9"/>
        <v>35</v>
      </c>
    </row>
    <row r="633" spans="4:12">
      <c r="D633" s="66">
        <v>46134</v>
      </c>
      <c r="E633" s="32">
        <v>1596996</v>
      </c>
      <c r="F633" s="32" t="s">
        <v>27</v>
      </c>
      <c r="G633" s="67">
        <v>20397471</v>
      </c>
      <c r="H633" s="32" t="s">
        <v>350</v>
      </c>
      <c r="I633" s="67">
        <v>4</v>
      </c>
      <c r="J633" s="68">
        <v>15.4</v>
      </c>
      <c r="K633" s="68">
        <v>61.6</v>
      </c>
      <c r="L633">
        <f t="shared" si="9"/>
        <v>22</v>
      </c>
    </row>
    <row r="634" spans="4:12">
      <c r="D634" s="66">
        <v>46134</v>
      </c>
      <c r="E634" s="32">
        <v>1596996</v>
      </c>
      <c r="F634" s="32" t="s">
        <v>27</v>
      </c>
      <c r="G634" s="67">
        <v>20008885</v>
      </c>
      <c r="H634" s="32" t="s">
        <v>184</v>
      </c>
      <c r="I634" s="67">
        <v>1</v>
      </c>
      <c r="J634" s="68">
        <v>24.5</v>
      </c>
      <c r="K634" s="68">
        <v>24.5</v>
      </c>
      <c r="L634">
        <f t="shared" si="9"/>
        <v>35</v>
      </c>
    </row>
    <row r="635" spans="4:12">
      <c r="D635" s="66">
        <v>46134</v>
      </c>
      <c r="E635" s="32">
        <v>1596996</v>
      </c>
      <c r="F635" s="32" t="s">
        <v>27</v>
      </c>
      <c r="G635" s="67">
        <v>20366785</v>
      </c>
      <c r="H635" s="32" t="s">
        <v>343</v>
      </c>
      <c r="I635" s="67">
        <v>1</v>
      </c>
      <c r="J635" s="68">
        <v>15.4</v>
      </c>
      <c r="K635" s="68">
        <v>15.4</v>
      </c>
      <c r="L635">
        <f t="shared" si="9"/>
        <v>22</v>
      </c>
    </row>
    <row r="636" spans="4:12">
      <c r="D636" s="66">
        <v>46134</v>
      </c>
      <c r="E636" s="32">
        <v>1596996</v>
      </c>
      <c r="F636" s="32" t="s">
        <v>27</v>
      </c>
      <c r="G636" s="67">
        <v>20008170</v>
      </c>
      <c r="H636" s="32" t="s">
        <v>297</v>
      </c>
      <c r="I636" s="67">
        <v>1</v>
      </c>
      <c r="J636" s="68">
        <v>19.6</v>
      </c>
      <c r="K636" s="68">
        <v>19.6</v>
      </c>
      <c r="L636">
        <f t="shared" si="9"/>
        <v>28</v>
      </c>
    </row>
    <row r="637" spans="4:12">
      <c r="D637" s="66">
        <v>46134</v>
      </c>
      <c r="E637" s="32">
        <v>1596996</v>
      </c>
      <c r="F637" s="32" t="s">
        <v>27</v>
      </c>
      <c r="G637" s="67">
        <v>20006853</v>
      </c>
      <c r="H637" s="32" t="s">
        <v>186</v>
      </c>
      <c r="I637" s="67">
        <v>1</v>
      </c>
      <c r="J637" s="68">
        <v>24.5</v>
      </c>
      <c r="K637" s="68">
        <v>24.5</v>
      </c>
      <c r="L637">
        <f t="shared" si="9"/>
        <v>35</v>
      </c>
    </row>
    <row r="638" spans="4:12">
      <c r="D638" s="66">
        <v>46134</v>
      </c>
      <c r="E638" s="32">
        <v>1596996</v>
      </c>
      <c r="F638" s="32" t="s">
        <v>27</v>
      </c>
      <c r="G638" s="67">
        <v>20390607</v>
      </c>
      <c r="H638" s="32" t="s">
        <v>351</v>
      </c>
      <c r="I638" s="67">
        <v>3</v>
      </c>
      <c r="J638" s="68">
        <v>24.5</v>
      </c>
      <c r="K638" s="68">
        <v>73.5</v>
      </c>
      <c r="L638">
        <f t="shared" si="9"/>
        <v>35</v>
      </c>
    </row>
    <row r="639" spans="4:12">
      <c r="D639" s="66">
        <v>46134</v>
      </c>
      <c r="E639" s="32">
        <v>1596996</v>
      </c>
      <c r="F639" s="32" t="s">
        <v>27</v>
      </c>
      <c r="G639" s="67">
        <v>20013613</v>
      </c>
      <c r="H639" s="32" t="s">
        <v>352</v>
      </c>
      <c r="I639" s="67">
        <v>1</v>
      </c>
      <c r="J639" s="68">
        <v>15.4</v>
      </c>
      <c r="K639" s="68">
        <v>15.4</v>
      </c>
      <c r="L639">
        <f t="shared" si="9"/>
        <v>22</v>
      </c>
    </row>
    <row r="640" spans="4:12">
      <c r="D640" s="66">
        <v>46134</v>
      </c>
      <c r="E640" s="32">
        <v>1596996</v>
      </c>
      <c r="F640" s="32" t="s">
        <v>27</v>
      </c>
      <c r="G640" s="67">
        <v>20006864</v>
      </c>
      <c r="H640" s="32" t="s">
        <v>238</v>
      </c>
      <c r="I640" s="67">
        <v>1</v>
      </c>
      <c r="J640" s="68">
        <v>19.6</v>
      </c>
      <c r="K640" s="68">
        <v>19.6</v>
      </c>
      <c r="L640">
        <f t="shared" si="9"/>
        <v>28</v>
      </c>
    </row>
    <row r="641" spans="4:12">
      <c r="D641" s="66">
        <v>46134</v>
      </c>
      <c r="E641" s="32">
        <v>1596996</v>
      </c>
      <c r="F641" s="32" t="s">
        <v>27</v>
      </c>
      <c r="G641" s="67">
        <v>20008387</v>
      </c>
      <c r="H641" s="32" t="s">
        <v>260</v>
      </c>
      <c r="I641" s="67">
        <v>1</v>
      </c>
      <c r="J641" s="68">
        <v>17.5</v>
      </c>
      <c r="K641" s="68">
        <v>17.5</v>
      </c>
      <c r="L641">
        <f t="shared" si="9"/>
        <v>25</v>
      </c>
    </row>
    <row r="642" spans="4:12">
      <c r="D642" s="66">
        <v>46134</v>
      </c>
      <c r="E642" s="32">
        <v>1596996</v>
      </c>
      <c r="F642" s="32" t="s">
        <v>27</v>
      </c>
      <c r="G642" s="67">
        <v>20009272</v>
      </c>
      <c r="H642" s="32" t="s">
        <v>261</v>
      </c>
      <c r="I642" s="67">
        <v>1</v>
      </c>
      <c r="J642" s="68">
        <v>19.6</v>
      </c>
      <c r="K642" s="68">
        <v>19.6</v>
      </c>
      <c r="L642">
        <f t="shared" si="9"/>
        <v>28</v>
      </c>
    </row>
    <row r="643" spans="4:12">
      <c r="D643" s="66">
        <v>46134</v>
      </c>
      <c r="E643" s="32">
        <v>1596996</v>
      </c>
      <c r="F643" s="32" t="s">
        <v>27</v>
      </c>
      <c r="G643" s="67">
        <v>20007638</v>
      </c>
      <c r="H643" s="32" t="s">
        <v>190</v>
      </c>
      <c r="I643" s="67">
        <v>1</v>
      </c>
      <c r="J643" s="68">
        <v>19.6</v>
      </c>
      <c r="K643" s="68">
        <v>19.6</v>
      </c>
      <c r="L643">
        <f t="shared" si="9"/>
        <v>28</v>
      </c>
    </row>
    <row r="644" spans="4:12">
      <c r="D644" s="66">
        <v>46134</v>
      </c>
      <c r="E644" s="32">
        <v>1596996</v>
      </c>
      <c r="F644" s="32" t="s">
        <v>27</v>
      </c>
      <c r="G644" s="67">
        <v>20008639</v>
      </c>
      <c r="H644" s="32" t="s">
        <v>191</v>
      </c>
      <c r="I644" s="67">
        <v>1</v>
      </c>
      <c r="J644" s="68">
        <v>17.5</v>
      </c>
      <c r="K644" s="68">
        <v>17.5</v>
      </c>
      <c r="L644">
        <f t="shared" si="9"/>
        <v>25</v>
      </c>
    </row>
    <row r="645" spans="4:12">
      <c r="D645" s="66">
        <v>46134</v>
      </c>
      <c r="E645" s="32">
        <v>1596996</v>
      </c>
      <c r="F645" s="32" t="s">
        <v>27</v>
      </c>
      <c r="G645" s="67">
        <v>20321486</v>
      </c>
      <c r="H645" s="32" t="s">
        <v>245</v>
      </c>
      <c r="I645" s="67">
        <v>1</v>
      </c>
      <c r="J645" s="68">
        <v>15.4</v>
      </c>
      <c r="K645" s="68">
        <v>15.4</v>
      </c>
      <c r="L645">
        <f t="shared" si="9"/>
        <v>22</v>
      </c>
    </row>
    <row r="646" spans="4:12">
      <c r="D646" s="66">
        <v>46134</v>
      </c>
      <c r="E646" s="32">
        <v>1596996</v>
      </c>
      <c r="F646" s="32" t="s">
        <v>27</v>
      </c>
      <c r="G646" s="67">
        <v>20007573</v>
      </c>
      <c r="H646" s="32" t="s">
        <v>298</v>
      </c>
      <c r="I646" s="67">
        <v>1</v>
      </c>
      <c r="J646" s="68">
        <v>19.6</v>
      </c>
      <c r="K646" s="68">
        <v>19.6</v>
      </c>
      <c r="L646">
        <f t="shared" si="9"/>
        <v>28</v>
      </c>
    </row>
    <row r="647" spans="4:12">
      <c r="D647" s="66">
        <v>46134</v>
      </c>
      <c r="E647" s="32">
        <v>1596996</v>
      </c>
      <c r="F647" s="32" t="s">
        <v>69</v>
      </c>
      <c r="G647" s="67">
        <v>20395507</v>
      </c>
      <c r="H647" s="32" t="s">
        <v>192</v>
      </c>
      <c r="I647" s="67">
        <v>1</v>
      </c>
      <c r="J647" s="68">
        <v>19.6</v>
      </c>
      <c r="K647" s="68">
        <v>19.6</v>
      </c>
      <c r="L647">
        <f t="shared" si="9"/>
        <v>28</v>
      </c>
    </row>
    <row r="648" spans="4:12">
      <c r="D648" s="66">
        <v>46134</v>
      </c>
      <c r="E648" s="32">
        <v>1596996</v>
      </c>
      <c r="F648" s="32" t="s">
        <v>69</v>
      </c>
      <c r="G648" s="67">
        <v>20011031</v>
      </c>
      <c r="H648" s="32" t="s">
        <v>271</v>
      </c>
      <c r="I648" s="67">
        <v>1</v>
      </c>
      <c r="J648" s="68">
        <v>19.6</v>
      </c>
      <c r="K648" s="68">
        <v>19.6</v>
      </c>
      <c r="L648">
        <f t="shared" si="9"/>
        <v>28</v>
      </c>
    </row>
    <row r="649" spans="4:12">
      <c r="D649" s="66">
        <v>46134</v>
      </c>
      <c r="E649" s="32">
        <v>1597008</v>
      </c>
      <c r="F649" s="32" t="s">
        <v>16</v>
      </c>
      <c r="G649" s="67">
        <v>20008764</v>
      </c>
      <c r="H649" s="32" t="s">
        <v>353</v>
      </c>
      <c r="I649" s="67">
        <v>1</v>
      </c>
      <c r="J649" s="68">
        <v>210</v>
      </c>
      <c r="K649" s="68">
        <v>210</v>
      </c>
      <c r="L649">
        <f t="shared" si="9"/>
        <v>300</v>
      </c>
    </row>
    <row r="650" spans="4:12">
      <c r="D650" s="66">
        <v>46135</v>
      </c>
      <c r="E650" s="32">
        <v>1597359</v>
      </c>
      <c r="F650" s="32" t="s">
        <v>36</v>
      </c>
      <c r="G650" s="67">
        <v>20012360</v>
      </c>
      <c r="H650" s="32" t="s">
        <v>346</v>
      </c>
      <c r="I650" s="67">
        <v>1</v>
      </c>
      <c r="J650" s="68">
        <v>107.8</v>
      </c>
      <c r="K650" s="68">
        <v>107.8</v>
      </c>
      <c r="L650">
        <f t="shared" ref="L650:L713" si="10">J650/0.7</f>
        <v>154</v>
      </c>
    </row>
    <row r="651" spans="4:12">
      <c r="D651" s="66">
        <v>46135</v>
      </c>
      <c r="E651" s="32">
        <v>1597359</v>
      </c>
      <c r="F651" s="32" t="s">
        <v>36</v>
      </c>
      <c r="G651" s="67">
        <v>20006867</v>
      </c>
      <c r="H651" s="32" t="s">
        <v>215</v>
      </c>
      <c r="I651" s="67">
        <v>2</v>
      </c>
      <c r="J651" s="68">
        <v>246.4</v>
      </c>
      <c r="K651" s="68">
        <v>492.8</v>
      </c>
      <c r="L651">
        <f t="shared" si="10"/>
        <v>352</v>
      </c>
    </row>
    <row r="652" spans="4:12">
      <c r="D652" s="66">
        <v>46135</v>
      </c>
      <c r="E652" s="32">
        <v>1597359</v>
      </c>
      <c r="F652" s="32" t="s">
        <v>36</v>
      </c>
      <c r="G652" s="67">
        <v>20008128</v>
      </c>
      <c r="H652" s="32" t="s">
        <v>174</v>
      </c>
      <c r="I652" s="67">
        <v>3</v>
      </c>
      <c r="J652" s="68">
        <v>130.9</v>
      </c>
      <c r="K652" s="68">
        <v>392.7</v>
      </c>
      <c r="L652">
        <f t="shared" si="10"/>
        <v>187</v>
      </c>
    </row>
    <row r="653" spans="4:12">
      <c r="D653" s="66">
        <v>46135</v>
      </c>
      <c r="E653" s="32">
        <v>1597359</v>
      </c>
      <c r="F653" s="32" t="s">
        <v>36</v>
      </c>
      <c r="G653" s="67">
        <v>20311037</v>
      </c>
      <c r="H653" s="32" t="s">
        <v>194</v>
      </c>
      <c r="I653" s="67">
        <v>2</v>
      </c>
      <c r="J653" s="68">
        <v>53.55</v>
      </c>
      <c r="K653" s="68">
        <v>107.1</v>
      </c>
      <c r="L653">
        <f t="shared" si="10"/>
        <v>76.5</v>
      </c>
    </row>
    <row r="654" spans="4:12">
      <c r="D654" s="66">
        <v>46135</v>
      </c>
      <c r="E654" s="32">
        <v>1597359</v>
      </c>
      <c r="F654" s="32" t="s">
        <v>13</v>
      </c>
      <c r="G654" s="67">
        <v>20007623</v>
      </c>
      <c r="H654" s="32" t="s">
        <v>176</v>
      </c>
      <c r="I654" s="67">
        <v>1</v>
      </c>
      <c r="J654" s="68">
        <v>5.6</v>
      </c>
      <c r="K654" s="68">
        <v>5.6</v>
      </c>
      <c r="L654">
        <f t="shared" si="10"/>
        <v>8</v>
      </c>
    </row>
    <row r="655" spans="4:12">
      <c r="D655" s="66">
        <v>46135</v>
      </c>
      <c r="E655" s="32">
        <v>1597359</v>
      </c>
      <c r="F655" s="32" t="s">
        <v>13</v>
      </c>
      <c r="G655" s="67">
        <v>20012489</v>
      </c>
      <c r="H655" s="32" t="s">
        <v>75</v>
      </c>
      <c r="I655" s="67">
        <v>1</v>
      </c>
      <c r="J655" s="68">
        <v>5.6</v>
      </c>
      <c r="K655" s="68">
        <v>5.6</v>
      </c>
      <c r="L655">
        <f t="shared" si="10"/>
        <v>8</v>
      </c>
    </row>
    <row r="656" spans="4:12">
      <c r="D656" s="66">
        <v>46135</v>
      </c>
      <c r="E656" s="32">
        <v>1597359</v>
      </c>
      <c r="F656" s="32" t="s">
        <v>13</v>
      </c>
      <c r="G656" s="67">
        <v>20413736</v>
      </c>
      <c r="H656" s="32" t="s">
        <v>285</v>
      </c>
      <c r="I656" s="67">
        <v>1</v>
      </c>
      <c r="J656" s="68">
        <v>5.6</v>
      </c>
      <c r="K656" s="68">
        <v>5.6</v>
      </c>
      <c r="L656">
        <f t="shared" si="10"/>
        <v>8</v>
      </c>
    </row>
    <row r="657" spans="4:12">
      <c r="D657" s="66">
        <v>46135</v>
      </c>
      <c r="E657" s="32">
        <v>1597359</v>
      </c>
      <c r="F657" s="32" t="s">
        <v>13</v>
      </c>
      <c r="G657" s="67">
        <v>20376042</v>
      </c>
      <c r="H657" s="32" t="s">
        <v>196</v>
      </c>
      <c r="I657" s="67">
        <v>2</v>
      </c>
      <c r="J657" s="68">
        <v>5.6</v>
      </c>
      <c r="K657" s="68">
        <v>11.2</v>
      </c>
      <c r="L657">
        <f t="shared" si="10"/>
        <v>8</v>
      </c>
    </row>
    <row r="658" spans="4:12">
      <c r="D658" s="66">
        <v>46135</v>
      </c>
      <c r="E658" s="32">
        <v>1597359</v>
      </c>
      <c r="F658" s="32" t="s">
        <v>13</v>
      </c>
      <c r="G658" s="67">
        <v>20405158</v>
      </c>
      <c r="H658" s="32" t="s">
        <v>197</v>
      </c>
      <c r="I658" s="67">
        <v>1</v>
      </c>
      <c r="J658" s="68">
        <v>7.7</v>
      </c>
      <c r="K658" s="68">
        <v>7.7</v>
      </c>
      <c r="L658">
        <f t="shared" si="10"/>
        <v>11</v>
      </c>
    </row>
    <row r="659" spans="4:12">
      <c r="D659" s="66">
        <v>46135</v>
      </c>
      <c r="E659" s="32">
        <v>1597359</v>
      </c>
      <c r="F659" s="32" t="s">
        <v>13</v>
      </c>
      <c r="G659" s="67">
        <v>20315578</v>
      </c>
      <c r="H659" s="32" t="s">
        <v>293</v>
      </c>
      <c r="I659" s="67">
        <v>1</v>
      </c>
      <c r="J659" s="68">
        <v>23.1</v>
      </c>
      <c r="K659" s="68">
        <v>23.1</v>
      </c>
      <c r="L659">
        <f t="shared" si="10"/>
        <v>33</v>
      </c>
    </row>
    <row r="660" spans="4:12">
      <c r="D660" s="66">
        <v>46135</v>
      </c>
      <c r="E660" s="32">
        <v>1597359</v>
      </c>
      <c r="F660" s="32" t="s">
        <v>13</v>
      </c>
      <c r="G660" s="67">
        <v>20417765</v>
      </c>
      <c r="H660" s="32" t="s">
        <v>354</v>
      </c>
      <c r="I660" s="67">
        <v>1</v>
      </c>
      <c r="J660" s="68">
        <v>5.6</v>
      </c>
      <c r="K660" s="68">
        <v>5.6</v>
      </c>
      <c r="L660">
        <f t="shared" si="10"/>
        <v>8</v>
      </c>
    </row>
    <row r="661" spans="4:12">
      <c r="D661" s="66">
        <v>46135</v>
      </c>
      <c r="E661" s="32">
        <v>1597359</v>
      </c>
      <c r="F661" s="32" t="s">
        <v>13</v>
      </c>
      <c r="G661" s="67">
        <v>20008491</v>
      </c>
      <c r="H661" s="32" t="s">
        <v>104</v>
      </c>
      <c r="I661" s="67">
        <v>4</v>
      </c>
      <c r="J661" s="68">
        <v>11.55</v>
      </c>
      <c r="K661" s="68">
        <v>46.2</v>
      </c>
      <c r="L661">
        <f t="shared" si="10"/>
        <v>16.5</v>
      </c>
    </row>
    <row r="662" spans="4:12">
      <c r="D662" s="66">
        <v>46135</v>
      </c>
      <c r="E662" s="32">
        <v>1597359</v>
      </c>
      <c r="F662" s="32" t="s">
        <v>13</v>
      </c>
      <c r="G662" s="67">
        <v>20011138</v>
      </c>
      <c r="H662" s="32" t="s">
        <v>199</v>
      </c>
      <c r="I662" s="67">
        <v>2</v>
      </c>
      <c r="J662" s="68">
        <v>11.55</v>
      </c>
      <c r="K662" s="68">
        <v>23.1</v>
      </c>
      <c r="L662">
        <f t="shared" si="10"/>
        <v>16.5</v>
      </c>
    </row>
    <row r="663" spans="4:12">
      <c r="D663" s="66">
        <v>46135</v>
      </c>
      <c r="E663" s="32">
        <v>1597359</v>
      </c>
      <c r="F663" s="32" t="s">
        <v>13</v>
      </c>
      <c r="G663" s="67">
        <v>20008280</v>
      </c>
      <c r="H663" s="32" t="s">
        <v>212</v>
      </c>
      <c r="I663" s="67">
        <v>1</v>
      </c>
      <c r="J663" s="68">
        <v>11.55</v>
      </c>
      <c r="K663" s="68">
        <v>11.55</v>
      </c>
      <c r="L663">
        <f t="shared" si="10"/>
        <v>16.5</v>
      </c>
    </row>
    <row r="664" spans="4:12">
      <c r="D664" s="66">
        <v>46135</v>
      </c>
      <c r="E664" s="32">
        <v>1597359</v>
      </c>
      <c r="F664" s="32" t="s">
        <v>180</v>
      </c>
      <c r="G664" s="67">
        <v>20362791</v>
      </c>
      <c r="H664" s="32" t="s">
        <v>181</v>
      </c>
      <c r="I664" s="67">
        <v>1</v>
      </c>
      <c r="J664" s="68">
        <v>24.5</v>
      </c>
      <c r="K664" s="68">
        <v>24.5</v>
      </c>
      <c r="L664">
        <f t="shared" si="10"/>
        <v>35</v>
      </c>
    </row>
    <row r="665" spans="4:12">
      <c r="D665" s="66">
        <v>46135</v>
      </c>
      <c r="E665" s="32">
        <v>1597359</v>
      </c>
      <c r="F665" s="32" t="s">
        <v>25</v>
      </c>
      <c r="G665" s="67">
        <v>20008214</v>
      </c>
      <c r="H665" s="32" t="s">
        <v>99</v>
      </c>
      <c r="I665" s="67">
        <v>7</v>
      </c>
      <c r="J665" s="68">
        <v>11.55</v>
      </c>
      <c r="K665" s="68">
        <v>80.85</v>
      </c>
      <c r="L665">
        <f t="shared" si="10"/>
        <v>16.5</v>
      </c>
    </row>
    <row r="666" spans="4:12">
      <c r="D666" s="66">
        <v>46135</v>
      </c>
      <c r="E666" s="32">
        <v>1597359</v>
      </c>
      <c r="F666" s="32" t="s">
        <v>25</v>
      </c>
      <c r="G666" s="67">
        <v>20008345</v>
      </c>
      <c r="H666" s="32" t="s">
        <v>131</v>
      </c>
      <c r="I666" s="67">
        <v>3</v>
      </c>
      <c r="J666" s="68">
        <v>19.25</v>
      </c>
      <c r="K666" s="68">
        <v>57.75</v>
      </c>
      <c r="L666">
        <f t="shared" si="10"/>
        <v>27.5</v>
      </c>
    </row>
    <row r="667" spans="4:12">
      <c r="D667" s="66">
        <v>46135</v>
      </c>
      <c r="E667" s="32">
        <v>1597376</v>
      </c>
      <c r="F667" s="32" t="s">
        <v>27</v>
      </c>
      <c r="G667" s="67">
        <v>20348232</v>
      </c>
      <c r="H667" s="32" t="s">
        <v>264</v>
      </c>
      <c r="I667" s="67">
        <v>1</v>
      </c>
      <c r="J667" s="68">
        <v>46.2</v>
      </c>
      <c r="K667" s="68">
        <v>46.2</v>
      </c>
      <c r="L667">
        <f t="shared" si="10"/>
        <v>66</v>
      </c>
    </row>
    <row r="668" spans="4:12">
      <c r="D668" s="66">
        <v>46135</v>
      </c>
      <c r="E668" s="32">
        <v>1597376</v>
      </c>
      <c r="F668" s="32" t="s">
        <v>27</v>
      </c>
      <c r="G668" s="67">
        <v>20349200</v>
      </c>
      <c r="H668" s="32" t="s">
        <v>344</v>
      </c>
      <c r="I668" s="67">
        <v>1</v>
      </c>
      <c r="J668" s="68">
        <v>61.6</v>
      </c>
      <c r="K668" s="68">
        <v>61.6</v>
      </c>
      <c r="L668">
        <f t="shared" si="10"/>
        <v>88</v>
      </c>
    </row>
    <row r="669" spans="4:12">
      <c r="D669" s="66">
        <v>46135</v>
      </c>
      <c r="E669" s="32">
        <v>1597376</v>
      </c>
      <c r="F669" s="32" t="s">
        <v>27</v>
      </c>
      <c r="G669" s="67">
        <v>20007633</v>
      </c>
      <c r="H669" s="32" t="s">
        <v>68</v>
      </c>
      <c r="I669" s="67">
        <v>1</v>
      </c>
      <c r="J669" s="68">
        <v>24.5</v>
      </c>
      <c r="K669" s="68">
        <v>24.5</v>
      </c>
      <c r="L669">
        <f t="shared" si="10"/>
        <v>35</v>
      </c>
    </row>
    <row r="670" spans="4:12">
      <c r="D670" s="66">
        <v>46135</v>
      </c>
      <c r="E670" s="32">
        <v>1597376</v>
      </c>
      <c r="F670" s="32" t="s">
        <v>27</v>
      </c>
      <c r="G670" s="67">
        <v>20388302</v>
      </c>
      <c r="H670" s="32" t="s">
        <v>202</v>
      </c>
      <c r="I670" s="67">
        <v>3</v>
      </c>
      <c r="J670" s="68">
        <v>24.5</v>
      </c>
      <c r="K670" s="68">
        <v>73.5</v>
      </c>
      <c r="L670">
        <f t="shared" si="10"/>
        <v>35</v>
      </c>
    </row>
    <row r="671" spans="4:12">
      <c r="D671" s="66">
        <v>46135</v>
      </c>
      <c r="E671" s="32">
        <v>1597376</v>
      </c>
      <c r="F671" s="32" t="s">
        <v>27</v>
      </c>
      <c r="G671" s="67">
        <v>20012362</v>
      </c>
      <c r="H671" s="32" t="s">
        <v>237</v>
      </c>
      <c r="I671" s="67">
        <v>1</v>
      </c>
      <c r="J671" s="68">
        <v>30.8</v>
      </c>
      <c r="K671" s="68">
        <v>30.8</v>
      </c>
      <c r="L671">
        <f t="shared" si="10"/>
        <v>44</v>
      </c>
    </row>
    <row r="672" spans="4:12">
      <c r="D672" s="66">
        <v>46135</v>
      </c>
      <c r="E672" s="32">
        <v>1597376</v>
      </c>
      <c r="F672" s="32" t="s">
        <v>27</v>
      </c>
      <c r="G672" s="67">
        <v>20008389</v>
      </c>
      <c r="H672" s="32" t="s">
        <v>203</v>
      </c>
      <c r="I672" s="67">
        <v>1</v>
      </c>
      <c r="J672" s="68">
        <v>17.5</v>
      </c>
      <c r="K672" s="68">
        <v>17.5</v>
      </c>
      <c r="L672">
        <f t="shared" si="10"/>
        <v>25</v>
      </c>
    </row>
    <row r="673" spans="4:12">
      <c r="D673" s="66">
        <v>46135</v>
      </c>
      <c r="E673" s="32">
        <v>1597376</v>
      </c>
      <c r="F673" s="32" t="s">
        <v>27</v>
      </c>
      <c r="G673" s="67">
        <v>20006863</v>
      </c>
      <c r="H673" s="32" t="s">
        <v>204</v>
      </c>
      <c r="I673" s="67">
        <v>1</v>
      </c>
      <c r="J673" s="68">
        <v>24.5</v>
      </c>
      <c r="K673" s="68">
        <v>24.5</v>
      </c>
      <c r="L673">
        <f t="shared" si="10"/>
        <v>35</v>
      </c>
    </row>
    <row r="674" spans="4:12">
      <c r="D674" s="66">
        <v>46135</v>
      </c>
      <c r="E674" s="32">
        <v>1597376</v>
      </c>
      <c r="F674" s="32" t="s">
        <v>27</v>
      </c>
      <c r="G674" s="67">
        <v>20335399</v>
      </c>
      <c r="H674" s="32" t="s">
        <v>262</v>
      </c>
      <c r="I674" s="67">
        <v>1</v>
      </c>
      <c r="J674" s="68">
        <v>61.6</v>
      </c>
      <c r="K674" s="68">
        <v>61.6</v>
      </c>
      <c r="L674">
        <f t="shared" si="10"/>
        <v>88</v>
      </c>
    </row>
    <row r="675" spans="4:12">
      <c r="D675" s="66">
        <v>46135</v>
      </c>
      <c r="E675" s="32">
        <v>1597376</v>
      </c>
      <c r="F675" s="32" t="s">
        <v>27</v>
      </c>
      <c r="G675" s="67">
        <v>20335398</v>
      </c>
      <c r="H675" s="32" t="s">
        <v>301</v>
      </c>
      <c r="I675" s="67">
        <v>1</v>
      </c>
      <c r="J675" s="68">
        <v>61.6</v>
      </c>
      <c r="K675" s="68">
        <v>61.6</v>
      </c>
      <c r="L675">
        <f t="shared" si="10"/>
        <v>88</v>
      </c>
    </row>
    <row r="676" spans="4:12">
      <c r="D676" s="66">
        <v>46135</v>
      </c>
      <c r="E676" s="32">
        <v>1597376</v>
      </c>
      <c r="F676" s="32" t="s">
        <v>69</v>
      </c>
      <c r="G676" s="67">
        <v>20008378</v>
      </c>
      <c r="H676" s="32" t="s">
        <v>246</v>
      </c>
      <c r="I676" s="67">
        <v>1</v>
      </c>
      <c r="J676" s="68">
        <v>19.6</v>
      </c>
      <c r="K676" s="68">
        <v>19.6</v>
      </c>
      <c r="L676">
        <f t="shared" si="10"/>
        <v>28</v>
      </c>
    </row>
    <row r="677" spans="4:12">
      <c r="D677" s="66">
        <v>46135</v>
      </c>
      <c r="E677" s="32">
        <v>1597376</v>
      </c>
      <c r="F677" s="32" t="s">
        <v>69</v>
      </c>
      <c r="G677" s="67">
        <v>20011031</v>
      </c>
      <c r="H677" s="32" t="s">
        <v>271</v>
      </c>
      <c r="I677" s="67">
        <v>1</v>
      </c>
      <c r="J677" s="68">
        <v>19.6</v>
      </c>
      <c r="K677" s="68">
        <v>19.6</v>
      </c>
      <c r="L677">
        <f t="shared" si="10"/>
        <v>28</v>
      </c>
    </row>
    <row r="678" spans="4:12">
      <c r="D678" s="66">
        <v>46135</v>
      </c>
      <c r="E678" s="32">
        <v>1597376</v>
      </c>
      <c r="F678" s="32" t="s">
        <v>69</v>
      </c>
      <c r="G678" s="67">
        <v>20008376</v>
      </c>
      <c r="H678" s="32" t="s">
        <v>263</v>
      </c>
      <c r="I678" s="67">
        <v>1</v>
      </c>
      <c r="J678" s="68">
        <v>19.6</v>
      </c>
      <c r="K678" s="68">
        <v>19.6</v>
      </c>
      <c r="L678">
        <f t="shared" si="10"/>
        <v>28</v>
      </c>
    </row>
    <row r="679" spans="4:12">
      <c r="D679" s="66">
        <v>46135</v>
      </c>
      <c r="E679" s="32">
        <v>1597376</v>
      </c>
      <c r="F679" s="32" t="s">
        <v>69</v>
      </c>
      <c r="G679" s="67">
        <v>20013036</v>
      </c>
      <c r="H679" s="32" t="s">
        <v>206</v>
      </c>
      <c r="I679" s="67">
        <v>1</v>
      </c>
      <c r="J679" s="68">
        <v>30.8</v>
      </c>
      <c r="K679" s="68">
        <v>30.8</v>
      </c>
      <c r="L679">
        <f t="shared" si="10"/>
        <v>44</v>
      </c>
    </row>
    <row r="680" spans="4:12">
      <c r="D680" s="66">
        <v>46135</v>
      </c>
      <c r="E680" s="32">
        <v>1597383</v>
      </c>
      <c r="F680" s="32" t="s">
        <v>16</v>
      </c>
      <c r="G680" s="67">
        <v>20008764</v>
      </c>
      <c r="H680" s="32" t="s">
        <v>353</v>
      </c>
      <c r="I680" s="67">
        <v>1</v>
      </c>
      <c r="J680" s="68">
        <v>210</v>
      </c>
      <c r="K680" s="68">
        <v>210</v>
      </c>
      <c r="L680">
        <f t="shared" si="10"/>
        <v>300</v>
      </c>
    </row>
    <row r="681" spans="4:12">
      <c r="D681" s="66">
        <v>46135</v>
      </c>
      <c r="E681" s="32">
        <v>1597471</v>
      </c>
      <c r="F681" s="32" t="s">
        <v>27</v>
      </c>
      <c r="G681" s="67">
        <v>20328214</v>
      </c>
      <c r="H681" s="32" t="s">
        <v>307</v>
      </c>
      <c r="I681" s="67">
        <v>1</v>
      </c>
      <c r="J681" s="68">
        <v>46.2</v>
      </c>
      <c r="K681" s="68">
        <v>46.2</v>
      </c>
      <c r="L681">
        <f t="shared" si="10"/>
        <v>66</v>
      </c>
    </row>
    <row r="682" spans="4:12">
      <c r="D682" s="66">
        <v>46135</v>
      </c>
      <c r="E682" s="32">
        <v>1597471</v>
      </c>
      <c r="F682" s="32" t="s">
        <v>27</v>
      </c>
      <c r="G682" s="67">
        <v>20421843</v>
      </c>
      <c r="H682" s="32" t="s">
        <v>318</v>
      </c>
      <c r="I682" s="67">
        <v>2</v>
      </c>
      <c r="J682" s="68">
        <v>21</v>
      </c>
      <c r="K682" s="68">
        <v>42</v>
      </c>
      <c r="L682">
        <f t="shared" si="10"/>
        <v>30</v>
      </c>
    </row>
    <row r="683" spans="4:12">
      <c r="D683" s="66">
        <v>46135</v>
      </c>
      <c r="E683" s="32">
        <v>1597471</v>
      </c>
      <c r="F683" s="32" t="s">
        <v>69</v>
      </c>
      <c r="G683" s="67">
        <v>20012907</v>
      </c>
      <c r="H683" s="32" t="s">
        <v>205</v>
      </c>
      <c r="I683" s="67">
        <v>1</v>
      </c>
      <c r="J683" s="68">
        <v>19.6</v>
      </c>
      <c r="K683" s="68">
        <v>19.6</v>
      </c>
      <c r="L683">
        <f t="shared" si="10"/>
        <v>28</v>
      </c>
    </row>
    <row r="684" spans="4:12">
      <c r="D684" s="66">
        <v>46135</v>
      </c>
      <c r="E684" s="32">
        <v>1597471</v>
      </c>
      <c r="F684" s="32" t="s">
        <v>69</v>
      </c>
      <c r="G684" s="67">
        <v>20421830</v>
      </c>
      <c r="H684" s="32" t="s">
        <v>319</v>
      </c>
      <c r="I684" s="67">
        <v>1</v>
      </c>
      <c r="J684" s="68">
        <v>25.2</v>
      </c>
      <c r="K684" s="68">
        <v>25.2</v>
      </c>
      <c r="L684">
        <f t="shared" si="10"/>
        <v>36</v>
      </c>
    </row>
    <row r="685" spans="4:12">
      <c r="D685" s="66">
        <v>46135</v>
      </c>
      <c r="E685" s="32">
        <v>1597471</v>
      </c>
      <c r="F685" s="32" t="s">
        <v>69</v>
      </c>
      <c r="G685" s="67">
        <v>20421831</v>
      </c>
      <c r="H685" s="32" t="s">
        <v>320</v>
      </c>
      <c r="I685" s="67">
        <v>1</v>
      </c>
      <c r="J685" s="68">
        <v>25.2</v>
      </c>
      <c r="K685" s="68">
        <v>25.2</v>
      </c>
      <c r="L685">
        <f t="shared" si="10"/>
        <v>36</v>
      </c>
    </row>
    <row r="686" spans="4:12">
      <c r="D686" s="66">
        <v>46135</v>
      </c>
      <c r="E686" s="32">
        <v>1597476</v>
      </c>
      <c r="F686" s="32" t="s">
        <v>36</v>
      </c>
      <c r="G686" s="67">
        <v>20007715</v>
      </c>
      <c r="H686" s="32" t="s">
        <v>193</v>
      </c>
      <c r="I686" s="67">
        <v>1</v>
      </c>
      <c r="J686" s="68">
        <v>180.95</v>
      </c>
      <c r="K686" s="68">
        <v>180.95</v>
      </c>
      <c r="L686">
        <f t="shared" si="10"/>
        <v>258.5</v>
      </c>
    </row>
    <row r="687" spans="4:12">
      <c r="D687" s="66">
        <v>46135</v>
      </c>
      <c r="E687" s="32">
        <v>1597476</v>
      </c>
      <c r="F687" s="32" t="s">
        <v>36</v>
      </c>
      <c r="G687" s="67">
        <v>20008128</v>
      </c>
      <c r="H687" s="32" t="s">
        <v>174</v>
      </c>
      <c r="I687" s="67">
        <v>3</v>
      </c>
      <c r="J687" s="68">
        <v>130.9</v>
      </c>
      <c r="K687" s="68">
        <v>392.7</v>
      </c>
      <c r="L687">
        <f t="shared" si="10"/>
        <v>187</v>
      </c>
    </row>
    <row r="688" spans="4:12">
      <c r="D688" s="66">
        <v>46135</v>
      </c>
      <c r="E688" s="32">
        <v>1597476</v>
      </c>
      <c r="F688" s="32" t="s">
        <v>36</v>
      </c>
      <c r="G688" s="67">
        <v>20314694</v>
      </c>
      <c r="H688" s="32" t="s">
        <v>209</v>
      </c>
      <c r="I688" s="67">
        <v>1</v>
      </c>
      <c r="J688" s="68">
        <v>140</v>
      </c>
      <c r="K688" s="68">
        <v>140</v>
      </c>
      <c r="L688">
        <f t="shared" si="10"/>
        <v>200</v>
      </c>
    </row>
    <row r="689" spans="4:12">
      <c r="D689" s="66">
        <v>46135</v>
      </c>
      <c r="E689" s="32">
        <v>1597476</v>
      </c>
      <c r="F689" s="32" t="s">
        <v>36</v>
      </c>
      <c r="G689" s="67">
        <v>20353489</v>
      </c>
      <c r="H689" s="32" t="s">
        <v>210</v>
      </c>
      <c r="I689" s="67">
        <v>1</v>
      </c>
      <c r="J689" s="68">
        <v>111.65</v>
      </c>
      <c r="K689" s="68">
        <v>111.65</v>
      </c>
      <c r="L689">
        <f t="shared" si="10"/>
        <v>159.5</v>
      </c>
    </row>
    <row r="690" spans="4:12">
      <c r="D690" s="66">
        <v>46135</v>
      </c>
      <c r="E690" s="32">
        <v>1597476</v>
      </c>
      <c r="F690" s="32" t="s">
        <v>36</v>
      </c>
      <c r="G690" s="67">
        <v>20421828</v>
      </c>
      <c r="H690" s="32" t="s">
        <v>309</v>
      </c>
      <c r="I690" s="67">
        <v>1</v>
      </c>
      <c r="J690" s="68">
        <v>50.05</v>
      </c>
      <c r="K690" s="68">
        <v>50.05</v>
      </c>
      <c r="L690">
        <f t="shared" si="10"/>
        <v>71.5</v>
      </c>
    </row>
    <row r="691" spans="4:12">
      <c r="D691" s="66">
        <v>46135</v>
      </c>
      <c r="E691" s="32">
        <v>1597476</v>
      </c>
      <c r="F691" s="32" t="s">
        <v>13</v>
      </c>
      <c r="G691" s="67">
        <v>20012489</v>
      </c>
      <c r="H691" s="32" t="s">
        <v>75</v>
      </c>
      <c r="I691" s="67">
        <v>1</v>
      </c>
      <c r="J691" s="68">
        <v>5.6</v>
      </c>
      <c r="K691" s="68">
        <v>5.6</v>
      </c>
      <c r="L691">
        <f t="shared" si="10"/>
        <v>8</v>
      </c>
    </row>
    <row r="692" spans="4:12">
      <c r="D692" s="66">
        <v>46135</v>
      </c>
      <c r="E692" s="32">
        <v>1597476</v>
      </c>
      <c r="F692" s="32" t="s">
        <v>13</v>
      </c>
      <c r="G692" s="67">
        <v>20012311</v>
      </c>
      <c r="H692" s="32" t="s">
        <v>211</v>
      </c>
      <c r="I692" s="67">
        <v>1</v>
      </c>
      <c r="J692" s="68">
        <v>7.7</v>
      </c>
      <c r="K692" s="68">
        <v>7.7</v>
      </c>
      <c r="L692">
        <f t="shared" si="10"/>
        <v>11</v>
      </c>
    </row>
    <row r="693" spans="4:12">
      <c r="D693" s="66">
        <v>46135</v>
      </c>
      <c r="E693" s="32">
        <v>1597476</v>
      </c>
      <c r="F693" s="32" t="s">
        <v>13</v>
      </c>
      <c r="G693" s="67">
        <v>20006845</v>
      </c>
      <c r="H693" s="32" t="s">
        <v>103</v>
      </c>
      <c r="I693" s="67">
        <v>2</v>
      </c>
      <c r="J693" s="68">
        <v>11.55</v>
      </c>
      <c r="K693" s="68">
        <v>23.1</v>
      </c>
      <c r="L693">
        <f t="shared" si="10"/>
        <v>16.5</v>
      </c>
    </row>
    <row r="694" spans="4:12">
      <c r="D694" s="66">
        <v>46135</v>
      </c>
      <c r="E694" s="32">
        <v>1597476</v>
      </c>
      <c r="F694" s="32" t="s">
        <v>13</v>
      </c>
      <c r="G694" s="67">
        <v>20405158</v>
      </c>
      <c r="H694" s="32" t="s">
        <v>197</v>
      </c>
      <c r="I694" s="67">
        <v>1</v>
      </c>
      <c r="J694" s="68">
        <v>7.7</v>
      </c>
      <c r="K694" s="68">
        <v>7.7</v>
      </c>
      <c r="L694">
        <f t="shared" si="10"/>
        <v>11</v>
      </c>
    </row>
    <row r="695" spans="4:12">
      <c r="D695" s="66">
        <v>46135</v>
      </c>
      <c r="E695" s="32">
        <v>1597476</v>
      </c>
      <c r="F695" s="32" t="s">
        <v>13</v>
      </c>
      <c r="G695" s="67">
        <v>20421829</v>
      </c>
      <c r="H695" s="32" t="s">
        <v>355</v>
      </c>
      <c r="I695" s="67">
        <v>2</v>
      </c>
      <c r="J695" s="68">
        <v>9.45</v>
      </c>
      <c r="K695" s="68">
        <v>18.9</v>
      </c>
      <c r="L695">
        <f t="shared" si="10"/>
        <v>13.5</v>
      </c>
    </row>
    <row r="696" spans="4:12">
      <c r="D696" s="66">
        <v>46135</v>
      </c>
      <c r="E696" s="32">
        <v>1597476</v>
      </c>
      <c r="F696" s="32" t="s">
        <v>13</v>
      </c>
      <c r="G696" s="67">
        <v>20420905</v>
      </c>
      <c r="H696" s="32" t="s">
        <v>286</v>
      </c>
      <c r="I696" s="67">
        <v>1</v>
      </c>
      <c r="J696" s="68">
        <v>5.6</v>
      </c>
      <c r="K696" s="68">
        <v>5.6</v>
      </c>
      <c r="L696">
        <f t="shared" si="10"/>
        <v>8</v>
      </c>
    </row>
    <row r="697" spans="4:12">
      <c r="D697" s="66">
        <v>46135</v>
      </c>
      <c r="E697" s="32">
        <v>1597476</v>
      </c>
      <c r="F697" s="32" t="s">
        <v>13</v>
      </c>
      <c r="G697" s="67">
        <v>20008491</v>
      </c>
      <c r="H697" s="32" t="s">
        <v>104</v>
      </c>
      <c r="I697" s="67">
        <v>3</v>
      </c>
      <c r="J697" s="68">
        <v>11.55</v>
      </c>
      <c r="K697" s="68">
        <v>34.65</v>
      </c>
      <c r="L697">
        <f t="shared" si="10"/>
        <v>16.5</v>
      </c>
    </row>
    <row r="698" spans="4:12">
      <c r="D698" s="66">
        <v>46135</v>
      </c>
      <c r="E698" s="32">
        <v>1597476</v>
      </c>
      <c r="F698" s="32" t="s">
        <v>13</v>
      </c>
      <c r="G698" s="67">
        <v>20008204</v>
      </c>
      <c r="H698" s="32" t="s">
        <v>116</v>
      </c>
      <c r="I698" s="67">
        <v>1</v>
      </c>
      <c r="J698" s="68">
        <v>9.45</v>
      </c>
      <c r="K698" s="68">
        <v>9.45</v>
      </c>
      <c r="L698">
        <f t="shared" si="10"/>
        <v>13.5</v>
      </c>
    </row>
    <row r="699" spans="4:12">
      <c r="D699" s="66">
        <v>46135</v>
      </c>
      <c r="E699" s="32">
        <v>1597476</v>
      </c>
      <c r="F699" s="32" t="s">
        <v>13</v>
      </c>
      <c r="G699" s="67">
        <v>20013461</v>
      </c>
      <c r="H699" s="32" t="s">
        <v>89</v>
      </c>
      <c r="I699" s="67">
        <v>1</v>
      </c>
      <c r="J699" s="68">
        <v>11.55</v>
      </c>
      <c r="K699" s="68">
        <v>11.55</v>
      </c>
      <c r="L699">
        <f t="shared" si="10"/>
        <v>16.5</v>
      </c>
    </row>
    <row r="700" spans="4:12">
      <c r="D700" s="66">
        <v>46135</v>
      </c>
      <c r="E700" s="32">
        <v>1597476</v>
      </c>
      <c r="F700" s="32" t="s">
        <v>13</v>
      </c>
      <c r="G700" s="67">
        <v>20008747</v>
      </c>
      <c r="H700" s="32" t="s">
        <v>228</v>
      </c>
      <c r="I700" s="67">
        <v>1</v>
      </c>
      <c r="J700" s="68">
        <v>5.6</v>
      </c>
      <c r="K700" s="68">
        <v>5.6</v>
      </c>
      <c r="L700">
        <f t="shared" si="10"/>
        <v>8</v>
      </c>
    </row>
    <row r="701" spans="4:12">
      <c r="D701" s="66">
        <v>46135</v>
      </c>
      <c r="E701" s="32">
        <v>1597476</v>
      </c>
      <c r="F701" s="32" t="s">
        <v>25</v>
      </c>
      <c r="G701" s="67">
        <v>20008214</v>
      </c>
      <c r="H701" s="32" t="s">
        <v>99</v>
      </c>
      <c r="I701" s="67">
        <v>3</v>
      </c>
      <c r="J701" s="68">
        <v>11.55</v>
      </c>
      <c r="K701" s="68">
        <v>34.65</v>
      </c>
      <c r="L701">
        <f t="shared" si="10"/>
        <v>16.5</v>
      </c>
    </row>
    <row r="702" spans="4:12">
      <c r="D702" s="66">
        <v>46135</v>
      </c>
      <c r="E702" s="32">
        <v>1597476</v>
      </c>
      <c r="F702" s="32" t="s">
        <v>25</v>
      </c>
      <c r="G702" s="67">
        <v>20334455</v>
      </c>
      <c r="H702" s="32" t="s">
        <v>255</v>
      </c>
      <c r="I702" s="67">
        <v>1</v>
      </c>
      <c r="J702" s="68">
        <v>11.55</v>
      </c>
      <c r="K702" s="68">
        <v>11.55</v>
      </c>
      <c r="L702">
        <f t="shared" si="10"/>
        <v>16.5</v>
      </c>
    </row>
    <row r="703" spans="4:12">
      <c r="D703" s="66">
        <v>46135</v>
      </c>
      <c r="E703" s="32">
        <v>1597476</v>
      </c>
      <c r="F703" s="32" t="s">
        <v>25</v>
      </c>
      <c r="G703" s="67">
        <v>20014802</v>
      </c>
      <c r="H703" s="32" t="s">
        <v>214</v>
      </c>
      <c r="I703" s="67">
        <v>1</v>
      </c>
      <c r="J703" s="68">
        <v>11.55</v>
      </c>
      <c r="K703" s="68">
        <v>11.55</v>
      </c>
      <c r="L703">
        <f t="shared" si="10"/>
        <v>16.5</v>
      </c>
    </row>
    <row r="704" spans="4:12">
      <c r="D704" s="66">
        <v>46135</v>
      </c>
      <c r="E704" s="32">
        <v>1597476</v>
      </c>
      <c r="F704" s="32" t="s">
        <v>25</v>
      </c>
      <c r="G704" s="67">
        <v>20300146</v>
      </c>
      <c r="H704" s="32" t="s">
        <v>345</v>
      </c>
      <c r="I704" s="67">
        <v>1</v>
      </c>
      <c r="J704" s="68">
        <v>11.55</v>
      </c>
      <c r="K704" s="68">
        <v>11.55</v>
      </c>
      <c r="L704">
        <f t="shared" si="10"/>
        <v>16.5</v>
      </c>
    </row>
    <row r="705" spans="4:12">
      <c r="D705" s="66">
        <v>46135</v>
      </c>
      <c r="E705" s="32">
        <v>1597476</v>
      </c>
      <c r="F705" s="32" t="s">
        <v>25</v>
      </c>
      <c r="G705" s="67">
        <v>20008345</v>
      </c>
      <c r="H705" s="32" t="s">
        <v>131</v>
      </c>
      <c r="I705" s="67">
        <v>2</v>
      </c>
      <c r="J705" s="68">
        <v>19.25</v>
      </c>
      <c r="K705" s="68">
        <v>38.5</v>
      </c>
      <c r="L705">
        <f t="shared" si="10"/>
        <v>27.5</v>
      </c>
    </row>
    <row r="706" spans="4:12">
      <c r="D706" s="66">
        <v>46136</v>
      </c>
      <c r="E706" s="32">
        <v>1597710</v>
      </c>
      <c r="F706" s="32" t="s">
        <v>36</v>
      </c>
      <c r="G706" s="67">
        <v>20011908</v>
      </c>
      <c r="H706" s="32" t="s">
        <v>171</v>
      </c>
      <c r="I706" s="67">
        <v>1</v>
      </c>
      <c r="J706" s="68">
        <v>284.9</v>
      </c>
      <c r="K706" s="68">
        <v>284.9</v>
      </c>
      <c r="L706">
        <f t="shared" si="10"/>
        <v>407</v>
      </c>
    </row>
    <row r="707" spans="4:12">
      <c r="D707" s="66">
        <v>46136</v>
      </c>
      <c r="E707" s="32">
        <v>1597710</v>
      </c>
      <c r="F707" s="32" t="s">
        <v>36</v>
      </c>
      <c r="G707" s="67">
        <v>20009714</v>
      </c>
      <c r="H707" s="32" t="s">
        <v>356</v>
      </c>
      <c r="I707" s="67">
        <v>1</v>
      </c>
      <c r="J707" s="68">
        <v>77</v>
      </c>
      <c r="K707" s="68">
        <v>77</v>
      </c>
      <c r="L707">
        <f t="shared" si="10"/>
        <v>110</v>
      </c>
    </row>
    <row r="708" spans="4:12">
      <c r="D708" s="66">
        <v>46136</v>
      </c>
      <c r="E708" s="32">
        <v>1597710</v>
      </c>
      <c r="F708" s="32" t="s">
        <v>36</v>
      </c>
      <c r="G708" s="67">
        <v>20006867</v>
      </c>
      <c r="H708" s="32" t="s">
        <v>215</v>
      </c>
      <c r="I708" s="67">
        <v>2</v>
      </c>
      <c r="J708" s="68">
        <v>246.4</v>
      </c>
      <c r="K708" s="68">
        <v>492.8</v>
      </c>
      <c r="L708">
        <f t="shared" si="10"/>
        <v>352</v>
      </c>
    </row>
    <row r="709" spans="4:12">
      <c r="D709" s="66">
        <v>46136</v>
      </c>
      <c r="E709" s="32">
        <v>1597710</v>
      </c>
      <c r="F709" s="32" t="s">
        <v>36</v>
      </c>
      <c r="G709" s="67">
        <v>20007715</v>
      </c>
      <c r="H709" s="32" t="s">
        <v>193</v>
      </c>
      <c r="I709" s="67">
        <v>2</v>
      </c>
      <c r="J709" s="68">
        <v>180.95</v>
      </c>
      <c r="K709" s="68">
        <v>361.9</v>
      </c>
      <c r="L709">
        <f t="shared" si="10"/>
        <v>258.5</v>
      </c>
    </row>
    <row r="710" spans="4:12">
      <c r="D710" s="66">
        <v>46136</v>
      </c>
      <c r="E710" s="32">
        <v>1597710</v>
      </c>
      <c r="F710" s="32" t="s">
        <v>36</v>
      </c>
      <c r="G710" s="67">
        <v>20012472</v>
      </c>
      <c r="H710" s="32" t="s">
        <v>284</v>
      </c>
      <c r="I710" s="67">
        <v>1</v>
      </c>
      <c r="J710" s="68">
        <v>119.35</v>
      </c>
      <c r="K710" s="68">
        <v>119.35</v>
      </c>
      <c r="L710">
        <f t="shared" si="10"/>
        <v>170.5</v>
      </c>
    </row>
    <row r="711" spans="4:12">
      <c r="D711" s="66">
        <v>46136</v>
      </c>
      <c r="E711" s="32">
        <v>1597710</v>
      </c>
      <c r="F711" s="32" t="s">
        <v>36</v>
      </c>
      <c r="G711" s="67">
        <v>20008128</v>
      </c>
      <c r="H711" s="32" t="s">
        <v>174</v>
      </c>
      <c r="I711" s="67">
        <v>2</v>
      </c>
      <c r="J711" s="68">
        <v>130.9</v>
      </c>
      <c r="K711" s="68">
        <v>261.8</v>
      </c>
      <c r="L711">
        <f t="shared" si="10"/>
        <v>187</v>
      </c>
    </row>
    <row r="712" spans="4:12">
      <c r="D712" s="66">
        <v>46136</v>
      </c>
      <c r="E712" s="32">
        <v>1597710</v>
      </c>
      <c r="F712" s="32" t="s">
        <v>36</v>
      </c>
      <c r="G712" s="67">
        <v>20009715</v>
      </c>
      <c r="H712" s="32" t="s">
        <v>357</v>
      </c>
      <c r="I712" s="67">
        <v>1</v>
      </c>
      <c r="J712" s="68">
        <v>69.3</v>
      </c>
      <c r="K712" s="68">
        <v>69.3</v>
      </c>
      <c r="L712">
        <f t="shared" si="10"/>
        <v>99</v>
      </c>
    </row>
    <row r="713" spans="4:12">
      <c r="D713" s="66">
        <v>46136</v>
      </c>
      <c r="E713" s="32">
        <v>1597710</v>
      </c>
      <c r="F713" s="32" t="s">
        <v>13</v>
      </c>
      <c r="G713" s="67">
        <v>20008180</v>
      </c>
      <c r="H713" s="32" t="s">
        <v>217</v>
      </c>
      <c r="I713" s="67">
        <v>1</v>
      </c>
      <c r="J713" s="68">
        <v>5.6</v>
      </c>
      <c r="K713" s="68">
        <v>5.6</v>
      </c>
      <c r="L713">
        <f t="shared" si="10"/>
        <v>8</v>
      </c>
    </row>
    <row r="714" spans="4:12">
      <c r="D714" s="66">
        <v>46136</v>
      </c>
      <c r="E714" s="32">
        <v>1597710</v>
      </c>
      <c r="F714" s="32" t="s">
        <v>13</v>
      </c>
      <c r="G714" s="67">
        <v>20012489</v>
      </c>
      <c r="H714" s="32" t="s">
        <v>75</v>
      </c>
      <c r="I714" s="67">
        <v>2</v>
      </c>
      <c r="J714" s="68">
        <v>5.6</v>
      </c>
      <c r="K714" s="68">
        <v>11.2</v>
      </c>
      <c r="L714">
        <f t="shared" ref="L714:L777" si="11">J714/0.7</f>
        <v>8</v>
      </c>
    </row>
    <row r="715" spans="4:12">
      <c r="D715" s="66">
        <v>46136</v>
      </c>
      <c r="E715" s="32">
        <v>1597710</v>
      </c>
      <c r="F715" s="32" t="s">
        <v>13</v>
      </c>
      <c r="G715" s="67">
        <v>20007714</v>
      </c>
      <c r="H715" s="32" t="s">
        <v>332</v>
      </c>
      <c r="I715" s="67">
        <v>1</v>
      </c>
      <c r="J715" s="68">
        <v>11.55</v>
      </c>
      <c r="K715" s="68">
        <v>11.55</v>
      </c>
      <c r="L715">
        <f t="shared" si="11"/>
        <v>16.5</v>
      </c>
    </row>
    <row r="716" spans="4:12">
      <c r="D716" s="66">
        <v>46136</v>
      </c>
      <c r="E716" s="32">
        <v>1597710</v>
      </c>
      <c r="F716" s="32" t="s">
        <v>13</v>
      </c>
      <c r="G716" s="67">
        <v>20008196</v>
      </c>
      <c r="H716" s="32" t="s">
        <v>250</v>
      </c>
      <c r="I716" s="67">
        <v>1</v>
      </c>
      <c r="J716" s="68">
        <v>7.7</v>
      </c>
      <c r="K716" s="68">
        <v>7.7</v>
      </c>
      <c r="L716">
        <f t="shared" si="11"/>
        <v>11</v>
      </c>
    </row>
    <row r="717" spans="4:12">
      <c r="D717" s="66">
        <v>46136</v>
      </c>
      <c r="E717" s="32">
        <v>1597710</v>
      </c>
      <c r="F717" s="32" t="s">
        <v>13</v>
      </c>
      <c r="G717" s="67">
        <v>20345685</v>
      </c>
      <c r="H717" s="32" t="s">
        <v>123</v>
      </c>
      <c r="I717" s="67">
        <v>1</v>
      </c>
      <c r="J717" s="68">
        <v>5.6</v>
      </c>
      <c r="K717" s="68">
        <v>5.6</v>
      </c>
      <c r="L717">
        <f t="shared" si="11"/>
        <v>8</v>
      </c>
    </row>
    <row r="718" spans="4:12">
      <c r="D718" s="66">
        <v>46136</v>
      </c>
      <c r="E718" s="32">
        <v>1597710</v>
      </c>
      <c r="F718" s="32" t="s">
        <v>13</v>
      </c>
      <c r="G718" s="67">
        <v>20323156</v>
      </c>
      <c r="H718" s="32" t="s">
        <v>47</v>
      </c>
      <c r="I718" s="67">
        <v>1</v>
      </c>
      <c r="J718" s="68">
        <v>11.2</v>
      </c>
      <c r="K718" s="68">
        <v>11.2</v>
      </c>
      <c r="L718">
        <f t="shared" si="11"/>
        <v>16</v>
      </c>
    </row>
    <row r="719" spans="4:12">
      <c r="D719" s="66">
        <v>46136</v>
      </c>
      <c r="E719" s="32">
        <v>1597710</v>
      </c>
      <c r="F719" s="32" t="s">
        <v>13</v>
      </c>
      <c r="G719" s="67">
        <v>20009534</v>
      </c>
      <c r="H719" s="32" t="s">
        <v>358</v>
      </c>
      <c r="I719" s="67">
        <v>1</v>
      </c>
      <c r="J719" s="68">
        <v>9.45</v>
      </c>
      <c r="K719" s="68">
        <v>9.45</v>
      </c>
      <c r="L719">
        <f t="shared" si="11"/>
        <v>13.5</v>
      </c>
    </row>
    <row r="720" spans="4:12">
      <c r="D720" s="66">
        <v>46136</v>
      </c>
      <c r="E720" s="32">
        <v>1597710</v>
      </c>
      <c r="F720" s="32" t="s">
        <v>13</v>
      </c>
      <c r="G720" s="67">
        <v>20008322</v>
      </c>
      <c r="H720" s="32" t="s">
        <v>14</v>
      </c>
      <c r="I720" s="67">
        <v>1</v>
      </c>
      <c r="J720" s="68">
        <v>5.6</v>
      </c>
      <c r="K720" s="68">
        <v>5.6</v>
      </c>
      <c r="L720">
        <f t="shared" si="11"/>
        <v>8</v>
      </c>
    </row>
    <row r="721" spans="4:12">
      <c r="D721" s="66">
        <v>46136</v>
      </c>
      <c r="E721" s="32">
        <v>1597710</v>
      </c>
      <c r="F721" s="32" t="s">
        <v>13</v>
      </c>
      <c r="G721" s="67">
        <v>20376042</v>
      </c>
      <c r="H721" s="32" t="s">
        <v>196</v>
      </c>
      <c r="I721" s="67">
        <v>1</v>
      </c>
      <c r="J721" s="68">
        <v>5.6</v>
      </c>
      <c r="K721" s="68">
        <v>5.6</v>
      </c>
      <c r="L721">
        <f t="shared" si="11"/>
        <v>8</v>
      </c>
    </row>
    <row r="722" spans="4:12">
      <c r="D722" s="66">
        <v>46136</v>
      </c>
      <c r="E722" s="32">
        <v>1597710</v>
      </c>
      <c r="F722" s="32" t="s">
        <v>13</v>
      </c>
      <c r="G722" s="67">
        <v>20015108</v>
      </c>
      <c r="H722" s="32" t="s">
        <v>359</v>
      </c>
      <c r="I722" s="67">
        <v>1</v>
      </c>
      <c r="J722" s="68">
        <v>5.6</v>
      </c>
      <c r="K722" s="68">
        <v>5.6</v>
      </c>
      <c r="L722">
        <f t="shared" si="11"/>
        <v>8</v>
      </c>
    </row>
    <row r="723" spans="4:12">
      <c r="D723" s="66">
        <v>46136</v>
      </c>
      <c r="E723" s="32">
        <v>1597710</v>
      </c>
      <c r="F723" s="32" t="s">
        <v>13</v>
      </c>
      <c r="G723" s="67">
        <v>20315578</v>
      </c>
      <c r="H723" s="32" t="s">
        <v>293</v>
      </c>
      <c r="I723" s="67">
        <v>1</v>
      </c>
      <c r="J723" s="68">
        <v>23.1</v>
      </c>
      <c r="K723" s="68">
        <v>23.1</v>
      </c>
      <c r="L723">
        <f t="shared" si="11"/>
        <v>33</v>
      </c>
    </row>
    <row r="724" spans="4:12">
      <c r="D724" s="66">
        <v>46136</v>
      </c>
      <c r="E724" s="32">
        <v>1597710</v>
      </c>
      <c r="F724" s="32" t="s">
        <v>13</v>
      </c>
      <c r="G724" s="67">
        <v>20008491</v>
      </c>
      <c r="H724" s="32" t="s">
        <v>104</v>
      </c>
      <c r="I724" s="67">
        <v>3</v>
      </c>
      <c r="J724" s="68">
        <v>11.55</v>
      </c>
      <c r="K724" s="68">
        <v>34.65</v>
      </c>
      <c r="L724">
        <f t="shared" si="11"/>
        <v>16.5</v>
      </c>
    </row>
    <row r="725" spans="4:12">
      <c r="D725" s="66">
        <v>46136</v>
      </c>
      <c r="E725" s="32">
        <v>1597710</v>
      </c>
      <c r="F725" s="32" t="s">
        <v>13</v>
      </c>
      <c r="G725" s="67">
        <v>20341418</v>
      </c>
      <c r="H725" s="32" t="s">
        <v>360</v>
      </c>
      <c r="I725" s="67">
        <v>1</v>
      </c>
      <c r="J725" s="68">
        <v>19.25</v>
      </c>
      <c r="K725" s="68">
        <v>19.25</v>
      </c>
      <c r="L725">
        <f t="shared" si="11"/>
        <v>27.5</v>
      </c>
    </row>
    <row r="726" spans="4:12">
      <c r="D726" s="66">
        <v>46136</v>
      </c>
      <c r="E726" s="32">
        <v>1597710</v>
      </c>
      <c r="F726" s="32" t="s">
        <v>13</v>
      </c>
      <c r="G726" s="67">
        <v>20011138</v>
      </c>
      <c r="H726" s="32" t="s">
        <v>199</v>
      </c>
      <c r="I726" s="67">
        <v>4</v>
      </c>
      <c r="J726" s="68">
        <v>11.55</v>
      </c>
      <c r="K726" s="68">
        <v>46.2</v>
      </c>
      <c r="L726">
        <f t="shared" si="11"/>
        <v>16.5</v>
      </c>
    </row>
    <row r="727" spans="4:12">
      <c r="D727" s="66">
        <v>46136</v>
      </c>
      <c r="E727" s="32">
        <v>1597710</v>
      </c>
      <c r="F727" s="32" t="s">
        <v>13</v>
      </c>
      <c r="G727" s="67">
        <v>20347033</v>
      </c>
      <c r="H727" s="32" t="s">
        <v>361</v>
      </c>
      <c r="I727" s="67">
        <v>2</v>
      </c>
      <c r="J727" s="68">
        <v>5.6</v>
      </c>
      <c r="K727" s="68">
        <v>11.2</v>
      </c>
      <c r="L727">
        <f t="shared" si="11"/>
        <v>8</v>
      </c>
    </row>
    <row r="728" spans="4:12">
      <c r="D728" s="66">
        <v>46136</v>
      </c>
      <c r="E728" s="32">
        <v>1597710</v>
      </c>
      <c r="F728" s="32" t="s">
        <v>180</v>
      </c>
      <c r="G728" s="67">
        <v>20008293</v>
      </c>
      <c r="H728" s="32" t="s">
        <v>313</v>
      </c>
      <c r="I728" s="67">
        <v>1</v>
      </c>
      <c r="J728" s="68">
        <v>24.5</v>
      </c>
      <c r="K728" s="68">
        <v>24.5</v>
      </c>
      <c r="L728">
        <f t="shared" si="11"/>
        <v>35</v>
      </c>
    </row>
    <row r="729" spans="4:12">
      <c r="D729" s="66">
        <v>46136</v>
      </c>
      <c r="E729" s="32">
        <v>1597710</v>
      </c>
      <c r="F729" s="32" t="s">
        <v>25</v>
      </c>
      <c r="G729" s="67">
        <v>20013068</v>
      </c>
      <c r="H729" s="32" t="s">
        <v>295</v>
      </c>
      <c r="I729" s="67">
        <v>1</v>
      </c>
      <c r="J729" s="68">
        <v>11.55</v>
      </c>
      <c r="K729" s="68">
        <v>11.55</v>
      </c>
      <c r="L729">
        <f t="shared" si="11"/>
        <v>16.5</v>
      </c>
    </row>
    <row r="730" spans="4:12">
      <c r="D730" s="66">
        <v>46136</v>
      </c>
      <c r="E730" s="32">
        <v>1597710</v>
      </c>
      <c r="F730" s="32" t="s">
        <v>25</v>
      </c>
      <c r="G730" s="67">
        <v>20330093</v>
      </c>
      <c r="H730" s="32" t="s">
        <v>362</v>
      </c>
      <c r="I730" s="67">
        <v>1</v>
      </c>
      <c r="J730" s="68">
        <v>11.55</v>
      </c>
      <c r="K730" s="68">
        <v>11.55</v>
      </c>
      <c r="L730">
        <f t="shared" si="11"/>
        <v>16.5</v>
      </c>
    </row>
    <row r="731" spans="4:12">
      <c r="D731" s="66">
        <v>46136</v>
      </c>
      <c r="E731" s="32">
        <v>1597710</v>
      </c>
      <c r="F731" s="32" t="s">
        <v>25</v>
      </c>
      <c r="G731" s="67">
        <v>20008214</v>
      </c>
      <c r="H731" s="32" t="s">
        <v>99</v>
      </c>
      <c r="I731" s="67">
        <v>8</v>
      </c>
      <c r="J731" s="68">
        <v>11.55</v>
      </c>
      <c r="K731" s="68">
        <v>92.4</v>
      </c>
      <c r="L731">
        <f t="shared" si="11"/>
        <v>16.5</v>
      </c>
    </row>
    <row r="732" spans="4:12">
      <c r="D732" s="66">
        <v>46136</v>
      </c>
      <c r="E732" s="32">
        <v>1597710</v>
      </c>
      <c r="F732" s="32" t="s">
        <v>25</v>
      </c>
      <c r="G732" s="67">
        <v>20015105</v>
      </c>
      <c r="H732" s="32" t="s">
        <v>363</v>
      </c>
      <c r="I732" s="67">
        <v>1</v>
      </c>
      <c r="J732" s="68">
        <v>11.55</v>
      </c>
      <c r="K732" s="68">
        <v>11.55</v>
      </c>
      <c r="L732">
        <f t="shared" si="11"/>
        <v>16.5</v>
      </c>
    </row>
    <row r="733" spans="4:12">
      <c r="D733" s="66">
        <v>46136</v>
      </c>
      <c r="E733" s="32">
        <v>1597710</v>
      </c>
      <c r="F733" s="32" t="s">
        <v>25</v>
      </c>
      <c r="G733" s="67">
        <v>20013952</v>
      </c>
      <c r="H733" s="32" t="s">
        <v>179</v>
      </c>
      <c r="I733" s="67">
        <v>1</v>
      </c>
      <c r="J733" s="68">
        <v>11.55</v>
      </c>
      <c r="K733" s="68">
        <v>11.55</v>
      </c>
      <c r="L733">
        <f t="shared" si="11"/>
        <v>16.5</v>
      </c>
    </row>
    <row r="734" spans="4:12">
      <c r="D734" s="66">
        <v>46136</v>
      </c>
      <c r="E734" s="32">
        <v>1597710</v>
      </c>
      <c r="F734" s="32" t="s">
        <v>25</v>
      </c>
      <c r="G734" s="67">
        <v>20008345</v>
      </c>
      <c r="H734" s="32" t="s">
        <v>131</v>
      </c>
      <c r="I734" s="67">
        <v>5</v>
      </c>
      <c r="J734" s="68">
        <v>19.25</v>
      </c>
      <c r="K734" s="68">
        <v>96.25</v>
      </c>
      <c r="L734">
        <f t="shared" si="11"/>
        <v>27.5</v>
      </c>
    </row>
    <row r="735" spans="4:12">
      <c r="D735" s="66">
        <v>46136</v>
      </c>
      <c r="E735" s="32">
        <v>1597760</v>
      </c>
      <c r="F735" s="32" t="s">
        <v>27</v>
      </c>
      <c r="G735" s="67">
        <v>20008202</v>
      </c>
      <c r="H735" s="32" t="s">
        <v>257</v>
      </c>
      <c r="I735" s="67">
        <v>1</v>
      </c>
      <c r="J735" s="68">
        <v>19.6</v>
      </c>
      <c r="K735" s="68">
        <v>19.6</v>
      </c>
      <c r="L735">
        <f t="shared" si="11"/>
        <v>28</v>
      </c>
    </row>
    <row r="736" spans="4:12">
      <c r="D736" s="66">
        <v>46136</v>
      </c>
      <c r="E736" s="32">
        <v>1597760</v>
      </c>
      <c r="F736" s="32" t="s">
        <v>27</v>
      </c>
      <c r="G736" s="67">
        <v>20007288</v>
      </c>
      <c r="H736" s="32" t="s">
        <v>300</v>
      </c>
      <c r="I736" s="67">
        <v>1</v>
      </c>
      <c r="J736" s="68">
        <v>24.5</v>
      </c>
      <c r="K736" s="68">
        <v>24.5</v>
      </c>
      <c r="L736">
        <f t="shared" si="11"/>
        <v>35</v>
      </c>
    </row>
    <row r="737" spans="4:12">
      <c r="D737" s="66">
        <v>46136</v>
      </c>
      <c r="E737" s="32">
        <v>1597760</v>
      </c>
      <c r="F737" s="32" t="s">
        <v>27</v>
      </c>
      <c r="G737" s="67">
        <v>20007567</v>
      </c>
      <c r="H737" s="32" t="s">
        <v>258</v>
      </c>
      <c r="I737" s="67">
        <v>2</v>
      </c>
      <c r="J737" s="68">
        <v>17.5</v>
      </c>
      <c r="K737" s="68">
        <v>35</v>
      </c>
      <c r="L737">
        <f t="shared" si="11"/>
        <v>25</v>
      </c>
    </row>
    <row r="738" spans="4:12">
      <c r="D738" s="66">
        <v>46136</v>
      </c>
      <c r="E738" s="32">
        <v>1597760</v>
      </c>
      <c r="F738" s="32" t="s">
        <v>27</v>
      </c>
      <c r="G738" s="67">
        <v>20313974</v>
      </c>
      <c r="H738" s="32" t="s">
        <v>185</v>
      </c>
      <c r="I738" s="67">
        <v>2</v>
      </c>
      <c r="J738" s="68">
        <v>30.8</v>
      </c>
      <c r="K738" s="68">
        <v>61.6</v>
      </c>
      <c r="L738">
        <f t="shared" si="11"/>
        <v>44</v>
      </c>
    </row>
    <row r="739" spans="4:12">
      <c r="D739" s="66">
        <v>46136</v>
      </c>
      <c r="E739" s="32">
        <v>1597760</v>
      </c>
      <c r="F739" s="32" t="s">
        <v>27</v>
      </c>
      <c r="G739" s="67">
        <v>20006853</v>
      </c>
      <c r="H739" s="32" t="s">
        <v>186</v>
      </c>
      <c r="I739" s="67">
        <v>1</v>
      </c>
      <c r="J739" s="68">
        <v>24.5</v>
      </c>
      <c r="K739" s="68">
        <v>24.5</v>
      </c>
      <c r="L739">
        <f t="shared" si="11"/>
        <v>35</v>
      </c>
    </row>
    <row r="740" spans="4:12">
      <c r="D740" s="66">
        <v>46136</v>
      </c>
      <c r="E740" s="32">
        <v>1597760</v>
      </c>
      <c r="F740" s="32" t="s">
        <v>27</v>
      </c>
      <c r="G740" s="67">
        <v>20337911</v>
      </c>
      <c r="H740" s="32" t="s">
        <v>364</v>
      </c>
      <c r="I740" s="67">
        <v>3</v>
      </c>
      <c r="J740" s="68">
        <v>24.5</v>
      </c>
      <c r="K740" s="68">
        <v>73.5</v>
      </c>
      <c r="L740">
        <f t="shared" si="11"/>
        <v>35</v>
      </c>
    </row>
    <row r="741" spans="4:12">
      <c r="D741" s="66">
        <v>46136</v>
      </c>
      <c r="E741" s="32">
        <v>1597760</v>
      </c>
      <c r="F741" s="32" t="s">
        <v>27</v>
      </c>
      <c r="G741" s="67">
        <v>20400917</v>
      </c>
      <c r="H741" s="32" t="s">
        <v>188</v>
      </c>
      <c r="I741" s="67">
        <v>1</v>
      </c>
      <c r="J741" s="68">
        <v>17.5</v>
      </c>
      <c r="K741" s="68">
        <v>17.5</v>
      </c>
      <c r="L741">
        <f t="shared" si="11"/>
        <v>25</v>
      </c>
    </row>
    <row r="742" spans="4:12">
      <c r="D742" s="66">
        <v>46136</v>
      </c>
      <c r="E742" s="32">
        <v>1597760</v>
      </c>
      <c r="F742" s="32" t="s">
        <v>27</v>
      </c>
      <c r="G742" s="67">
        <v>20012182</v>
      </c>
      <c r="H742" s="32" t="s">
        <v>248</v>
      </c>
      <c r="I742" s="67">
        <v>1</v>
      </c>
      <c r="J742" s="68">
        <v>19.6</v>
      </c>
      <c r="K742" s="68">
        <v>19.6</v>
      </c>
      <c r="L742">
        <f t="shared" si="11"/>
        <v>28</v>
      </c>
    </row>
    <row r="743" spans="4:12">
      <c r="D743" s="66">
        <v>46136</v>
      </c>
      <c r="E743" s="32">
        <v>1597760</v>
      </c>
      <c r="F743" s="32" t="s">
        <v>27</v>
      </c>
      <c r="G743" s="67">
        <v>20007639</v>
      </c>
      <c r="H743" s="32" t="s">
        <v>189</v>
      </c>
      <c r="I743" s="67">
        <v>1</v>
      </c>
      <c r="J743" s="68">
        <v>19.6</v>
      </c>
      <c r="K743" s="68">
        <v>19.6</v>
      </c>
      <c r="L743">
        <f t="shared" si="11"/>
        <v>28</v>
      </c>
    </row>
    <row r="744" spans="4:12">
      <c r="D744" s="66">
        <v>46136</v>
      </c>
      <c r="E744" s="32">
        <v>1597760</v>
      </c>
      <c r="F744" s="32" t="s">
        <v>27</v>
      </c>
      <c r="G744" s="67">
        <v>20009272</v>
      </c>
      <c r="H744" s="32" t="s">
        <v>261</v>
      </c>
      <c r="I744" s="67">
        <v>2</v>
      </c>
      <c r="J744" s="68">
        <v>19.6</v>
      </c>
      <c r="K744" s="68">
        <v>39.2</v>
      </c>
      <c r="L744">
        <f t="shared" si="11"/>
        <v>28</v>
      </c>
    </row>
    <row r="745" spans="4:12">
      <c r="D745" s="66">
        <v>46136</v>
      </c>
      <c r="E745" s="32">
        <v>1597760</v>
      </c>
      <c r="F745" s="32" t="s">
        <v>27</v>
      </c>
      <c r="G745" s="67">
        <v>20007638</v>
      </c>
      <c r="H745" s="32" t="s">
        <v>190</v>
      </c>
      <c r="I745" s="67">
        <v>3</v>
      </c>
      <c r="J745" s="68">
        <v>19.6</v>
      </c>
      <c r="K745" s="68">
        <v>58.8</v>
      </c>
      <c r="L745">
        <f t="shared" si="11"/>
        <v>28</v>
      </c>
    </row>
    <row r="746" spans="4:12">
      <c r="D746" s="66">
        <v>46136</v>
      </c>
      <c r="E746" s="32">
        <v>1597760</v>
      </c>
      <c r="F746" s="32" t="s">
        <v>27</v>
      </c>
      <c r="G746" s="67">
        <v>20008639</v>
      </c>
      <c r="H746" s="32" t="s">
        <v>191</v>
      </c>
      <c r="I746" s="67">
        <v>1</v>
      </c>
      <c r="J746" s="68">
        <v>17.5</v>
      </c>
      <c r="K746" s="68">
        <v>17.5</v>
      </c>
      <c r="L746">
        <f t="shared" si="11"/>
        <v>25</v>
      </c>
    </row>
    <row r="747" spans="4:12">
      <c r="D747" s="66">
        <v>46136</v>
      </c>
      <c r="E747" s="32">
        <v>1597760</v>
      </c>
      <c r="F747" s="32" t="s">
        <v>69</v>
      </c>
      <c r="G747" s="67">
        <v>20396267</v>
      </c>
      <c r="H747" s="32" t="s">
        <v>365</v>
      </c>
      <c r="I747" s="67">
        <v>1</v>
      </c>
      <c r="J747" s="68">
        <v>19.6</v>
      </c>
      <c r="K747" s="68">
        <v>19.6</v>
      </c>
      <c r="L747">
        <f t="shared" si="11"/>
        <v>28</v>
      </c>
    </row>
    <row r="748" spans="4:12">
      <c r="D748" s="66">
        <v>46136</v>
      </c>
      <c r="E748" s="32">
        <v>1597766</v>
      </c>
      <c r="F748" s="32" t="s">
        <v>13</v>
      </c>
      <c r="G748" s="67">
        <v>20015108</v>
      </c>
      <c r="H748" s="32" t="s">
        <v>359</v>
      </c>
      <c r="I748" s="67">
        <v>1</v>
      </c>
      <c r="J748" s="68">
        <v>5.6</v>
      </c>
      <c r="K748" s="68">
        <v>5.6</v>
      </c>
      <c r="L748">
        <f t="shared" si="11"/>
        <v>8</v>
      </c>
    </row>
    <row r="749" spans="4:12">
      <c r="D749" s="66">
        <v>46136</v>
      </c>
      <c r="E749" s="32">
        <v>1598022</v>
      </c>
      <c r="F749" s="32" t="s">
        <v>180</v>
      </c>
      <c r="G749" s="67">
        <v>20362791</v>
      </c>
      <c r="H749" s="32" t="s">
        <v>181</v>
      </c>
      <c r="I749" s="67">
        <v>1</v>
      </c>
      <c r="J749" s="68">
        <v>24.5</v>
      </c>
      <c r="K749" s="68">
        <v>24.5</v>
      </c>
      <c r="L749">
        <f t="shared" si="11"/>
        <v>35</v>
      </c>
    </row>
    <row r="750" spans="4:12">
      <c r="D750" s="66">
        <v>46136</v>
      </c>
      <c r="E750" s="32">
        <v>1598023</v>
      </c>
      <c r="F750" s="32" t="s">
        <v>13</v>
      </c>
      <c r="G750" s="67">
        <v>20340574</v>
      </c>
      <c r="H750" s="32" t="s">
        <v>366</v>
      </c>
      <c r="I750" s="67">
        <v>2</v>
      </c>
      <c r="J750" s="68">
        <v>5.6</v>
      </c>
      <c r="K750" s="68">
        <v>11.2</v>
      </c>
      <c r="L750">
        <f t="shared" si="11"/>
        <v>8</v>
      </c>
    </row>
    <row r="751" spans="4:12">
      <c r="D751" s="66">
        <v>46136</v>
      </c>
      <c r="E751" s="32">
        <v>1598023</v>
      </c>
      <c r="F751" s="32" t="s">
        <v>25</v>
      </c>
      <c r="G751" s="67">
        <v>20012460</v>
      </c>
      <c r="H751" s="32" t="s">
        <v>314</v>
      </c>
      <c r="I751" s="67">
        <v>1</v>
      </c>
      <c r="J751" s="68">
        <v>11.55</v>
      </c>
      <c r="K751" s="68">
        <v>11.55</v>
      </c>
      <c r="L751">
        <f t="shared" si="11"/>
        <v>16.5</v>
      </c>
    </row>
    <row r="752" spans="4:12">
      <c r="D752" s="66">
        <v>46136</v>
      </c>
      <c r="E752" s="32">
        <v>1598043</v>
      </c>
      <c r="F752" s="32" t="s">
        <v>36</v>
      </c>
      <c r="G752" s="67">
        <v>20012360</v>
      </c>
      <c r="H752" s="32" t="s">
        <v>346</v>
      </c>
      <c r="I752" s="67">
        <v>1</v>
      </c>
      <c r="J752" s="68">
        <v>107.8</v>
      </c>
      <c r="K752" s="68">
        <v>107.8</v>
      </c>
      <c r="L752">
        <f t="shared" si="11"/>
        <v>154</v>
      </c>
    </row>
    <row r="753" spans="4:12">
      <c r="D753" s="66">
        <v>46136</v>
      </c>
      <c r="E753" s="32">
        <v>1598043</v>
      </c>
      <c r="F753" s="32" t="s">
        <v>36</v>
      </c>
      <c r="G753" s="67">
        <v>20007715</v>
      </c>
      <c r="H753" s="32" t="s">
        <v>193</v>
      </c>
      <c r="I753" s="67">
        <v>1</v>
      </c>
      <c r="J753" s="68">
        <v>180.95</v>
      </c>
      <c r="K753" s="68">
        <v>180.95</v>
      </c>
      <c r="L753">
        <f t="shared" si="11"/>
        <v>258.5</v>
      </c>
    </row>
    <row r="754" spans="4:12">
      <c r="D754" s="66">
        <v>46136</v>
      </c>
      <c r="E754" s="32">
        <v>1598043</v>
      </c>
      <c r="F754" s="32" t="s">
        <v>36</v>
      </c>
      <c r="G754" s="67">
        <v>20311037</v>
      </c>
      <c r="H754" s="32" t="s">
        <v>194</v>
      </c>
      <c r="I754" s="67">
        <v>1</v>
      </c>
      <c r="J754" s="68">
        <v>53.55</v>
      </c>
      <c r="K754" s="68">
        <v>53.55</v>
      </c>
      <c r="L754">
        <f t="shared" si="11"/>
        <v>76.5</v>
      </c>
    </row>
    <row r="755" spans="4:12">
      <c r="D755" s="66">
        <v>46136</v>
      </c>
      <c r="E755" s="32">
        <v>1598043</v>
      </c>
      <c r="F755" s="32" t="s">
        <v>13</v>
      </c>
      <c r="G755" s="67">
        <v>20007623</v>
      </c>
      <c r="H755" s="32" t="s">
        <v>176</v>
      </c>
      <c r="I755" s="67">
        <v>1</v>
      </c>
      <c r="J755" s="68">
        <v>5.6</v>
      </c>
      <c r="K755" s="68">
        <v>5.6</v>
      </c>
      <c r="L755">
        <f t="shared" si="11"/>
        <v>8</v>
      </c>
    </row>
    <row r="756" spans="4:12">
      <c r="D756" s="66">
        <v>46136</v>
      </c>
      <c r="E756" s="32">
        <v>1598043</v>
      </c>
      <c r="F756" s="32" t="s">
        <v>13</v>
      </c>
      <c r="G756" s="67">
        <v>20008491</v>
      </c>
      <c r="H756" s="32" t="s">
        <v>104</v>
      </c>
      <c r="I756" s="67">
        <v>2</v>
      </c>
      <c r="J756" s="68">
        <v>11.55</v>
      </c>
      <c r="K756" s="68">
        <v>23.1</v>
      </c>
      <c r="L756">
        <f t="shared" si="11"/>
        <v>16.5</v>
      </c>
    </row>
    <row r="757" spans="4:12">
      <c r="D757" s="66">
        <v>46136</v>
      </c>
      <c r="E757" s="32">
        <v>1598043</v>
      </c>
      <c r="F757" s="32" t="s">
        <v>13</v>
      </c>
      <c r="G757" s="67">
        <v>20011138</v>
      </c>
      <c r="H757" s="32" t="s">
        <v>199</v>
      </c>
      <c r="I757" s="67">
        <v>2</v>
      </c>
      <c r="J757" s="68">
        <v>11.55</v>
      </c>
      <c r="K757" s="68">
        <v>23.1</v>
      </c>
      <c r="L757">
        <f t="shared" si="11"/>
        <v>16.5</v>
      </c>
    </row>
    <row r="758" spans="4:12">
      <c r="D758" s="66">
        <v>46136</v>
      </c>
      <c r="E758" s="32">
        <v>1598043</v>
      </c>
      <c r="F758" s="32" t="s">
        <v>25</v>
      </c>
      <c r="G758" s="67">
        <v>20008214</v>
      </c>
      <c r="H758" s="32" t="s">
        <v>99</v>
      </c>
      <c r="I758" s="67">
        <v>5</v>
      </c>
      <c r="J758" s="68">
        <v>11.55</v>
      </c>
      <c r="K758" s="68">
        <v>57.75</v>
      </c>
      <c r="L758">
        <f t="shared" si="11"/>
        <v>16.5</v>
      </c>
    </row>
    <row r="759" spans="4:12">
      <c r="D759" s="66">
        <v>46136</v>
      </c>
      <c r="E759" s="32">
        <v>1598043</v>
      </c>
      <c r="F759" s="32" t="s">
        <v>25</v>
      </c>
      <c r="G759" s="67">
        <v>20008345</v>
      </c>
      <c r="H759" s="32" t="s">
        <v>131</v>
      </c>
      <c r="I759" s="67">
        <v>3</v>
      </c>
      <c r="J759" s="68">
        <v>19.25</v>
      </c>
      <c r="K759" s="68">
        <v>57.75</v>
      </c>
      <c r="L759">
        <f t="shared" si="11"/>
        <v>27.5</v>
      </c>
    </row>
    <row r="760" spans="4:12">
      <c r="D760" s="66">
        <v>46137</v>
      </c>
      <c r="E760" s="32">
        <v>1598130</v>
      </c>
      <c r="F760" s="32" t="s">
        <v>36</v>
      </c>
      <c r="G760" s="67">
        <v>20329313</v>
      </c>
      <c r="H760" s="32" t="s">
        <v>333</v>
      </c>
      <c r="I760" s="67">
        <v>1</v>
      </c>
      <c r="J760" s="68">
        <v>107.8</v>
      </c>
      <c r="K760" s="68">
        <v>107.8</v>
      </c>
      <c r="L760">
        <f t="shared" si="11"/>
        <v>154</v>
      </c>
    </row>
    <row r="761" spans="4:12">
      <c r="D761" s="66">
        <v>46137</v>
      </c>
      <c r="E761" s="32">
        <v>1598130</v>
      </c>
      <c r="F761" s="32" t="s">
        <v>36</v>
      </c>
      <c r="G761" s="67">
        <v>20008341</v>
      </c>
      <c r="H761" s="32" t="s">
        <v>334</v>
      </c>
      <c r="I761" s="67">
        <v>1</v>
      </c>
      <c r="J761" s="68">
        <v>157.85</v>
      </c>
      <c r="K761" s="68">
        <v>157.85</v>
      </c>
      <c r="L761">
        <f t="shared" si="11"/>
        <v>225.5</v>
      </c>
    </row>
    <row r="762" spans="4:12">
      <c r="D762" s="66">
        <v>46137</v>
      </c>
      <c r="E762" s="32">
        <v>1598130</v>
      </c>
      <c r="F762" s="32" t="s">
        <v>46</v>
      </c>
      <c r="G762" s="67">
        <v>20013667</v>
      </c>
      <c r="H762" s="32" t="s">
        <v>323</v>
      </c>
      <c r="I762" s="67">
        <v>1</v>
      </c>
      <c r="J762" s="68">
        <v>15.4</v>
      </c>
      <c r="K762" s="68">
        <v>15.4</v>
      </c>
      <c r="L762">
        <f t="shared" si="11"/>
        <v>22</v>
      </c>
    </row>
    <row r="763" spans="4:12">
      <c r="D763" s="66">
        <v>46137</v>
      </c>
      <c r="E763" s="32">
        <v>1598130</v>
      </c>
      <c r="F763" s="32" t="s">
        <v>13</v>
      </c>
      <c r="G763" s="67">
        <v>20346304</v>
      </c>
      <c r="H763" s="32" t="s">
        <v>310</v>
      </c>
      <c r="I763" s="67">
        <v>1</v>
      </c>
      <c r="J763" s="68">
        <v>5.6</v>
      </c>
      <c r="K763" s="68">
        <v>5.6</v>
      </c>
      <c r="L763">
        <f t="shared" si="11"/>
        <v>8</v>
      </c>
    </row>
    <row r="764" customFormat="1" spans="4:12">
      <c r="D764" s="66">
        <v>46137</v>
      </c>
      <c r="E764" s="32">
        <v>1598130</v>
      </c>
      <c r="F764" s="32" t="s">
        <v>13</v>
      </c>
      <c r="G764" s="67">
        <v>20013515</v>
      </c>
      <c r="H764" s="32" t="s">
        <v>324</v>
      </c>
      <c r="I764" s="67">
        <v>1</v>
      </c>
      <c r="J764" s="68">
        <v>13.3</v>
      </c>
      <c r="K764" s="68">
        <v>13.3</v>
      </c>
      <c r="L764">
        <f t="shared" si="11"/>
        <v>19</v>
      </c>
    </row>
    <row r="765" spans="4:12">
      <c r="D765" s="66">
        <v>46137</v>
      </c>
      <c r="E765" s="32">
        <v>1598130</v>
      </c>
      <c r="F765" s="32" t="s">
        <v>13</v>
      </c>
      <c r="G765" s="67">
        <v>20011204</v>
      </c>
      <c r="H765" s="32" t="s">
        <v>74</v>
      </c>
      <c r="I765" s="67">
        <v>1</v>
      </c>
      <c r="J765" s="68">
        <v>5.6</v>
      </c>
      <c r="K765" s="68">
        <v>5.6</v>
      </c>
      <c r="L765">
        <f t="shared" si="11"/>
        <v>8</v>
      </c>
    </row>
    <row r="766" spans="4:12">
      <c r="D766" s="66">
        <v>46137</v>
      </c>
      <c r="E766" s="32">
        <v>1598130</v>
      </c>
      <c r="F766" s="32" t="s">
        <v>13</v>
      </c>
      <c r="G766" s="67">
        <v>20340574</v>
      </c>
      <c r="H766" s="32" t="s">
        <v>366</v>
      </c>
      <c r="I766" s="67">
        <v>1</v>
      </c>
      <c r="J766" s="68">
        <v>5.6</v>
      </c>
      <c r="K766" s="68">
        <v>5.6</v>
      </c>
      <c r="L766">
        <f t="shared" si="11"/>
        <v>8</v>
      </c>
    </row>
    <row r="767" spans="4:12">
      <c r="D767" s="66">
        <v>46137</v>
      </c>
      <c r="E767" s="32">
        <v>1598130</v>
      </c>
      <c r="F767" s="32" t="s">
        <v>13</v>
      </c>
      <c r="G767" s="67">
        <v>20008188</v>
      </c>
      <c r="H767" s="32" t="s">
        <v>337</v>
      </c>
      <c r="I767" s="67">
        <v>1</v>
      </c>
      <c r="J767" s="68">
        <v>5.6</v>
      </c>
      <c r="K767" s="68">
        <v>5.6</v>
      </c>
      <c r="L767">
        <f t="shared" si="11"/>
        <v>8</v>
      </c>
    </row>
    <row r="768" spans="4:12">
      <c r="D768" s="66">
        <v>46137</v>
      </c>
      <c r="E768" s="32">
        <v>1598130</v>
      </c>
      <c r="F768" s="32" t="s">
        <v>13</v>
      </c>
      <c r="G768" s="67">
        <v>20014209</v>
      </c>
      <c r="H768" s="32" t="s">
        <v>338</v>
      </c>
      <c r="I768" s="67">
        <v>1</v>
      </c>
      <c r="J768" s="68">
        <v>5.6</v>
      </c>
      <c r="K768" s="68">
        <v>5.6</v>
      </c>
      <c r="L768">
        <f t="shared" si="11"/>
        <v>8</v>
      </c>
    </row>
    <row r="769" spans="4:12">
      <c r="D769" s="66">
        <v>46137</v>
      </c>
      <c r="E769" s="32">
        <v>1598130</v>
      </c>
      <c r="F769" s="32" t="s">
        <v>13</v>
      </c>
      <c r="G769" s="67">
        <v>20012488</v>
      </c>
      <c r="H769" s="32" t="s">
        <v>340</v>
      </c>
      <c r="I769" s="67">
        <v>1</v>
      </c>
      <c r="J769" s="68">
        <v>5.6</v>
      </c>
      <c r="K769" s="68">
        <v>5.6</v>
      </c>
      <c r="L769">
        <f t="shared" si="11"/>
        <v>8</v>
      </c>
    </row>
    <row r="770" spans="4:12">
      <c r="D770" s="66">
        <v>46137</v>
      </c>
      <c r="E770" s="32">
        <v>1598130</v>
      </c>
      <c r="F770" s="32" t="s">
        <v>25</v>
      </c>
      <c r="G770" s="67">
        <v>20012460</v>
      </c>
      <c r="H770" s="32" t="s">
        <v>314</v>
      </c>
      <c r="I770" s="67">
        <v>1</v>
      </c>
      <c r="J770" s="68">
        <v>11.55</v>
      </c>
      <c r="K770" s="68">
        <v>11.55</v>
      </c>
      <c r="L770">
        <f t="shared" si="11"/>
        <v>16.5</v>
      </c>
    </row>
    <row r="771" spans="4:12">
      <c r="D771" s="66">
        <v>46137</v>
      </c>
      <c r="E771" s="32">
        <v>1598130</v>
      </c>
      <c r="F771" s="32" t="s">
        <v>25</v>
      </c>
      <c r="G771" s="67">
        <v>20008345</v>
      </c>
      <c r="H771" s="32" t="s">
        <v>131</v>
      </c>
      <c r="I771" s="67">
        <v>1</v>
      </c>
      <c r="J771" s="68">
        <v>19.25</v>
      </c>
      <c r="K771" s="68">
        <v>19.25</v>
      </c>
      <c r="L771">
        <f t="shared" si="11"/>
        <v>27.5</v>
      </c>
    </row>
    <row r="772" spans="4:12">
      <c r="D772" s="66">
        <v>46137</v>
      </c>
      <c r="E772" s="32">
        <v>1598130</v>
      </c>
      <c r="F772" s="32" t="s">
        <v>25</v>
      </c>
      <c r="G772" s="67">
        <v>20014191</v>
      </c>
      <c r="H772" s="32" t="s">
        <v>316</v>
      </c>
      <c r="I772" s="67">
        <v>2</v>
      </c>
      <c r="J772" s="68">
        <v>11.55</v>
      </c>
      <c r="K772" s="68">
        <v>23.1</v>
      </c>
      <c r="L772">
        <f t="shared" si="11"/>
        <v>16.5</v>
      </c>
    </row>
    <row r="773" spans="4:12">
      <c r="D773" s="66">
        <v>46137</v>
      </c>
      <c r="E773" s="32">
        <v>1598130</v>
      </c>
      <c r="F773" s="32" t="s">
        <v>25</v>
      </c>
      <c r="G773" s="67">
        <v>20008263</v>
      </c>
      <c r="H773" s="32" t="s">
        <v>341</v>
      </c>
      <c r="I773" s="67">
        <v>1</v>
      </c>
      <c r="J773" s="68">
        <v>11.55</v>
      </c>
      <c r="K773" s="68">
        <v>11.55</v>
      </c>
      <c r="L773">
        <f t="shared" si="11"/>
        <v>16.5</v>
      </c>
    </row>
    <row r="774" spans="4:12">
      <c r="D774" s="66">
        <v>46137</v>
      </c>
      <c r="E774" s="32">
        <v>1598142</v>
      </c>
      <c r="F774" s="32" t="s">
        <v>27</v>
      </c>
      <c r="G774" s="67">
        <v>20323753</v>
      </c>
      <c r="H774" s="32" t="s">
        <v>299</v>
      </c>
      <c r="I774" s="67">
        <v>2</v>
      </c>
      <c r="J774" s="68">
        <v>24.5</v>
      </c>
      <c r="K774" s="68">
        <v>49</v>
      </c>
      <c r="L774">
        <f t="shared" si="11"/>
        <v>35</v>
      </c>
    </row>
    <row r="775" spans="4:12">
      <c r="D775" s="66">
        <v>46137</v>
      </c>
      <c r="E775" s="32">
        <v>1598142</v>
      </c>
      <c r="F775" s="32" t="s">
        <v>27</v>
      </c>
      <c r="G775" s="67">
        <v>20013300</v>
      </c>
      <c r="H775" s="32" t="s">
        <v>235</v>
      </c>
      <c r="I775" s="67">
        <v>1</v>
      </c>
      <c r="J775" s="68">
        <v>24.5</v>
      </c>
      <c r="K775" s="68">
        <v>24.5</v>
      </c>
      <c r="L775">
        <f t="shared" si="11"/>
        <v>35</v>
      </c>
    </row>
    <row r="776" spans="4:12">
      <c r="D776" s="66">
        <v>46137</v>
      </c>
      <c r="E776" s="32">
        <v>1598142</v>
      </c>
      <c r="F776" s="32" t="s">
        <v>27</v>
      </c>
      <c r="G776" s="67">
        <v>20008885</v>
      </c>
      <c r="H776" s="32" t="s">
        <v>184</v>
      </c>
      <c r="I776" s="67">
        <v>1</v>
      </c>
      <c r="J776" s="68">
        <v>24.5</v>
      </c>
      <c r="K776" s="68">
        <v>24.5</v>
      </c>
      <c r="L776">
        <f t="shared" si="11"/>
        <v>35</v>
      </c>
    </row>
    <row r="777" spans="4:12">
      <c r="D777" s="66">
        <v>46137</v>
      </c>
      <c r="E777" s="32">
        <v>1598142</v>
      </c>
      <c r="F777" s="32" t="s">
        <v>27</v>
      </c>
      <c r="G777" s="67">
        <v>20388302</v>
      </c>
      <c r="H777" s="32" t="s">
        <v>202</v>
      </c>
      <c r="I777" s="67">
        <v>2</v>
      </c>
      <c r="J777" s="68">
        <v>24.5</v>
      </c>
      <c r="K777" s="68">
        <v>49</v>
      </c>
      <c r="L777">
        <f t="shared" si="11"/>
        <v>35</v>
      </c>
    </row>
    <row r="778" spans="4:12">
      <c r="D778" s="66">
        <v>46137</v>
      </c>
      <c r="E778" s="32">
        <v>1598142</v>
      </c>
      <c r="F778" s="32" t="s">
        <v>27</v>
      </c>
      <c r="G778" s="67">
        <v>20006864</v>
      </c>
      <c r="H778" s="32" t="s">
        <v>238</v>
      </c>
      <c r="I778" s="67">
        <v>1</v>
      </c>
      <c r="J778" s="68">
        <v>19.6</v>
      </c>
      <c r="K778" s="68">
        <v>19.6</v>
      </c>
      <c r="L778">
        <f t="shared" ref="L778:L841" si="12">J778/0.7</f>
        <v>28</v>
      </c>
    </row>
    <row r="779" spans="4:12">
      <c r="D779" s="66">
        <v>46137</v>
      </c>
      <c r="E779" s="32">
        <v>1598142</v>
      </c>
      <c r="F779" s="32" t="s">
        <v>27</v>
      </c>
      <c r="G779" s="67">
        <v>20008389</v>
      </c>
      <c r="H779" s="32" t="s">
        <v>203</v>
      </c>
      <c r="I779" s="67">
        <v>2</v>
      </c>
      <c r="J779" s="68">
        <v>17.5</v>
      </c>
      <c r="K779" s="68">
        <v>35</v>
      </c>
      <c r="L779">
        <f t="shared" si="12"/>
        <v>25</v>
      </c>
    </row>
    <row r="780" spans="4:12">
      <c r="D780" s="66">
        <v>46137</v>
      </c>
      <c r="E780" s="32">
        <v>1598142</v>
      </c>
      <c r="F780" s="32" t="s">
        <v>27</v>
      </c>
      <c r="G780" s="67">
        <v>20006863</v>
      </c>
      <c r="H780" s="32" t="s">
        <v>204</v>
      </c>
      <c r="I780" s="67">
        <v>2</v>
      </c>
      <c r="J780" s="68">
        <v>24.5</v>
      </c>
      <c r="K780" s="68">
        <v>49</v>
      </c>
      <c r="L780">
        <f t="shared" si="12"/>
        <v>35</v>
      </c>
    </row>
    <row r="781" spans="4:12">
      <c r="D781" s="66">
        <v>46137</v>
      </c>
      <c r="E781" s="32">
        <v>1598142</v>
      </c>
      <c r="F781" s="32" t="s">
        <v>27</v>
      </c>
      <c r="G781" s="67">
        <v>20377562</v>
      </c>
      <c r="H781" s="32" t="s">
        <v>241</v>
      </c>
      <c r="I781" s="67">
        <v>2</v>
      </c>
      <c r="J781" s="68">
        <v>15.4</v>
      </c>
      <c r="K781" s="68">
        <v>30.8</v>
      </c>
      <c r="L781">
        <f t="shared" si="12"/>
        <v>22</v>
      </c>
    </row>
    <row r="782" spans="4:12">
      <c r="D782" s="66">
        <v>46137</v>
      </c>
      <c r="E782" s="32">
        <v>1598142</v>
      </c>
      <c r="F782" s="32" t="s">
        <v>69</v>
      </c>
      <c r="G782" s="67">
        <v>20011031</v>
      </c>
      <c r="H782" s="32" t="s">
        <v>271</v>
      </c>
      <c r="I782" s="67">
        <v>1</v>
      </c>
      <c r="J782" s="68">
        <v>19.6</v>
      </c>
      <c r="K782" s="68">
        <v>19.6</v>
      </c>
      <c r="L782">
        <f t="shared" si="12"/>
        <v>28</v>
      </c>
    </row>
    <row r="783" spans="4:12">
      <c r="D783" s="66">
        <v>46137</v>
      </c>
      <c r="E783" s="32">
        <v>1598142</v>
      </c>
      <c r="F783" s="32" t="s">
        <v>69</v>
      </c>
      <c r="G783" s="67">
        <v>20013036</v>
      </c>
      <c r="H783" s="32" t="s">
        <v>206</v>
      </c>
      <c r="I783" s="67">
        <v>1</v>
      </c>
      <c r="J783" s="68">
        <v>30.8</v>
      </c>
      <c r="K783" s="68">
        <v>30.8</v>
      </c>
      <c r="L783">
        <f t="shared" si="12"/>
        <v>44</v>
      </c>
    </row>
    <row r="784" spans="4:12">
      <c r="D784" s="66">
        <v>46138</v>
      </c>
      <c r="E784" s="32">
        <v>1598288</v>
      </c>
      <c r="F784" s="32" t="s">
        <v>36</v>
      </c>
      <c r="G784" s="67">
        <v>20007716</v>
      </c>
      <c r="H784" s="32" t="s">
        <v>172</v>
      </c>
      <c r="I784" s="67">
        <v>1</v>
      </c>
      <c r="J784" s="68">
        <v>284.9</v>
      </c>
      <c r="K784" s="68">
        <v>284.9</v>
      </c>
      <c r="L784">
        <f t="shared" si="12"/>
        <v>407</v>
      </c>
    </row>
    <row r="785" spans="4:12">
      <c r="D785" s="66">
        <v>46138</v>
      </c>
      <c r="E785" s="32">
        <v>1598288</v>
      </c>
      <c r="F785" s="32" t="s">
        <v>36</v>
      </c>
      <c r="G785" s="67">
        <v>20008128</v>
      </c>
      <c r="H785" s="32" t="s">
        <v>174</v>
      </c>
      <c r="I785" s="67">
        <v>1</v>
      </c>
      <c r="J785" s="68">
        <v>130.9</v>
      </c>
      <c r="K785" s="68">
        <v>130.9</v>
      </c>
      <c r="L785">
        <f t="shared" si="12"/>
        <v>187</v>
      </c>
    </row>
    <row r="786" spans="4:12">
      <c r="D786" s="66">
        <v>46138</v>
      </c>
      <c r="E786" s="32">
        <v>1598288</v>
      </c>
      <c r="F786" s="32" t="s">
        <v>36</v>
      </c>
      <c r="G786" s="67">
        <v>20013224</v>
      </c>
      <c r="H786" s="32" t="s">
        <v>367</v>
      </c>
      <c r="I786" s="67">
        <v>1</v>
      </c>
      <c r="J786" s="68">
        <v>127.05</v>
      </c>
      <c r="K786" s="68">
        <v>127.05</v>
      </c>
      <c r="L786">
        <f t="shared" si="12"/>
        <v>181.5</v>
      </c>
    </row>
    <row r="787" spans="4:12">
      <c r="D787" s="66">
        <v>46138</v>
      </c>
      <c r="E787" s="32">
        <v>1598288</v>
      </c>
      <c r="F787" s="32" t="s">
        <v>13</v>
      </c>
      <c r="G787" s="67">
        <v>20012489</v>
      </c>
      <c r="H787" s="32" t="s">
        <v>75</v>
      </c>
      <c r="I787" s="67">
        <v>1</v>
      </c>
      <c r="J787" s="68">
        <v>5.6</v>
      </c>
      <c r="K787" s="68">
        <v>5.6</v>
      </c>
      <c r="L787">
        <f t="shared" si="12"/>
        <v>8</v>
      </c>
    </row>
    <row r="788" spans="4:12">
      <c r="D788" s="66">
        <v>46138</v>
      </c>
      <c r="E788" s="32">
        <v>1598288</v>
      </c>
      <c r="F788" s="32" t="s">
        <v>13</v>
      </c>
      <c r="G788" s="67">
        <v>20007648</v>
      </c>
      <c r="H788" s="32" t="s">
        <v>368</v>
      </c>
      <c r="I788" s="67">
        <v>1</v>
      </c>
      <c r="J788" s="68">
        <v>7.35</v>
      </c>
      <c r="K788" s="68">
        <v>7.35</v>
      </c>
      <c r="L788">
        <f t="shared" si="12"/>
        <v>10.5</v>
      </c>
    </row>
    <row r="789" spans="4:12">
      <c r="D789" s="66">
        <v>46138</v>
      </c>
      <c r="E789" s="32">
        <v>1598288</v>
      </c>
      <c r="F789" s="32" t="s">
        <v>25</v>
      </c>
      <c r="G789" s="67">
        <v>20009014</v>
      </c>
      <c r="H789" s="32" t="s">
        <v>130</v>
      </c>
      <c r="I789" s="67">
        <v>1</v>
      </c>
      <c r="J789" s="68">
        <v>11.55</v>
      </c>
      <c r="K789" s="68">
        <v>11.55</v>
      </c>
      <c r="L789">
        <f t="shared" si="12"/>
        <v>16.5</v>
      </c>
    </row>
    <row r="790" spans="4:12">
      <c r="D790" s="66">
        <v>46138</v>
      </c>
      <c r="E790" s="32">
        <v>1598288</v>
      </c>
      <c r="F790" s="32" t="s">
        <v>25</v>
      </c>
      <c r="G790" s="67">
        <v>20330093</v>
      </c>
      <c r="H790" s="32" t="s">
        <v>362</v>
      </c>
      <c r="I790" s="67">
        <v>1</v>
      </c>
      <c r="J790" s="68">
        <v>11.55</v>
      </c>
      <c r="K790" s="68">
        <v>11.55</v>
      </c>
      <c r="L790">
        <f t="shared" si="12"/>
        <v>16.5</v>
      </c>
    </row>
    <row r="791" spans="4:12">
      <c r="D791" s="66">
        <v>46138</v>
      </c>
      <c r="E791" s="32">
        <v>1598288</v>
      </c>
      <c r="F791" s="32" t="s">
        <v>25</v>
      </c>
      <c r="G791" s="67">
        <v>20313526</v>
      </c>
      <c r="H791" s="32" t="s">
        <v>296</v>
      </c>
      <c r="I791" s="67">
        <v>1</v>
      </c>
      <c r="J791" s="68">
        <v>11.55</v>
      </c>
      <c r="K791" s="68">
        <v>11.55</v>
      </c>
      <c r="L791">
        <f t="shared" si="12"/>
        <v>16.5</v>
      </c>
    </row>
    <row r="792" spans="4:12">
      <c r="D792" s="66">
        <v>46138</v>
      </c>
      <c r="E792" s="32">
        <v>1598288</v>
      </c>
      <c r="F792" s="32" t="s">
        <v>25</v>
      </c>
      <c r="G792" s="67">
        <v>20008214</v>
      </c>
      <c r="H792" s="32" t="s">
        <v>99</v>
      </c>
      <c r="I792" s="67">
        <v>3</v>
      </c>
      <c r="J792" s="68">
        <v>11.55</v>
      </c>
      <c r="K792" s="68">
        <v>34.65</v>
      </c>
      <c r="L792">
        <f t="shared" si="12"/>
        <v>16.5</v>
      </c>
    </row>
    <row r="793" spans="4:12">
      <c r="D793" s="66">
        <v>46138</v>
      </c>
      <c r="E793" s="32">
        <v>1598288</v>
      </c>
      <c r="F793" s="32" t="s">
        <v>25</v>
      </c>
      <c r="G793" s="67">
        <v>20007560</v>
      </c>
      <c r="H793" s="32" t="s">
        <v>369</v>
      </c>
      <c r="I793" s="67">
        <v>1</v>
      </c>
      <c r="J793" s="68">
        <v>11.55</v>
      </c>
      <c r="K793" s="68">
        <v>11.55</v>
      </c>
      <c r="L793">
        <f t="shared" si="12"/>
        <v>16.5</v>
      </c>
    </row>
    <row r="794" spans="4:12">
      <c r="D794" s="66">
        <v>46138</v>
      </c>
      <c r="E794" s="32">
        <v>1598288</v>
      </c>
      <c r="F794" s="32" t="s">
        <v>25</v>
      </c>
      <c r="G794" s="67">
        <v>20382732</v>
      </c>
      <c r="H794" s="32" t="s">
        <v>294</v>
      </c>
      <c r="I794" s="67">
        <v>1</v>
      </c>
      <c r="J794" s="68">
        <v>11.55</v>
      </c>
      <c r="K794" s="68">
        <v>11.55</v>
      </c>
      <c r="L794">
        <f t="shared" si="12"/>
        <v>16.5</v>
      </c>
    </row>
    <row r="795" spans="4:12">
      <c r="D795" s="66">
        <v>46138</v>
      </c>
      <c r="E795" s="32">
        <v>1598288</v>
      </c>
      <c r="F795" s="32" t="s">
        <v>25</v>
      </c>
      <c r="G795" s="67">
        <v>20008345</v>
      </c>
      <c r="H795" s="32" t="s">
        <v>131</v>
      </c>
      <c r="I795" s="67">
        <v>1</v>
      </c>
      <c r="J795" s="68">
        <v>19.25</v>
      </c>
      <c r="K795" s="68">
        <v>19.25</v>
      </c>
      <c r="L795">
        <f t="shared" si="12"/>
        <v>27.5</v>
      </c>
    </row>
    <row r="796" spans="4:12">
      <c r="D796" s="66">
        <v>46138</v>
      </c>
      <c r="E796" s="32">
        <v>1598288</v>
      </c>
      <c r="F796" s="32" t="s">
        <v>25</v>
      </c>
      <c r="G796" s="67">
        <v>20388994</v>
      </c>
      <c r="H796" s="32" t="s">
        <v>370</v>
      </c>
      <c r="I796" s="67">
        <v>1</v>
      </c>
      <c r="J796" s="68">
        <v>11.55</v>
      </c>
      <c r="K796" s="68">
        <v>11.55</v>
      </c>
      <c r="L796">
        <f t="shared" si="12"/>
        <v>16.5</v>
      </c>
    </row>
    <row r="797" spans="4:12">
      <c r="D797" s="66">
        <v>46138</v>
      </c>
      <c r="E797" s="32">
        <v>1598290</v>
      </c>
      <c r="F797" s="32" t="s">
        <v>27</v>
      </c>
      <c r="G797" s="67">
        <v>20007288</v>
      </c>
      <c r="H797" s="32" t="s">
        <v>300</v>
      </c>
      <c r="I797" s="67">
        <v>1</v>
      </c>
      <c r="J797" s="68">
        <v>24.5</v>
      </c>
      <c r="K797" s="68">
        <v>24.5</v>
      </c>
      <c r="L797">
        <f t="shared" si="12"/>
        <v>35</v>
      </c>
    </row>
    <row r="798" spans="4:12">
      <c r="D798" s="66">
        <v>46138</v>
      </c>
      <c r="E798" s="32">
        <v>1598290</v>
      </c>
      <c r="F798" s="32" t="s">
        <v>27</v>
      </c>
      <c r="G798" s="67">
        <v>20008885</v>
      </c>
      <c r="H798" s="32" t="s">
        <v>184</v>
      </c>
      <c r="I798" s="67">
        <v>2</v>
      </c>
      <c r="J798" s="68">
        <v>24.5</v>
      </c>
      <c r="K798" s="68">
        <v>49</v>
      </c>
      <c r="L798">
        <f t="shared" si="12"/>
        <v>35</v>
      </c>
    </row>
    <row r="799" spans="4:12">
      <c r="D799" s="66">
        <v>46138</v>
      </c>
      <c r="E799" s="32">
        <v>1598290</v>
      </c>
      <c r="F799" s="32" t="s">
        <v>27</v>
      </c>
      <c r="G799" s="67">
        <v>20313974</v>
      </c>
      <c r="H799" s="32" t="s">
        <v>185</v>
      </c>
      <c r="I799" s="67">
        <v>1</v>
      </c>
      <c r="J799" s="68">
        <v>30.8</v>
      </c>
      <c r="K799" s="68">
        <v>30.8</v>
      </c>
      <c r="L799">
        <f t="shared" si="12"/>
        <v>44</v>
      </c>
    </row>
    <row r="800" spans="4:12">
      <c r="D800" s="66">
        <v>46138</v>
      </c>
      <c r="E800" s="32">
        <v>1598290</v>
      </c>
      <c r="F800" s="32" t="s">
        <v>27</v>
      </c>
      <c r="G800" s="67">
        <v>20006853</v>
      </c>
      <c r="H800" s="32" t="s">
        <v>186</v>
      </c>
      <c r="I800" s="67">
        <v>1</v>
      </c>
      <c r="J800" s="68">
        <v>24.5</v>
      </c>
      <c r="K800" s="68">
        <v>24.5</v>
      </c>
      <c r="L800">
        <f t="shared" si="12"/>
        <v>35</v>
      </c>
    </row>
    <row r="801" spans="4:12">
      <c r="D801" s="66">
        <v>46138</v>
      </c>
      <c r="E801" s="32">
        <v>1598290</v>
      </c>
      <c r="F801" s="32" t="s">
        <v>27</v>
      </c>
      <c r="G801" s="67">
        <v>20400917</v>
      </c>
      <c r="H801" s="32" t="s">
        <v>188</v>
      </c>
      <c r="I801" s="67">
        <v>1</v>
      </c>
      <c r="J801" s="68">
        <v>17.5</v>
      </c>
      <c r="K801" s="68">
        <v>17.5</v>
      </c>
      <c r="L801">
        <f t="shared" si="12"/>
        <v>25</v>
      </c>
    </row>
    <row r="802" spans="4:12">
      <c r="D802" s="66">
        <v>46138</v>
      </c>
      <c r="E802" s="32">
        <v>1598290</v>
      </c>
      <c r="F802" s="32" t="s">
        <v>27</v>
      </c>
      <c r="G802" s="67">
        <v>20382022</v>
      </c>
      <c r="H802" s="32" t="s">
        <v>282</v>
      </c>
      <c r="I802" s="67">
        <v>1</v>
      </c>
      <c r="J802" s="68">
        <v>19.6</v>
      </c>
      <c r="K802" s="68">
        <v>19.6</v>
      </c>
      <c r="L802">
        <f t="shared" si="12"/>
        <v>28</v>
      </c>
    </row>
    <row r="803" spans="4:12">
      <c r="D803" s="66">
        <v>46138</v>
      </c>
      <c r="E803" s="32">
        <v>1598290</v>
      </c>
      <c r="F803" s="32" t="s">
        <v>27</v>
      </c>
      <c r="G803" s="67">
        <v>20007639</v>
      </c>
      <c r="H803" s="32" t="s">
        <v>189</v>
      </c>
      <c r="I803" s="67">
        <v>2</v>
      </c>
      <c r="J803" s="68">
        <v>19.6</v>
      </c>
      <c r="K803" s="68">
        <v>39.2</v>
      </c>
      <c r="L803">
        <f t="shared" si="12"/>
        <v>28</v>
      </c>
    </row>
    <row r="804" spans="4:12">
      <c r="D804" s="66">
        <v>46138</v>
      </c>
      <c r="E804" s="32">
        <v>1598290</v>
      </c>
      <c r="F804" s="32" t="s">
        <v>27</v>
      </c>
      <c r="G804" s="67">
        <v>20009272</v>
      </c>
      <c r="H804" s="32" t="s">
        <v>261</v>
      </c>
      <c r="I804" s="67">
        <v>2</v>
      </c>
      <c r="J804" s="68">
        <v>19.6</v>
      </c>
      <c r="K804" s="68">
        <v>39.2</v>
      </c>
      <c r="L804">
        <f t="shared" si="12"/>
        <v>28</v>
      </c>
    </row>
    <row r="805" spans="4:12">
      <c r="D805" s="66">
        <v>46138</v>
      </c>
      <c r="E805" s="32">
        <v>1598290</v>
      </c>
      <c r="F805" s="32" t="s">
        <v>27</v>
      </c>
      <c r="G805" s="67">
        <v>20007638</v>
      </c>
      <c r="H805" s="32" t="s">
        <v>190</v>
      </c>
      <c r="I805" s="67">
        <v>1</v>
      </c>
      <c r="J805" s="68">
        <v>19.6</v>
      </c>
      <c r="K805" s="68">
        <v>19.6</v>
      </c>
      <c r="L805">
        <f t="shared" si="12"/>
        <v>28</v>
      </c>
    </row>
    <row r="806" spans="4:12">
      <c r="D806" s="66">
        <v>46138</v>
      </c>
      <c r="E806" s="32">
        <v>1598290</v>
      </c>
      <c r="F806" s="32" t="s">
        <v>27</v>
      </c>
      <c r="G806" s="67">
        <v>20008639</v>
      </c>
      <c r="H806" s="32" t="s">
        <v>191</v>
      </c>
      <c r="I806" s="67">
        <v>1</v>
      </c>
      <c r="J806" s="68">
        <v>17.5</v>
      </c>
      <c r="K806" s="68">
        <v>17.5</v>
      </c>
      <c r="L806">
        <f t="shared" si="12"/>
        <v>25</v>
      </c>
    </row>
    <row r="807" spans="4:12">
      <c r="D807" s="66">
        <v>46138</v>
      </c>
      <c r="E807" s="32">
        <v>1598290</v>
      </c>
      <c r="F807" s="32" t="s">
        <v>27</v>
      </c>
      <c r="G807" s="67">
        <v>20333210</v>
      </c>
      <c r="H807" s="32" t="s">
        <v>371</v>
      </c>
      <c r="I807" s="67">
        <v>1</v>
      </c>
      <c r="J807" s="68">
        <v>19.6</v>
      </c>
      <c r="K807" s="68">
        <v>19.6</v>
      </c>
      <c r="L807">
        <f t="shared" si="12"/>
        <v>28</v>
      </c>
    </row>
    <row r="808" spans="4:12">
      <c r="D808" s="66">
        <v>46138</v>
      </c>
      <c r="E808" s="32">
        <v>1598290</v>
      </c>
      <c r="F808" s="32" t="s">
        <v>69</v>
      </c>
      <c r="G808" s="67">
        <v>20397473</v>
      </c>
      <c r="H808" s="32" t="s">
        <v>372</v>
      </c>
      <c r="I808" s="67">
        <v>1</v>
      </c>
      <c r="J808" s="68">
        <v>19.6</v>
      </c>
      <c r="K808" s="68">
        <v>19.6</v>
      </c>
      <c r="L808">
        <f t="shared" si="12"/>
        <v>28</v>
      </c>
    </row>
    <row r="809" spans="4:12">
      <c r="D809" s="66">
        <v>46138</v>
      </c>
      <c r="E809" s="32">
        <v>1598290</v>
      </c>
      <c r="F809" s="32" t="s">
        <v>69</v>
      </c>
      <c r="G809" s="67">
        <v>20008210</v>
      </c>
      <c r="H809" s="32" t="s">
        <v>272</v>
      </c>
      <c r="I809" s="67">
        <v>1</v>
      </c>
      <c r="J809" s="68">
        <v>19.6</v>
      </c>
      <c r="K809" s="68">
        <v>19.6</v>
      </c>
      <c r="L809">
        <f t="shared" si="12"/>
        <v>28</v>
      </c>
    </row>
    <row r="810" spans="4:12">
      <c r="D810" s="66">
        <v>46140</v>
      </c>
      <c r="E810" s="32">
        <v>1598615</v>
      </c>
      <c r="F810" s="32" t="s">
        <v>36</v>
      </c>
      <c r="G810" s="67">
        <v>20012928</v>
      </c>
      <c r="H810" s="32" t="s">
        <v>373</v>
      </c>
      <c r="I810" s="67">
        <v>1</v>
      </c>
      <c r="J810" s="68">
        <v>100.1</v>
      </c>
      <c r="K810" s="68">
        <v>100.1</v>
      </c>
      <c r="L810">
        <f t="shared" si="12"/>
        <v>143</v>
      </c>
    </row>
    <row r="811" spans="4:12">
      <c r="D811" s="66">
        <v>46140</v>
      </c>
      <c r="E811" s="32">
        <v>1598615</v>
      </c>
      <c r="F811" s="32" t="s">
        <v>36</v>
      </c>
      <c r="G811" s="67">
        <v>20009714</v>
      </c>
      <c r="H811" s="32" t="s">
        <v>356</v>
      </c>
      <c r="I811" s="67">
        <v>1</v>
      </c>
      <c r="J811" s="68">
        <v>77</v>
      </c>
      <c r="K811" s="68">
        <v>77</v>
      </c>
      <c r="L811">
        <f t="shared" si="12"/>
        <v>110</v>
      </c>
    </row>
    <row r="812" spans="4:12">
      <c r="D812" s="66">
        <v>46140</v>
      </c>
      <c r="E812" s="32">
        <v>1598615</v>
      </c>
      <c r="F812" s="32" t="s">
        <v>36</v>
      </c>
      <c r="G812" s="67">
        <v>20009713</v>
      </c>
      <c r="H812" s="32" t="s">
        <v>374</v>
      </c>
      <c r="I812" s="67">
        <v>1</v>
      </c>
      <c r="J812" s="68">
        <v>84.7</v>
      </c>
      <c r="K812" s="68">
        <v>84.7</v>
      </c>
      <c r="L812">
        <f t="shared" si="12"/>
        <v>121</v>
      </c>
    </row>
    <row r="813" spans="4:12">
      <c r="D813" s="66">
        <v>46140</v>
      </c>
      <c r="E813" s="32">
        <v>1598615</v>
      </c>
      <c r="F813" s="32" t="s">
        <v>36</v>
      </c>
      <c r="G813" s="67">
        <v>20008128</v>
      </c>
      <c r="H813" s="32" t="s">
        <v>174</v>
      </c>
      <c r="I813" s="67">
        <v>3</v>
      </c>
      <c r="J813" s="68">
        <v>130.9</v>
      </c>
      <c r="K813" s="68">
        <v>392.7</v>
      </c>
      <c r="L813">
        <f t="shared" si="12"/>
        <v>187</v>
      </c>
    </row>
    <row r="814" spans="4:12">
      <c r="D814" s="66">
        <v>46140</v>
      </c>
      <c r="E814" s="32">
        <v>1598615</v>
      </c>
      <c r="F814" s="32" t="s">
        <v>36</v>
      </c>
      <c r="G814" s="67">
        <v>20306232</v>
      </c>
      <c r="H814" s="32" t="s">
        <v>289</v>
      </c>
      <c r="I814" s="67">
        <v>1</v>
      </c>
      <c r="J814" s="68">
        <v>127.05</v>
      </c>
      <c r="K814" s="68">
        <v>127.05</v>
      </c>
      <c r="L814">
        <f t="shared" si="12"/>
        <v>181.5</v>
      </c>
    </row>
    <row r="815" spans="4:12">
      <c r="D815" s="66">
        <v>46140</v>
      </c>
      <c r="E815" s="32">
        <v>1598615</v>
      </c>
      <c r="F815" s="32" t="s">
        <v>36</v>
      </c>
      <c r="G815" s="67">
        <v>20013583</v>
      </c>
      <c r="H815" s="32" t="s">
        <v>375</v>
      </c>
      <c r="I815" s="67">
        <v>1</v>
      </c>
      <c r="J815" s="68">
        <v>34.65</v>
      </c>
      <c r="K815" s="68">
        <v>34.65</v>
      </c>
      <c r="L815">
        <f t="shared" si="12"/>
        <v>49.5</v>
      </c>
    </row>
    <row r="816" spans="4:12">
      <c r="D816" s="66">
        <v>46140</v>
      </c>
      <c r="E816" s="32">
        <v>1598615</v>
      </c>
      <c r="F816" s="32" t="s">
        <v>36</v>
      </c>
      <c r="G816" s="67">
        <v>20367842</v>
      </c>
      <c r="H816" s="32" t="s">
        <v>376</v>
      </c>
      <c r="I816" s="67">
        <v>1</v>
      </c>
      <c r="J816" s="68">
        <v>142.45</v>
      </c>
      <c r="K816" s="68">
        <v>142.45</v>
      </c>
      <c r="L816">
        <f t="shared" si="12"/>
        <v>203.5</v>
      </c>
    </row>
    <row r="817" spans="4:12">
      <c r="D817" s="66">
        <v>46140</v>
      </c>
      <c r="E817" s="32">
        <v>1598615</v>
      </c>
      <c r="F817" s="32" t="s">
        <v>36</v>
      </c>
      <c r="G817" s="67">
        <v>20311037</v>
      </c>
      <c r="H817" s="32" t="s">
        <v>194</v>
      </c>
      <c r="I817" s="67">
        <v>1</v>
      </c>
      <c r="J817" s="68">
        <v>53.55</v>
      </c>
      <c r="K817" s="68">
        <v>53.55</v>
      </c>
      <c r="L817">
        <f t="shared" si="12"/>
        <v>76.5</v>
      </c>
    </row>
    <row r="818" spans="4:12">
      <c r="D818" s="66">
        <v>46140</v>
      </c>
      <c r="E818" s="32">
        <v>1598615</v>
      </c>
      <c r="F818" s="32" t="s">
        <v>13</v>
      </c>
      <c r="G818" s="67">
        <v>20008180</v>
      </c>
      <c r="H818" s="32" t="s">
        <v>217</v>
      </c>
      <c r="I818" s="67">
        <v>3</v>
      </c>
      <c r="J818" s="68">
        <v>5.6</v>
      </c>
      <c r="K818" s="68">
        <v>16.8</v>
      </c>
      <c r="L818">
        <f t="shared" si="12"/>
        <v>8</v>
      </c>
    </row>
    <row r="819" spans="4:12">
      <c r="D819" s="66">
        <v>46140</v>
      </c>
      <c r="E819" s="32">
        <v>1598615</v>
      </c>
      <c r="F819" s="32" t="s">
        <v>13</v>
      </c>
      <c r="G819" s="67">
        <v>20398427</v>
      </c>
      <c r="H819" s="32" t="s">
        <v>218</v>
      </c>
      <c r="I819" s="67">
        <v>5</v>
      </c>
      <c r="J819" s="68">
        <v>7.35</v>
      </c>
      <c r="K819" s="68">
        <v>36.75</v>
      </c>
      <c r="L819">
        <f t="shared" si="12"/>
        <v>10.5</v>
      </c>
    </row>
    <row r="820" spans="4:12">
      <c r="D820" s="66">
        <v>46140</v>
      </c>
      <c r="E820" s="32">
        <v>1598615</v>
      </c>
      <c r="F820" s="32" t="s">
        <v>13</v>
      </c>
      <c r="G820" s="67">
        <v>20015023</v>
      </c>
      <c r="H820" s="32" t="s">
        <v>377</v>
      </c>
      <c r="I820" s="67">
        <v>1</v>
      </c>
      <c r="J820" s="68">
        <v>5.6</v>
      </c>
      <c r="K820" s="68">
        <v>5.6</v>
      </c>
      <c r="L820">
        <f t="shared" si="12"/>
        <v>8</v>
      </c>
    </row>
    <row r="821" spans="4:12">
      <c r="D821" s="66">
        <v>46140</v>
      </c>
      <c r="E821" s="32">
        <v>1598615</v>
      </c>
      <c r="F821" s="32" t="s">
        <v>13</v>
      </c>
      <c r="G821" s="67">
        <v>20316841</v>
      </c>
      <c r="H821" s="32" t="s">
        <v>220</v>
      </c>
      <c r="I821" s="67">
        <v>31</v>
      </c>
      <c r="J821" s="68">
        <v>7.35</v>
      </c>
      <c r="K821" s="68">
        <v>227.85</v>
      </c>
      <c r="L821">
        <f t="shared" si="12"/>
        <v>10.5</v>
      </c>
    </row>
    <row r="822" spans="4:12">
      <c r="D822" s="66">
        <v>46140</v>
      </c>
      <c r="E822" s="32">
        <v>1598615</v>
      </c>
      <c r="F822" s="32" t="s">
        <v>13</v>
      </c>
      <c r="G822" s="67">
        <v>20013376</v>
      </c>
      <c r="H822" s="32" t="s">
        <v>378</v>
      </c>
      <c r="I822" s="67">
        <v>1</v>
      </c>
      <c r="J822" s="68">
        <v>5.6</v>
      </c>
      <c r="K822" s="68">
        <v>5.6</v>
      </c>
      <c r="L822">
        <f t="shared" si="12"/>
        <v>8</v>
      </c>
    </row>
    <row r="823" spans="4:12">
      <c r="D823" s="66">
        <v>46140</v>
      </c>
      <c r="E823" s="32">
        <v>1598615</v>
      </c>
      <c r="F823" s="32" t="s">
        <v>13</v>
      </c>
      <c r="G823" s="67">
        <v>20008887</v>
      </c>
      <c r="H823" s="32" t="s">
        <v>379</v>
      </c>
      <c r="I823" s="67">
        <v>2</v>
      </c>
      <c r="J823" s="68">
        <v>5.6</v>
      </c>
      <c r="K823" s="68">
        <v>11.2</v>
      </c>
      <c r="L823">
        <f t="shared" si="12"/>
        <v>8</v>
      </c>
    </row>
    <row r="824" spans="4:12">
      <c r="D824" s="66">
        <v>46140</v>
      </c>
      <c r="E824" s="32">
        <v>1598615</v>
      </c>
      <c r="F824" s="32" t="s">
        <v>13</v>
      </c>
      <c r="G824" s="67">
        <v>20327308</v>
      </c>
      <c r="H824" s="32" t="s">
        <v>380</v>
      </c>
      <c r="I824" s="67">
        <v>1</v>
      </c>
      <c r="J824" s="68">
        <v>11.55</v>
      </c>
      <c r="K824" s="68">
        <v>11.55</v>
      </c>
      <c r="L824">
        <f t="shared" si="12"/>
        <v>16.5</v>
      </c>
    </row>
    <row r="825" spans="4:12">
      <c r="D825" s="66">
        <v>46140</v>
      </c>
      <c r="E825" s="32">
        <v>1598615</v>
      </c>
      <c r="F825" s="32" t="s">
        <v>13</v>
      </c>
      <c r="G825" s="67">
        <v>20332807</v>
      </c>
      <c r="H825" s="32" t="s">
        <v>381</v>
      </c>
      <c r="I825" s="67">
        <v>1</v>
      </c>
      <c r="J825" s="68">
        <v>5.6</v>
      </c>
      <c r="K825" s="68">
        <v>5.6</v>
      </c>
      <c r="L825">
        <f t="shared" si="12"/>
        <v>8</v>
      </c>
    </row>
    <row r="826" spans="4:12">
      <c r="D826" s="66">
        <v>46140</v>
      </c>
      <c r="E826" s="32">
        <v>1598615</v>
      </c>
      <c r="F826" s="32" t="s">
        <v>13</v>
      </c>
      <c r="G826" s="67">
        <v>20013606</v>
      </c>
      <c r="H826" s="32" t="s">
        <v>382</v>
      </c>
      <c r="I826" s="67">
        <v>1</v>
      </c>
      <c r="J826" s="68">
        <v>5.6</v>
      </c>
      <c r="K826" s="68">
        <v>5.6</v>
      </c>
      <c r="L826">
        <f t="shared" si="12"/>
        <v>8</v>
      </c>
    </row>
    <row r="827" spans="4:12">
      <c r="D827" s="66">
        <v>46140</v>
      </c>
      <c r="E827" s="32">
        <v>1598615</v>
      </c>
      <c r="F827" s="32" t="s">
        <v>13</v>
      </c>
      <c r="G827" s="67">
        <v>20315371</v>
      </c>
      <c r="H827" s="32" t="s">
        <v>224</v>
      </c>
      <c r="I827" s="67">
        <v>1</v>
      </c>
      <c r="J827" s="68">
        <v>5.6</v>
      </c>
      <c r="K827" s="68">
        <v>5.6</v>
      </c>
      <c r="L827">
        <f t="shared" si="12"/>
        <v>8</v>
      </c>
    </row>
    <row r="828" spans="4:12">
      <c r="D828" s="66">
        <v>46140</v>
      </c>
      <c r="E828" s="32">
        <v>1598615</v>
      </c>
      <c r="F828" s="32" t="s">
        <v>13</v>
      </c>
      <c r="G828" s="67">
        <v>20348324</v>
      </c>
      <c r="H828" s="32" t="s">
        <v>225</v>
      </c>
      <c r="I828" s="67">
        <v>25</v>
      </c>
      <c r="J828" s="68">
        <v>7.35</v>
      </c>
      <c r="K828" s="68">
        <v>183.75</v>
      </c>
      <c r="L828">
        <f t="shared" si="12"/>
        <v>10.5</v>
      </c>
    </row>
    <row r="829" spans="4:12">
      <c r="D829" s="66">
        <v>46140</v>
      </c>
      <c r="E829" s="32">
        <v>1598615</v>
      </c>
      <c r="F829" s="32" t="s">
        <v>13</v>
      </c>
      <c r="G829" s="67">
        <v>20314943</v>
      </c>
      <c r="H829" s="32" t="s">
        <v>383</v>
      </c>
      <c r="I829" s="67">
        <v>1</v>
      </c>
      <c r="J829" s="68">
        <v>11.55</v>
      </c>
      <c r="K829" s="68">
        <v>11.55</v>
      </c>
      <c r="L829">
        <f t="shared" si="12"/>
        <v>16.5</v>
      </c>
    </row>
    <row r="830" spans="4:12">
      <c r="D830" s="66">
        <v>46140</v>
      </c>
      <c r="E830" s="32">
        <v>1598615</v>
      </c>
      <c r="F830" s="32" t="s">
        <v>13</v>
      </c>
      <c r="G830" s="67">
        <v>20014209</v>
      </c>
      <c r="H830" s="32" t="s">
        <v>338</v>
      </c>
      <c r="I830" s="67">
        <v>1</v>
      </c>
      <c r="J830" s="68">
        <v>5.6</v>
      </c>
      <c r="K830" s="68">
        <v>5.6</v>
      </c>
      <c r="L830">
        <f t="shared" si="12"/>
        <v>8</v>
      </c>
    </row>
    <row r="831" spans="4:12">
      <c r="D831" s="66">
        <v>46140</v>
      </c>
      <c r="E831" s="32">
        <v>1598615</v>
      </c>
      <c r="F831" s="32" t="s">
        <v>13</v>
      </c>
      <c r="G831" s="67">
        <v>20007626</v>
      </c>
      <c r="H831" s="32" t="s">
        <v>384</v>
      </c>
      <c r="I831" s="67">
        <v>1</v>
      </c>
      <c r="J831" s="68">
        <v>7.7</v>
      </c>
      <c r="K831" s="68">
        <v>7.7</v>
      </c>
      <c r="L831">
        <f t="shared" si="12"/>
        <v>11</v>
      </c>
    </row>
    <row r="832" spans="4:12">
      <c r="D832" s="66">
        <v>46140</v>
      </c>
      <c r="E832" s="32">
        <v>1598615</v>
      </c>
      <c r="F832" s="32" t="s">
        <v>13</v>
      </c>
      <c r="G832" s="67">
        <v>20008598</v>
      </c>
      <c r="H832" s="32" t="s">
        <v>385</v>
      </c>
      <c r="I832" s="67">
        <v>1</v>
      </c>
      <c r="J832" s="68">
        <v>5.6</v>
      </c>
      <c r="K832" s="68">
        <v>5.6</v>
      </c>
      <c r="L832">
        <f t="shared" si="12"/>
        <v>8</v>
      </c>
    </row>
    <row r="833" spans="4:12">
      <c r="D833" s="66">
        <v>46140</v>
      </c>
      <c r="E833" s="32">
        <v>1598615</v>
      </c>
      <c r="F833" s="32" t="s">
        <v>13</v>
      </c>
      <c r="G833" s="67">
        <v>20008193</v>
      </c>
      <c r="H833" s="32" t="s">
        <v>386</v>
      </c>
      <c r="I833" s="67">
        <v>1</v>
      </c>
      <c r="J833" s="68">
        <v>11.55</v>
      </c>
      <c r="K833" s="68">
        <v>11.55</v>
      </c>
      <c r="L833">
        <f t="shared" si="12"/>
        <v>16.5</v>
      </c>
    </row>
    <row r="834" spans="4:12">
      <c r="D834" s="66">
        <v>46140</v>
      </c>
      <c r="E834" s="32">
        <v>1598615</v>
      </c>
      <c r="F834" s="32" t="s">
        <v>13</v>
      </c>
      <c r="G834" s="67">
        <v>20008204</v>
      </c>
      <c r="H834" s="32" t="s">
        <v>116</v>
      </c>
      <c r="I834" s="67">
        <v>1</v>
      </c>
      <c r="J834" s="68">
        <v>9.45</v>
      </c>
      <c r="K834" s="68">
        <v>9.45</v>
      </c>
      <c r="L834">
        <f t="shared" si="12"/>
        <v>13.5</v>
      </c>
    </row>
    <row r="835" spans="4:12">
      <c r="D835" s="66">
        <v>46140</v>
      </c>
      <c r="E835" s="32">
        <v>1598615</v>
      </c>
      <c r="F835" s="32" t="s">
        <v>13</v>
      </c>
      <c r="G835" s="67">
        <v>20012488</v>
      </c>
      <c r="H835" s="32" t="s">
        <v>340</v>
      </c>
      <c r="I835" s="67">
        <v>1</v>
      </c>
      <c r="J835" s="68">
        <v>5.6</v>
      </c>
      <c r="K835" s="68">
        <v>5.6</v>
      </c>
      <c r="L835">
        <f t="shared" si="12"/>
        <v>8</v>
      </c>
    </row>
    <row r="836" spans="4:12">
      <c r="D836" s="66">
        <v>46140</v>
      </c>
      <c r="E836" s="32">
        <v>1598615</v>
      </c>
      <c r="F836" s="32" t="s">
        <v>13</v>
      </c>
      <c r="G836" s="67">
        <v>20008747</v>
      </c>
      <c r="H836" s="32" t="s">
        <v>228</v>
      </c>
      <c r="I836" s="67">
        <v>5</v>
      </c>
      <c r="J836" s="68">
        <v>5.6</v>
      </c>
      <c r="K836" s="68">
        <v>28</v>
      </c>
      <c r="L836">
        <f t="shared" si="12"/>
        <v>8</v>
      </c>
    </row>
    <row r="837" spans="4:12">
      <c r="D837" s="66">
        <v>46140</v>
      </c>
      <c r="E837" s="32">
        <v>1598615</v>
      </c>
      <c r="F837" s="32" t="s">
        <v>180</v>
      </c>
      <c r="G837" s="67">
        <v>20362791</v>
      </c>
      <c r="H837" s="32" t="s">
        <v>181</v>
      </c>
      <c r="I837" s="67">
        <v>1</v>
      </c>
      <c r="J837" s="68">
        <v>24.5</v>
      </c>
      <c r="K837" s="68">
        <v>24.5</v>
      </c>
      <c r="L837">
        <f t="shared" si="12"/>
        <v>35</v>
      </c>
    </row>
    <row r="838" spans="4:12">
      <c r="D838" s="66">
        <v>46140</v>
      </c>
      <c r="E838" s="32">
        <v>1598615</v>
      </c>
      <c r="F838" s="32" t="s">
        <v>23</v>
      </c>
      <c r="G838" s="67">
        <v>20371759</v>
      </c>
      <c r="H838" s="32" t="s">
        <v>387</v>
      </c>
      <c r="I838" s="67">
        <v>1</v>
      </c>
      <c r="J838" s="68">
        <v>38.5</v>
      </c>
      <c r="K838" s="68">
        <v>38.5</v>
      </c>
      <c r="L838">
        <f t="shared" si="12"/>
        <v>55</v>
      </c>
    </row>
    <row r="839" spans="4:12">
      <c r="D839" s="66">
        <v>46140</v>
      </c>
      <c r="E839" s="32">
        <v>1598615</v>
      </c>
      <c r="F839" s="32" t="s">
        <v>25</v>
      </c>
      <c r="G839" s="67">
        <v>20318200</v>
      </c>
      <c r="H839" s="32" t="s">
        <v>388</v>
      </c>
      <c r="I839" s="67">
        <v>1</v>
      </c>
      <c r="J839" s="68">
        <v>11.55</v>
      </c>
      <c r="K839" s="68">
        <v>11.55</v>
      </c>
      <c r="L839">
        <f t="shared" si="12"/>
        <v>16.5</v>
      </c>
    </row>
    <row r="840" spans="4:12">
      <c r="D840" s="66">
        <v>46140</v>
      </c>
      <c r="E840" s="32">
        <v>1598615</v>
      </c>
      <c r="F840" s="32" t="s">
        <v>25</v>
      </c>
      <c r="G840" s="67">
        <v>20008214</v>
      </c>
      <c r="H840" s="32" t="s">
        <v>99</v>
      </c>
      <c r="I840" s="67">
        <v>3</v>
      </c>
      <c r="J840" s="68">
        <v>11.55</v>
      </c>
      <c r="K840" s="68">
        <v>34.65</v>
      </c>
      <c r="L840">
        <f t="shared" si="12"/>
        <v>16.5</v>
      </c>
    </row>
    <row r="841" spans="4:12">
      <c r="D841" s="66">
        <v>46140</v>
      </c>
      <c r="E841" s="32">
        <v>1598615</v>
      </c>
      <c r="F841" s="32" t="s">
        <v>25</v>
      </c>
      <c r="G841" s="67">
        <v>20007630</v>
      </c>
      <c r="H841" s="32" t="s">
        <v>389</v>
      </c>
      <c r="I841" s="67">
        <v>1</v>
      </c>
      <c r="J841" s="68">
        <v>23.1</v>
      </c>
      <c r="K841" s="68">
        <v>23.1</v>
      </c>
      <c r="L841">
        <f t="shared" si="12"/>
        <v>33</v>
      </c>
    </row>
    <row r="842" spans="4:12">
      <c r="D842" s="66">
        <v>46140</v>
      </c>
      <c r="E842" s="32">
        <v>1598615</v>
      </c>
      <c r="F842" s="32" t="s">
        <v>25</v>
      </c>
      <c r="G842" s="67">
        <v>20014204</v>
      </c>
      <c r="H842" s="32" t="s">
        <v>390</v>
      </c>
      <c r="I842" s="67">
        <v>1</v>
      </c>
      <c r="J842" s="68">
        <v>30.8</v>
      </c>
      <c r="K842" s="68">
        <v>30.8</v>
      </c>
      <c r="L842">
        <f t="shared" ref="L842:L905" si="13">J842/0.7</f>
        <v>44</v>
      </c>
    </row>
    <row r="843" spans="4:12">
      <c r="D843" s="66">
        <v>46140</v>
      </c>
      <c r="E843" s="32">
        <v>1598615</v>
      </c>
      <c r="F843" s="32" t="s">
        <v>25</v>
      </c>
      <c r="G843" s="67">
        <v>20326293</v>
      </c>
      <c r="H843" s="32" t="s">
        <v>302</v>
      </c>
      <c r="I843" s="67">
        <v>1</v>
      </c>
      <c r="J843" s="68">
        <v>11.55</v>
      </c>
      <c r="K843" s="68">
        <v>11.55</v>
      </c>
      <c r="L843">
        <f t="shared" si="13"/>
        <v>16.5</v>
      </c>
    </row>
    <row r="844" spans="4:12">
      <c r="D844" s="66">
        <v>46140</v>
      </c>
      <c r="E844" s="32">
        <v>1598615</v>
      </c>
      <c r="F844" s="32" t="s">
        <v>25</v>
      </c>
      <c r="G844" s="67">
        <v>20014106</v>
      </c>
      <c r="H844" s="32" t="s">
        <v>391</v>
      </c>
      <c r="I844" s="67">
        <v>1</v>
      </c>
      <c r="J844" s="68">
        <v>11.55</v>
      </c>
      <c r="K844" s="68">
        <v>11.55</v>
      </c>
      <c r="L844">
        <f t="shared" si="13"/>
        <v>16.5</v>
      </c>
    </row>
    <row r="845" spans="4:12">
      <c r="D845" s="66">
        <v>46140</v>
      </c>
      <c r="E845" s="32">
        <v>1598615</v>
      </c>
      <c r="F845" s="32" t="s">
        <v>25</v>
      </c>
      <c r="G845" s="67">
        <v>20371581</v>
      </c>
      <c r="H845" s="32" t="s">
        <v>392</v>
      </c>
      <c r="I845" s="67">
        <v>1</v>
      </c>
      <c r="J845" s="68">
        <v>42.35</v>
      </c>
      <c r="K845" s="68">
        <v>42.35</v>
      </c>
      <c r="L845">
        <f t="shared" si="13"/>
        <v>60.5</v>
      </c>
    </row>
    <row r="846" spans="4:12">
      <c r="D846" s="66">
        <v>46140</v>
      </c>
      <c r="E846" s="32">
        <v>1598615</v>
      </c>
      <c r="F846" s="32" t="s">
        <v>25</v>
      </c>
      <c r="G846" s="67">
        <v>20012460</v>
      </c>
      <c r="H846" s="32" t="s">
        <v>314</v>
      </c>
      <c r="I846" s="67">
        <v>1</v>
      </c>
      <c r="J846" s="68">
        <v>11.55</v>
      </c>
      <c r="K846" s="68">
        <v>11.55</v>
      </c>
      <c r="L846">
        <f t="shared" si="13"/>
        <v>16.5</v>
      </c>
    </row>
    <row r="847" spans="4:12">
      <c r="D847" s="66">
        <v>46140</v>
      </c>
      <c r="E847" s="32">
        <v>1598615</v>
      </c>
      <c r="F847" s="32" t="s">
        <v>25</v>
      </c>
      <c r="G847" s="67">
        <v>20394453</v>
      </c>
      <c r="H847" s="32" t="s">
        <v>393</v>
      </c>
      <c r="I847" s="67">
        <v>1</v>
      </c>
      <c r="J847" s="68">
        <v>42.35</v>
      </c>
      <c r="K847" s="68">
        <v>42.35</v>
      </c>
      <c r="L847">
        <f t="shared" si="13"/>
        <v>60.5</v>
      </c>
    </row>
    <row r="848" spans="4:12">
      <c r="D848" s="66">
        <v>46140</v>
      </c>
      <c r="E848" s="32">
        <v>1598615</v>
      </c>
      <c r="F848" s="32" t="s">
        <v>25</v>
      </c>
      <c r="G848" s="67">
        <v>20013636</v>
      </c>
      <c r="H848" s="32" t="s">
        <v>394</v>
      </c>
      <c r="I848" s="67">
        <v>1</v>
      </c>
      <c r="J848" s="68">
        <v>11.55</v>
      </c>
      <c r="K848" s="68">
        <v>11.55</v>
      </c>
      <c r="L848">
        <f t="shared" si="13"/>
        <v>16.5</v>
      </c>
    </row>
    <row r="849" spans="4:12">
      <c r="D849" s="66">
        <v>46140</v>
      </c>
      <c r="E849" s="32">
        <v>1598615</v>
      </c>
      <c r="F849" s="32" t="s">
        <v>25</v>
      </c>
      <c r="G849" s="67">
        <v>20008345</v>
      </c>
      <c r="H849" s="32" t="s">
        <v>131</v>
      </c>
      <c r="I849" s="67">
        <v>4</v>
      </c>
      <c r="J849" s="68">
        <v>19.25</v>
      </c>
      <c r="K849" s="68">
        <v>77</v>
      </c>
      <c r="L849">
        <f t="shared" si="13"/>
        <v>27.5</v>
      </c>
    </row>
    <row r="850" spans="4:12">
      <c r="D850" s="66">
        <v>46140</v>
      </c>
      <c r="E850" s="32">
        <v>1598615</v>
      </c>
      <c r="F850" s="32" t="s">
        <v>25</v>
      </c>
      <c r="G850" s="67">
        <v>20013617</v>
      </c>
      <c r="H850" s="32" t="s">
        <v>231</v>
      </c>
      <c r="I850" s="67">
        <v>1</v>
      </c>
      <c r="J850" s="68">
        <v>11.55</v>
      </c>
      <c r="K850" s="68">
        <v>11.55</v>
      </c>
      <c r="L850">
        <f t="shared" si="13"/>
        <v>16.5</v>
      </c>
    </row>
    <row r="851" spans="4:12">
      <c r="D851" s="66">
        <v>46140</v>
      </c>
      <c r="E851" s="32">
        <v>1598669</v>
      </c>
      <c r="F851" s="32" t="s">
        <v>13</v>
      </c>
      <c r="G851" s="67">
        <v>20373854</v>
      </c>
      <c r="H851" s="32" t="s">
        <v>395</v>
      </c>
      <c r="I851" s="67">
        <v>3</v>
      </c>
      <c r="J851" s="68">
        <v>5.6</v>
      </c>
      <c r="K851" s="68">
        <v>16.8</v>
      </c>
      <c r="L851">
        <f t="shared" si="13"/>
        <v>8</v>
      </c>
    </row>
    <row r="852" spans="4:12">
      <c r="D852" s="66">
        <v>46140</v>
      </c>
      <c r="E852" s="32">
        <v>1598669</v>
      </c>
      <c r="F852" s="32" t="s">
        <v>27</v>
      </c>
      <c r="G852" s="67">
        <v>20338493</v>
      </c>
      <c r="H852" s="32" t="s">
        <v>259</v>
      </c>
      <c r="I852" s="67">
        <v>3</v>
      </c>
      <c r="J852" s="68">
        <v>17.5</v>
      </c>
      <c r="K852" s="68">
        <v>52.5</v>
      </c>
      <c r="L852">
        <f t="shared" si="13"/>
        <v>25</v>
      </c>
    </row>
    <row r="853" spans="4:12">
      <c r="D853" s="66">
        <v>46140</v>
      </c>
      <c r="E853" s="32">
        <v>1598669</v>
      </c>
      <c r="F853" s="32" t="s">
        <v>27</v>
      </c>
      <c r="G853" s="67">
        <v>20012912</v>
      </c>
      <c r="H853" s="32" t="s">
        <v>396</v>
      </c>
      <c r="I853" s="67">
        <v>3</v>
      </c>
      <c r="J853" s="68">
        <v>77</v>
      </c>
      <c r="K853" s="68">
        <v>231</v>
      </c>
      <c r="L853">
        <f t="shared" si="13"/>
        <v>110</v>
      </c>
    </row>
    <row r="854" spans="4:12">
      <c r="D854" s="66">
        <v>46140</v>
      </c>
      <c r="E854" s="32">
        <v>1598669</v>
      </c>
      <c r="F854" s="32" t="s">
        <v>27</v>
      </c>
      <c r="G854" s="67">
        <v>20313974</v>
      </c>
      <c r="H854" s="32" t="s">
        <v>185</v>
      </c>
      <c r="I854" s="67">
        <v>2</v>
      </c>
      <c r="J854" s="68">
        <v>30.8</v>
      </c>
      <c r="K854" s="68">
        <v>61.6</v>
      </c>
      <c r="L854">
        <f t="shared" si="13"/>
        <v>44</v>
      </c>
    </row>
    <row r="855" spans="4:12">
      <c r="D855" s="66">
        <v>46140</v>
      </c>
      <c r="E855" s="32">
        <v>1598669</v>
      </c>
      <c r="F855" s="32" t="s">
        <v>27</v>
      </c>
      <c r="G855" s="67">
        <v>20006893</v>
      </c>
      <c r="H855" s="32" t="s">
        <v>397</v>
      </c>
      <c r="I855" s="67">
        <v>1</v>
      </c>
      <c r="J855" s="68">
        <v>107.8</v>
      </c>
      <c r="K855" s="68">
        <v>107.8</v>
      </c>
      <c r="L855">
        <f t="shared" si="13"/>
        <v>154</v>
      </c>
    </row>
    <row r="856" spans="4:12">
      <c r="D856" s="66">
        <v>46140</v>
      </c>
      <c r="E856" s="32">
        <v>1598669</v>
      </c>
      <c r="F856" s="32" t="s">
        <v>27</v>
      </c>
      <c r="G856" s="67">
        <v>20007652</v>
      </c>
      <c r="H856" s="32" t="s">
        <v>398</v>
      </c>
      <c r="I856" s="67">
        <v>1</v>
      </c>
      <c r="J856" s="68">
        <v>46.2</v>
      </c>
      <c r="K856" s="68">
        <v>46.2</v>
      </c>
      <c r="L856">
        <f t="shared" si="13"/>
        <v>66</v>
      </c>
    </row>
    <row r="857" spans="4:12">
      <c r="D857" s="66">
        <v>46140</v>
      </c>
      <c r="E857" s="32">
        <v>1598669</v>
      </c>
      <c r="F857" s="32" t="s">
        <v>27</v>
      </c>
      <c r="G857" s="67">
        <v>20006853</v>
      </c>
      <c r="H857" s="32" t="s">
        <v>186</v>
      </c>
      <c r="I857" s="67">
        <v>2</v>
      </c>
      <c r="J857" s="68">
        <v>24.5</v>
      </c>
      <c r="K857" s="68">
        <v>49</v>
      </c>
      <c r="L857">
        <f t="shared" si="13"/>
        <v>35</v>
      </c>
    </row>
    <row r="858" spans="4:12">
      <c r="D858" s="66">
        <v>46140</v>
      </c>
      <c r="E858" s="32">
        <v>1598669</v>
      </c>
      <c r="F858" s="32" t="s">
        <v>27</v>
      </c>
      <c r="G858" s="67">
        <v>20388302</v>
      </c>
      <c r="H858" s="32" t="s">
        <v>202</v>
      </c>
      <c r="I858" s="67">
        <v>1</v>
      </c>
      <c r="J858" s="68">
        <v>24.5</v>
      </c>
      <c r="K858" s="68">
        <v>24.5</v>
      </c>
      <c r="L858">
        <f t="shared" si="13"/>
        <v>35</v>
      </c>
    </row>
    <row r="859" spans="4:12">
      <c r="D859" s="66">
        <v>46140</v>
      </c>
      <c r="E859" s="32">
        <v>1598669</v>
      </c>
      <c r="F859" s="32" t="s">
        <v>27</v>
      </c>
      <c r="G859" s="67">
        <v>20390607</v>
      </c>
      <c r="H859" s="32" t="s">
        <v>351</v>
      </c>
      <c r="I859" s="67">
        <v>1</v>
      </c>
      <c r="J859" s="68">
        <v>24.5</v>
      </c>
      <c r="K859" s="68">
        <v>24.5</v>
      </c>
      <c r="L859">
        <f t="shared" si="13"/>
        <v>35</v>
      </c>
    </row>
    <row r="860" spans="4:12">
      <c r="D860" s="66">
        <v>46140</v>
      </c>
      <c r="E860" s="32">
        <v>1598669</v>
      </c>
      <c r="F860" s="32" t="s">
        <v>27</v>
      </c>
      <c r="G860" s="67">
        <v>20400917</v>
      </c>
      <c r="H860" s="32" t="s">
        <v>188</v>
      </c>
      <c r="I860" s="67">
        <v>2</v>
      </c>
      <c r="J860" s="68">
        <v>17.5</v>
      </c>
      <c r="K860" s="68">
        <v>35</v>
      </c>
      <c r="L860">
        <f t="shared" si="13"/>
        <v>25</v>
      </c>
    </row>
    <row r="861" spans="4:12">
      <c r="D861" s="66">
        <v>46140</v>
      </c>
      <c r="E861" s="32">
        <v>1598669</v>
      </c>
      <c r="F861" s="32" t="s">
        <v>27</v>
      </c>
      <c r="G861" s="67">
        <v>20008386</v>
      </c>
      <c r="H861" s="32" t="s">
        <v>399</v>
      </c>
      <c r="I861" s="67">
        <v>1</v>
      </c>
      <c r="J861" s="68">
        <v>19.6</v>
      </c>
      <c r="K861" s="68">
        <v>19.6</v>
      </c>
      <c r="L861">
        <f t="shared" si="13"/>
        <v>28</v>
      </c>
    </row>
    <row r="862" spans="4:12">
      <c r="D862" s="66">
        <v>46140</v>
      </c>
      <c r="E862" s="32">
        <v>1598669</v>
      </c>
      <c r="F862" s="32" t="s">
        <v>27</v>
      </c>
      <c r="G862" s="67">
        <v>20399832</v>
      </c>
      <c r="H862" s="32" t="s">
        <v>400</v>
      </c>
      <c r="I862" s="67">
        <v>1</v>
      </c>
      <c r="J862" s="68">
        <v>24.5</v>
      </c>
      <c r="K862" s="68">
        <v>24.5</v>
      </c>
      <c r="L862">
        <f t="shared" si="13"/>
        <v>35</v>
      </c>
    </row>
    <row r="863" spans="4:12">
      <c r="D863" s="66">
        <v>46140</v>
      </c>
      <c r="E863" s="32">
        <v>1598669</v>
      </c>
      <c r="F863" s="32" t="s">
        <v>27</v>
      </c>
      <c r="G863" s="67">
        <v>20423241</v>
      </c>
      <c r="H863" s="32" t="s">
        <v>401</v>
      </c>
      <c r="I863" s="67">
        <v>1</v>
      </c>
      <c r="J863" s="68">
        <v>61.6</v>
      </c>
      <c r="K863" s="68">
        <v>61.6</v>
      </c>
      <c r="L863">
        <f t="shared" si="13"/>
        <v>88</v>
      </c>
    </row>
    <row r="864" spans="4:12">
      <c r="D864" s="66">
        <v>46140</v>
      </c>
      <c r="E864" s="32">
        <v>1598669</v>
      </c>
      <c r="F864" s="32" t="s">
        <v>27</v>
      </c>
      <c r="G864" s="67">
        <v>20423240</v>
      </c>
      <c r="H864" s="32" t="s">
        <v>402</v>
      </c>
      <c r="I864" s="67">
        <v>1</v>
      </c>
      <c r="J864" s="68">
        <v>17.5</v>
      </c>
      <c r="K864" s="68">
        <v>17.5</v>
      </c>
      <c r="L864">
        <f t="shared" si="13"/>
        <v>25</v>
      </c>
    </row>
    <row r="865" spans="4:12">
      <c r="D865" s="66">
        <v>46140</v>
      </c>
      <c r="E865" s="32">
        <v>1598669</v>
      </c>
      <c r="F865" s="32" t="s">
        <v>27</v>
      </c>
      <c r="G865" s="67">
        <v>20423239</v>
      </c>
      <c r="H865" s="32" t="s">
        <v>403</v>
      </c>
      <c r="I865" s="67">
        <v>1</v>
      </c>
      <c r="J865" s="68">
        <v>19.6</v>
      </c>
      <c r="K865" s="68">
        <v>19.6</v>
      </c>
      <c r="L865">
        <f t="shared" si="13"/>
        <v>28</v>
      </c>
    </row>
    <row r="866" spans="4:12">
      <c r="D866" s="66">
        <v>46140</v>
      </c>
      <c r="E866" s="32">
        <v>1598669</v>
      </c>
      <c r="F866" s="32" t="s">
        <v>27</v>
      </c>
      <c r="G866" s="67">
        <v>20423238</v>
      </c>
      <c r="H866" s="32" t="s">
        <v>404</v>
      </c>
      <c r="I866" s="67">
        <v>1</v>
      </c>
      <c r="J866" s="68">
        <v>19.6</v>
      </c>
      <c r="K866" s="68">
        <v>19.6</v>
      </c>
      <c r="L866">
        <f t="shared" si="13"/>
        <v>28</v>
      </c>
    </row>
    <row r="867" spans="4:12">
      <c r="D867" s="66">
        <v>46140</v>
      </c>
      <c r="E867" s="32">
        <v>1598669</v>
      </c>
      <c r="F867" s="32" t="s">
        <v>27</v>
      </c>
      <c r="G867" s="67">
        <v>20008389</v>
      </c>
      <c r="H867" s="32" t="s">
        <v>203</v>
      </c>
      <c r="I867" s="67">
        <v>1</v>
      </c>
      <c r="J867" s="68">
        <v>17.5</v>
      </c>
      <c r="K867" s="68">
        <v>17.5</v>
      </c>
      <c r="L867">
        <f t="shared" si="13"/>
        <v>25</v>
      </c>
    </row>
    <row r="868" spans="4:12">
      <c r="D868" s="66">
        <v>46140</v>
      </c>
      <c r="E868" s="32">
        <v>1598669</v>
      </c>
      <c r="F868" s="32" t="s">
        <v>27</v>
      </c>
      <c r="G868" s="67">
        <v>20006863</v>
      </c>
      <c r="H868" s="32" t="s">
        <v>204</v>
      </c>
      <c r="I868" s="67">
        <v>1</v>
      </c>
      <c r="J868" s="68">
        <v>24.5</v>
      </c>
      <c r="K868" s="68">
        <v>24.5</v>
      </c>
      <c r="L868">
        <f t="shared" si="13"/>
        <v>35</v>
      </c>
    </row>
    <row r="869" spans="4:12">
      <c r="D869" s="66">
        <v>46140</v>
      </c>
      <c r="E869" s="32">
        <v>1598669</v>
      </c>
      <c r="F869" s="32" t="s">
        <v>27</v>
      </c>
      <c r="G869" s="67">
        <v>20007639</v>
      </c>
      <c r="H869" s="32" t="s">
        <v>189</v>
      </c>
      <c r="I869" s="67">
        <v>2</v>
      </c>
      <c r="J869" s="68">
        <v>19.6</v>
      </c>
      <c r="K869" s="68">
        <v>39.2</v>
      </c>
      <c r="L869">
        <f t="shared" si="13"/>
        <v>28</v>
      </c>
    </row>
    <row r="870" spans="4:12">
      <c r="D870" s="66">
        <v>46140</v>
      </c>
      <c r="E870" s="32">
        <v>1598669</v>
      </c>
      <c r="F870" s="32" t="s">
        <v>27</v>
      </c>
      <c r="G870" s="67">
        <v>20009272</v>
      </c>
      <c r="H870" s="32" t="s">
        <v>261</v>
      </c>
      <c r="I870" s="67">
        <v>3</v>
      </c>
      <c r="J870" s="68">
        <v>19.6</v>
      </c>
      <c r="K870" s="68">
        <v>58.8</v>
      </c>
      <c r="L870">
        <f t="shared" si="13"/>
        <v>28</v>
      </c>
    </row>
    <row r="871" spans="4:12">
      <c r="D871" s="66">
        <v>46140</v>
      </c>
      <c r="E871" s="32">
        <v>1598669</v>
      </c>
      <c r="F871" s="32" t="s">
        <v>27</v>
      </c>
      <c r="G871" s="67">
        <v>20007638</v>
      </c>
      <c r="H871" s="32" t="s">
        <v>190</v>
      </c>
      <c r="I871" s="67">
        <v>2</v>
      </c>
      <c r="J871" s="68">
        <v>19.6</v>
      </c>
      <c r="K871" s="68">
        <v>39.2</v>
      </c>
      <c r="L871">
        <f t="shared" si="13"/>
        <v>28</v>
      </c>
    </row>
    <row r="872" spans="4:12">
      <c r="D872" s="66">
        <v>46140</v>
      </c>
      <c r="E872" s="32">
        <v>1598669</v>
      </c>
      <c r="F872" s="32" t="s">
        <v>27</v>
      </c>
      <c r="G872" s="67">
        <v>20008639</v>
      </c>
      <c r="H872" s="32" t="s">
        <v>191</v>
      </c>
      <c r="I872" s="67">
        <v>2</v>
      </c>
      <c r="J872" s="68">
        <v>17.5</v>
      </c>
      <c r="K872" s="68">
        <v>35</v>
      </c>
      <c r="L872">
        <f t="shared" si="13"/>
        <v>25</v>
      </c>
    </row>
    <row r="873" spans="4:12">
      <c r="D873" s="66">
        <v>46140</v>
      </c>
      <c r="E873" s="32">
        <v>1598669</v>
      </c>
      <c r="F873" s="32" t="s">
        <v>27</v>
      </c>
      <c r="G873" s="67">
        <v>20397472</v>
      </c>
      <c r="H873" s="32" t="s">
        <v>270</v>
      </c>
      <c r="I873" s="67">
        <v>1</v>
      </c>
      <c r="J873" s="68">
        <v>15.4</v>
      </c>
      <c r="K873" s="68">
        <v>15.4</v>
      </c>
      <c r="L873">
        <f t="shared" si="13"/>
        <v>22</v>
      </c>
    </row>
    <row r="874" spans="4:12">
      <c r="D874" s="66">
        <v>46140</v>
      </c>
      <c r="E874" s="32">
        <v>1598669</v>
      </c>
      <c r="F874" s="32" t="s">
        <v>27</v>
      </c>
      <c r="G874" s="67">
        <v>20395277</v>
      </c>
      <c r="H874" s="32" t="s">
        <v>405</v>
      </c>
      <c r="I874" s="67">
        <v>1</v>
      </c>
      <c r="J874" s="68">
        <v>15.4</v>
      </c>
      <c r="K874" s="68">
        <v>15.4</v>
      </c>
      <c r="L874">
        <f t="shared" si="13"/>
        <v>22</v>
      </c>
    </row>
    <row r="875" spans="4:12">
      <c r="D875" s="66">
        <v>46140</v>
      </c>
      <c r="E875" s="32">
        <v>1598669</v>
      </c>
      <c r="F875" s="32" t="s">
        <v>406</v>
      </c>
      <c r="G875" s="67">
        <v>20345890</v>
      </c>
      <c r="H875" s="32" t="s">
        <v>407</v>
      </c>
      <c r="I875" s="67">
        <v>1</v>
      </c>
      <c r="J875" s="68">
        <v>210</v>
      </c>
      <c r="K875" s="68">
        <v>210</v>
      </c>
      <c r="L875">
        <f t="shared" si="13"/>
        <v>300</v>
      </c>
    </row>
    <row r="876" spans="4:12">
      <c r="D876" s="66">
        <v>46140</v>
      </c>
      <c r="E876" s="32">
        <v>1598669</v>
      </c>
      <c r="F876" s="32" t="s">
        <v>69</v>
      </c>
      <c r="G876" s="67">
        <v>20397473</v>
      </c>
      <c r="H876" s="32" t="s">
        <v>372</v>
      </c>
      <c r="I876" s="67">
        <v>1</v>
      </c>
      <c r="J876" s="68">
        <v>19.6</v>
      </c>
      <c r="K876" s="68">
        <v>19.6</v>
      </c>
      <c r="L876">
        <f t="shared" si="13"/>
        <v>28</v>
      </c>
    </row>
    <row r="877" spans="4:12">
      <c r="D877" s="66">
        <v>46140</v>
      </c>
      <c r="E877" s="32">
        <v>1598669</v>
      </c>
      <c r="F877" s="32" t="s">
        <v>69</v>
      </c>
      <c r="G877" s="67">
        <v>20395507</v>
      </c>
      <c r="H877" s="32" t="s">
        <v>192</v>
      </c>
      <c r="I877" s="67">
        <v>1</v>
      </c>
      <c r="J877" s="68">
        <v>19.6</v>
      </c>
      <c r="K877" s="68">
        <v>19.6</v>
      </c>
      <c r="L877">
        <f t="shared" si="13"/>
        <v>28</v>
      </c>
    </row>
    <row r="878" spans="4:12">
      <c r="D878" s="66">
        <v>46140</v>
      </c>
      <c r="E878" s="32">
        <v>1598669</v>
      </c>
      <c r="F878" s="32" t="s">
        <v>69</v>
      </c>
      <c r="G878" s="67">
        <v>20008210</v>
      </c>
      <c r="H878" s="32" t="s">
        <v>272</v>
      </c>
      <c r="I878" s="67">
        <v>1</v>
      </c>
      <c r="J878" s="68">
        <v>19.6</v>
      </c>
      <c r="K878" s="68">
        <v>19.6</v>
      </c>
      <c r="L878">
        <f t="shared" si="13"/>
        <v>28</v>
      </c>
    </row>
    <row r="879" spans="4:12">
      <c r="D879" s="66">
        <v>46140</v>
      </c>
      <c r="E879" s="32">
        <v>1598669</v>
      </c>
      <c r="F879" s="32" t="s">
        <v>69</v>
      </c>
      <c r="G879" s="67">
        <v>20327637</v>
      </c>
      <c r="H879" s="32" t="s">
        <v>408</v>
      </c>
      <c r="I879" s="67">
        <v>1</v>
      </c>
      <c r="J879" s="68">
        <v>19.6</v>
      </c>
      <c r="K879" s="68">
        <v>19.6</v>
      </c>
      <c r="L879">
        <f t="shared" si="13"/>
        <v>28</v>
      </c>
    </row>
    <row r="880" spans="4:12">
      <c r="D880" s="66">
        <v>46140</v>
      </c>
      <c r="E880" s="32">
        <v>1598669</v>
      </c>
      <c r="F880" s="32" t="s">
        <v>69</v>
      </c>
      <c r="G880" s="67">
        <v>20011943</v>
      </c>
      <c r="H880" s="32" t="s">
        <v>409</v>
      </c>
      <c r="I880" s="67">
        <v>1</v>
      </c>
      <c r="J880" s="68">
        <v>192.5</v>
      </c>
      <c r="K880" s="68">
        <v>192.5</v>
      </c>
      <c r="L880">
        <f t="shared" si="13"/>
        <v>275</v>
      </c>
    </row>
    <row r="881" spans="4:12">
      <c r="D881" s="66">
        <v>46140</v>
      </c>
      <c r="E881" s="32">
        <v>1598669</v>
      </c>
      <c r="F881" s="32" t="s">
        <v>69</v>
      </c>
      <c r="G881" s="67">
        <v>20013036</v>
      </c>
      <c r="H881" s="32" t="s">
        <v>206</v>
      </c>
      <c r="I881" s="67">
        <v>1</v>
      </c>
      <c r="J881" s="68">
        <v>30.8</v>
      </c>
      <c r="K881" s="68">
        <v>30.8</v>
      </c>
      <c r="L881">
        <f t="shared" si="13"/>
        <v>44</v>
      </c>
    </row>
    <row r="882" spans="4:12">
      <c r="D882" s="66">
        <v>46140</v>
      </c>
      <c r="E882" s="32">
        <v>1598711</v>
      </c>
      <c r="F882" s="32" t="s">
        <v>16</v>
      </c>
      <c r="G882" s="67">
        <v>20008764</v>
      </c>
      <c r="H882" s="32" t="s">
        <v>353</v>
      </c>
      <c r="I882" s="67">
        <v>1</v>
      </c>
      <c r="J882" s="68">
        <v>210</v>
      </c>
      <c r="K882" s="68">
        <v>210</v>
      </c>
      <c r="L882">
        <f t="shared" si="13"/>
        <v>300</v>
      </c>
    </row>
    <row r="883" spans="4:12">
      <c r="D883" s="66">
        <v>46140</v>
      </c>
      <c r="E883" s="32">
        <v>1598711</v>
      </c>
      <c r="F883" s="32" t="s">
        <v>410</v>
      </c>
      <c r="G883" s="67">
        <v>20012843</v>
      </c>
      <c r="H883" s="32" t="s">
        <v>411</v>
      </c>
      <c r="I883" s="67">
        <v>1</v>
      </c>
      <c r="J883" s="68">
        <v>210</v>
      </c>
      <c r="K883" s="68">
        <v>210</v>
      </c>
      <c r="L883">
        <f t="shared" si="13"/>
        <v>300</v>
      </c>
    </row>
    <row r="884" spans="4:12">
      <c r="D884" s="66">
        <v>46140</v>
      </c>
      <c r="E884" s="32">
        <v>1598790</v>
      </c>
      <c r="F884" s="32" t="s">
        <v>36</v>
      </c>
      <c r="G884" s="67">
        <v>20007715</v>
      </c>
      <c r="H884" s="32" t="s">
        <v>193</v>
      </c>
      <c r="I884" s="67">
        <v>1</v>
      </c>
      <c r="J884" s="68">
        <v>180.95</v>
      </c>
      <c r="K884" s="68">
        <v>180.95</v>
      </c>
      <c r="L884">
        <f t="shared" si="13"/>
        <v>258.5</v>
      </c>
    </row>
    <row r="885" spans="4:12">
      <c r="D885" s="66">
        <v>46140</v>
      </c>
      <c r="E885" s="32">
        <v>1598994</v>
      </c>
      <c r="F885" s="32" t="s">
        <v>36</v>
      </c>
      <c r="G885" s="67">
        <v>20309409</v>
      </c>
      <c r="H885" s="32" t="s">
        <v>256</v>
      </c>
      <c r="I885" s="67">
        <v>1</v>
      </c>
      <c r="J885" s="68">
        <v>100.1</v>
      </c>
      <c r="K885" s="68">
        <v>100.1</v>
      </c>
      <c r="L885">
        <f t="shared" si="13"/>
        <v>143</v>
      </c>
    </row>
    <row r="886" spans="4:12">
      <c r="D886" s="66">
        <v>46140</v>
      </c>
      <c r="E886" s="32">
        <v>1598994</v>
      </c>
      <c r="F886" s="32" t="s">
        <v>36</v>
      </c>
      <c r="G886" s="67">
        <v>20011908</v>
      </c>
      <c r="H886" s="32" t="s">
        <v>171</v>
      </c>
      <c r="I886" s="67">
        <v>1</v>
      </c>
      <c r="J886" s="68">
        <v>284.9</v>
      </c>
      <c r="K886" s="68">
        <v>284.9</v>
      </c>
      <c r="L886">
        <f t="shared" si="13"/>
        <v>407</v>
      </c>
    </row>
    <row r="887" spans="4:12">
      <c r="D887" s="66">
        <v>46140</v>
      </c>
      <c r="E887" s="32">
        <v>1598994</v>
      </c>
      <c r="F887" s="32" t="s">
        <v>36</v>
      </c>
      <c r="G887" s="67">
        <v>20006867</v>
      </c>
      <c r="H887" s="32" t="s">
        <v>215</v>
      </c>
      <c r="I887" s="67">
        <v>1</v>
      </c>
      <c r="J887" s="68">
        <v>246.4</v>
      </c>
      <c r="K887" s="68">
        <v>246.4</v>
      </c>
      <c r="L887">
        <f t="shared" si="13"/>
        <v>352</v>
      </c>
    </row>
    <row r="888" spans="4:12">
      <c r="D888" s="66">
        <v>46140</v>
      </c>
      <c r="E888" s="32">
        <v>1598994</v>
      </c>
      <c r="F888" s="32" t="s">
        <v>36</v>
      </c>
      <c r="G888" s="67">
        <v>20007715</v>
      </c>
      <c r="H888" s="32" t="s">
        <v>193</v>
      </c>
      <c r="I888" s="67">
        <v>1</v>
      </c>
      <c r="J888" s="68">
        <v>180.95</v>
      </c>
      <c r="K888" s="68">
        <v>180.95</v>
      </c>
      <c r="L888">
        <f t="shared" si="13"/>
        <v>258.5</v>
      </c>
    </row>
    <row r="889" spans="4:12">
      <c r="D889" s="66">
        <v>46140</v>
      </c>
      <c r="E889" s="32">
        <v>1598994</v>
      </c>
      <c r="F889" s="32" t="s">
        <v>36</v>
      </c>
      <c r="G889" s="67">
        <v>20008128</v>
      </c>
      <c r="H889" s="32" t="s">
        <v>174</v>
      </c>
      <c r="I889" s="67">
        <v>2</v>
      </c>
      <c r="J889" s="68">
        <v>130.9</v>
      </c>
      <c r="K889" s="68">
        <v>261.8</v>
      </c>
      <c r="L889">
        <f t="shared" si="13"/>
        <v>187</v>
      </c>
    </row>
    <row r="890" spans="4:12">
      <c r="D890" s="66">
        <v>46140</v>
      </c>
      <c r="E890" s="32">
        <v>1598994</v>
      </c>
      <c r="F890" s="32" t="s">
        <v>36</v>
      </c>
      <c r="G890" s="67">
        <v>20311037</v>
      </c>
      <c r="H890" s="32" t="s">
        <v>194</v>
      </c>
      <c r="I890" s="67">
        <v>1</v>
      </c>
      <c r="J890" s="68">
        <v>53.55</v>
      </c>
      <c r="K890" s="68">
        <v>53.55</v>
      </c>
      <c r="L890">
        <f t="shared" si="13"/>
        <v>76.5</v>
      </c>
    </row>
    <row r="891" spans="4:12">
      <c r="D891" s="66">
        <v>46140</v>
      </c>
      <c r="E891" s="32">
        <v>1598994</v>
      </c>
      <c r="F891" s="32" t="s">
        <v>25</v>
      </c>
      <c r="G891" s="67">
        <v>20008214</v>
      </c>
      <c r="H891" s="32" t="s">
        <v>99</v>
      </c>
      <c r="I891" s="67">
        <v>4</v>
      </c>
      <c r="J891" s="68">
        <v>11.55</v>
      </c>
      <c r="K891" s="68">
        <v>46.2</v>
      </c>
      <c r="L891">
        <f t="shared" si="13"/>
        <v>16.5</v>
      </c>
    </row>
    <row r="892" spans="4:12">
      <c r="D892" s="66">
        <v>46140</v>
      </c>
      <c r="E892" s="32">
        <v>1598994</v>
      </c>
      <c r="F892" s="32" t="s">
        <v>25</v>
      </c>
      <c r="G892" s="67">
        <v>20011148</v>
      </c>
      <c r="H892" s="32" t="s">
        <v>412</v>
      </c>
      <c r="I892" s="67">
        <v>1</v>
      </c>
      <c r="J892" s="68">
        <v>11.55</v>
      </c>
      <c r="K892" s="68">
        <v>11.55</v>
      </c>
      <c r="L892">
        <f t="shared" si="13"/>
        <v>16.5</v>
      </c>
    </row>
    <row r="893" spans="4:12">
      <c r="D893" s="66">
        <v>46140</v>
      </c>
      <c r="E893" s="32">
        <v>1598994</v>
      </c>
      <c r="F893" s="32" t="s">
        <v>25</v>
      </c>
      <c r="G893" s="67">
        <v>20008345</v>
      </c>
      <c r="H893" s="32" t="s">
        <v>131</v>
      </c>
      <c r="I893" s="67">
        <v>5</v>
      </c>
      <c r="J893" s="68">
        <v>19.25</v>
      </c>
      <c r="K893" s="68">
        <v>96.25</v>
      </c>
      <c r="L893">
        <f t="shared" si="13"/>
        <v>27.5</v>
      </c>
    </row>
    <row r="894" spans="4:12">
      <c r="D894" s="66">
        <v>46140</v>
      </c>
      <c r="E894" s="32">
        <v>1598994</v>
      </c>
      <c r="F894" s="32" t="s">
        <v>25</v>
      </c>
      <c r="G894" s="67">
        <v>20347868</v>
      </c>
      <c r="H894" s="32" t="s">
        <v>303</v>
      </c>
      <c r="I894" s="67">
        <v>1</v>
      </c>
      <c r="J894" s="68">
        <v>11.55</v>
      </c>
      <c r="K894" s="68">
        <v>11.55</v>
      </c>
      <c r="L894">
        <f t="shared" si="13"/>
        <v>16.5</v>
      </c>
    </row>
    <row r="895" spans="4:12">
      <c r="D895" s="66">
        <v>46140</v>
      </c>
      <c r="E895" s="32">
        <v>1599004</v>
      </c>
      <c r="F895" s="32" t="s">
        <v>36</v>
      </c>
      <c r="G895" s="67">
        <v>20008128</v>
      </c>
      <c r="H895" s="32" t="s">
        <v>174</v>
      </c>
      <c r="I895" s="67">
        <v>1</v>
      </c>
      <c r="J895" s="68">
        <v>130.9</v>
      </c>
      <c r="K895" s="68">
        <v>130.9</v>
      </c>
      <c r="L895">
        <f t="shared" si="13"/>
        <v>187</v>
      </c>
    </row>
    <row r="896" spans="4:12">
      <c r="D896" s="66">
        <v>46140</v>
      </c>
      <c r="E896" s="32">
        <v>1599004</v>
      </c>
      <c r="F896" s="32" t="s">
        <v>180</v>
      </c>
      <c r="G896" s="67">
        <v>20362791</v>
      </c>
      <c r="H896" s="32" t="s">
        <v>181</v>
      </c>
      <c r="I896" s="67">
        <v>1</v>
      </c>
      <c r="J896" s="68">
        <v>24.5</v>
      </c>
      <c r="K896" s="68">
        <v>24.5</v>
      </c>
      <c r="L896">
        <f t="shared" si="13"/>
        <v>35</v>
      </c>
    </row>
    <row r="897" spans="4:12">
      <c r="D897" s="66">
        <v>46141</v>
      </c>
      <c r="E897" s="32">
        <v>1599073</v>
      </c>
      <c r="F897" s="32" t="s">
        <v>13</v>
      </c>
      <c r="G897" s="67">
        <v>20398427</v>
      </c>
      <c r="H897" s="32" t="s">
        <v>218</v>
      </c>
      <c r="I897" s="67">
        <v>5</v>
      </c>
      <c r="J897" s="68">
        <v>7.35</v>
      </c>
      <c r="K897" s="68">
        <v>36.75</v>
      </c>
      <c r="L897">
        <f t="shared" si="13"/>
        <v>10.5</v>
      </c>
    </row>
    <row r="898" spans="4:12">
      <c r="D898" s="66">
        <v>46141</v>
      </c>
      <c r="E898" s="32">
        <v>1599073</v>
      </c>
      <c r="F898" s="32" t="s">
        <v>13</v>
      </c>
      <c r="G898" s="67">
        <v>20012489</v>
      </c>
      <c r="H898" s="32" t="s">
        <v>75</v>
      </c>
      <c r="I898" s="67">
        <v>1</v>
      </c>
      <c r="J898" s="68">
        <v>5.6</v>
      </c>
      <c r="K898" s="68">
        <v>5.6</v>
      </c>
      <c r="L898">
        <f t="shared" si="13"/>
        <v>8</v>
      </c>
    </row>
    <row r="899" spans="4:12">
      <c r="D899" s="66">
        <v>46141</v>
      </c>
      <c r="E899" s="32">
        <v>1599073</v>
      </c>
      <c r="F899" s="32" t="s">
        <v>13</v>
      </c>
      <c r="G899" s="67">
        <v>20316841</v>
      </c>
      <c r="H899" s="32" t="s">
        <v>220</v>
      </c>
      <c r="I899" s="67">
        <v>8</v>
      </c>
      <c r="J899" s="68">
        <v>7.35</v>
      </c>
      <c r="K899" s="68">
        <v>58.8</v>
      </c>
      <c r="L899">
        <f t="shared" si="13"/>
        <v>10.5</v>
      </c>
    </row>
    <row r="900" spans="4:12">
      <c r="D900" s="66">
        <v>46141</v>
      </c>
      <c r="E900" s="32">
        <v>1599073</v>
      </c>
      <c r="F900" s="32" t="s">
        <v>13</v>
      </c>
      <c r="G900" s="67">
        <v>20345685</v>
      </c>
      <c r="H900" s="32" t="s">
        <v>123</v>
      </c>
      <c r="I900" s="67">
        <v>1</v>
      </c>
      <c r="J900" s="68">
        <v>5.6</v>
      </c>
      <c r="K900" s="68">
        <v>5.6</v>
      </c>
      <c r="L900">
        <f t="shared" si="13"/>
        <v>8</v>
      </c>
    </row>
    <row r="901" spans="4:12">
      <c r="D901" s="66">
        <v>46141</v>
      </c>
      <c r="E901" s="32">
        <v>1599073</v>
      </c>
      <c r="F901" s="32" t="s">
        <v>13</v>
      </c>
      <c r="G901" s="67">
        <v>20376042</v>
      </c>
      <c r="H901" s="32" t="s">
        <v>196</v>
      </c>
      <c r="I901" s="67">
        <v>1</v>
      </c>
      <c r="J901" s="68">
        <v>5.6</v>
      </c>
      <c r="K901" s="68">
        <v>5.6</v>
      </c>
      <c r="L901">
        <f t="shared" si="13"/>
        <v>8</v>
      </c>
    </row>
    <row r="902" spans="4:12">
      <c r="D902" s="66">
        <v>46141</v>
      </c>
      <c r="E902" s="32">
        <v>1599073</v>
      </c>
      <c r="F902" s="32" t="s">
        <v>13</v>
      </c>
      <c r="G902" s="67">
        <v>20417765</v>
      </c>
      <c r="H902" s="32" t="s">
        <v>354</v>
      </c>
      <c r="I902" s="67">
        <v>1</v>
      </c>
      <c r="J902" s="68">
        <v>5.6</v>
      </c>
      <c r="K902" s="68">
        <v>5.6</v>
      </c>
      <c r="L902">
        <f t="shared" si="13"/>
        <v>8</v>
      </c>
    </row>
    <row r="903" spans="4:12">
      <c r="D903" s="66">
        <v>46141</v>
      </c>
      <c r="E903" s="32">
        <v>1599073</v>
      </c>
      <c r="F903" s="32" t="s">
        <v>13</v>
      </c>
      <c r="G903" s="67">
        <v>20348324</v>
      </c>
      <c r="H903" s="32" t="s">
        <v>225</v>
      </c>
      <c r="I903" s="67">
        <v>20</v>
      </c>
      <c r="J903" s="68">
        <v>7.35</v>
      </c>
      <c r="K903" s="68">
        <v>147</v>
      </c>
      <c r="L903">
        <f t="shared" si="13"/>
        <v>10.5</v>
      </c>
    </row>
    <row r="904" spans="4:12">
      <c r="D904" s="66">
        <v>46141</v>
      </c>
      <c r="E904" s="32">
        <v>1599073</v>
      </c>
      <c r="F904" s="32" t="s">
        <v>13</v>
      </c>
      <c r="G904" s="67">
        <v>20008491</v>
      </c>
      <c r="H904" s="32" t="s">
        <v>104</v>
      </c>
      <c r="I904" s="67">
        <v>1</v>
      </c>
      <c r="J904" s="68">
        <v>11.55</v>
      </c>
      <c r="K904" s="68">
        <v>11.55</v>
      </c>
      <c r="L904">
        <f t="shared" si="13"/>
        <v>16.5</v>
      </c>
    </row>
    <row r="905" spans="4:12">
      <c r="D905" s="66">
        <v>46141</v>
      </c>
      <c r="E905" s="32">
        <v>1599073</v>
      </c>
      <c r="F905" s="32" t="s">
        <v>13</v>
      </c>
      <c r="G905" s="67">
        <v>20011138</v>
      </c>
      <c r="H905" s="32" t="s">
        <v>199</v>
      </c>
      <c r="I905" s="67">
        <v>1</v>
      </c>
      <c r="J905" s="68">
        <v>11.55</v>
      </c>
      <c r="K905" s="68">
        <v>11.55</v>
      </c>
      <c r="L905">
        <f t="shared" si="13"/>
        <v>16.5</v>
      </c>
    </row>
    <row r="906" spans="4:12">
      <c r="D906" s="66">
        <v>46141</v>
      </c>
      <c r="E906" s="32">
        <v>1599091</v>
      </c>
      <c r="F906" s="32" t="s">
        <v>27</v>
      </c>
      <c r="G906" s="67">
        <v>20348232</v>
      </c>
      <c r="H906" s="32" t="s">
        <v>264</v>
      </c>
      <c r="I906" s="67">
        <v>1</v>
      </c>
      <c r="J906" s="68">
        <v>46.2</v>
      </c>
      <c r="K906" s="68">
        <v>46.2</v>
      </c>
      <c r="L906">
        <f t="shared" ref="L906:L951" si="14">J906/0.7</f>
        <v>66</v>
      </c>
    </row>
    <row r="907" spans="4:12">
      <c r="D907" s="66">
        <v>46141</v>
      </c>
      <c r="E907" s="32">
        <v>1599091</v>
      </c>
      <c r="F907" s="32" t="s">
        <v>27</v>
      </c>
      <c r="G907" s="67">
        <v>20008202</v>
      </c>
      <c r="H907" s="32" t="s">
        <v>257</v>
      </c>
      <c r="I907" s="67">
        <v>1</v>
      </c>
      <c r="J907" s="68">
        <v>19.6</v>
      </c>
      <c r="K907" s="68">
        <v>19.6</v>
      </c>
      <c r="L907">
        <f t="shared" si="14"/>
        <v>28</v>
      </c>
    </row>
    <row r="908" spans="4:12">
      <c r="D908" s="66">
        <v>46141</v>
      </c>
      <c r="E908" s="32">
        <v>1599091</v>
      </c>
      <c r="F908" s="32" t="s">
        <v>27</v>
      </c>
      <c r="G908" s="67">
        <v>20370992</v>
      </c>
      <c r="H908" s="32" t="s">
        <v>183</v>
      </c>
      <c r="I908" s="67">
        <v>1</v>
      </c>
      <c r="J908" s="68">
        <v>24.5</v>
      </c>
      <c r="K908" s="68">
        <v>24.5</v>
      </c>
      <c r="L908">
        <f t="shared" si="14"/>
        <v>35</v>
      </c>
    </row>
    <row r="909" spans="4:12">
      <c r="D909" s="66">
        <v>46141</v>
      </c>
      <c r="E909" s="32">
        <v>1599091</v>
      </c>
      <c r="F909" s="32" t="s">
        <v>27</v>
      </c>
      <c r="G909" s="67">
        <v>20007567</v>
      </c>
      <c r="H909" s="32" t="s">
        <v>258</v>
      </c>
      <c r="I909" s="67">
        <v>2</v>
      </c>
      <c r="J909" s="68">
        <v>17.5</v>
      </c>
      <c r="K909" s="68">
        <v>35</v>
      </c>
      <c r="L909">
        <f t="shared" si="14"/>
        <v>25</v>
      </c>
    </row>
    <row r="910" spans="4:12">
      <c r="D910" s="66">
        <v>46141</v>
      </c>
      <c r="E910" s="32">
        <v>1599091</v>
      </c>
      <c r="F910" s="32" t="s">
        <v>27</v>
      </c>
      <c r="G910" s="67">
        <v>20338493</v>
      </c>
      <c r="H910" s="32" t="s">
        <v>259</v>
      </c>
      <c r="I910" s="67">
        <v>1</v>
      </c>
      <c r="J910" s="68">
        <v>17.5</v>
      </c>
      <c r="K910" s="68">
        <v>17.5</v>
      </c>
      <c r="L910">
        <f t="shared" si="14"/>
        <v>25</v>
      </c>
    </row>
    <row r="911" spans="4:12">
      <c r="D911" s="66">
        <v>46141</v>
      </c>
      <c r="E911" s="32">
        <v>1599091</v>
      </c>
      <c r="F911" s="32" t="s">
        <v>27</v>
      </c>
      <c r="G911" s="67">
        <v>20365405</v>
      </c>
      <c r="H911" s="32" t="s">
        <v>71</v>
      </c>
      <c r="I911" s="67">
        <v>1</v>
      </c>
      <c r="J911" s="68">
        <v>61.6</v>
      </c>
      <c r="K911" s="68">
        <v>61.6</v>
      </c>
      <c r="L911">
        <f t="shared" si="14"/>
        <v>88</v>
      </c>
    </row>
    <row r="912" spans="4:12">
      <c r="D912" s="66">
        <v>46141</v>
      </c>
      <c r="E912" s="32">
        <v>1599091</v>
      </c>
      <c r="F912" s="32" t="s">
        <v>27</v>
      </c>
      <c r="G912" s="67">
        <v>20008885</v>
      </c>
      <c r="H912" s="32" t="s">
        <v>184</v>
      </c>
      <c r="I912" s="67">
        <v>1</v>
      </c>
      <c r="J912" s="68">
        <v>24.5</v>
      </c>
      <c r="K912" s="68">
        <v>24.5</v>
      </c>
      <c r="L912">
        <f t="shared" si="14"/>
        <v>35</v>
      </c>
    </row>
    <row r="913" spans="4:12">
      <c r="D913" s="66">
        <v>46141</v>
      </c>
      <c r="E913" s="32">
        <v>1599091</v>
      </c>
      <c r="F913" s="32" t="s">
        <v>27</v>
      </c>
      <c r="G913" s="67">
        <v>20313974</v>
      </c>
      <c r="H913" s="32" t="s">
        <v>185</v>
      </c>
      <c r="I913" s="67">
        <v>1</v>
      </c>
      <c r="J913" s="68">
        <v>30.8</v>
      </c>
      <c r="K913" s="68">
        <v>30.8</v>
      </c>
      <c r="L913">
        <f t="shared" si="14"/>
        <v>44</v>
      </c>
    </row>
    <row r="914" spans="4:12">
      <c r="D914" s="66">
        <v>46141</v>
      </c>
      <c r="E914" s="32">
        <v>1599091</v>
      </c>
      <c r="F914" s="32" t="s">
        <v>27</v>
      </c>
      <c r="G914" s="67">
        <v>20008623</v>
      </c>
      <c r="H914" s="32" t="s">
        <v>72</v>
      </c>
      <c r="I914" s="67">
        <v>3</v>
      </c>
      <c r="J914" s="68">
        <v>15.4</v>
      </c>
      <c r="K914" s="68">
        <v>46.2</v>
      </c>
      <c r="L914">
        <f t="shared" si="14"/>
        <v>22</v>
      </c>
    </row>
    <row r="915" spans="4:12">
      <c r="D915" s="66">
        <v>46141</v>
      </c>
      <c r="E915" s="32">
        <v>1599091</v>
      </c>
      <c r="F915" s="32" t="s">
        <v>27</v>
      </c>
      <c r="G915" s="67">
        <v>20007633</v>
      </c>
      <c r="H915" s="32" t="s">
        <v>68</v>
      </c>
      <c r="I915" s="67">
        <v>1</v>
      </c>
      <c r="J915" s="68">
        <v>24.5</v>
      </c>
      <c r="K915" s="68">
        <v>24.5</v>
      </c>
      <c r="L915">
        <f t="shared" si="14"/>
        <v>35</v>
      </c>
    </row>
    <row r="916" spans="4:12">
      <c r="D916" s="66">
        <v>46141</v>
      </c>
      <c r="E916" s="32">
        <v>1599091</v>
      </c>
      <c r="F916" s="32" t="s">
        <v>27</v>
      </c>
      <c r="G916" s="67">
        <v>20006853</v>
      </c>
      <c r="H916" s="32" t="s">
        <v>186</v>
      </c>
      <c r="I916" s="67">
        <v>1</v>
      </c>
      <c r="J916" s="68">
        <v>24.5</v>
      </c>
      <c r="K916" s="68">
        <v>24.5</v>
      </c>
      <c r="L916">
        <f t="shared" si="14"/>
        <v>35</v>
      </c>
    </row>
    <row r="917" spans="4:12">
      <c r="D917" s="66">
        <v>46141</v>
      </c>
      <c r="E917" s="32">
        <v>1599091</v>
      </c>
      <c r="F917" s="32" t="s">
        <v>27</v>
      </c>
      <c r="G917" s="67">
        <v>20388302</v>
      </c>
      <c r="H917" s="32" t="s">
        <v>202</v>
      </c>
      <c r="I917" s="67">
        <v>2</v>
      </c>
      <c r="J917" s="68">
        <v>24.5</v>
      </c>
      <c r="K917" s="68">
        <v>49</v>
      </c>
      <c r="L917">
        <f t="shared" si="14"/>
        <v>35</v>
      </c>
    </row>
    <row r="918" spans="4:12">
      <c r="D918" s="66">
        <v>46141</v>
      </c>
      <c r="E918" s="32">
        <v>1599091</v>
      </c>
      <c r="F918" s="32" t="s">
        <v>27</v>
      </c>
      <c r="G918" s="67">
        <v>20400917</v>
      </c>
      <c r="H918" s="32" t="s">
        <v>188</v>
      </c>
      <c r="I918" s="67">
        <v>1</v>
      </c>
      <c r="J918" s="68">
        <v>17.5</v>
      </c>
      <c r="K918" s="68">
        <v>17.5</v>
      </c>
      <c r="L918">
        <f t="shared" si="14"/>
        <v>25</v>
      </c>
    </row>
    <row r="919" spans="4:12">
      <c r="D919" s="66">
        <v>46141</v>
      </c>
      <c r="E919" s="32">
        <v>1599091</v>
      </c>
      <c r="F919" s="32" t="s">
        <v>27</v>
      </c>
      <c r="G919" s="67">
        <v>20012362</v>
      </c>
      <c r="H919" s="32" t="s">
        <v>237</v>
      </c>
      <c r="I919" s="67">
        <v>1</v>
      </c>
      <c r="J919" s="68">
        <v>30.8</v>
      </c>
      <c r="K919" s="68">
        <v>30.8</v>
      </c>
      <c r="L919">
        <f t="shared" si="14"/>
        <v>44</v>
      </c>
    </row>
    <row r="920" spans="4:12">
      <c r="D920" s="66">
        <v>46141</v>
      </c>
      <c r="E920" s="32">
        <v>1599091</v>
      </c>
      <c r="F920" s="32" t="s">
        <v>27</v>
      </c>
      <c r="G920" s="67">
        <v>20300196</v>
      </c>
      <c r="H920" s="32" t="s">
        <v>291</v>
      </c>
      <c r="I920" s="67">
        <v>1</v>
      </c>
      <c r="J920" s="68">
        <v>30.8</v>
      </c>
      <c r="K920" s="68">
        <v>30.8</v>
      </c>
      <c r="L920">
        <f t="shared" si="14"/>
        <v>44</v>
      </c>
    </row>
    <row r="921" spans="4:12">
      <c r="D921" s="66">
        <v>46141</v>
      </c>
      <c r="E921" s="32">
        <v>1599091</v>
      </c>
      <c r="F921" s="32" t="s">
        <v>27</v>
      </c>
      <c r="G921" s="67">
        <v>20007639</v>
      </c>
      <c r="H921" s="32" t="s">
        <v>189</v>
      </c>
      <c r="I921" s="67">
        <v>1</v>
      </c>
      <c r="J921" s="68">
        <v>19.6</v>
      </c>
      <c r="K921" s="68">
        <v>19.6</v>
      </c>
      <c r="L921">
        <f t="shared" si="14"/>
        <v>28</v>
      </c>
    </row>
    <row r="922" spans="4:12">
      <c r="D922" s="66">
        <v>46141</v>
      </c>
      <c r="E922" s="32">
        <v>1599091</v>
      </c>
      <c r="F922" s="32" t="s">
        <v>27</v>
      </c>
      <c r="G922" s="67">
        <v>20009272</v>
      </c>
      <c r="H922" s="32" t="s">
        <v>261</v>
      </c>
      <c r="I922" s="67">
        <v>1</v>
      </c>
      <c r="J922" s="68">
        <v>19.6</v>
      </c>
      <c r="K922" s="68">
        <v>19.6</v>
      </c>
      <c r="L922">
        <f t="shared" si="14"/>
        <v>28</v>
      </c>
    </row>
    <row r="923" spans="4:12">
      <c r="D923" s="66">
        <v>46141</v>
      </c>
      <c r="E923" s="32">
        <v>1599091</v>
      </c>
      <c r="F923" s="32" t="s">
        <v>27</v>
      </c>
      <c r="G923" s="67">
        <v>20007638</v>
      </c>
      <c r="H923" s="32" t="s">
        <v>190</v>
      </c>
      <c r="I923" s="67">
        <v>2</v>
      </c>
      <c r="J923" s="68">
        <v>19.6</v>
      </c>
      <c r="K923" s="68">
        <v>39.2</v>
      </c>
      <c r="L923">
        <f t="shared" si="14"/>
        <v>28</v>
      </c>
    </row>
    <row r="924" spans="4:12">
      <c r="D924" s="66">
        <v>46141</v>
      </c>
      <c r="E924" s="32">
        <v>1599091</v>
      </c>
      <c r="F924" s="32" t="s">
        <v>27</v>
      </c>
      <c r="G924" s="67">
        <v>20008639</v>
      </c>
      <c r="H924" s="32" t="s">
        <v>191</v>
      </c>
      <c r="I924" s="67">
        <v>1</v>
      </c>
      <c r="J924" s="68">
        <v>17.5</v>
      </c>
      <c r="K924" s="68">
        <v>17.5</v>
      </c>
      <c r="L924">
        <f t="shared" si="14"/>
        <v>25</v>
      </c>
    </row>
    <row r="925" spans="4:12">
      <c r="D925" s="66">
        <v>46141</v>
      </c>
      <c r="E925" s="32">
        <v>1599091</v>
      </c>
      <c r="F925" s="32" t="s">
        <v>27</v>
      </c>
      <c r="G925" s="67">
        <v>20352217</v>
      </c>
      <c r="H925" s="32" t="s">
        <v>413</v>
      </c>
      <c r="I925" s="67">
        <v>2</v>
      </c>
      <c r="J925" s="68">
        <v>19.6</v>
      </c>
      <c r="K925" s="68">
        <v>39.2</v>
      </c>
      <c r="L925">
        <f t="shared" si="14"/>
        <v>28</v>
      </c>
    </row>
    <row r="926" spans="4:12">
      <c r="D926" s="66">
        <v>46141</v>
      </c>
      <c r="E926" s="32">
        <v>1599091</v>
      </c>
      <c r="F926" s="32" t="s">
        <v>69</v>
      </c>
      <c r="G926" s="67">
        <v>20395507</v>
      </c>
      <c r="H926" s="32" t="s">
        <v>192</v>
      </c>
      <c r="I926" s="67">
        <v>1</v>
      </c>
      <c r="J926" s="68">
        <v>19.6</v>
      </c>
      <c r="K926" s="68">
        <v>19.6</v>
      </c>
      <c r="L926">
        <f t="shared" si="14"/>
        <v>28</v>
      </c>
    </row>
    <row r="927" spans="4:12">
      <c r="D927" s="66">
        <v>46141</v>
      </c>
      <c r="E927" s="32">
        <v>1599091</v>
      </c>
      <c r="F927" s="32" t="s">
        <v>69</v>
      </c>
      <c r="G927" s="67">
        <v>20008378</v>
      </c>
      <c r="H927" s="32" t="s">
        <v>246</v>
      </c>
      <c r="I927" s="67">
        <v>1</v>
      </c>
      <c r="J927" s="68">
        <v>19.6</v>
      </c>
      <c r="K927" s="68">
        <v>19.6</v>
      </c>
      <c r="L927">
        <f t="shared" si="14"/>
        <v>28</v>
      </c>
    </row>
    <row r="928" spans="4:12">
      <c r="D928" s="66">
        <v>46141</v>
      </c>
      <c r="E928" s="32">
        <v>1599091</v>
      </c>
      <c r="F928" s="32" t="s">
        <v>69</v>
      </c>
      <c r="G928" s="67">
        <v>20008376</v>
      </c>
      <c r="H928" s="32" t="s">
        <v>263</v>
      </c>
      <c r="I928" s="67">
        <v>1</v>
      </c>
      <c r="J928" s="68">
        <v>19.6</v>
      </c>
      <c r="K928" s="68">
        <v>19.6</v>
      </c>
      <c r="L928">
        <f t="shared" si="14"/>
        <v>28</v>
      </c>
    </row>
    <row r="929" spans="4:12">
      <c r="D929" s="66">
        <v>46142</v>
      </c>
      <c r="E929" s="32">
        <v>1599436</v>
      </c>
      <c r="F929" s="32" t="s">
        <v>36</v>
      </c>
      <c r="G929" s="67">
        <v>20006867</v>
      </c>
      <c r="H929" s="32" t="s">
        <v>215</v>
      </c>
      <c r="I929" s="67">
        <v>1</v>
      </c>
      <c r="J929" s="68">
        <v>246.4</v>
      </c>
      <c r="K929" s="68">
        <v>246.4</v>
      </c>
      <c r="L929">
        <f t="shared" si="14"/>
        <v>352</v>
      </c>
    </row>
    <row r="930" spans="4:12">
      <c r="D930" s="66">
        <v>46142</v>
      </c>
      <c r="E930" s="32">
        <v>1599436</v>
      </c>
      <c r="F930" s="32" t="s">
        <v>36</v>
      </c>
      <c r="G930" s="67">
        <v>20007715</v>
      </c>
      <c r="H930" s="32" t="s">
        <v>193</v>
      </c>
      <c r="I930" s="67">
        <v>1</v>
      </c>
      <c r="J930" s="68">
        <v>180.95</v>
      </c>
      <c r="K930" s="68">
        <v>180.95</v>
      </c>
      <c r="L930">
        <f t="shared" si="14"/>
        <v>258.5</v>
      </c>
    </row>
    <row r="931" spans="4:12">
      <c r="D931" s="66">
        <v>46142</v>
      </c>
      <c r="E931" s="32">
        <v>1599436</v>
      </c>
      <c r="F931" s="32" t="s">
        <v>36</v>
      </c>
      <c r="G931" s="67">
        <v>20008128</v>
      </c>
      <c r="H931" s="32" t="s">
        <v>174</v>
      </c>
      <c r="I931" s="67">
        <v>5</v>
      </c>
      <c r="J931" s="68">
        <v>130.9</v>
      </c>
      <c r="K931" s="68">
        <v>654.5</v>
      </c>
      <c r="L931">
        <f t="shared" si="14"/>
        <v>187</v>
      </c>
    </row>
    <row r="932" spans="4:12">
      <c r="D932" s="66">
        <v>46142</v>
      </c>
      <c r="E932" s="32">
        <v>1599436</v>
      </c>
      <c r="F932" s="32" t="s">
        <v>13</v>
      </c>
      <c r="G932" s="67">
        <v>20012489</v>
      </c>
      <c r="H932" s="32" t="s">
        <v>75</v>
      </c>
      <c r="I932" s="67">
        <v>1</v>
      </c>
      <c r="J932" s="68">
        <v>5.6</v>
      </c>
      <c r="K932" s="68">
        <v>5.6</v>
      </c>
      <c r="L932">
        <f t="shared" si="14"/>
        <v>8</v>
      </c>
    </row>
    <row r="933" spans="4:12">
      <c r="D933" s="66">
        <v>46142</v>
      </c>
      <c r="E933" s="32">
        <v>1599436</v>
      </c>
      <c r="F933" s="32" t="s">
        <v>13</v>
      </c>
      <c r="G933" s="67">
        <v>20006845</v>
      </c>
      <c r="H933" s="32" t="s">
        <v>103</v>
      </c>
      <c r="I933" s="67">
        <v>3</v>
      </c>
      <c r="J933" s="68">
        <v>11.55</v>
      </c>
      <c r="K933" s="68">
        <v>34.65</v>
      </c>
      <c r="L933">
        <f t="shared" si="14"/>
        <v>16.5</v>
      </c>
    </row>
    <row r="934" spans="4:12">
      <c r="D934" s="66">
        <v>46142</v>
      </c>
      <c r="E934" s="32">
        <v>1599436</v>
      </c>
      <c r="F934" s="32" t="s">
        <v>13</v>
      </c>
      <c r="G934" s="67">
        <v>20376042</v>
      </c>
      <c r="H934" s="32" t="s">
        <v>196</v>
      </c>
      <c r="I934" s="67">
        <v>1</v>
      </c>
      <c r="J934" s="68">
        <v>5.6</v>
      </c>
      <c r="K934" s="68">
        <v>5.6</v>
      </c>
      <c r="L934">
        <f t="shared" si="14"/>
        <v>8</v>
      </c>
    </row>
    <row r="935" spans="4:12">
      <c r="D935" s="66">
        <v>46142</v>
      </c>
      <c r="E935" s="32">
        <v>1599436</v>
      </c>
      <c r="F935" s="32" t="s">
        <v>13</v>
      </c>
      <c r="G935" s="67">
        <v>20405158</v>
      </c>
      <c r="H935" s="32" t="s">
        <v>197</v>
      </c>
      <c r="I935" s="67">
        <v>1</v>
      </c>
      <c r="J935" s="68">
        <v>7.7</v>
      </c>
      <c r="K935" s="68">
        <v>7.7</v>
      </c>
      <c r="L935">
        <f t="shared" si="14"/>
        <v>11</v>
      </c>
    </row>
    <row r="936" spans="4:12">
      <c r="D936" s="66">
        <v>46142</v>
      </c>
      <c r="E936" s="32">
        <v>1599436</v>
      </c>
      <c r="F936" s="32" t="s">
        <v>13</v>
      </c>
      <c r="G936" s="67">
        <v>20009483</v>
      </c>
      <c r="H936" s="32" t="s">
        <v>60</v>
      </c>
      <c r="I936" s="67">
        <v>1</v>
      </c>
      <c r="J936" s="68">
        <v>7.7</v>
      </c>
      <c r="K936" s="68">
        <v>7.7</v>
      </c>
      <c r="L936">
        <f t="shared" si="14"/>
        <v>11</v>
      </c>
    </row>
    <row r="937" spans="4:12">
      <c r="D937" s="66">
        <v>46142</v>
      </c>
      <c r="E937" s="32">
        <v>1599436</v>
      </c>
      <c r="F937" s="32" t="s">
        <v>13</v>
      </c>
      <c r="G937" s="67">
        <v>20413745</v>
      </c>
      <c r="H937" s="32" t="s">
        <v>198</v>
      </c>
      <c r="I937" s="67">
        <v>1</v>
      </c>
      <c r="J937" s="68">
        <v>5.6</v>
      </c>
      <c r="K937" s="68">
        <v>5.6</v>
      </c>
      <c r="L937">
        <f t="shared" si="14"/>
        <v>8</v>
      </c>
    </row>
    <row r="938" spans="4:12">
      <c r="D938" s="66">
        <v>46142</v>
      </c>
      <c r="E938" s="32">
        <v>1599436</v>
      </c>
      <c r="F938" s="32" t="s">
        <v>13</v>
      </c>
      <c r="G938" s="67">
        <v>20008491</v>
      </c>
      <c r="H938" s="32" t="s">
        <v>104</v>
      </c>
      <c r="I938" s="67">
        <v>2</v>
      </c>
      <c r="J938" s="68">
        <v>11.55</v>
      </c>
      <c r="K938" s="68">
        <v>23.1</v>
      </c>
      <c r="L938">
        <f t="shared" si="14"/>
        <v>16.5</v>
      </c>
    </row>
    <row r="939" spans="4:12">
      <c r="D939" s="66">
        <v>46142</v>
      </c>
      <c r="E939" s="32">
        <v>1599436</v>
      </c>
      <c r="F939" s="32" t="s">
        <v>13</v>
      </c>
      <c r="G939" s="67">
        <v>20008204</v>
      </c>
      <c r="H939" s="32" t="s">
        <v>116</v>
      </c>
      <c r="I939" s="67">
        <v>3</v>
      </c>
      <c r="J939" s="68">
        <v>9.45</v>
      </c>
      <c r="K939" s="68">
        <v>28.35</v>
      </c>
      <c r="L939">
        <f t="shared" si="14"/>
        <v>13.5</v>
      </c>
    </row>
    <row r="940" spans="4:12">
      <c r="D940" s="66">
        <v>46142</v>
      </c>
      <c r="E940" s="32">
        <v>1599436</v>
      </c>
      <c r="F940" s="32" t="s">
        <v>13</v>
      </c>
      <c r="G940" s="67">
        <v>20378911</v>
      </c>
      <c r="H940" s="32" t="s">
        <v>414</v>
      </c>
      <c r="I940" s="67">
        <v>1</v>
      </c>
      <c r="J940" s="68">
        <v>9.1</v>
      </c>
      <c r="K940" s="68">
        <v>9.1</v>
      </c>
      <c r="L940">
        <f t="shared" si="14"/>
        <v>13</v>
      </c>
    </row>
    <row r="941" spans="4:12">
      <c r="D941" s="66">
        <v>46142</v>
      </c>
      <c r="E941" s="32">
        <v>1599436</v>
      </c>
      <c r="F941" s="32" t="s">
        <v>180</v>
      </c>
      <c r="G941" s="67">
        <v>20362791</v>
      </c>
      <c r="H941" s="32" t="s">
        <v>181</v>
      </c>
      <c r="I941" s="67">
        <v>1</v>
      </c>
      <c r="J941" s="68">
        <v>24.5</v>
      </c>
      <c r="K941" s="68">
        <v>24.5</v>
      </c>
      <c r="L941">
        <f t="shared" si="14"/>
        <v>35</v>
      </c>
    </row>
    <row r="942" spans="4:12">
      <c r="D942" s="66">
        <v>46142</v>
      </c>
      <c r="E942" s="32">
        <v>1599436</v>
      </c>
      <c r="F942" s="32" t="s">
        <v>25</v>
      </c>
      <c r="G942" s="67">
        <v>20008214</v>
      </c>
      <c r="H942" s="32" t="s">
        <v>99</v>
      </c>
      <c r="I942" s="67">
        <v>8</v>
      </c>
      <c r="J942" s="68">
        <v>11.55</v>
      </c>
      <c r="K942" s="68">
        <v>92.4</v>
      </c>
      <c r="L942">
        <f t="shared" si="14"/>
        <v>16.5</v>
      </c>
    </row>
    <row r="943" spans="4:12">
      <c r="D943" s="66">
        <v>46142</v>
      </c>
      <c r="E943" s="32">
        <v>1599436</v>
      </c>
      <c r="F943" s="32" t="s">
        <v>25</v>
      </c>
      <c r="G943" s="67">
        <v>20008225</v>
      </c>
      <c r="H943" s="32" t="s">
        <v>328</v>
      </c>
      <c r="I943" s="67">
        <v>1</v>
      </c>
      <c r="J943" s="68">
        <v>11.55</v>
      </c>
      <c r="K943" s="68">
        <v>11.55</v>
      </c>
      <c r="L943">
        <f t="shared" si="14"/>
        <v>16.5</v>
      </c>
    </row>
    <row r="944" spans="4:12">
      <c r="D944" s="66">
        <v>46142</v>
      </c>
      <c r="E944" s="32">
        <v>1599436</v>
      </c>
      <c r="F944" s="32" t="s">
        <v>25</v>
      </c>
      <c r="G944" s="67">
        <v>20008345</v>
      </c>
      <c r="H944" s="32" t="s">
        <v>131</v>
      </c>
      <c r="I944" s="67">
        <v>5</v>
      </c>
      <c r="J944" s="68">
        <v>19.25</v>
      </c>
      <c r="K944" s="68">
        <v>96.25</v>
      </c>
      <c r="L944">
        <f t="shared" si="14"/>
        <v>27.5</v>
      </c>
    </row>
    <row r="945" spans="4:12">
      <c r="D945" s="66">
        <v>46142</v>
      </c>
      <c r="E945" s="32">
        <v>1599895</v>
      </c>
      <c r="F945" s="32" t="s">
        <v>36</v>
      </c>
      <c r="G945" s="67">
        <v>20311037</v>
      </c>
      <c r="H945" s="32" t="s">
        <v>194</v>
      </c>
      <c r="I945" s="67">
        <v>1</v>
      </c>
      <c r="J945" s="68">
        <v>53.55</v>
      </c>
      <c r="K945" s="68">
        <v>53.55</v>
      </c>
      <c r="L945">
        <f t="shared" si="14"/>
        <v>76.5</v>
      </c>
    </row>
    <row r="946" spans="4:12">
      <c r="D946" s="66">
        <v>46142</v>
      </c>
      <c r="E946" s="32">
        <v>1599895</v>
      </c>
      <c r="F946" s="32" t="s">
        <v>13</v>
      </c>
      <c r="G946" s="67">
        <v>20009483</v>
      </c>
      <c r="H946" s="32" t="s">
        <v>60</v>
      </c>
      <c r="I946" s="67">
        <v>1</v>
      </c>
      <c r="J946" s="68">
        <v>7.7</v>
      </c>
      <c r="K946" s="68">
        <v>7.7</v>
      </c>
      <c r="L946">
        <f t="shared" si="14"/>
        <v>11</v>
      </c>
    </row>
    <row r="947" spans="4:12">
      <c r="D947" s="66">
        <v>46142</v>
      </c>
      <c r="E947" s="32">
        <v>1599895</v>
      </c>
      <c r="F947" s="32" t="s">
        <v>13</v>
      </c>
      <c r="G947" s="67">
        <v>20008491</v>
      </c>
      <c r="H947" s="32" t="s">
        <v>104</v>
      </c>
      <c r="I947" s="67">
        <v>1</v>
      </c>
      <c r="J947" s="68">
        <v>11.55</v>
      </c>
      <c r="K947" s="68">
        <v>11.55</v>
      </c>
      <c r="L947">
        <f t="shared" si="14"/>
        <v>16.5</v>
      </c>
    </row>
    <row r="948" spans="4:12">
      <c r="D948" s="66">
        <v>46142</v>
      </c>
      <c r="E948" s="32">
        <v>1599895</v>
      </c>
      <c r="F948" s="32" t="s">
        <v>13</v>
      </c>
      <c r="G948" s="67">
        <v>20008280</v>
      </c>
      <c r="H948" s="32" t="s">
        <v>212</v>
      </c>
      <c r="I948" s="67">
        <v>1</v>
      </c>
      <c r="J948" s="68">
        <v>11.55</v>
      </c>
      <c r="K948" s="68">
        <v>11.55</v>
      </c>
      <c r="L948">
        <f t="shared" si="14"/>
        <v>16.5</v>
      </c>
    </row>
    <row r="949" spans="4:12">
      <c r="D949" s="66">
        <v>46142</v>
      </c>
      <c r="E949" s="32">
        <v>1599895</v>
      </c>
      <c r="F949" s="32" t="s">
        <v>180</v>
      </c>
      <c r="G949" s="67">
        <v>20362791</v>
      </c>
      <c r="H949" s="32" t="s">
        <v>181</v>
      </c>
      <c r="I949" s="67">
        <v>1</v>
      </c>
      <c r="J949" s="68">
        <v>24.5</v>
      </c>
      <c r="K949" s="68">
        <v>24.5</v>
      </c>
      <c r="L949">
        <f t="shared" si="14"/>
        <v>35</v>
      </c>
    </row>
    <row r="950" spans="4:12">
      <c r="D950" s="66">
        <v>46142</v>
      </c>
      <c r="E950" s="32">
        <v>1599895</v>
      </c>
      <c r="F950" s="32" t="s">
        <v>25</v>
      </c>
      <c r="G950" s="67">
        <v>20008214</v>
      </c>
      <c r="H950" s="32" t="s">
        <v>99</v>
      </c>
      <c r="I950" s="67">
        <v>1</v>
      </c>
      <c r="J950" s="68">
        <v>11.55</v>
      </c>
      <c r="K950" s="68">
        <v>11.55</v>
      </c>
      <c r="L950">
        <f t="shared" si="14"/>
        <v>16.5</v>
      </c>
    </row>
    <row r="951" spans="4:12">
      <c r="D951" s="66">
        <v>46142</v>
      </c>
      <c r="E951" s="32">
        <v>1599895</v>
      </c>
      <c r="F951" s="32" t="s">
        <v>25</v>
      </c>
      <c r="G951" s="67">
        <v>20008345</v>
      </c>
      <c r="H951" s="32" t="s">
        <v>131</v>
      </c>
      <c r="I951" s="67">
        <v>1</v>
      </c>
      <c r="J951" s="68">
        <v>19.25</v>
      </c>
      <c r="K951" s="68">
        <v>19.25</v>
      </c>
      <c r="L951">
        <f t="shared" si="14"/>
        <v>27.5</v>
      </c>
    </row>
  </sheetData>
  <autoFilter xmlns:etc="http://www.wps.cn/officeDocument/2017/etCustomData" ref="A7:K951" etc:filterBottomFollowUsedRange="0">
    <extLst/>
  </autoFilter>
  <mergeCells count="5">
    <mergeCell ref="D8:H8"/>
    <mergeCell ref="C7:C951"/>
    <mergeCell ref="B4:H5"/>
    <mergeCell ref="C1:H2"/>
    <mergeCell ref="A7:B951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&amp;"-,Regular"2026年5月6日 8:42 
&amp;"-,Bold"&amp;10 黑龙江省铂康医疗灭菌有限公司 &amp;R&amp;"Droid Sans Fallback"&amp;9第&amp;P页，共&amp;N页 </oddFooter>
  </headerFooter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0"/>
  <sheetViews>
    <sheetView showGridLines="0" view="pageBreakPreview" zoomScaleNormal="100" workbookViewId="0">
      <pane ySplit="6" topLeftCell="A7" activePane="bottomLeft" state="frozen"/>
      <selection/>
      <selection pane="bottomLeft" activeCell="H7" sqref="H7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375" customWidth="1"/>
  </cols>
  <sheetData>
    <row r="1" spans="1:11">
      <c r="C1" s="15" t="s">
        <v>0</v>
      </c>
    </row>
    <row r="2" ht="23.05" customHeight="1"/>
    <row r="3" ht="2" customHeight="1"/>
    <row r="4" ht="15.2" customHeight="1" spans="1:11">
      <c r="B4" s="16" t="s">
        <v>1</v>
      </c>
    </row>
    <row r="6" ht="2.95" customHeight="1"/>
    <row r="7" spans="1:11">
      <c r="A7" s="34" t="s">
        <v>2</v>
      </c>
      <c r="B7" s="17" t="s">
        <v>2</v>
      </c>
      <c r="C7" s="60" t="s">
        <v>2</v>
      </c>
      <c r="D7" s="61" t="s">
        <v>4</v>
      </c>
      <c r="E7" s="61" t="s">
        <v>5</v>
      </c>
      <c r="F7" s="61" t="s">
        <v>6</v>
      </c>
      <c r="G7" s="61" t="s">
        <v>7</v>
      </c>
      <c r="H7" s="61" t="s">
        <v>8</v>
      </c>
      <c r="I7" s="61" t="s">
        <v>9</v>
      </c>
      <c r="J7" s="61" t="s">
        <v>10</v>
      </c>
      <c r="K7" s="61" t="s">
        <v>11</v>
      </c>
    </row>
    <row r="8" ht="14.25" spans="1:11">
      <c r="D8" s="62" t="s">
        <v>415</v>
      </c>
      <c r="E8" s="63" t="s">
        <v>2</v>
      </c>
      <c r="F8" s="63" t="s">
        <v>2</v>
      </c>
      <c r="G8" s="63" t="s">
        <v>2</v>
      </c>
      <c r="H8" s="63" t="s">
        <v>2</v>
      </c>
      <c r="I8" s="64">
        <v>1</v>
      </c>
      <c r="J8" s="65"/>
      <c r="K8" s="65">
        <v>5.6</v>
      </c>
    </row>
    <row r="9" spans="1:11">
      <c r="D9" s="66">
        <v>46126</v>
      </c>
      <c r="E9" s="32">
        <v>1594762</v>
      </c>
      <c r="F9" s="32" t="s">
        <v>13</v>
      </c>
      <c r="G9" s="67">
        <v>20011030</v>
      </c>
      <c r="H9" s="32" t="s">
        <v>416</v>
      </c>
      <c r="I9" s="67">
        <v>1</v>
      </c>
      <c r="J9" s="68">
        <v>5.6</v>
      </c>
      <c r="K9" s="68">
        <v>5.6</v>
      </c>
    </row>
    <row r="10" ht="0.05" customHeight="1"/>
  </sheetData>
  <mergeCells count="5">
    <mergeCell ref="D8:H8"/>
    <mergeCell ref="C7:C9"/>
    <mergeCell ref="B4:H5"/>
    <mergeCell ref="A7:B9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&amp;"-,Regular"2026年5月6日 8:42 
&amp;"-,Bold"&amp;10 黑龙江省铂康医疗灭菌有限公司 &amp;R&amp;"Droid Sans Fallback"&amp;9第&amp;P页，共&amp;N页 </oddFooter>
  </headerFooter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41"/>
  <sheetViews>
    <sheetView showGridLines="0" view="pageBreakPreview" zoomScaleNormal="100" workbookViewId="0">
      <pane ySplit="6" topLeftCell="A7" activePane="bottomLeft" state="frozen"/>
      <selection/>
      <selection pane="bottomLeft" activeCell="K9" sqref="K9:K42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5" customWidth="1"/>
  </cols>
  <sheetData>
    <row r="1" spans="1:12">
      <c r="C1" s="15" t="s">
        <v>0</v>
      </c>
    </row>
    <row r="2" ht="23.05" customHeight="1"/>
    <row r="3" ht="2" customHeight="1"/>
    <row r="4" ht="15.2" customHeight="1" spans="1:12">
      <c r="B4" s="16" t="s">
        <v>1</v>
      </c>
    </row>
    <row r="6" ht="2.95" customHeight="1"/>
    <row r="7" spans="1:12">
      <c r="A7" s="34" t="s">
        <v>2</v>
      </c>
      <c r="B7" s="17" t="s">
        <v>2</v>
      </c>
      <c r="C7" s="60" t="s">
        <v>2</v>
      </c>
      <c r="D7" s="61" t="s">
        <v>4</v>
      </c>
      <c r="E7" s="61" t="s">
        <v>5</v>
      </c>
      <c r="F7" s="61" t="s">
        <v>6</v>
      </c>
      <c r="G7" s="61" t="s">
        <v>7</v>
      </c>
      <c r="H7" s="61" t="s">
        <v>8</v>
      </c>
      <c r="I7" s="61" t="s">
        <v>9</v>
      </c>
      <c r="J7" s="61" t="s">
        <v>10</v>
      </c>
      <c r="K7" s="61" t="s">
        <v>11</v>
      </c>
    </row>
    <row r="8" ht="14.25" spans="1:12">
      <c r="D8" s="62" t="s">
        <v>417</v>
      </c>
      <c r="E8" s="63" t="s">
        <v>2</v>
      </c>
      <c r="F8" s="63" t="s">
        <v>2</v>
      </c>
      <c r="G8" s="63" t="s">
        <v>2</v>
      </c>
      <c r="H8" s="63" t="s">
        <v>2</v>
      </c>
      <c r="I8" s="64">
        <v>59</v>
      </c>
      <c r="J8" s="65"/>
      <c r="K8" s="65">
        <v>1444.1</v>
      </c>
    </row>
    <row r="9" spans="1:12">
      <c r="D9" s="66">
        <v>46115</v>
      </c>
      <c r="E9" s="32">
        <v>1591709</v>
      </c>
      <c r="F9" s="32" t="s">
        <v>13</v>
      </c>
      <c r="G9" s="67">
        <v>20009280</v>
      </c>
      <c r="H9" s="32" t="s">
        <v>227</v>
      </c>
      <c r="I9" s="67">
        <v>10</v>
      </c>
      <c r="J9" s="68">
        <v>5.6</v>
      </c>
      <c r="K9" s="68">
        <v>56</v>
      </c>
      <c r="L9">
        <f>J9/0.7</f>
        <v>8</v>
      </c>
    </row>
    <row r="10" spans="1:12">
      <c r="D10" s="66">
        <v>46115</v>
      </c>
      <c r="E10" s="32">
        <v>1591709</v>
      </c>
      <c r="F10" s="32" t="s">
        <v>23</v>
      </c>
      <c r="G10" s="67">
        <v>20338019</v>
      </c>
      <c r="H10" s="32" t="s">
        <v>418</v>
      </c>
      <c r="I10" s="67">
        <v>5</v>
      </c>
      <c r="J10" s="68">
        <v>30.8</v>
      </c>
      <c r="K10" s="68">
        <v>154</v>
      </c>
      <c r="L10">
        <f t="shared" ref="L10:L40" si="0">J10/0.7</f>
        <v>44</v>
      </c>
    </row>
    <row r="11" spans="1:12">
      <c r="D11" s="66">
        <v>46115</v>
      </c>
      <c r="E11" s="32">
        <v>1591709</v>
      </c>
      <c r="F11" s="32" t="s">
        <v>23</v>
      </c>
      <c r="G11" s="67">
        <v>20336004</v>
      </c>
      <c r="H11" s="32" t="s">
        <v>419</v>
      </c>
      <c r="I11" s="67">
        <v>1</v>
      </c>
      <c r="J11" s="68">
        <v>30.8</v>
      </c>
      <c r="K11" s="68">
        <v>30.8</v>
      </c>
      <c r="L11">
        <f t="shared" si="0"/>
        <v>44</v>
      </c>
    </row>
    <row r="12" spans="1:12">
      <c r="D12" s="66">
        <v>46115</v>
      </c>
      <c r="E12" s="32">
        <v>1591709</v>
      </c>
      <c r="F12" s="32" t="s">
        <v>23</v>
      </c>
      <c r="G12" s="67">
        <v>20008224</v>
      </c>
      <c r="H12" s="32" t="s">
        <v>420</v>
      </c>
      <c r="I12" s="67">
        <v>1</v>
      </c>
      <c r="J12" s="68">
        <v>38.5</v>
      </c>
      <c r="K12" s="68">
        <v>38.5</v>
      </c>
      <c r="L12">
        <f t="shared" si="0"/>
        <v>55</v>
      </c>
    </row>
    <row r="13" spans="1:12">
      <c r="D13" s="66">
        <v>46115</v>
      </c>
      <c r="E13" s="32">
        <v>1591709</v>
      </c>
      <c r="F13" s="32" t="s">
        <v>23</v>
      </c>
      <c r="G13" s="67">
        <v>20343657</v>
      </c>
      <c r="H13" s="32" t="s">
        <v>421</v>
      </c>
      <c r="I13" s="67">
        <v>1</v>
      </c>
      <c r="J13" s="68">
        <v>50.05</v>
      </c>
      <c r="K13" s="68">
        <v>50.05</v>
      </c>
      <c r="L13">
        <f t="shared" si="0"/>
        <v>71.5</v>
      </c>
    </row>
    <row r="14" spans="1:12">
      <c r="D14" s="66">
        <v>46115</v>
      </c>
      <c r="E14" s="32">
        <v>1591709</v>
      </c>
      <c r="F14" s="32" t="s">
        <v>23</v>
      </c>
      <c r="G14" s="67">
        <v>20346519</v>
      </c>
      <c r="H14" s="32" t="s">
        <v>422</v>
      </c>
      <c r="I14" s="67">
        <v>1</v>
      </c>
      <c r="J14" s="68">
        <v>57.75</v>
      </c>
      <c r="K14" s="68">
        <v>57.75</v>
      </c>
      <c r="L14">
        <f t="shared" si="0"/>
        <v>82.5</v>
      </c>
    </row>
    <row r="15" spans="1:12">
      <c r="D15" s="66">
        <v>46115</v>
      </c>
      <c r="E15" s="32">
        <v>1591709</v>
      </c>
      <c r="F15" s="32" t="s">
        <v>23</v>
      </c>
      <c r="G15" s="67">
        <v>20008223</v>
      </c>
      <c r="H15" s="32" t="s">
        <v>423</v>
      </c>
      <c r="I15" s="67">
        <v>1</v>
      </c>
      <c r="J15" s="68">
        <v>26.95</v>
      </c>
      <c r="K15" s="68">
        <v>26.95</v>
      </c>
      <c r="L15">
        <f t="shared" si="0"/>
        <v>38.5</v>
      </c>
    </row>
    <row r="16" spans="1:12">
      <c r="D16" s="66">
        <v>46121</v>
      </c>
      <c r="E16" s="32">
        <v>1593441</v>
      </c>
      <c r="F16" s="32" t="s">
        <v>23</v>
      </c>
      <c r="G16" s="67">
        <v>20336004</v>
      </c>
      <c r="H16" s="32" t="s">
        <v>419</v>
      </c>
      <c r="I16" s="67">
        <v>4</v>
      </c>
      <c r="J16" s="68">
        <v>30.8</v>
      </c>
      <c r="K16" s="68">
        <v>123.2</v>
      </c>
      <c r="L16">
        <f t="shared" si="0"/>
        <v>44</v>
      </c>
    </row>
    <row r="17" spans="4:12">
      <c r="D17" s="66">
        <v>46122</v>
      </c>
      <c r="E17" s="32">
        <v>1593474</v>
      </c>
      <c r="F17" s="32" t="s">
        <v>46</v>
      </c>
      <c r="G17" s="67">
        <v>20335124</v>
      </c>
      <c r="H17" s="32" t="s">
        <v>424</v>
      </c>
      <c r="I17" s="67">
        <v>1</v>
      </c>
      <c r="J17" s="68">
        <v>11.55</v>
      </c>
      <c r="K17" s="68">
        <v>11.55</v>
      </c>
      <c r="L17">
        <f t="shared" si="0"/>
        <v>16.5</v>
      </c>
    </row>
    <row r="18" spans="4:12">
      <c r="D18" s="66">
        <v>46122</v>
      </c>
      <c r="E18" s="32">
        <v>1593474</v>
      </c>
      <c r="F18" s="32" t="s">
        <v>46</v>
      </c>
      <c r="G18" s="67">
        <v>20008215</v>
      </c>
      <c r="H18" s="32" t="s">
        <v>425</v>
      </c>
      <c r="I18" s="67">
        <v>1</v>
      </c>
      <c r="J18" s="68">
        <v>11.55</v>
      </c>
      <c r="K18" s="68">
        <v>11.55</v>
      </c>
      <c r="L18">
        <f t="shared" si="0"/>
        <v>16.5</v>
      </c>
    </row>
    <row r="19" spans="4:12">
      <c r="D19" s="66">
        <v>46122</v>
      </c>
      <c r="E19" s="32">
        <v>1593474</v>
      </c>
      <c r="F19" s="32" t="s">
        <v>13</v>
      </c>
      <c r="G19" s="67">
        <v>20326910</v>
      </c>
      <c r="H19" s="32" t="s">
        <v>426</v>
      </c>
      <c r="I19" s="67">
        <v>1</v>
      </c>
      <c r="J19" s="68">
        <v>11.2</v>
      </c>
      <c r="K19" s="68">
        <v>11.2</v>
      </c>
      <c r="L19">
        <f t="shared" si="0"/>
        <v>16</v>
      </c>
    </row>
    <row r="20" spans="4:12">
      <c r="D20" s="66">
        <v>46122</v>
      </c>
      <c r="E20" s="32">
        <v>1593474</v>
      </c>
      <c r="F20" s="32" t="s">
        <v>13</v>
      </c>
      <c r="G20" s="67">
        <v>20377850</v>
      </c>
      <c r="H20" s="32" t="s">
        <v>427</v>
      </c>
      <c r="I20" s="67">
        <v>1</v>
      </c>
      <c r="J20" s="68">
        <v>38.5</v>
      </c>
      <c r="K20" s="68">
        <v>38.5</v>
      </c>
      <c r="L20">
        <f t="shared" si="0"/>
        <v>55</v>
      </c>
    </row>
    <row r="21" spans="4:12">
      <c r="D21" s="66">
        <v>46122</v>
      </c>
      <c r="E21" s="32">
        <v>1593474</v>
      </c>
      <c r="F21" s="32" t="s">
        <v>23</v>
      </c>
      <c r="G21" s="67">
        <v>20008227</v>
      </c>
      <c r="H21" s="32" t="s">
        <v>428</v>
      </c>
      <c r="I21" s="67">
        <v>1</v>
      </c>
      <c r="J21" s="68">
        <v>69.3</v>
      </c>
      <c r="K21" s="68">
        <v>69.3</v>
      </c>
      <c r="L21">
        <f t="shared" si="0"/>
        <v>99</v>
      </c>
    </row>
    <row r="22" spans="4:12">
      <c r="D22" s="66">
        <v>46122</v>
      </c>
      <c r="E22" s="32">
        <v>1593864</v>
      </c>
      <c r="F22" s="32" t="s">
        <v>23</v>
      </c>
      <c r="G22" s="67">
        <v>20013078</v>
      </c>
      <c r="H22" s="32" t="s">
        <v>429</v>
      </c>
      <c r="I22" s="67">
        <v>1</v>
      </c>
      <c r="J22" s="68">
        <v>19.25</v>
      </c>
      <c r="K22" s="68">
        <v>19.25</v>
      </c>
      <c r="L22">
        <f t="shared" si="0"/>
        <v>27.5</v>
      </c>
    </row>
    <row r="23" spans="4:12">
      <c r="D23" s="66">
        <v>46126</v>
      </c>
      <c r="E23" s="32">
        <v>1594763</v>
      </c>
      <c r="F23" s="32" t="s">
        <v>23</v>
      </c>
      <c r="G23" s="67">
        <v>20008228</v>
      </c>
      <c r="H23" s="32" t="s">
        <v>430</v>
      </c>
      <c r="I23" s="67">
        <v>2</v>
      </c>
      <c r="J23" s="68">
        <v>34.65</v>
      </c>
      <c r="K23" s="68">
        <v>69.3</v>
      </c>
      <c r="L23">
        <f t="shared" si="0"/>
        <v>49.5</v>
      </c>
    </row>
    <row r="24" spans="4:12">
      <c r="D24" s="66">
        <v>46129</v>
      </c>
      <c r="E24" s="32">
        <v>1595685</v>
      </c>
      <c r="F24" s="32" t="s">
        <v>46</v>
      </c>
      <c r="G24" s="67">
        <v>20335124</v>
      </c>
      <c r="H24" s="32" t="s">
        <v>424</v>
      </c>
      <c r="I24" s="67">
        <v>1</v>
      </c>
      <c r="J24" s="68">
        <v>11.55</v>
      </c>
      <c r="K24" s="68">
        <v>11.55</v>
      </c>
      <c r="L24">
        <f t="shared" si="0"/>
        <v>16.5</v>
      </c>
    </row>
    <row r="25" spans="4:12">
      <c r="D25" s="66">
        <v>46129</v>
      </c>
      <c r="E25" s="32">
        <v>1595685</v>
      </c>
      <c r="F25" s="32" t="s">
        <v>46</v>
      </c>
      <c r="G25" s="67">
        <v>20008215</v>
      </c>
      <c r="H25" s="32" t="s">
        <v>425</v>
      </c>
      <c r="I25" s="67">
        <v>1</v>
      </c>
      <c r="J25" s="68">
        <v>11.55</v>
      </c>
      <c r="K25" s="68">
        <v>11.55</v>
      </c>
      <c r="L25">
        <f t="shared" si="0"/>
        <v>16.5</v>
      </c>
    </row>
    <row r="26" spans="4:12">
      <c r="D26" s="66">
        <v>46129</v>
      </c>
      <c r="E26" s="32">
        <v>1595685</v>
      </c>
      <c r="F26" s="32" t="s">
        <v>13</v>
      </c>
      <c r="G26" s="67">
        <v>20326910</v>
      </c>
      <c r="H26" s="32" t="s">
        <v>426</v>
      </c>
      <c r="I26" s="67">
        <v>1</v>
      </c>
      <c r="J26" s="68">
        <v>11.2</v>
      </c>
      <c r="K26" s="68">
        <v>11.2</v>
      </c>
      <c r="L26">
        <f t="shared" si="0"/>
        <v>16</v>
      </c>
    </row>
    <row r="27" spans="4:12">
      <c r="D27" s="66">
        <v>46129</v>
      </c>
      <c r="E27" s="32">
        <v>1595685</v>
      </c>
      <c r="F27" s="32" t="s">
        <v>13</v>
      </c>
      <c r="G27" s="67">
        <v>20377850</v>
      </c>
      <c r="H27" s="32" t="s">
        <v>427</v>
      </c>
      <c r="I27" s="67">
        <v>1</v>
      </c>
      <c r="J27" s="68">
        <v>38.5</v>
      </c>
      <c r="K27" s="68">
        <v>38.5</v>
      </c>
      <c r="L27">
        <f t="shared" si="0"/>
        <v>55</v>
      </c>
    </row>
    <row r="28" spans="4:12">
      <c r="D28" s="66">
        <v>46129</v>
      </c>
      <c r="E28" s="32">
        <v>1595685</v>
      </c>
      <c r="F28" s="32" t="s">
        <v>23</v>
      </c>
      <c r="G28" s="67">
        <v>20336004</v>
      </c>
      <c r="H28" s="32" t="s">
        <v>419</v>
      </c>
      <c r="I28" s="67">
        <v>5</v>
      </c>
      <c r="J28" s="68">
        <v>30.8</v>
      </c>
      <c r="K28" s="68">
        <v>154</v>
      </c>
      <c r="L28">
        <f t="shared" si="0"/>
        <v>44</v>
      </c>
    </row>
    <row r="29" spans="4:12">
      <c r="D29" s="66">
        <v>46129</v>
      </c>
      <c r="E29" s="32">
        <v>1595685</v>
      </c>
      <c r="F29" s="32" t="s">
        <v>23</v>
      </c>
      <c r="G29" s="67">
        <v>20008227</v>
      </c>
      <c r="H29" s="32" t="s">
        <v>428</v>
      </c>
      <c r="I29" s="67">
        <v>1</v>
      </c>
      <c r="J29" s="68">
        <v>69.3</v>
      </c>
      <c r="K29" s="68">
        <v>69.3</v>
      </c>
      <c r="L29">
        <f t="shared" si="0"/>
        <v>99</v>
      </c>
    </row>
    <row r="30" spans="4:12">
      <c r="D30" s="66">
        <v>46129</v>
      </c>
      <c r="E30" s="32">
        <v>1595685</v>
      </c>
      <c r="F30" s="32" t="s">
        <v>23</v>
      </c>
      <c r="G30" s="67">
        <v>20013078</v>
      </c>
      <c r="H30" s="32" t="s">
        <v>429</v>
      </c>
      <c r="I30" s="67">
        <v>1</v>
      </c>
      <c r="J30" s="68">
        <v>19.25</v>
      </c>
      <c r="K30" s="68">
        <v>19.25</v>
      </c>
      <c r="L30">
        <f t="shared" si="0"/>
        <v>27.5</v>
      </c>
    </row>
    <row r="31" spans="4:12">
      <c r="D31" s="66">
        <v>46135</v>
      </c>
      <c r="E31" s="32">
        <v>1597603</v>
      </c>
      <c r="F31" s="32" t="s">
        <v>23</v>
      </c>
      <c r="G31" s="67">
        <v>20008227</v>
      </c>
      <c r="H31" s="32" t="s">
        <v>428</v>
      </c>
      <c r="I31" s="67">
        <v>1</v>
      </c>
      <c r="J31" s="68">
        <v>69.3</v>
      </c>
      <c r="K31" s="68">
        <v>69.3</v>
      </c>
      <c r="L31">
        <f t="shared" si="0"/>
        <v>99</v>
      </c>
    </row>
    <row r="32" spans="4:12">
      <c r="D32" s="66">
        <v>46135</v>
      </c>
      <c r="E32" s="32">
        <v>1597603</v>
      </c>
      <c r="F32" s="32" t="s">
        <v>23</v>
      </c>
      <c r="G32" s="67">
        <v>20013078</v>
      </c>
      <c r="H32" s="32" t="s">
        <v>429</v>
      </c>
      <c r="I32" s="67">
        <v>1</v>
      </c>
      <c r="J32" s="68">
        <v>19.25</v>
      </c>
      <c r="K32" s="68">
        <v>19.25</v>
      </c>
      <c r="L32">
        <f t="shared" si="0"/>
        <v>27.5</v>
      </c>
    </row>
    <row r="33" spans="4:12">
      <c r="D33" s="66">
        <v>46136</v>
      </c>
      <c r="E33" s="32">
        <v>1597711</v>
      </c>
      <c r="F33" s="32" t="s">
        <v>46</v>
      </c>
      <c r="G33" s="67">
        <v>20335124</v>
      </c>
      <c r="H33" s="32" t="s">
        <v>424</v>
      </c>
      <c r="I33" s="67">
        <v>1</v>
      </c>
      <c r="J33" s="68">
        <v>11.55</v>
      </c>
      <c r="K33" s="68">
        <v>11.55</v>
      </c>
      <c r="L33">
        <f t="shared" si="0"/>
        <v>16.5</v>
      </c>
    </row>
    <row r="34" spans="4:12">
      <c r="D34" s="66">
        <v>46136</v>
      </c>
      <c r="E34" s="32">
        <v>1597711</v>
      </c>
      <c r="F34" s="32" t="s">
        <v>46</v>
      </c>
      <c r="G34" s="67">
        <v>20008215</v>
      </c>
      <c r="H34" s="32" t="s">
        <v>425</v>
      </c>
      <c r="I34" s="67">
        <v>1</v>
      </c>
      <c r="J34" s="68">
        <v>11.55</v>
      </c>
      <c r="K34" s="68">
        <v>11.55</v>
      </c>
      <c r="L34">
        <f t="shared" si="0"/>
        <v>16.5</v>
      </c>
    </row>
    <row r="35" spans="4:12">
      <c r="D35" s="66">
        <v>46136</v>
      </c>
      <c r="E35" s="32">
        <v>1597711</v>
      </c>
      <c r="F35" s="32" t="s">
        <v>13</v>
      </c>
      <c r="G35" s="67">
        <v>20326910</v>
      </c>
      <c r="H35" s="32" t="s">
        <v>426</v>
      </c>
      <c r="I35" s="67">
        <v>1</v>
      </c>
      <c r="J35" s="68">
        <v>11.2</v>
      </c>
      <c r="K35" s="68">
        <v>11.2</v>
      </c>
      <c r="L35">
        <f t="shared" si="0"/>
        <v>16</v>
      </c>
    </row>
    <row r="36" spans="4:12">
      <c r="D36" s="66">
        <v>46136</v>
      </c>
      <c r="E36" s="32">
        <v>1597711</v>
      </c>
      <c r="F36" s="32" t="s">
        <v>13</v>
      </c>
      <c r="G36" s="67">
        <v>20377850</v>
      </c>
      <c r="H36" s="32" t="s">
        <v>427</v>
      </c>
      <c r="I36" s="67">
        <v>1</v>
      </c>
      <c r="J36" s="68">
        <v>38.5</v>
      </c>
      <c r="K36" s="68">
        <v>38.5</v>
      </c>
      <c r="L36">
        <f t="shared" si="0"/>
        <v>55</v>
      </c>
    </row>
    <row r="37" spans="4:12">
      <c r="D37" s="66">
        <v>46136</v>
      </c>
      <c r="E37" s="32">
        <v>1597711</v>
      </c>
      <c r="F37" s="32" t="s">
        <v>23</v>
      </c>
      <c r="G37" s="67">
        <v>20336004</v>
      </c>
      <c r="H37" s="32" t="s">
        <v>419</v>
      </c>
      <c r="I37" s="67">
        <v>4</v>
      </c>
      <c r="J37" s="68">
        <v>30.8</v>
      </c>
      <c r="K37" s="68">
        <v>123.2</v>
      </c>
      <c r="L37">
        <f t="shared" si="0"/>
        <v>44</v>
      </c>
    </row>
    <row r="38" spans="4:12">
      <c r="D38" s="66">
        <v>46140</v>
      </c>
      <c r="E38" s="32">
        <v>1598616</v>
      </c>
      <c r="F38" s="32" t="s">
        <v>13</v>
      </c>
      <c r="G38" s="67">
        <v>20009280</v>
      </c>
      <c r="H38" s="32" t="s">
        <v>227</v>
      </c>
      <c r="I38" s="67">
        <v>4</v>
      </c>
      <c r="J38" s="68">
        <v>5.6</v>
      </c>
      <c r="K38" s="68">
        <v>22.4</v>
      </c>
      <c r="L38">
        <f t="shared" si="0"/>
        <v>8</v>
      </c>
    </row>
    <row r="39" spans="4:12">
      <c r="D39" s="66">
        <v>46140</v>
      </c>
      <c r="E39" s="32">
        <v>1598924</v>
      </c>
      <c r="F39" s="32" t="s">
        <v>23</v>
      </c>
      <c r="G39" s="67">
        <v>20008228</v>
      </c>
      <c r="H39" s="32" t="s">
        <v>430</v>
      </c>
      <c r="I39" s="67">
        <v>1</v>
      </c>
      <c r="J39" s="68">
        <v>34.65</v>
      </c>
      <c r="K39" s="68">
        <v>34.65</v>
      </c>
      <c r="L39">
        <f t="shared" si="0"/>
        <v>49.5</v>
      </c>
    </row>
    <row r="40" spans="4:12">
      <c r="D40" s="66">
        <v>46142</v>
      </c>
      <c r="E40" s="32">
        <v>1599437</v>
      </c>
      <c r="F40" s="32" t="s">
        <v>23</v>
      </c>
      <c r="G40" s="67">
        <v>20013078</v>
      </c>
      <c r="H40" s="32" t="s">
        <v>429</v>
      </c>
      <c r="I40" s="67">
        <v>1</v>
      </c>
      <c r="J40" s="68">
        <v>19.25</v>
      </c>
      <c r="K40" s="68">
        <v>19.25</v>
      </c>
      <c r="L40">
        <f t="shared" si="0"/>
        <v>27.5</v>
      </c>
    </row>
    <row r="41" ht="0.05" customHeight="1"/>
  </sheetData>
  <autoFilter xmlns:etc="http://www.wps.cn/officeDocument/2017/etCustomData" ref="A7:K40" etc:filterBottomFollowUsedRange="0">
    <extLst/>
  </autoFilter>
  <mergeCells count="5">
    <mergeCell ref="D8:H8"/>
    <mergeCell ref="C7:C40"/>
    <mergeCell ref="B4:H5"/>
    <mergeCell ref="A7:B40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&amp;"-,Regular"2026年5月6日 8:42 
&amp;"-,Bold"&amp;10 黑龙江省铂康医疗灭菌有限公司 &amp;R&amp;"Droid Sans Fallback"&amp;9第&amp;P页，共&amp;N页 </oddFooter>
  </headerFooter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3"/>
  <sheetViews>
    <sheetView showGridLines="0" view="pageBreakPreview" zoomScaleNormal="100" workbookViewId="0">
      <pane ySplit="6" topLeftCell="A7" activePane="bottomLeft" state="frozen"/>
      <selection/>
      <selection pane="bottomLeft" activeCell="K9" sqref="K9:K14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625" customWidth="1"/>
  </cols>
  <sheetData>
    <row r="1" spans="1:11">
      <c r="C1" s="15" t="s">
        <v>0</v>
      </c>
    </row>
    <row r="2" ht="23.05" customHeight="1"/>
    <row r="3" ht="2" customHeight="1"/>
    <row r="4" ht="15.2" customHeight="1" spans="1:11">
      <c r="B4" s="16" t="s">
        <v>1</v>
      </c>
    </row>
    <row r="6" ht="2.95" customHeight="1"/>
    <row r="7" spans="1:11">
      <c r="A7" s="34" t="s">
        <v>2</v>
      </c>
      <c r="B7" s="17" t="s">
        <v>2</v>
      </c>
      <c r="C7" s="60" t="s">
        <v>2</v>
      </c>
      <c r="D7" s="61" t="s">
        <v>4</v>
      </c>
      <c r="E7" s="61" t="s">
        <v>5</v>
      </c>
      <c r="F7" s="61" t="s">
        <v>6</v>
      </c>
      <c r="G7" s="61" t="s">
        <v>7</v>
      </c>
      <c r="H7" s="61" t="s">
        <v>8</v>
      </c>
      <c r="I7" s="61" t="s">
        <v>9</v>
      </c>
      <c r="J7" s="61" t="s">
        <v>10</v>
      </c>
      <c r="K7" s="61" t="s">
        <v>11</v>
      </c>
    </row>
    <row r="8" ht="14.25" spans="1:11">
      <c r="D8" s="62" t="s">
        <v>431</v>
      </c>
      <c r="E8" s="63" t="s">
        <v>2</v>
      </c>
      <c r="F8" s="63" t="s">
        <v>2</v>
      </c>
      <c r="G8" s="63" t="s">
        <v>2</v>
      </c>
      <c r="H8" s="63" t="s">
        <v>2</v>
      </c>
      <c r="I8" s="64">
        <v>25</v>
      </c>
      <c r="J8" s="65"/>
      <c r="K8" s="65">
        <v>158.9</v>
      </c>
    </row>
    <row r="9" spans="1:11">
      <c r="D9" s="66">
        <v>46119</v>
      </c>
      <c r="E9" s="32">
        <v>1592588</v>
      </c>
      <c r="F9" s="32" t="s">
        <v>13</v>
      </c>
      <c r="G9" s="67">
        <v>20386301</v>
      </c>
      <c r="H9" s="32" t="s">
        <v>432</v>
      </c>
      <c r="I9" s="67">
        <v>8</v>
      </c>
      <c r="J9" s="68">
        <v>5.6</v>
      </c>
      <c r="K9" s="68">
        <v>44.8</v>
      </c>
    </row>
    <row r="10" spans="1:11">
      <c r="D10" s="66">
        <v>46126</v>
      </c>
      <c r="E10" s="32">
        <v>1594764</v>
      </c>
      <c r="F10" s="32" t="s">
        <v>13</v>
      </c>
      <c r="G10" s="67">
        <v>20386301</v>
      </c>
      <c r="H10" s="32" t="s">
        <v>432</v>
      </c>
      <c r="I10" s="67">
        <v>6</v>
      </c>
      <c r="J10" s="68">
        <v>5.6</v>
      </c>
      <c r="K10" s="68">
        <v>33.6</v>
      </c>
    </row>
    <row r="11" spans="1:11">
      <c r="D11" s="66">
        <v>46133</v>
      </c>
      <c r="E11" s="32">
        <v>1596816</v>
      </c>
      <c r="F11" s="32" t="s">
        <v>13</v>
      </c>
      <c r="G11" s="67">
        <v>20386301</v>
      </c>
      <c r="H11" s="32" t="s">
        <v>432</v>
      </c>
      <c r="I11" s="67">
        <v>5</v>
      </c>
      <c r="J11" s="68">
        <v>5.6</v>
      </c>
      <c r="K11" s="68">
        <v>28</v>
      </c>
    </row>
    <row r="12" spans="1:11">
      <c r="D12" s="66">
        <v>46140</v>
      </c>
      <c r="E12" s="32">
        <v>1598925</v>
      </c>
      <c r="F12" s="32" t="s">
        <v>13</v>
      </c>
      <c r="G12" s="67">
        <v>20386301</v>
      </c>
      <c r="H12" s="32" t="s">
        <v>432</v>
      </c>
      <c r="I12" s="67">
        <v>5</v>
      </c>
      <c r="J12" s="68">
        <v>5.6</v>
      </c>
      <c r="K12" s="68">
        <v>28</v>
      </c>
    </row>
    <row r="13" spans="1:11">
      <c r="D13" s="66">
        <v>46142</v>
      </c>
      <c r="E13" s="32">
        <v>1599594</v>
      </c>
      <c r="F13" s="32" t="s">
        <v>27</v>
      </c>
      <c r="G13" s="67">
        <v>20423703</v>
      </c>
      <c r="H13" s="32" t="s">
        <v>164</v>
      </c>
      <c r="I13" s="67">
        <v>1</v>
      </c>
      <c r="J13" s="68">
        <v>24.5</v>
      </c>
      <c r="K13" s="68">
        <v>24.5</v>
      </c>
    </row>
  </sheetData>
  <autoFilter xmlns:etc="http://www.wps.cn/officeDocument/2017/etCustomData" ref="A7:K13" etc:filterBottomFollowUsedRange="0">
    <extLst/>
  </autoFilter>
  <mergeCells count="5">
    <mergeCell ref="D8:H8"/>
    <mergeCell ref="C7:C13"/>
    <mergeCell ref="B4:H5"/>
    <mergeCell ref="A7:B13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&amp;"-,Regular"2026年5月6日 8:42 
&amp;"-,Bold"&amp;10 黑龙江省铂康医疗灭菌有限公司 &amp;R&amp;"Droid Sans Fallback"&amp;9第&amp;P页，共&amp;N页 </oddFooter>
  </headerFooter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2"/>
  <sheetViews>
    <sheetView showGridLines="0" view="pageBreakPreview" zoomScaleNormal="100" workbookViewId="0">
      <pane ySplit="6" topLeftCell="A7" activePane="bottomLeft" state="frozen"/>
      <selection/>
      <selection pane="bottomLeft" activeCell="K9" sqref="K9:K24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25" customWidth="1"/>
  </cols>
  <sheetData>
    <row r="1" spans="1:11">
      <c r="C1" s="15" t="s">
        <v>0</v>
      </c>
    </row>
    <row r="2" ht="23.05" customHeight="1"/>
    <row r="3" ht="2" customHeight="1"/>
    <row r="4" ht="15.2" customHeight="1" spans="1:11">
      <c r="B4" s="16" t="s">
        <v>1</v>
      </c>
    </row>
    <row r="6" ht="2.95" customHeight="1"/>
    <row r="7" spans="1:11">
      <c r="A7" s="34" t="s">
        <v>2</v>
      </c>
      <c r="B7" s="17" t="s">
        <v>2</v>
      </c>
      <c r="C7" s="60" t="s">
        <v>2</v>
      </c>
      <c r="D7" s="61" t="s">
        <v>4</v>
      </c>
      <c r="E7" s="61" t="s">
        <v>5</v>
      </c>
      <c r="F7" s="61" t="s">
        <v>6</v>
      </c>
      <c r="G7" s="61" t="s">
        <v>7</v>
      </c>
      <c r="H7" s="61" t="s">
        <v>8</v>
      </c>
      <c r="I7" s="61" t="s">
        <v>9</v>
      </c>
      <c r="J7" s="61" t="s">
        <v>10</v>
      </c>
      <c r="K7" s="61" t="s">
        <v>11</v>
      </c>
    </row>
    <row r="8" ht="14.25" spans="1:11">
      <c r="D8" s="62" t="s">
        <v>433</v>
      </c>
      <c r="E8" s="63" t="s">
        <v>2</v>
      </c>
      <c r="F8" s="63" t="s">
        <v>2</v>
      </c>
      <c r="G8" s="63" t="s">
        <v>2</v>
      </c>
      <c r="H8" s="63" t="s">
        <v>2</v>
      </c>
      <c r="I8" s="64">
        <v>27</v>
      </c>
      <c r="J8" s="65"/>
      <c r="K8" s="65">
        <v>206.15</v>
      </c>
    </row>
    <row r="9" spans="1:11">
      <c r="D9" s="66">
        <v>46119</v>
      </c>
      <c r="E9" s="32">
        <v>1592589</v>
      </c>
      <c r="F9" s="32" t="s">
        <v>13</v>
      </c>
      <c r="G9" s="67">
        <v>20008322</v>
      </c>
      <c r="H9" s="32" t="s">
        <v>14</v>
      </c>
      <c r="I9" s="67">
        <v>3</v>
      </c>
      <c r="J9" s="68">
        <v>5.6</v>
      </c>
      <c r="K9" s="68">
        <v>16.8</v>
      </c>
    </row>
    <row r="10" spans="1:11">
      <c r="D10" s="66">
        <v>46119</v>
      </c>
      <c r="E10" s="32">
        <v>1592589</v>
      </c>
      <c r="F10" s="32" t="s">
        <v>13</v>
      </c>
      <c r="G10" s="67">
        <v>20363011</v>
      </c>
      <c r="H10" s="32" t="s">
        <v>434</v>
      </c>
      <c r="I10" s="67">
        <v>1</v>
      </c>
      <c r="J10" s="68">
        <v>9.45</v>
      </c>
      <c r="K10" s="68">
        <v>9.45</v>
      </c>
    </row>
    <row r="11" spans="1:11">
      <c r="D11" s="66">
        <v>46119</v>
      </c>
      <c r="E11" s="32">
        <v>1592589</v>
      </c>
      <c r="F11" s="32" t="s">
        <v>13</v>
      </c>
      <c r="G11" s="67">
        <v>20363010</v>
      </c>
      <c r="H11" s="32" t="s">
        <v>435</v>
      </c>
      <c r="I11" s="67">
        <v>1</v>
      </c>
      <c r="J11" s="68">
        <v>5.6</v>
      </c>
      <c r="K11" s="68">
        <v>5.6</v>
      </c>
    </row>
    <row r="12" spans="1:11">
      <c r="D12" s="66">
        <v>46126</v>
      </c>
      <c r="E12" s="32">
        <v>1594765</v>
      </c>
      <c r="F12" s="32" t="s">
        <v>13</v>
      </c>
      <c r="G12" s="67">
        <v>20008322</v>
      </c>
      <c r="H12" s="32" t="s">
        <v>14</v>
      </c>
      <c r="I12" s="67">
        <v>4</v>
      </c>
      <c r="J12" s="68">
        <v>5.6</v>
      </c>
      <c r="K12" s="68">
        <v>22.4</v>
      </c>
    </row>
    <row r="13" spans="1:11">
      <c r="D13" s="66">
        <v>46126</v>
      </c>
      <c r="E13" s="32">
        <v>1594765</v>
      </c>
      <c r="F13" s="32" t="s">
        <v>13</v>
      </c>
      <c r="G13" s="67">
        <v>20363011</v>
      </c>
      <c r="H13" s="32" t="s">
        <v>434</v>
      </c>
      <c r="I13" s="67">
        <v>2</v>
      </c>
      <c r="J13" s="68">
        <v>9.45</v>
      </c>
      <c r="K13" s="68">
        <v>18.9</v>
      </c>
    </row>
    <row r="14" spans="1:11">
      <c r="D14" s="66">
        <v>46126</v>
      </c>
      <c r="E14" s="32">
        <v>1594765</v>
      </c>
      <c r="F14" s="32" t="s">
        <v>13</v>
      </c>
      <c r="G14" s="67">
        <v>20345546</v>
      </c>
      <c r="H14" s="32" t="s">
        <v>436</v>
      </c>
      <c r="I14" s="67">
        <v>2</v>
      </c>
      <c r="J14" s="68">
        <v>11.55</v>
      </c>
      <c r="K14" s="68">
        <v>23.1</v>
      </c>
    </row>
    <row r="15" spans="1:11">
      <c r="D15" s="66">
        <v>46126</v>
      </c>
      <c r="E15" s="32">
        <v>1594765</v>
      </c>
      <c r="F15" s="32" t="s">
        <v>13</v>
      </c>
      <c r="G15" s="67">
        <v>20363010</v>
      </c>
      <c r="H15" s="32" t="s">
        <v>435</v>
      </c>
      <c r="I15" s="67">
        <v>1</v>
      </c>
      <c r="J15" s="68">
        <v>5.6</v>
      </c>
      <c r="K15" s="68">
        <v>5.6</v>
      </c>
    </row>
    <row r="16" spans="1:11">
      <c r="D16" s="66">
        <v>46133</v>
      </c>
      <c r="E16" s="32">
        <v>1596817</v>
      </c>
      <c r="F16" s="32" t="s">
        <v>13</v>
      </c>
      <c r="G16" s="67">
        <v>20359452</v>
      </c>
      <c r="H16" s="32" t="s">
        <v>437</v>
      </c>
      <c r="I16" s="67">
        <v>1</v>
      </c>
      <c r="J16" s="68">
        <v>5.6</v>
      </c>
      <c r="K16" s="68">
        <v>5.6</v>
      </c>
    </row>
    <row r="17" spans="4:11">
      <c r="D17" s="66">
        <v>46133</v>
      </c>
      <c r="E17" s="32">
        <v>1596817</v>
      </c>
      <c r="F17" s="32" t="s">
        <v>13</v>
      </c>
      <c r="G17" s="67">
        <v>20345546</v>
      </c>
      <c r="H17" s="32" t="s">
        <v>436</v>
      </c>
      <c r="I17" s="67">
        <v>1</v>
      </c>
      <c r="J17" s="68">
        <v>11.55</v>
      </c>
      <c r="K17" s="68">
        <v>11.55</v>
      </c>
    </row>
    <row r="18" spans="4:11">
      <c r="D18" s="66">
        <v>46133</v>
      </c>
      <c r="E18" s="32">
        <v>1596817</v>
      </c>
      <c r="F18" s="32" t="s">
        <v>13</v>
      </c>
      <c r="G18" s="67">
        <v>20363010</v>
      </c>
      <c r="H18" s="32" t="s">
        <v>435</v>
      </c>
      <c r="I18" s="67">
        <v>2</v>
      </c>
      <c r="J18" s="68">
        <v>5.6</v>
      </c>
      <c r="K18" s="68">
        <v>11.2</v>
      </c>
    </row>
    <row r="19" spans="4:11">
      <c r="D19" s="66">
        <v>46140</v>
      </c>
      <c r="E19" s="32">
        <v>1598926</v>
      </c>
      <c r="F19" s="32" t="s">
        <v>13</v>
      </c>
      <c r="G19" s="67">
        <v>20008322</v>
      </c>
      <c r="H19" s="32" t="s">
        <v>14</v>
      </c>
      <c r="I19" s="67">
        <v>4</v>
      </c>
      <c r="J19" s="68">
        <v>5.6</v>
      </c>
      <c r="K19" s="68">
        <v>22.4</v>
      </c>
    </row>
    <row r="20" spans="4:11">
      <c r="D20" s="66">
        <v>46140</v>
      </c>
      <c r="E20" s="32">
        <v>1598926</v>
      </c>
      <c r="F20" s="32" t="s">
        <v>13</v>
      </c>
      <c r="G20" s="67">
        <v>20363011</v>
      </c>
      <c r="H20" s="32" t="s">
        <v>434</v>
      </c>
      <c r="I20" s="67">
        <v>2</v>
      </c>
      <c r="J20" s="68">
        <v>9.45</v>
      </c>
      <c r="K20" s="68">
        <v>18.9</v>
      </c>
    </row>
    <row r="21" spans="4:11">
      <c r="D21" s="66">
        <v>46140</v>
      </c>
      <c r="E21" s="32">
        <v>1598926</v>
      </c>
      <c r="F21" s="32" t="s">
        <v>13</v>
      </c>
      <c r="G21" s="67">
        <v>20345546</v>
      </c>
      <c r="H21" s="32" t="s">
        <v>436</v>
      </c>
      <c r="I21" s="67">
        <v>3</v>
      </c>
      <c r="J21" s="68">
        <v>11.55</v>
      </c>
      <c r="K21" s="68">
        <v>34.65</v>
      </c>
    </row>
    <row r="22" ht="0.05" customHeight="1"/>
  </sheetData>
  <autoFilter xmlns:etc="http://www.wps.cn/officeDocument/2017/etCustomData" ref="A7:K21" etc:filterBottomFollowUsedRange="0">
    <extLst/>
  </autoFilter>
  <mergeCells count="5">
    <mergeCell ref="D8:H8"/>
    <mergeCell ref="C7:C21"/>
    <mergeCell ref="B4:H5"/>
    <mergeCell ref="A7:B21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&amp;"-,Regular"2026年5月6日 8:42 
&amp;"-,Bold"&amp;10 黑龙江省铂康医疗灭菌有限公司 &amp;R&amp;"Droid Sans Fallback"&amp;9第&amp;P页，共&amp;N页 </oddFooter>
  </headerFooter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1"/>
  <sheetViews>
    <sheetView view="pageBreakPreview" zoomScaleNormal="100" workbookViewId="0">
      <selection activeCell="K9" sqref="K9"/>
    </sheetView>
  </sheetViews>
  <sheetFormatPr defaultColWidth="9" defaultRowHeight="13.5"/>
  <cols>
    <col min="1" max="1" width="1.18333333333333" customWidth="1"/>
    <col min="2" max="2" width="10.5" customWidth="1"/>
    <col min="3" max="3" width="9.375" customWidth="1"/>
    <col min="4" max="4" width="9.4" customWidth="1"/>
    <col min="5" max="5" width="15.4333333333333" customWidth="1"/>
    <col min="6" max="6" width="9.875" customWidth="1"/>
    <col min="7" max="7" width="25" customWidth="1"/>
    <col min="8" max="8" width="7.75" customWidth="1"/>
    <col min="9" max="9" width="8.625" customWidth="1"/>
    <col min="10" max="10" width="11.8416666666667" customWidth="1"/>
  </cols>
  <sheetData>
    <row r="1" customFormat="1" spans="1:11">
      <c r="A1" s="15" t="s">
        <v>438</v>
      </c>
    </row>
    <row r="2" ht="23.05" customHeight="1"/>
    <row r="3" ht="2" customHeight="1"/>
    <row r="4" customFormat="1" ht="15.2" customHeight="1" spans="1:11">
      <c r="A4" s="16" t="s">
        <v>439</v>
      </c>
    </row>
    <row r="5" ht="16" customHeight="1"/>
    <row r="6" customFormat="1" spans="1:11">
      <c r="B6" s="34" t="s">
        <v>4</v>
      </c>
      <c r="C6" s="34" t="s">
        <v>5</v>
      </c>
      <c r="D6" s="34" t="s">
        <v>440</v>
      </c>
      <c r="E6" s="34" t="s">
        <v>6</v>
      </c>
      <c r="F6" s="34" t="s">
        <v>441</v>
      </c>
      <c r="G6" s="34" t="s">
        <v>8</v>
      </c>
      <c r="H6" s="51" t="s">
        <v>442</v>
      </c>
      <c r="I6" s="51" t="s">
        <v>10</v>
      </c>
      <c r="J6" s="51" t="s">
        <v>443</v>
      </c>
    </row>
    <row r="7" ht="15" spans="1:11">
      <c r="A7" s="18" t="s">
        <v>2</v>
      </c>
      <c r="B7" s="52" t="s">
        <v>444</v>
      </c>
      <c r="C7" s="18" t="s">
        <v>2</v>
      </c>
      <c r="D7" s="18" t="s">
        <v>2</v>
      </c>
      <c r="E7" s="18" t="s">
        <v>2</v>
      </c>
      <c r="F7" s="18" t="s">
        <v>2</v>
      </c>
      <c r="G7" s="52" t="s">
        <v>2</v>
      </c>
      <c r="H7" s="53">
        <v>4</v>
      </c>
      <c r="I7" s="52" t="s">
        <v>2</v>
      </c>
      <c r="J7" s="54">
        <v>373.45</v>
      </c>
    </row>
    <row r="8" customFormat="1" ht="14.25" spans="1:11">
      <c r="B8" s="23" t="s">
        <v>3</v>
      </c>
      <c r="C8" s="18" t="s">
        <v>2</v>
      </c>
      <c r="D8" s="18" t="s">
        <v>2</v>
      </c>
      <c r="E8" s="18" t="s">
        <v>2</v>
      </c>
      <c r="F8" s="18" t="s">
        <v>2</v>
      </c>
      <c r="G8" s="23" t="s">
        <v>2</v>
      </c>
      <c r="H8" s="55">
        <v>4</v>
      </c>
      <c r="I8" s="23" t="s">
        <v>2</v>
      </c>
      <c r="J8" s="56">
        <v>373.45</v>
      </c>
      <c r="K8">
        <f>J8+J16</f>
        <v>2362.85</v>
      </c>
    </row>
    <row r="9" customFormat="1" ht="24.75" spans="1:11">
      <c r="B9" s="57">
        <v>46135</v>
      </c>
      <c r="C9" s="28">
        <v>1597365</v>
      </c>
      <c r="D9" s="28" t="s">
        <v>445</v>
      </c>
      <c r="E9" s="32" t="s">
        <v>288</v>
      </c>
      <c r="F9" s="28">
        <v>20422634</v>
      </c>
      <c r="G9" s="32" t="s">
        <v>446</v>
      </c>
      <c r="H9" s="58">
        <v>1</v>
      </c>
      <c r="I9" s="59">
        <v>157.85</v>
      </c>
      <c r="J9" s="59">
        <f t="shared" ref="J9:J12" si="0">I9*H9</f>
        <v>157.85</v>
      </c>
    </row>
    <row r="10" customFormat="1" ht="24.75" spans="1:11">
      <c r="B10" s="57">
        <v>46135</v>
      </c>
      <c r="C10" s="28">
        <v>1597365</v>
      </c>
      <c r="D10" s="28" t="s">
        <v>445</v>
      </c>
      <c r="E10" s="32" t="s">
        <v>288</v>
      </c>
      <c r="F10" s="28">
        <v>20422635</v>
      </c>
      <c r="G10" s="32" t="s">
        <v>447</v>
      </c>
      <c r="H10" s="58">
        <v>1</v>
      </c>
      <c r="I10" s="59">
        <v>84.7</v>
      </c>
      <c r="J10" s="59">
        <f t="shared" si="0"/>
        <v>84.7</v>
      </c>
    </row>
    <row r="11" customFormat="1" ht="24.75" spans="1:11">
      <c r="B11" s="57">
        <v>46135</v>
      </c>
      <c r="C11" s="28">
        <v>1597365</v>
      </c>
      <c r="D11" s="28" t="s">
        <v>445</v>
      </c>
      <c r="E11" s="32" t="s">
        <v>288</v>
      </c>
      <c r="F11" s="28">
        <v>20422636</v>
      </c>
      <c r="G11" s="32" t="s">
        <v>448</v>
      </c>
      <c r="H11" s="58">
        <v>1</v>
      </c>
      <c r="I11" s="59">
        <v>119.35</v>
      </c>
      <c r="J11" s="59">
        <f t="shared" si="0"/>
        <v>119.35</v>
      </c>
    </row>
    <row r="12" customFormat="1" ht="24.75" spans="1:11">
      <c r="B12" s="57">
        <v>46135</v>
      </c>
      <c r="C12" s="28">
        <v>1597365</v>
      </c>
      <c r="D12" s="28" t="s">
        <v>445</v>
      </c>
      <c r="E12" s="32" t="s">
        <v>288</v>
      </c>
      <c r="F12" s="28">
        <v>20422637</v>
      </c>
      <c r="G12" s="32" t="s">
        <v>449</v>
      </c>
      <c r="H12" s="58">
        <v>1</v>
      </c>
      <c r="I12" s="59">
        <v>11.55</v>
      </c>
      <c r="J12" s="59">
        <f t="shared" si="0"/>
        <v>11.55</v>
      </c>
    </row>
    <row r="13" customFormat="1" spans="1:11">
      <c r="B13" s="34" t="s">
        <v>2</v>
      </c>
      <c r="C13" s="34" t="s">
        <v>2</v>
      </c>
      <c r="D13" s="34" t="s">
        <v>2</v>
      </c>
      <c r="E13" s="34" t="s">
        <v>2</v>
      </c>
      <c r="F13" s="34" t="s">
        <v>2</v>
      </c>
      <c r="G13" s="34" t="s">
        <v>2</v>
      </c>
      <c r="H13" s="34" t="s">
        <v>2</v>
      </c>
      <c r="I13" s="34" t="s">
        <v>2</v>
      </c>
      <c r="J13" s="34" t="s">
        <v>2</v>
      </c>
    </row>
    <row r="14" customFormat="1" spans="1:11">
      <c r="B14" s="34" t="s">
        <v>2</v>
      </c>
      <c r="C14" s="34" t="s">
        <v>2</v>
      </c>
      <c r="D14" s="34" t="s">
        <v>2</v>
      </c>
      <c r="E14" s="34" t="s">
        <v>2</v>
      </c>
      <c r="F14" s="34" t="s">
        <v>2</v>
      </c>
      <c r="G14" s="34" t="s">
        <v>2</v>
      </c>
      <c r="H14" s="34" t="s">
        <v>2</v>
      </c>
      <c r="I14" s="34" t="s">
        <v>2</v>
      </c>
      <c r="J14" s="34" t="s">
        <v>2</v>
      </c>
    </row>
    <row r="15" ht="15" spans="1:11">
      <c r="A15" s="18" t="s">
        <v>2</v>
      </c>
      <c r="B15" s="52" t="s">
        <v>450</v>
      </c>
      <c r="C15" s="18" t="s">
        <v>2</v>
      </c>
      <c r="D15" s="18" t="s">
        <v>2</v>
      </c>
      <c r="E15" s="18" t="s">
        <v>2</v>
      </c>
      <c r="F15" s="18" t="s">
        <v>2</v>
      </c>
      <c r="G15" s="52" t="s">
        <v>2</v>
      </c>
      <c r="H15" s="53">
        <v>31</v>
      </c>
      <c r="I15" s="52" t="s">
        <v>2</v>
      </c>
      <c r="J15" s="54">
        <v>1989.4</v>
      </c>
    </row>
    <row r="16" customFormat="1" ht="14.25" spans="1:11">
      <c r="B16" s="23" t="s">
        <v>3</v>
      </c>
      <c r="C16" s="18" t="s">
        <v>2</v>
      </c>
      <c r="D16" s="18" t="s">
        <v>2</v>
      </c>
      <c r="E16" s="18" t="s">
        <v>2</v>
      </c>
      <c r="F16" s="18" t="s">
        <v>2</v>
      </c>
      <c r="G16" s="23" t="s">
        <v>2</v>
      </c>
      <c r="H16" s="55">
        <v>31</v>
      </c>
      <c r="I16" s="23" t="s">
        <v>2</v>
      </c>
      <c r="J16" s="56">
        <v>1989.4</v>
      </c>
    </row>
    <row r="17" customFormat="1" spans="2:10">
      <c r="B17" s="57">
        <v>46113</v>
      </c>
      <c r="C17" s="28">
        <v>1590891</v>
      </c>
      <c r="D17" s="28" t="s">
        <v>451</v>
      </c>
      <c r="E17" s="32" t="s">
        <v>13</v>
      </c>
      <c r="F17" s="28">
        <v>20416380</v>
      </c>
      <c r="G17" s="32" t="s">
        <v>452</v>
      </c>
      <c r="H17" s="58">
        <v>2</v>
      </c>
      <c r="I17" s="59">
        <v>11.55</v>
      </c>
      <c r="J17" s="59">
        <f t="shared" ref="J17:J31" si="1">I17*H17</f>
        <v>23.1</v>
      </c>
    </row>
    <row r="18" customFormat="1" ht="24.75" spans="2:10">
      <c r="B18" s="57">
        <v>46113</v>
      </c>
      <c r="C18" s="28">
        <v>1590891</v>
      </c>
      <c r="D18" s="28" t="s">
        <v>445</v>
      </c>
      <c r="E18" s="32" t="s">
        <v>288</v>
      </c>
      <c r="F18" s="28">
        <v>20419611</v>
      </c>
      <c r="G18" s="32" t="s">
        <v>453</v>
      </c>
      <c r="H18" s="58">
        <v>1</v>
      </c>
      <c r="I18" s="59">
        <v>115.5</v>
      </c>
      <c r="J18" s="59">
        <f t="shared" si="1"/>
        <v>115.5</v>
      </c>
    </row>
    <row r="19" customFormat="1" ht="24.75" spans="2:10">
      <c r="B19" s="57">
        <v>46113</v>
      </c>
      <c r="C19" s="28">
        <v>1590891</v>
      </c>
      <c r="D19" s="28" t="s">
        <v>445</v>
      </c>
      <c r="E19" s="32" t="s">
        <v>288</v>
      </c>
      <c r="F19" s="28">
        <v>20419612</v>
      </c>
      <c r="G19" s="32" t="s">
        <v>454</v>
      </c>
      <c r="H19" s="58">
        <v>1</v>
      </c>
      <c r="I19" s="59">
        <v>96.25</v>
      </c>
      <c r="J19" s="59">
        <f t="shared" si="1"/>
        <v>96.25</v>
      </c>
    </row>
    <row r="20" customFormat="1" ht="24.75" spans="2:10">
      <c r="B20" s="57">
        <v>46113</v>
      </c>
      <c r="C20" s="28">
        <v>1590891</v>
      </c>
      <c r="D20" s="28" t="s">
        <v>445</v>
      </c>
      <c r="E20" s="32" t="s">
        <v>288</v>
      </c>
      <c r="F20" s="28">
        <v>20419613</v>
      </c>
      <c r="G20" s="32" t="s">
        <v>455</v>
      </c>
      <c r="H20" s="58">
        <v>1</v>
      </c>
      <c r="I20" s="59">
        <v>103.95</v>
      </c>
      <c r="J20" s="59">
        <f t="shared" si="1"/>
        <v>103.95</v>
      </c>
    </row>
    <row r="21" customFormat="1" spans="2:10">
      <c r="B21" s="57">
        <v>46113</v>
      </c>
      <c r="C21" s="28">
        <v>1590904</v>
      </c>
      <c r="D21" s="28" t="s">
        <v>451</v>
      </c>
      <c r="E21" s="32" t="s">
        <v>27</v>
      </c>
      <c r="F21" s="28">
        <v>20416378</v>
      </c>
      <c r="G21" s="32" t="s">
        <v>456</v>
      </c>
      <c r="H21" s="58">
        <v>4</v>
      </c>
      <c r="I21" s="59">
        <v>61.6</v>
      </c>
      <c r="J21" s="59">
        <f t="shared" si="1"/>
        <v>246.4</v>
      </c>
    </row>
    <row r="22" customFormat="1" spans="2:10">
      <c r="B22" s="57">
        <v>46113</v>
      </c>
      <c r="C22" s="28">
        <v>1590904</v>
      </c>
      <c r="D22" s="28" t="s">
        <v>451</v>
      </c>
      <c r="E22" s="32" t="s">
        <v>27</v>
      </c>
      <c r="F22" s="28">
        <v>20416379</v>
      </c>
      <c r="G22" s="32" t="s">
        <v>457</v>
      </c>
      <c r="H22" s="58">
        <v>13</v>
      </c>
      <c r="I22" s="59">
        <v>24.5</v>
      </c>
      <c r="J22" s="59">
        <f t="shared" si="1"/>
        <v>318.5</v>
      </c>
    </row>
    <row r="23" customFormat="1" spans="2:10">
      <c r="B23" s="57">
        <v>46113</v>
      </c>
      <c r="C23" s="28">
        <v>1590904</v>
      </c>
      <c r="D23" s="28" t="s">
        <v>451</v>
      </c>
      <c r="E23" s="32" t="s">
        <v>27</v>
      </c>
      <c r="F23" s="28">
        <v>20419614</v>
      </c>
      <c r="G23" s="32" t="s">
        <v>458</v>
      </c>
      <c r="H23" s="58">
        <v>1</v>
      </c>
      <c r="I23" s="59">
        <v>61.6</v>
      </c>
      <c r="J23" s="59">
        <f t="shared" si="1"/>
        <v>61.6</v>
      </c>
    </row>
    <row r="24" customFormat="1" spans="2:10">
      <c r="B24" s="57">
        <v>46113</v>
      </c>
      <c r="C24" s="28">
        <v>1590956</v>
      </c>
      <c r="D24" s="28" t="s">
        <v>451</v>
      </c>
      <c r="E24" s="32" t="s">
        <v>25</v>
      </c>
      <c r="F24" s="28">
        <v>20419616</v>
      </c>
      <c r="G24" s="32" t="s">
        <v>459</v>
      </c>
      <c r="H24" s="58">
        <v>1</v>
      </c>
      <c r="I24" s="59">
        <v>15.4</v>
      </c>
      <c r="J24" s="59">
        <f t="shared" si="1"/>
        <v>15.4</v>
      </c>
    </row>
    <row r="25" customFormat="1" spans="2:10">
      <c r="B25" s="57">
        <v>46141</v>
      </c>
      <c r="C25" s="28">
        <v>1599024</v>
      </c>
      <c r="D25" s="28" t="s">
        <v>451</v>
      </c>
      <c r="E25" s="32" t="s">
        <v>25</v>
      </c>
      <c r="F25" s="28">
        <v>20421518</v>
      </c>
      <c r="G25" s="32" t="s">
        <v>460</v>
      </c>
      <c r="H25" s="58">
        <v>1</v>
      </c>
      <c r="I25" s="59">
        <v>11.55</v>
      </c>
      <c r="J25" s="59">
        <f t="shared" si="1"/>
        <v>11.55</v>
      </c>
    </row>
    <row r="26" customFormat="1" ht="24.75" spans="2:10">
      <c r="B26" s="57">
        <v>46141</v>
      </c>
      <c r="C26" s="28">
        <v>1599024</v>
      </c>
      <c r="D26" s="28" t="s">
        <v>445</v>
      </c>
      <c r="E26" s="32" t="s">
        <v>288</v>
      </c>
      <c r="F26" s="28">
        <v>20423437</v>
      </c>
      <c r="G26" s="32" t="s">
        <v>461</v>
      </c>
      <c r="H26" s="58">
        <v>1</v>
      </c>
      <c r="I26" s="59">
        <v>265.65</v>
      </c>
      <c r="J26" s="59">
        <f t="shared" si="1"/>
        <v>265.65</v>
      </c>
    </row>
    <row r="27" customFormat="1" ht="24.75" spans="2:10">
      <c r="B27" s="57">
        <v>46141</v>
      </c>
      <c r="C27" s="28">
        <v>1599024</v>
      </c>
      <c r="D27" s="28" t="s">
        <v>445</v>
      </c>
      <c r="E27" s="32" t="s">
        <v>288</v>
      </c>
      <c r="F27" s="28">
        <v>20423438</v>
      </c>
      <c r="G27" s="32" t="s">
        <v>462</v>
      </c>
      <c r="H27" s="58">
        <v>1</v>
      </c>
      <c r="I27" s="59">
        <v>119.35</v>
      </c>
      <c r="J27" s="59">
        <f t="shared" si="1"/>
        <v>119.35</v>
      </c>
    </row>
    <row r="28" customFormat="1" ht="24.75" spans="2:10">
      <c r="B28" s="57">
        <v>46141</v>
      </c>
      <c r="C28" s="28">
        <v>1599024</v>
      </c>
      <c r="D28" s="28" t="s">
        <v>445</v>
      </c>
      <c r="E28" s="32" t="s">
        <v>288</v>
      </c>
      <c r="F28" s="28">
        <v>20423439</v>
      </c>
      <c r="G28" s="32" t="s">
        <v>463</v>
      </c>
      <c r="H28" s="58">
        <v>1</v>
      </c>
      <c r="I28" s="59">
        <v>231</v>
      </c>
      <c r="J28" s="59">
        <f t="shared" si="1"/>
        <v>231</v>
      </c>
    </row>
    <row r="29" customFormat="1" ht="24.75" spans="2:10">
      <c r="B29" s="57">
        <v>46141</v>
      </c>
      <c r="C29" s="28">
        <v>1599024</v>
      </c>
      <c r="D29" s="28" t="s">
        <v>445</v>
      </c>
      <c r="E29" s="32" t="s">
        <v>288</v>
      </c>
      <c r="F29" s="28">
        <v>20423440</v>
      </c>
      <c r="G29" s="32" t="s">
        <v>464</v>
      </c>
      <c r="H29" s="58">
        <v>1</v>
      </c>
      <c r="I29" s="59">
        <v>42.35</v>
      </c>
      <c r="J29" s="59">
        <f t="shared" si="1"/>
        <v>42.35</v>
      </c>
    </row>
    <row r="30" customFormat="1" ht="24.75" spans="2:10">
      <c r="B30" s="57">
        <v>46141</v>
      </c>
      <c r="C30" s="28">
        <v>1599024</v>
      </c>
      <c r="D30" s="28" t="s">
        <v>445</v>
      </c>
      <c r="E30" s="32" t="s">
        <v>288</v>
      </c>
      <c r="F30" s="28">
        <v>20423441</v>
      </c>
      <c r="G30" s="32" t="s">
        <v>465</v>
      </c>
      <c r="H30" s="58">
        <v>1</v>
      </c>
      <c r="I30" s="59">
        <v>107.8</v>
      </c>
      <c r="J30" s="59">
        <f t="shared" si="1"/>
        <v>107.8</v>
      </c>
    </row>
    <row r="31" customFormat="1" ht="24.75" spans="2:10">
      <c r="B31" s="57">
        <v>46141</v>
      </c>
      <c r="C31" s="28">
        <v>1599024</v>
      </c>
      <c r="D31" s="28" t="s">
        <v>445</v>
      </c>
      <c r="E31" s="32" t="s">
        <v>288</v>
      </c>
      <c r="F31" s="28">
        <v>20423442</v>
      </c>
      <c r="G31" s="32" t="s">
        <v>466</v>
      </c>
      <c r="H31" s="58">
        <v>1</v>
      </c>
      <c r="I31" s="59">
        <v>231</v>
      </c>
      <c r="J31" s="59">
        <f t="shared" si="1"/>
        <v>231</v>
      </c>
    </row>
  </sheetData>
  <autoFilter xmlns:etc="http://www.wps.cn/officeDocument/2017/etCustomData" ref="A6:J31" etc:filterBottomFollowUsedRange="0">
    <extLst/>
  </autoFilter>
  <mergeCells count="8">
    <mergeCell ref="B7:F7"/>
    <mergeCell ref="B8:F8"/>
    <mergeCell ref="B15:F15"/>
    <mergeCell ref="B16:F16"/>
    <mergeCell ref="A8:A13"/>
    <mergeCell ref="A16:A31"/>
    <mergeCell ref="A1:G2"/>
    <mergeCell ref="A4:G5"/>
  </mergeCells>
  <pageMargins left="0.25" right="0.25" top="0.75" bottom="0.75" header="0.298611111111111" footer="0.298611111111111"/>
  <pageSetup paperSize="9" scale="92" orientation="portrait"/>
  <headerFooter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9"/>
  <sheetViews>
    <sheetView view="pageBreakPreview" zoomScaleNormal="100" workbookViewId="0">
      <selection activeCell="I46" sqref="I46:I48"/>
    </sheetView>
  </sheetViews>
  <sheetFormatPr defaultColWidth="9" defaultRowHeight="13.5"/>
  <cols>
    <col min="2" max="2" width="8.125" customWidth="1"/>
    <col min="3" max="3" width="9.75" customWidth="1"/>
    <col min="4" max="4" width="16.25" customWidth="1"/>
    <col min="5" max="5" width="9.75" customWidth="1"/>
    <col min="6" max="6" width="19.5" customWidth="1"/>
    <col min="7" max="7" width="6.875" customWidth="1"/>
    <col min="8" max="8" width="10.125" customWidth="1"/>
    <col min="9" max="9" width="11.25" customWidth="1"/>
  </cols>
  <sheetData>
    <row r="1" ht="39" customHeight="1" spans="1:10">
      <c r="A1" s="35" t="s">
        <v>467</v>
      </c>
      <c r="B1" s="35"/>
      <c r="C1" s="35"/>
      <c r="D1" s="35"/>
      <c r="E1" s="35"/>
      <c r="F1" s="35"/>
      <c r="G1" s="35"/>
      <c r="H1" s="35"/>
      <c r="I1" s="36"/>
    </row>
    <row r="2" spans="1:10">
      <c r="A2" s="37" t="s">
        <v>468</v>
      </c>
      <c r="B2" s="37"/>
      <c r="C2" s="37"/>
      <c r="D2" s="37"/>
      <c r="E2" s="37"/>
      <c r="F2" s="37"/>
      <c r="G2" s="37"/>
      <c r="H2" s="37"/>
      <c r="I2" s="38"/>
    </row>
    <row r="3" spans="1:10">
      <c r="A3" s="37"/>
      <c r="B3" s="37"/>
      <c r="C3" s="37"/>
      <c r="D3" s="37"/>
      <c r="E3" s="37"/>
      <c r="F3" s="37"/>
      <c r="G3" s="37"/>
      <c r="H3" s="37"/>
      <c r="I3" s="38"/>
    </row>
    <row r="4" customHeight="1" spans="1:10">
      <c r="A4" s="39" t="s">
        <v>4</v>
      </c>
      <c r="B4" s="39" t="s">
        <v>5</v>
      </c>
      <c r="C4" s="39" t="s">
        <v>440</v>
      </c>
      <c r="D4" s="39" t="s">
        <v>6</v>
      </c>
      <c r="E4" s="39" t="s">
        <v>441</v>
      </c>
      <c r="F4" s="39" t="s">
        <v>8</v>
      </c>
      <c r="G4" s="40" t="s">
        <v>442</v>
      </c>
      <c r="H4" s="40" t="s">
        <v>10</v>
      </c>
      <c r="I4" s="40" t="s">
        <v>443</v>
      </c>
    </row>
    <row r="5" ht="25" customHeight="1" spans="1:10">
      <c r="A5" s="41">
        <v>46120</v>
      </c>
      <c r="B5" s="42">
        <v>1593047</v>
      </c>
      <c r="C5" s="42" t="s">
        <v>445</v>
      </c>
      <c r="D5" s="39" t="s">
        <v>288</v>
      </c>
      <c r="E5" s="42">
        <v>20420711</v>
      </c>
      <c r="F5" s="39" t="s">
        <v>469</v>
      </c>
      <c r="G5" s="49">
        <v>1</v>
      </c>
      <c r="H5" s="50">
        <v>103.95</v>
      </c>
      <c r="I5" s="50">
        <f t="shared" ref="I5:I10" si="0">H5*G5</f>
        <v>103.95</v>
      </c>
      <c r="J5">
        <f>I11+I25+I40+I49</f>
        <v>3003.7</v>
      </c>
    </row>
    <row r="6" ht="25" customHeight="1" spans="1:10">
      <c r="A6" s="41">
        <v>46120</v>
      </c>
      <c r="B6" s="42">
        <v>1593047</v>
      </c>
      <c r="C6" s="42" t="s">
        <v>445</v>
      </c>
      <c r="D6" s="39" t="s">
        <v>288</v>
      </c>
      <c r="E6" s="42">
        <v>20420712</v>
      </c>
      <c r="F6" s="39" t="s">
        <v>470</v>
      </c>
      <c r="G6" s="49">
        <v>1</v>
      </c>
      <c r="H6" s="50">
        <v>119.35</v>
      </c>
      <c r="I6" s="50">
        <f t="shared" si="0"/>
        <v>119.35</v>
      </c>
      <c r="J6">
        <f>J5*1.3</f>
        <v>3904.81</v>
      </c>
    </row>
    <row r="7" ht="25" customHeight="1" spans="1:10">
      <c r="A7" s="41">
        <v>46120</v>
      </c>
      <c r="B7" s="42">
        <v>1593047</v>
      </c>
      <c r="C7" s="42" t="s">
        <v>445</v>
      </c>
      <c r="D7" s="39" t="s">
        <v>288</v>
      </c>
      <c r="E7" s="42">
        <v>20420714</v>
      </c>
      <c r="F7" s="39" t="s">
        <v>471</v>
      </c>
      <c r="G7" s="49">
        <v>1</v>
      </c>
      <c r="H7" s="50">
        <v>227.15</v>
      </c>
      <c r="I7" s="50">
        <f t="shared" si="0"/>
        <v>227.15</v>
      </c>
    </row>
    <row r="8" ht="25" customHeight="1" spans="1:10">
      <c r="A8" s="41">
        <v>46120</v>
      </c>
      <c r="B8" s="42">
        <v>1593047</v>
      </c>
      <c r="C8" s="42" t="s">
        <v>445</v>
      </c>
      <c r="D8" s="39" t="s">
        <v>288</v>
      </c>
      <c r="E8" s="42">
        <v>20420715</v>
      </c>
      <c r="F8" s="39" t="s">
        <v>472</v>
      </c>
      <c r="G8" s="49">
        <v>1</v>
      </c>
      <c r="H8" s="50">
        <v>11.55</v>
      </c>
      <c r="I8" s="50">
        <f t="shared" si="0"/>
        <v>11.55</v>
      </c>
    </row>
    <row r="9" ht="25" customHeight="1" spans="1:10">
      <c r="A9" s="41">
        <v>46120</v>
      </c>
      <c r="B9" s="42">
        <v>1593047</v>
      </c>
      <c r="C9" s="42" t="s">
        <v>445</v>
      </c>
      <c r="D9" s="39" t="s">
        <v>288</v>
      </c>
      <c r="E9" s="42">
        <v>20420716</v>
      </c>
      <c r="F9" s="39" t="s">
        <v>473</v>
      </c>
      <c r="G9" s="49">
        <v>1</v>
      </c>
      <c r="H9" s="50">
        <v>11.55</v>
      </c>
      <c r="I9" s="50">
        <f t="shared" si="0"/>
        <v>11.55</v>
      </c>
    </row>
    <row r="10" customHeight="1" spans="1:10">
      <c r="A10" s="41">
        <v>46120</v>
      </c>
      <c r="B10" s="42">
        <v>1593047</v>
      </c>
      <c r="C10" s="42" t="s">
        <v>445</v>
      </c>
      <c r="D10" s="39" t="s">
        <v>288</v>
      </c>
      <c r="E10" s="42">
        <v>20420713</v>
      </c>
      <c r="F10" s="39" t="s">
        <v>474</v>
      </c>
      <c r="G10" s="49">
        <v>1</v>
      </c>
      <c r="H10" s="50">
        <v>219.45</v>
      </c>
      <c r="I10" s="50">
        <f t="shared" si="0"/>
        <v>219.45</v>
      </c>
    </row>
    <row r="11" customFormat="1" spans="1:10">
      <c r="A11" s="44" t="s">
        <v>443</v>
      </c>
      <c r="B11" s="44"/>
      <c r="C11" s="44"/>
      <c r="D11" s="44"/>
      <c r="E11" s="44"/>
      <c r="F11" s="44"/>
      <c r="G11" s="44"/>
      <c r="H11" s="44"/>
      <c r="I11" s="50">
        <f>SUM(I5:I10)</f>
        <v>693</v>
      </c>
    </row>
    <row r="14" spans="1:10">
      <c r="A14" s="37" t="s">
        <v>475</v>
      </c>
      <c r="B14" s="37"/>
      <c r="C14" s="37"/>
      <c r="D14" s="37"/>
      <c r="E14" s="37"/>
      <c r="F14" s="37"/>
      <c r="G14" s="37"/>
      <c r="H14" s="37"/>
      <c r="I14" s="38"/>
    </row>
    <row r="15" spans="1:10">
      <c r="A15" s="37"/>
      <c r="B15" s="37"/>
      <c r="C15" s="37"/>
      <c r="D15" s="37"/>
      <c r="E15" s="37"/>
      <c r="F15" s="37"/>
      <c r="G15" s="37"/>
      <c r="H15" s="37"/>
      <c r="I15" s="38"/>
    </row>
    <row r="16" spans="1:10">
      <c r="A16" s="39" t="s">
        <v>4</v>
      </c>
      <c r="B16" s="39" t="s">
        <v>5</v>
      </c>
      <c r="C16" s="39" t="s">
        <v>440</v>
      </c>
      <c r="D16" s="39" t="s">
        <v>6</v>
      </c>
      <c r="E16" s="39" t="s">
        <v>441</v>
      </c>
      <c r="F16" s="39" t="s">
        <v>8</v>
      </c>
      <c r="G16" s="40" t="s">
        <v>442</v>
      </c>
      <c r="H16" s="40" t="s">
        <v>10</v>
      </c>
      <c r="I16" s="40" t="s">
        <v>443</v>
      </c>
    </row>
    <row r="17" spans="1:9">
      <c r="A17" s="41">
        <v>46126</v>
      </c>
      <c r="B17" s="42">
        <v>1594897</v>
      </c>
      <c r="C17" s="42" t="s">
        <v>451</v>
      </c>
      <c r="D17" s="39" t="s">
        <v>25</v>
      </c>
      <c r="E17" s="42">
        <v>20419616</v>
      </c>
      <c r="F17" s="39" t="s">
        <v>459</v>
      </c>
      <c r="G17" s="49">
        <v>1</v>
      </c>
      <c r="H17" s="50">
        <v>15.4</v>
      </c>
      <c r="I17" s="50">
        <f t="shared" ref="I17:I24" si="1">H17*G17</f>
        <v>15.4</v>
      </c>
    </row>
    <row r="18" ht="24.75" spans="1:9">
      <c r="A18" s="41">
        <v>46126</v>
      </c>
      <c r="B18" s="42">
        <v>1594897</v>
      </c>
      <c r="C18" s="42" t="s">
        <v>445</v>
      </c>
      <c r="D18" s="39" t="s">
        <v>288</v>
      </c>
      <c r="E18" s="42">
        <v>20421516</v>
      </c>
      <c r="F18" s="39" t="s">
        <v>476</v>
      </c>
      <c r="G18" s="49">
        <v>1</v>
      </c>
      <c r="H18" s="50">
        <v>96.25</v>
      </c>
      <c r="I18" s="50">
        <f t="shared" si="1"/>
        <v>96.25</v>
      </c>
    </row>
    <row r="19" ht="24.75" spans="1:9">
      <c r="A19" s="41">
        <v>46126</v>
      </c>
      <c r="B19" s="42">
        <v>1594897</v>
      </c>
      <c r="C19" s="42" t="s">
        <v>445</v>
      </c>
      <c r="D19" s="39" t="s">
        <v>288</v>
      </c>
      <c r="E19" s="42">
        <v>20421517</v>
      </c>
      <c r="F19" s="39" t="s">
        <v>477</v>
      </c>
      <c r="G19" s="49">
        <v>1</v>
      </c>
      <c r="H19" s="50">
        <v>107.8</v>
      </c>
      <c r="I19" s="50">
        <f t="shared" si="1"/>
        <v>107.8</v>
      </c>
    </row>
    <row r="20" spans="1:9">
      <c r="A20" s="41">
        <v>46126</v>
      </c>
      <c r="B20" s="42">
        <v>1594897</v>
      </c>
      <c r="C20" s="42" t="s">
        <v>451</v>
      </c>
      <c r="D20" s="39" t="s">
        <v>25</v>
      </c>
      <c r="E20" s="42">
        <v>20421518</v>
      </c>
      <c r="F20" s="39" t="s">
        <v>460</v>
      </c>
      <c r="G20" s="49">
        <v>1</v>
      </c>
      <c r="H20" s="50">
        <v>11.55</v>
      </c>
      <c r="I20" s="50">
        <f t="shared" si="1"/>
        <v>11.55</v>
      </c>
    </row>
    <row r="21" ht="24.75" spans="1:9">
      <c r="A21" s="41">
        <v>46126</v>
      </c>
      <c r="B21" s="42">
        <v>1594897</v>
      </c>
      <c r="C21" s="42" t="s">
        <v>445</v>
      </c>
      <c r="D21" s="39" t="s">
        <v>288</v>
      </c>
      <c r="E21" s="42">
        <v>20421515</v>
      </c>
      <c r="F21" s="39" t="s">
        <v>478</v>
      </c>
      <c r="G21" s="49">
        <v>1</v>
      </c>
      <c r="H21" s="50">
        <v>111.65</v>
      </c>
      <c r="I21" s="50">
        <f t="shared" si="1"/>
        <v>111.65</v>
      </c>
    </row>
    <row r="22" spans="1:9">
      <c r="A22" s="41">
        <v>46126</v>
      </c>
      <c r="B22" s="42">
        <v>1594907</v>
      </c>
      <c r="C22" s="42" t="s">
        <v>451</v>
      </c>
      <c r="D22" s="39" t="s">
        <v>27</v>
      </c>
      <c r="E22" s="42">
        <v>20416378</v>
      </c>
      <c r="F22" s="39" t="s">
        <v>456</v>
      </c>
      <c r="G22" s="49">
        <v>4</v>
      </c>
      <c r="H22" s="50">
        <v>61.6</v>
      </c>
      <c r="I22" s="50">
        <f t="shared" si="1"/>
        <v>246.4</v>
      </c>
    </row>
    <row r="23" spans="1:9">
      <c r="A23" s="41">
        <v>46126</v>
      </c>
      <c r="B23" s="42">
        <v>1594907</v>
      </c>
      <c r="C23" s="42" t="s">
        <v>451</v>
      </c>
      <c r="D23" s="39" t="s">
        <v>27</v>
      </c>
      <c r="E23" s="42">
        <v>20416379</v>
      </c>
      <c r="F23" s="39" t="s">
        <v>457</v>
      </c>
      <c r="G23" s="49">
        <v>13</v>
      </c>
      <c r="H23" s="50">
        <v>24.5</v>
      </c>
      <c r="I23" s="50">
        <f t="shared" si="1"/>
        <v>318.5</v>
      </c>
    </row>
    <row r="24" spans="1:9">
      <c r="A24" s="41">
        <v>46126</v>
      </c>
      <c r="B24" s="42">
        <v>1594907</v>
      </c>
      <c r="C24" s="42" t="s">
        <v>451</v>
      </c>
      <c r="D24" s="39" t="s">
        <v>27</v>
      </c>
      <c r="E24" s="42">
        <v>20419614</v>
      </c>
      <c r="F24" s="39" t="s">
        <v>458</v>
      </c>
      <c r="G24" s="49">
        <v>1</v>
      </c>
      <c r="H24" s="50">
        <v>61.6</v>
      </c>
      <c r="I24" s="50">
        <f t="shared" si="1"/>
        <v>61.6</v>
      </c>
    </row>
    <row r="25" spans="1:9">
      <c r="A25" s="44" t="s">
        <v>443</v>
      </c>
      <c r="B25" s="44"/>
      <c r="C25" s="44"/>
      <c r="D25" s="44"/>
      <c r="E25" s="44"/>
      <c r="F25" s="44"/>
      <c r="G25" s="44"/>
      <c r="H25" s="44"/>
      <c r="I25" s="50">
        <f>SUM(I17:I24)</f>
        <v>969.15</v>
      </c>
    </row>
    <row r="28" spans="1:9">
      <c r="A28" s="37" t="s">
        <v>479</v>
      </c>
      <c r="B28" s="37"/>
      <c r="C28" s="37"/>
      <c r="D28" s="37"/>
      <c r="E28" s="37"/>
      <c r="F28" s="37"/>
      <c r="G28" s="37"/>
      <c r="H28" s="37"/>
      <c r="I28" s="38"/>
    </row>
    <row r="29" spans="1:9">
      <c r="A29" s="37"/>
      <c r="B29" s="37"/>
      <c r="C29" s="37"/>
      <c r="D29" s="37"/>
      <c r="E29" s="37"/>
      <c r="F29" s="37"/>
      <c r="G29" s="37"/>
      <c r="H29" s="37"/>
      <c r="I29" s="38"/>
    </row>
    <row r="30" spans="1:9">
      <c r="A30" s="39" t="s">
        <v>4</v>
      </c>
      <c r="B30" s="39" t="s">
        <v>5</v>
      </c>
      <c r="C30" s="39" t="s">
        <v>440</v>
      </c>
      <c r="D30" s="39" t="s">
        <v>6</v>
      </c>
      <c r="E30" s="39" t="s">
        <v>441</v>
      </c>
      <c r="F30" s="39" t="s">
        <v>8</v>
      </c>
      <c r="G30" s="40" t="s">
        <v>442</v>
      </c>
      <c r="H30" s="40" t="s">
        <v>10</v>
      </c>
      <c r="I30" s="40" t="s">
        <v>443</v>
      </c>
    </row>
    <row r="31" spans="1:9">
      <c r="A31" s="41">
        <v>46133</v>
      </c>
      <c r="B31" s="42">
        <v>1596977</v>
      </c>
      <c r="C31" s="42" t="s">
        <v>451</v>
      </c>
      <c r="D31" s="39" t="s">
        <v>25</v>
      </c>
      <c r="E31" s="42">
        <v>20421518</v>
      </c>
      <c r="F31" s="39" t="s">
        <v>460</v>
      </c>
      <c r="G31" s="49">
        <v>1</v>
      </c>
      <c r="H31" s="50">
        <v>11.55</v>
      </c>
      <c r="I31" s="50">
        <f t="shared" ref="I31:I39" si="2">H31*G31</f>
        <v>11.55</v>
      </c>
    </row>
    <row r="32" ht="25.5" spans="1:9">
      <c r="A32" s="41">
        <v>46133</v>
      </c>
      <c r="B32" s="42">
        <v>1596977</v>
      </c>
      <c r="C32" s="42" t="s">
        <v>445</v>
      </c>
      <c r="D32" s="39" t="s">
        <v>288</v>
      </c>
      <c r="E32" s="42">
        <v>20422437</v>
      </c>
      <c r="F32" s="39" t="s">
        <v>480</v>
      </c>
      <c r="G32" s="49">
        <v>1</v>
      </c>
      <c r="H32" s="50">
        <v>57.75</v>
      </c>
      <c r="I32" s="50">
        <f t="shared" si="2"/>
        <v>57.75</v>
      </c>
    </row>
    <row r="33" ht="25.5" spans="1:9">
      <c r="A33" s="41">
        <v>46133</v>
      </c>
      <c r="B33" s="42">
        <v>1596977</v>
      </c>
      <c r="C33" s="42" t="s">
        <v>445</v>
      </c>
      <c r="D33" s="39" t="s">
        <v>288</v>
      </c>
      <c r="E33" s="42">
        <v>20422438</v>
      </c>
      <c r="F33" s="39" t="s">
        <v>481</v>
      </c>
      <c r="G33" s="49">
        <v>1</v>
      </c>
      <c r="H33" s="50">
        <v>157.85</v>
      </c>
      <c r="I33" s="50">
        <f t="shared" si="2"/>
        <v>157.85</v>
      </c>
    </row>
    <row r="34" ht="24.75" spans="1:9">
      <c r="A34" s="41">
        <v>46133</v>
      </c>
      <c r="B34" s="42">
        <v>1596977</v>
      </c>
      <c r="C34" s="42" t="s">
        <v>445</v>
      </c>
      <c r="D34" s="39" t="s">
        <v>288</v>
      </c>
      <c r="E34" s="42">
        <v>20422441</v>
      </c>
      <c r="F34" s="39" t="s">
        <v>482</v>
      </c>
      <c r="G34" s="49">
        <v>1</v>
      </c>
      <c r="H34" s="50">
        <v>92.4</v>
      </c>
      <c r="I34" s="50">
        <f t="shared" si="2"/>
        <v>92.4</v>
      </c>
    </row>
    <row r="35" ht="24.75" spans="1:9">
      <c r="A35" s="41">
        <v>46133</v>
      </c>
      <c r="B35" s="42">
        <v>1596977</v>
      </c>
      <c r="C35" s="42" t="s">
        <v>445</v>
      </c>
      <c r="D35" s="39" t="s">
        <v>288</v>
      </c>
      <c r="E35" s="42">
        <v>20422442</v>
      </c>
      <c r="F35" s="39" t="s">
        <v>483</v>
      </c>
      <c r="G35" s="49">
        <v>1</v>
      </c>
      <c r="H35" s="50">
        <v>111.65</v>
      </c>
      <c r="I35" s="50">
        <f t="shared" si="2"/>
        <v>111.65</v>
      </c>
    </row>
    <row r="36" ht="25.5" spans="1:9">
      <c r="A36" s="41">
        <v>46133</v>
      </c>
      <c r="B36" s="42">
        <v>1596977</v>
      </c>
      <c r="C36" s="42" t="s">
        <v>445</v>
      </c>
      <c r="D36" s="39" t="s">
        <v>288</v>
      </c>
      <c r="E36" s="42">
        <v>20422439</v>
      </c>
      <c r="F36" s="39" t="s">
        <v>484</v>
      </c>
      <c r="G36" s="49">
        <v>1</v>
      </c>
      <c r="H36" s="50">
        <v>61.6</v>
      </c>
      <c r="I36" s="50">
        <f t="shared" si="2"/>
        <v>61.6</v>
      </c>
    </row>
    <row r="37" ht="25.5" spans="1:9">
      <c r="A37" s="41">
        <v>46133</v>
      </c>
      <c r="B37" s="42">
        <v>1596977</v>
      </c>
      <c r="C37" s="42" t="s">
        <v>445</v>
      </c>
      <c r="D37" s="39" t="s">
        <v>288</v>
      </c>
      <c r="E37" s="42">
        <v>20422440</v>
      </c>
      <c r="F37" s="39" t="s">
        <v>485</v>
      </c>
      <c r="G37" s="49">
        <v>1</v>
      </c>
      <c r="H37" s="50">
        <v>173.25</v>
      </c>
      <c r="I37" s="50">
        <f t="shared" si="2"/>
        <v>173.25</v>
      </c>
    </row>
    <row r="38" spans="1:9">
      <c r="A38" s="41">
        <v>46133</v>
      </c>
      <c r="B38" s="42">
        <v>1596994</v>
      </c>
      <c r="C38" s="42" t="s">
        <v>451</v>
      </c>
      <c r="D38" s="39" t="s">
        <v>27</v>
      </c>
      <c r="E38" s="42">
        <v>20416378</v>
      </c>
      <c r="F38" s="39" t="s">
        <v>456</v>
      </c>
      <c r="G38" s="49">
        <v>2</v>
      </c>
      <c r="H38" s="50">
        <v>61.6</v>
      </c>
      <c r="I38" s="50">
        <f t="shared" si="2"/>
        <v>123.2</v>
      </c>
    </row>
    <row r="39" spans="1:9">
      <c r="A39" s="41">
        <v>46133</v>
      </c>
      <c r="B39" s="42">
        <v>1596994</v>
      </c>
      <c r="C39" s="42" t="s">
        <v>451</v>
      </c>
      <c r="D39" s="39" t="s">
        <v>27</v>
      </c>
      <c r="E39" s="42">
        <v>20416379</v>
      </c>
      <c r="F39" s="39" t="s">
        <v>457</v>
      </c>
      <c r="G39" s="49">
        <v>7</v>
      </c>
      <c r="H39" s="50">
        <v>24.5</v>
      </c>
      <c r="I39" s="50">
        <f t="shared" si="2"/>
        <v>171.5</v>
      </c>
    </row>
    <row r="40" spans="1:9">
      <c r="A40" s="44" t="s">
        <v>443</v>
      </c>
      <c r="B40" s="44"/>
      <c r="C40" s="44"/>
      <c r="D40" s="44"/>
      <c r="E40" s="44"/>
      <c r="F40" s="44"/>
      <c r="G40" s="44"/>
      <c r="H40" s="44"/>
      <c r="I40" s="50">
        <f>SUM(I31:I39)</f>
        <v>960.75</v>
      </c>
    </row>
    <row r="43" spans="1:9">
      <c r="A43" s="37" t="s">
        <v>486</v>
      </c>
      <c r="B43" s="37"/>
      <c r="C43" s="37"/>
      <c r="D43" s="37"/>
      <c r="E43" s="37"/>
      <c r="F43" s="37"/>
      <c r="G43" s="37"/>
      <c r="H43" s="37"/>
      <c r="I43" s="38"/>
    </row>
    <row r="44" spans="1:9">
      <c r="A44" s="37"/>
      <c r="B44" s="37"/>
      <c r="C44" s="37"/>
      <c r="D44" s="37"/>
      <c r="E44" s="37"/>
      <c r="F44" s="37"/>
      <c r="G44" s="37"/>
      <c r="H44" s="37"/>
      <c r="I44" s="38"/>
    </row>
    <row r="45" spans="1:9">
      <c r="A45" s="39" t="s">
        <v>4</v>
      </c>
      <c r="B45" s="39" t="s">
        <v>5</v>
      </c>
      <c r="C45" s="39" t="s">
        <v>440</v>
      </c>
      <c r="D45" s="39" t="s">
        <v>6</v>
      </c>
      <c r="E45" s="39" t="s">
        <v>441</v>
      </c>
      <c r="F45" s="39" t="s">
        <v>8</v>
      </c>
      <c r="G45" s="40" t="s">
        <v>442</v>
      </c>
      <c r="H45" s="40" t="s">
        <v>10</v>
      </c>
      <c r="I45" s="40" t="s">
        <v>443</v>
      </c>
    </row>
    <row r="46" spans="1:9">
      <c r="A46" s="41">
        <v>46140</v>
      </c>
      <c r="B46" s="42">
        <v>1598997</v>
      </c>
      <c r="C46" s="42" t="s">
        <v>451</v>
      </c>
      <c r="D46" s="39" t="s">
        <v>27</v>
      </c>
      <c r="E46" s="42">
        <v>20416378</v>
      </c>
      <c r="F46" s="39" t="s">
        <v>456</v>
      </c>
      <c r="G46" s="49">
        <v>2</v>
      </c>
      <c r="H46" s="50">
        <v>61.6</v>
      </c>
      <c r="I46" s="50">
        <f t="shared" ref="I46:I48" si="3">H46*G46</f>
        <v>123.2</v>
      </c>
    </row>
    <row r="47" spans="1:9">
      <c r="A47" s="41">
        <v>46140</v>
      </c>
      <c r="B47" s="42">
        <v>1598997</v>
      </c>
      <c r="C47" s="42" t="s">
        <v>451</v>
      </c>
      <c r="D47" s="39" t="s">
        <v>27</v>
      </c>
      <c r="E47" s="42">
        <v>20416379</v>
      </c>
      <c r="F47" s="39" t="s">
        <v>457</v>
      </c>
      <c r="G47" s="49">
        <v>8</v>
      </c>
      <c r="H47" s="50">
        <v>24.5</v>
      </c>
      <c r="I47" s="50">
        <f t="shared" si="3"/>
        <v>196</v>
      </c>
    </row>
    <row r="48" spans="1:9">
      <c r="A48" s="41">
        <v>46140</v>
      </c>
      <c r="B48" s="42">
        <v>1598997</v>
      </c>
      <c r="C48" s="42" t="s">
        <v>451</v>
      </c>
      <c r="D48" s="39" t="s">
        <v>27</v>
      </c>
      <c r="E48" s="42">
        <v>20419614</v>
      </c>
      <c r="F48" s="39" t="s">
        <v>458</v>
      </c>
      <c r="G48" s="49">
        <v>1</v>
      </c>
      <c r="H48" s="50">
        <v>61.6</v>
      </c>
      <c r="I48" s="50">
        <f t="shared" si="3"/>
        <v>61.6</v>
      </c>
    </row>
    <row r="49" spans="1:9">
      <c r="A49" s="44" t="s">
        <v>443</v>
      </c>
      <c r="B49" s="44"/>
      <c r="C49" s="44"/>
      <c r="D49" s="44"/>
      <c r="E49" s="44"/>
      <c r="F49" s="44"/>
      <c r="G49" s="44"/>
      <c r="H49" s="44"/>
      <c r="I49" s="50">
        <f>SUM(I46:I48)</f>
        <v>380.8</v>
      </c>
    </row>
  </sheetData>
  <autoFilter xmlns:etc="http://www.wps.cn/officeDocument/2017/etCustomData" ref="A45:I49" etc:filterBottomFollowUsedRange="0">
    <extLst/>
  </autoFilter>
  <mergeCells count="9">
    <mergeCell ref="A1:I1"/>
    <mergeCell ref="A11:H11"/>
    <mergeCell ref="A25:H25"/>
    <mergeCell ref="A40:H40"/>
    <mergeCell ref="A49:H49"/>
    <mergeCell ref="A2:I3"/>
    <mergeCell ref="A14:I15"/>
    <mergeCell ref="A28:I29"/>
    <mergeCell ref="A43:I44"/>
  </mergeCells>
  <pageMargins left="0.25" right="0.25" top="0.75" bottom="0.75" header="0.298611111111111" footer="0.298611111111111"/>
  <pageSetup paperSize="9" orientation="portrait"/>
  <headerFooter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02"/>
  <sheetViews>
    <sheetView view="pageBreakPreview" zoomScaleNormal="100" workbookViewId="0">
      <selection activeCell="J7" sqref="J7"/>
    </sheetView>
  </sheetViews>
  <sheetFormatPr defaultColWidth="9" defaultRowHeight="13.5"/>
  <cols>
    <col min="2" max="2" width="8.125" customWidth="1"/>
    <col min="3" max="3" width="8.375" customWidth="1"/>
    <col min="4" max="4" width="16.25" customWidth="1"/>
    <col min="5" max="5" width="9.75" customWidth="1"/>
    <col min="6" max="6" width="22.5" customWidth="1"/>
    <col min="7" max="7" width="6.875" customWidth="1"/>
    <col min="8" max="8" width="9" customWidth="1"/>
    <col min="9" max="9" width="10.375" customWidth="1"/>
    <col min="10" max="10" width="12.625"/>
  </cols>
  <sheetData>
    <row r="1" ht="33" customHeight="1" spans="1:10">
      <c r="A1" s="35" t="s">
        <v>487</v>
      </c>
      <c r="B1" s="35"/>
      <c r="C1" s="35"/>
      <c r="D1" s="35"/>
      <c r="E1" s="35"/>
      <c r="F1" s="35"/>
      <c r="G1" s="35"/>
      <c r="H1" s="35"/>
      <c r="I1" s="36"/>
    </row>
    <row r="2" spans="1:10">
      <c r="A2" s="37" t="s">
        <v>488</v>
      </c>
      <c r="B2" s="37"/>
      <c r="C2" s="37"/>
      <c r="D2" s="37"/>
      <c r="E2" s="37"/>
      <c r="F2" s="37"/>
      <c r="G2" s="37"/>
      <c r="H2" s="37"/>
      <c r="I2" s="38"/>
    </row>
    <row r="3" spans="1:10">
      <c r="A3" s="37"/>
      <c r="B3" s="37"/>
      <c r="C3" s="37"/>
      <c r="D3" s="37"/>
      <c r="E3" s="37"/>
      <c r="F3" s="37"/>
      <c r="G3" s="37"/>
      <c r="H3" s="37"/>
      <c r="I3" s="38"/>
    </row>
    <row r="4" customHeight="1" spans="1:10">
      <c r="A4" s="39" t="s">
        <v>4</v>
      </c>
      <c r="B4" s="39" t="s">
        <v>5</v>
      </c>
      <c r="C4" s="39" t="s">
        <v>440</v>
      </c>
      <c r="D4" s="39" t="s">
        <v>6</v>
      </c>
      <c r="E4" s="39" t="s">
        <v>441</v>
      </c>
      <c r="F4" s="39" t="s">
        <v>8</v>
      </c>
      <c r="G4" s="40" t="s">
        <v>442</v>
      </c>
      <c r="H4" s="40" t="s">
        <v>10</v>
      </c>
      <c r="I4" s="40" t="s">
        <v>443</v>
      </c>
    </row>
    <row r="5" customFormat="1" customHeight="1" spans="1:10">
      <c r="A5" s="41">
        <v>46120</v>
      </c>
      <c r="B5" s="42">
        <v>1593033</v>
      </c>
      <c r="C5" s="42" t="s">
        <v>451</v>
      </c>
      <c r="D5" s="39" t="s">
        <v>489</v>
      </c>
      <c r="E5" s="42">
        <v>20405162</v>
      </c>
      <c r="F5" s="39" t="s">
        <v>490</v>
      </c>
      <c r="G5" s="40">
        <v>3</v>
      </c>
      <c r="H5" s="43">
        <v>24.5</v>
      </c>
      <c r="I5" s="43">
        <v>73.5</v>
      </c>
      <c r="J5">
        <f>I7+I20+I41+I51+I63+I71+I102</f>
        <v>2734.9</v>
      </c>
    </row>
    <row r="6" customFormat="1" customHeight="1" spans="1:10">
      <c r="A6" s="41">
        <v>46120</v>
      </c>
      <c r="B6" s="42">
        <v>1593033</v>
      </c>
      <c r="C6" s="42" t="s">
        <v>451</v>
      </c>
      <c r="D6" s="39" t="s">
        <v>489</v>
      </c>
      <c r="E6" s="42">
        <v>20405161</v>
      </c>
      <c r="F6" s="39" t="s">
        <v>491</v>
      </c>
      <c r="G6" s="40">
        <v>3</v>
      </c>
      <c r="H6" s="43">
        <v>24.5</v>
      </c>
      <c r="I6" s="43">
        <f>H6*G6</f>
        <v>73.5</v>
      </c>
      <c r="J6">
        <f>J5*1.3</f>
        <v>3555.37</v>
      </c>
    </row>
    <row r="7" customFormat="1" spans="1:10">
      <c r="A7" s="44" t="s">
        <v>443</v>
      </c>
      <c r="B7" s="44"/>
      <c r="C7" s="44"/>
      <c r="D7" s="44"/>
      <c r="E7" s="44"/>
      <c r="F7" s="44"/>
      <c r="G7" s="44"/>
      <c r="H7" s="44"/>
      <c r="I7" s="45">
        <f>SUM(I5:I6)</f>
        <v>147</v>
      </c>
    </row>
    <row r="10" spans="1:10">
      <c r="A10" s="37" t="s">
        <v>492</v>
      </c>
      <c r="B10" s="37"/>
      <c r="C10" s="37"/>
      <c r="D10" s="37"/>
      <c r="E10" s="37"/>
      <c r="F10" s="37"/>
      <c r="G10" s="37"/>
      <c r="H10" s="37"/>
      <c r="I10" s="38"/>
    </row>
    <row r="11" spans="1:10">
      <c r="A11" s="37"/>
      <c r="B11" s="37"/>
      <c r="C11" s="37"/>
      <c r="D11" s="37"/>
      <c r="E11" s="37"/>
      <c r="F11" s="37"/>
      <c r="G11" s="37"/>
      <c r="H11" s="37"/>
      <c r="I11" s="38"/>
    </row>
    <row r="12" spans="1:10">
      <c r="A12" s="39" t="s">
        <v>4</v>
      </c>
      <c r="B12" s="39" t="s">
        <v>5</v>
      </c>
      <c r="C12" s="39" t="s">
        <v>440</v>
      </c>
      <c r="D12" s="39" t="s">
        <v>6</v>
      </c>
      <c r="E12" s="39" t="s">
        <v>441</v>
      </c>
      <c r="F12" s="39" t="s">
        <v>8</v>
      </c>
      <c r="G12" s="40" t="s">
        <v>442</v>
      </c>
      <c r="H12" s="40" t="s">
        <v>10</v>
      </c>
      <c r="I12" s="40" t="s">
        <v>443</v>
      </c>
    </row>
    <row r="13" spans="1:10">
      <c r="A13" s="46">
        <v>46125</v>
      </c>
      <c r="B13" s="39">
        <v>1594528</v>
      </c>
      <c r="C13" s="42" t="s">
        <v>451</v>
      </c>
      <c r="D13" s="39" t="s">
        <v>27</v>
      </c>
      <c r="E13" s="40">
        <v>20013300</v>
      </c>
      <c r="F13" s="39" t="s">
        <v>235</v>
      </c>
      <c r="G13" s="40">
        <v>1</v>
      </c>
      <c r="H13" s="43">
        <v>24.5</v>
      </c>
      <c r="I13" s="43">
        <v>24.5</v>
      </c>
    </row>
    <row r="14" spans="1:10">
      <c r="A14" s="46">
        <v>46125</v>
      </c>
      <c r="B14" s="39">
        <v>1594528</v>
      </c>
      <c r="C14" s="42" t="s">
        <v>451</v>
      </c>
      <c r="D14" s="39" t="s">
        <v>27</v>
      </c>
      <c r="E14" s="40">
        <v>20388302</v>
      </c>
      <c r="F14" s="39" t="s">
        <v>202</v>
      </c>
      <c r="G14" s="40">
        <v>1</v>
      </c>
      <c r="H14" s="43">
        <v>24.5</v>
      </c>
      <c r="I14" s="43">
        <v>24.5</v>
      </c>
    </row>
    <row r="15" spans="1:10">
      <c r="A15" s="46">
        <v>46125</v>
      </c>
      <c r="B15" s="39">
        <v>1594528</v>
      </c>
      <c r="C15" s="42" t="s">
        <v>451</v>
      </c>
      <c r="D15" s="39" t="s">
        <v>27</v>
      </c>
      <c r="E15" s="40">
        <v>20012784</v>
      </c>
      <c r="F15" s="39" t="s">
        <v>493</v>
      </c>
      <c r="G15" s="40">
        <v>1</v>
      </c>
      <c r="H15" s="43">
        <v>24.5</v>
      </c>
      <c r="I15" s="43">
        <v>24.5</v>
      </c>
    </row>
    <row r="16" spans="1:10">
      <c r="A16" s="46">
        <v>46125</v>
      </c>
      <c r="B16" s="39">
        <v>1594528</v>
      </c>
      <c r="C16" s="42" t="s">
        <v>451</v>
      </c>
      <c r="D16" s="39" t="s">
        <v>27</v>
      </c>
      <c r="E16" s="40">
        <v>20008389</v>
      </c>
      <c r="F16" s="39" t="s">
        <v>203</v>
      </c>
      <c r="G16" s="40">
        <v>1</v>
      </c>
      <c r="H16" s="43">
        <v>17.5</v>
      </c>
      <c r="I16" s="43">
        <v>17.5</v>
      </c>
    </row>
    <row r="17" spans="1:9">
      <c r="A17" s="46">
        <v>46125</v>
      </c>
      <c r="B17" s="39">
        <v>1594528</v>
      </c>
      <c r="C17" s="42" t="s">
        <v>451</v>
      </c>
      <c r="D17" s="39" t="s">
        <v>27</v>
      </c>
      <c r="E17" s="40">
        <v>20006863</v>
      </c>
      <c r="F17" s="39" t="s">
        <v>204</v>
      </c>
      <c r="G17" s="40">
        <v>1</v>
      </c>
      <c r="H17" s="43">
        <v>24.5</v>
      </c>
      <c r="I17" s="43">
        <v>24.5</v>
      </c>
    </row>
    <row r="18" spans="1:9">
      <c r="A18" s="46">
        <v>46125</v>
      </c>
      <c r="B18" s="39">
        <v>1594528</v>
      </c>
      <c r="C18" s="42" t="s">
        <v>451</v>
      </c>
      <c r="D18" s="39" t="s">
        <v>27</v>
      </c>
      <c r="E18" s="40">
        <v>20377562</v>
      </c>
      <c r="F18" s="39" t="s">
        <v>241</v>
      </c>
      <c r="G18" s="40">
        <v>2</v>
      </c>
      <c r="H18" s="43">
        <v>15.4</v>
      </c>
      <c r="I18" s="43">
        <v>30.8</v>
      </c>
    </row>
    <row r="19" spans="1:9">
      <c r="A19" s="46">
        <v>46125</v>
      </c>
      <c r="B19" s="39">
        <v>1594528</v>
      </c>
      <c r="C19" s="47" t="s">
        <v>46</v>
      </c>
      <c r="D19" s="39" t="s">
        <v>69</v>
      </c>
      <c r="E19" s="40">
        <v>20013036</v>
      </c>
      <c r="F19" s="39" t="s">
        <v>206</v>
      </c>
      <c r="G19" s="40">
        <v>1</v>
      </c>
      <c r="H19" s="43">
        <v>30.8</v>
      </c>
      <c r="I19" s="43">
        <v>30.8</v>
      </c>
    </row>
    <row r="20" spans="1:9">
      <c r="A20" s="44" t="s">
        <v>443</v>
      </c>
      <c r="B20" s="44"/>
      <c r="C20" s="44"/>
      <c r="D20" s="44"/>
      <c r="E20" s="44"/>
      <c r="F20" s="44"/>
      <c r="G20" s="44"/>
      <c r="H20" s="44"/>
      <c r="I20" s="45">
        <f>SUM(I13:I19)</f>
        <v>177.1</v>
      </c>
    </row>
    <row r="23" spans="1:9">
      <c r="A23" s="37" t="s">
        <v>494</v>
      </c>
      <c r="B23" s="37"/>
      <c r="C23" s="37"/>
      <c r="D23" s="37"/>
      <c r="E23" s="37"/>
      <c r="F23" s="37"/>
      <c r="G23" s="37"/>
      <c r="H23" s="37"/>
      <c r="I23" s="38"/>
    </row>
    <row r="24" spans="1:9">
      <c r="A24" s="37"/>
      <c r="B24" s="37"/>
      <c r="C24" s="37"/>
      <c r="D24" s="37"/>
      <c r="E24" s="37"/>
      <c r="F24" s="37"/>
      <c r="G24" s="37"/>
      <c r="H24" s="37"/>
      <c r="I24" s="38"/>
    </row>
    <row r="25" spans="1:9">
      <c r="A25" s="39" t="s">
        <v>4</v>
      </c>
      <c r="B25" s="39" t="s">
        <v>5</v>
      </c>
      <c r="C25" s="39" t="s">
        <v>440</v>
      </c>
      <c r="D25" s="39" t="s">
        <v>6</v>
      </c>
      <c r="E25" s="39" t="s">
        <v>441</v>
      </c>
      <c r="F25" s="39" t="s">
        <v>8</v>
      </c>
      <c r="G25" s="40" t="s">
        <v>442</v>
      </c>
      <c r="H25" s="40" t="s">
        <v>10</v>
      </c>
      <c r="I25" s="40" t="s">
        <v>443</v>
      </c>
    </row>
    <row r="26" spans="1:9">
      <c r="A26" s="46">
        <v>46130</v>
      </c>
      <c r="B26" s="39">
        <v>1596114</v>
      </c>
      <c r="C26" s="39" t="s">
        <v>36</v>
      </c>
      <c r="D26" s="39" t="s">
        <v>36</v>
      </c>
      <c r="E26" s="40">
        <v>20329313</v>
      </c>
      <c r="F26" s="39" t="s">
        <v>333</v>
      </c>
      <c r="G26" s="40">
        <v>1</v>
      </c>
      <c r="H26" s="45">
        <v>107.8</v>
      </c>
      <c r="I26" s="45">
        <v>107.8</v>
      </c>
    </row>
    <row r="27" spans="1:9">
      <c r="A27" s="46">
        <v>46130</v>
      </c>
      <c r="B27" s="39">
        <v>1596114</v>
      </c>
      <c r="C27" s="39" t="s">
        <v>36</v>
      </c>
      <c r="D27" s="39" t="s">
        <v>36</v>
      </c>
      <c r="E27" s="40">
        <v>20008341</v>
      </c>
      <c r="F27" s="39" t="s">
        <v>334</v>
      </c>
      <c r="G27" s="40">
        <v>1</v>
      </c>
      <c r="H27" s="45">
        <v>157.85</v>
      </c>
      <c r="I27" s="45">
        <v>157.85</v>
      </c>
    </row>
    <row r="28" ht="25.5" spans="1:9">
      <c r="A28" s="46">
        <v>46130</v>
      </c>
      <c r="B28" s="39">
        <v>1596114</v>
      </c>
      <c r="C28" s="39" t="s">
        <v>46</v>
      </c>
      <c r="D28" s="39" t="s">
        <v>46</v>
      </c>
      <c r="E28" s="40">
        <v>20013667</v>
      </c>
      <c r="F28" s="39" t="s">
        <v>323</v>
      </c>
      <c r="G28" s="40">
        <v>1</v>
      </c>
      <c r="H28" s="45">
        <v>15.4</v>
      </c>
      <c r="I28" s="45">
        <v>15.4</v>
      </c>
    </row>
    <row r="29" spans="1:9">
      <c r="A29" s="46">
        <v>46130</v>
      </c>
      <c r="B29" s="39">
        <v>1596114</v>
      </c>
      <c r="C29" s="42" t="s">
        <v>451</v>
      </c>
      <c r="D29" s="39" t="s">
        <v>13</v>
      </c>
      <c r="E29" s="40">
        <v>20013515</v>
      </c>
      <c r="F29" s="39" t="s">
        <v>324</v>
      </c>
      <c r="G29" s="40">
        <v>1</v>
      </c>
      <c r="H29" s="45">
        <v>13.3</v>
      </c>
      <c r="I29" s="45">
        <v>13.3</v>
      </c>
    </row>
    <row r="30" spans="1:9">
      <c r="A30" s="46">
        <v>46130</v>
      </c>
      <c r="B30" s="39">
        <v>1596114</v>
      </c>
      <c r="C30" s="42" t="s">
        <v>451</v>
      </c>
      <c r="D30" s="39" t="s">
        <v>13</v>
      </c>
      <c r="E30" s="40">
        <v>20365407</v>
      </c>
      <c r="F30" s="39" t="s">
        <v>495</v>
      </c>
      <c r="G30" s="40">
        <v>1</v>
      </c>
      <c r="H30" s="45">
        <v>7.35</v>
      </c>
      <c r="I30" s="45">
        <v>7.35</v>
      </c>
    </row>
    <row r="31" spans="1:9">
      <c r="A31" s="46">
        <v>46130</v>
      </c>
      <c r="B31" s="39">
        <v>1596114</v>
      </c>
      <c r="C31" s="42" t="s">
        <v>451</v>
      </c>
      <c r="D31" s="39" t="s">
        <v>13</v>
      </c>
      <c r="E31" s="40">
        <v>20357497</v>
      </c>
      <c r="F31" s="39" t="s">
        <v>496</v>
      </c>
      <c r="G31" s="40">
        <v>1</v>
      </c>
      <c r="H31" s="45">
        <v>7.35</v>
      </c>
      <c r="I31" s="45">
        <v>7.35</v>
      </c>
    </row>
    <row r="32" spans="1:9">
      <c r="A32" s="46">
        <v>46130</v>
      </c>
      <c r="B32" s="39">
        <v>1596114</v>
      </c>
      <c r="C32" s="42" t="s">
        <v>451</v>
      </c>
      <c r="D32" s="39" t="s">
        <v>13</v>
      </c>
      <c r="E32" s="40">
        <v>20340574</v>
      </c>
      <c r="F32" s="39" t="s">
        <v>366</v>
      </c>
      <c r="G32" s="40">
        <v>1</v>
      </c>
      <c r="H32" s="45">
        <v>5.6</v>
      </c>
      <c r="I32" s="45">
        <v>5.6</v>
      </c>
    </row>
    <row r="33" spans="1:9">
      <c r="A33" s="46">
        <v>46130</v>
      </c>
      <c r="B33" s="39">
        <v>1596114</v>
      </c>
      <c r="C33" s="42" t="s">
        <v>451</v>
      </c>
      <c r="D33" s="39" t="s">
        <v>13</v>
      </c>
      <c r="E33" s="40">
        <v>20344015</v>
      </c>
      <c r="F33" s="39" t="s">
        <v>497</v>
      </c>
      <c r="G33" s="40">
        <v>1</v>
      </c>
      <c r="H33" s="45">
        <v>5.6</v>
      </c>
      <c r="I33" s="45">
        <v>5.6</v>
      </c>
    </row>
    <row r="34" spans="1:9">
      <c r="A34" s="46">
        <v>46130</v>
      </c>
      <c r="B34" s="39">
        <v>1596114</v>
      </c>
      <c r="C34" s="42" t="s">
        <v>451</v>
      </c>
      <c r="D34" s="39" t="s">
        <v>13</v>
      </c>
      <c r="E34" s="40">
        <v>20337516</v>
      </c>
      <c r="F34" s="39" t="s">
        <v>498</v>
      </c>
      <c r="G34" s="40">
        <v>1</v>
      </c>
      <c r="H34" s="45">
        <v>5.6</v>
      </c>
      <c r="I34" s="45">
        <v>5.6</v>
      </c>
    </row>
    <row r="35" spans="1:9">
      <c r="A35" s="46">
        <v>46130</v>
      </c>
      <c r="B35" s="39">
        <v>1596114</v>
      </c>
      <c r="C35" s="42" t="s">
        <v>451</v>
      </c>
      <c r="D35" s="39" t="s">
        <v>13</v>
      </c>
      <c r="E35" s="40">
        <v>20014209</v>
      </c>
      <c r="F35" s="39" t="s">
        <v>338</v>
      </c>
      <c r="G35" s="40">
        <v>1</v>
      </c>
      <c r="H35" s="45">
        <v>5.6</v>
      </c>
      <c r="I35" s="45">
        <v>5.6</v>
      </c>
    </row>
    <row r="36" spans="1:9">
      <c r="A36" s="46">
        <v>46130</v>
      </c>
      <c r="B36" s="39">
        <v>1596114</v>
      </c>
      <c r="C36" s="42" t="s">
        <v>451</v>
      </c>
      <c r="D36" s="39" t="s">
        <v>13</v>
      </c>
      <c r="E36" s="40">
        <v>20013900</v>
      </c>
      <c r="F36" s="39" t="s">
        <v>339</v>
      </c>
      <c r="G36" s="40">
        <v>1</v>
      </c>
      <c r="H36" s="45">
        <v>5.6</v>
      </c>
      <c r="I36" s="45">
        <v>5.6</v>
      </c>
    </row>
    <row r="37" spans="1:9">
      <c r="A37" s="46">
        <v>46130</v>
      </c>
      <c r="B37" s="39">
        <v>1596114</v>
      </c>
      <c r="C37" s="42" t="s">
        <v>451</v>
      </c>
      <c r="D37" s="39" t="s">
        <v>13</v>
      </c>
      <c r="E37" s="40">
        <v>20012488</v>
      </c>
      <c r="F37" s="39" t="s">
        <v>340</v>
      </c>
      <c r="G37" s="40">
        <v>1</v>
      </c>
      <c r="H37" s="45">
        <v>5.6</v>
      </c>
      <c r="I37" s="45">
        <v>5.6</v>
      </c>
    </row>
    <row r="38" spans="1:9">
      <c r="A38" s="46">
        <v>46130</v>
      </c>
      <c r="B38" s="39">
        <v>1596114</v>
      </c>
      <c r="C38" s="42" t="s">
        <v>451</v>
      </c>
      <c r="D38" s="39" t="s">
        <v>13</v>
      </c>
      <c r="E38" s="40">
        <v>20367135</v>
      </c>
      <c r="F38" s="39" t="s">
        <v>499</v>
      </c>
      <c r="G38" s="40">
        <v>1</v>
      </c>
      <c r="H38" s="45">
        <v>7.35</v>
      </c>
      <c r="I38" s="45">
        <v>7.35</v>
      </c>
    </row>
    <row r="39" spans="1:9">
      <c r="A39" s="46">
        <v>46130</v>
      </c>
      <c r="B39" s="39">
        <v>1596114</v>
      </c>
      <c r="C39" s="42" t="s">
        <v>451</v>
      </c>
      <c r="D39" s="39" t="s">
        <v>25</v>
      </c>
      <c r="E39" s="40">
        <v>20012460</v>
      </c>
      <c r="F39" s="39" t="s">
        <v>314</v>
      </c>
      <c r="G39" s="40">
        <v>1</v>
      </c>
      <c r="H39" s="45">
        <v>11.55</v>
      </c>
      <c r="I39" s="45">
        <v>11.55</v>
      </c>
    </row>
    <row r="40" spans="1:9">
      <c r="A40" s="46">
        <v>46130</v>
      </c>
      <c r="B40" s="39">
        <v>1596114</v>
      </c>
      <c r="C40" s="42" t="s">
        <v>451</v>
      </c>
      <c r="D40" s="39" t="s">
        <v>25</v>
      </c>
      <c r="E40" s="40">
        <v>20008345</v>
      </c>
      <c r="F40" s="39" t="s">
        <v>131</v>
      </c>
      <c r="G40" s="40">
        <v>1</v>
      </c>
      <c r="H40" s="45">
        <v>19.25</v>
      </c>
      <c r="I40" s="45">
        <v>19.25</v>
      </c>
    </row>
    <row r="41" spans="1:9">
      <c r="A41" s="44" t="s">
        <v>443</v>
      </c>
      <c r="B41" s="44"/>
      <c r="C41" s="44"/>
      <c r="D41" s="44"/>
      <c r="E41" s="44"/>
      <c r="F41" s="44"/>
      <c r="G41" s="44"/>
      <c r="H41" s="44"/>
      <c r="I41" s="45">
        <f>SUM(I26:I40)</f>
        <v>380.8</v>
      </c>
    </row>
    <row r="44" spans="1:9">
      <c r="A44" s="37" t="s">
        <v>500</v>
      </c>
      <c r="B44" s="37"/>
      <c r="C44" s="37"/>
      <c r="D44" s="37"/>
      <c r="E44" s="37"/>
      <c r="F44" s="37"/>
      <c r="G44" s="37"/>
      <c r="H44" s="37"/>
      <c r="I44" s="38"/>
    </row>
    <row r="45" spans="1:9">
      <c r="A45" s="37"/>
      <c r="B45" s="37"/>
      <c r="C45" s="37"/>
      <c r="D45" s="37"/>
      <c r="E45" s="37"/>
      <c r="F45" s="37"/>
      <c r="G45" s="37"/>
      <c r="H45" s="37"/>
      <c r="I45" s="38"/>
    </row>
    <row r="46" spans="1:9">
      <c r="A46" s="39" t="s">
        <v>4</v>
      </c>
      <c r="B46" s="39" t="s">
        <v>5</v>
      </c>
      <c r="C46" s="39" t="s">
        <v>440</v>
      </c>
      <c r="D46" s="39" t="s">
        <v>6</v>
      </c>
      <c r="E46" s="39" t="s">
        <v>441</v>
      </c>
      <c r="F46" s="39" t="s">
        <v>8</v>
      </c>
      <c r="G46" s="40" t="s">
        <v>442</v>
      </c>
      <c r="H46" s="40" t="s">
        <v>10</v>
      </c>
      <c r="I46" s="40" t="s">
        <v>443</v>
      </c>
    </row>
    <row r="47" spans="1:9">
      <c r="A47" s="46">
        <v>46136</v>
      </c>
      <c r="B47" s="39">
        <v>1598023</v>
      </c>
      <c r="C47" s="39" t="s">
        <v>36</v>
      </c>
      <c r="D47" s="39" t="s">
        <v>36</v>
      </c>
      <c r="E47" s="40">
        <v>20329313</v>
      </c>
      <c r="F47" s="39" t="s">
        <v>333</v>
      </c>
      <c r="G47" s="40">
        <v>1</v>
      </c>
      <c r="H47" s="43">
        <v>107.8</v>
      </c>
      <c r="I47" s="43">
        <v>107.8</v>
      </c>
    </row>
    <row r="48" spans="1:9">
      <c r="A48" s="46">
        <v>46136</v>
      </c>
      <c r="B48" s="39">
        <v>1598023</v>
      </c>
      <c r="C48" s="39" t="s">
        <v>36</v>
      </c>
      <c r="D48" s="39" t="s">
        <v>36</v>
      </c>
      <c r="E48" s="40">
        <v>20008341</v>
      </c>
      <c r="F48" s="39" t="s">
        <v>334</v>
      </c>
      <c r="G48" s="40">
        <v>1</v>
      </c>
      <c r="H48" s="43">
        <v>157.85</v>
      </c>
      <c r="I48" s="43">
        <v>157.85</v>
      </c>
    </row>
    <row r="49" spans="1:9">
      <c r="A49" s="46">
        <v>46136</v>
      </c>
      <c r="B49" s="39">
        <v>1598023</v>
      </c>
      <c r="C49" s="39" t="s">
        <v>36</v>
      </c>
      <c r="D49" s="39" t="s">
        <v>36</v>
      </c>
      <c r="E49" s="40">
        <v>20008128</v>
      </c>
      <c r="F49" s="39" t="s">
        <v>174</v>
      </c>
      <c r="G49" s="40">
        <v>1</v>
      </c>
      <c r="H49" s="43">
        <v>130.9</v>
      </c>
      <c r="I49" s="43">
        <v>130.9</v>
      </c>
    </row>
    <row r="50" spans="1:9">
      <c r="A50" s="46">
        <v>46136</v>
      </c>
      <c r="B50" s="39">
        <v>1598023</v>
      </c>
      <c r="C50" s="39" t="s">
        <v>36</v>
      </c>
      <c r="D50" s="39" t="s">
        <v>36</v>
      </c>
      <c r="E50" s="40">
        <v>20009533</v>
      </c>
      <c r="F50" s="39" t="s">
        <v>322</v>
      </c>
      <c r="G50" s="40">
        <v>1</v>
      </c>
      <c r="H50" s="43">
        <v>177.1</v>
      </c>
      <c r="I50" s="43">
        <v>177.1</v>
      </c>
    </row>
    <row r="51" spans="1:9">
      <c r="A51" s="44" t="s">
        <v>443</v>
      </c>
      <c r="B51" s="44"/>
      <c r="C51" s="44"/>
      <c r="D51" s="44"/>
      <c r="E51" s="44"/>
      <c r="F51" s="44"/>
      <c r="G51" s="44"/>
      <c r="H51" s="44"/>
      <c r="I51" s="45">
        <f>SUM(I47:I50)</f>
        <v>573.65</v>
      </c>
    </row>
    <row r="54" spans="1:9">
      <c r="A54" s="37" t="s">
        <v>501</v>
      </c>
      <c r="B54" s="37"/>
      <c r="C54" s="37"/>
      <c r="D54" s="37"/>
      <c r="E54" s="37"/>
      <c r="F54" s="37"/>
      <c r="G54" s="37"/>
      <c r="H54" s="37"/>
      <c r="I54" s="38"/>
    </row>
    <row r="55" spans="1:9">
      <c r="A55" s="37"/>
      <c r="B55" s="37"/>
      <c r="C55" s="37"/>
      <c r="D55" s="37"/>
      <c r="E55" s="37"/>
      <c r="F55" s="37"/>
      <c r="G55" s="37"/>
      <c r="H55" s="37"/>
      <c r="I55" s="38"/>
    </row>
    <row r="56" spans="1:9">
      <c r="A56" s="39" t="s">
        <v>4</v>
      </c>
      <c r="B56" s="39" t="s">
        <v>5</v>
      </c>
      <c r="C56" s="39" t="s">
        <v>440</v>
      </c>
      <c r="D56" s="39" t="s">
        <v>6</v>
      </c>
      <c r="E56" s="39" t="s">
        <v>441</v>
      </c>
      <c r="F56" s="39" t="s">
        <v>8</v>
      </c>
      <c r="G56" s="40" t="s">
        <v>442</v>
      </c>
      <c r="H56" s="40" t="s">
        <v>10</v>
      </c>
      <c r="I56" s="40" t="s">
        <v>443</v>
      </c>
    </row>
    <row r="57" spans="1:9">
      <c r="A57" s="46">
        <v>46137</v>
      </c>
      <c r="B57" s="39">
        <v>1598211</v>
      </c>
      <c r="C57" s="39" t="s">
        <v>451</v>
      </c>
      <c r="D57" s="39" t="s">
        <v>27</v>
      </c>
      <c r="E57" s="40">
        <v>20012912</v>
      </c>
      <c r="F57" s="39" t="s">
        <v>396</v>
      </c>
      <c r="G57" s="40">
        <v>4</v>
      </c>
      <c r="H57" s="43">
        <v>77</v>
      </c>
      <c r="I57" s="43">
        <v>308</v>
      </c>
    </row>
    <row r="58" spans="1:9">
      <c r="A58" s="46">
        <v>46137</v>
      </c>
      <c r="B58" s="39">
        <v>1598214</v>
      </c>
      <c r="C58" s="39" t="s">
        <v>36</v>
      </c>
      <c r="D58" s="39" t="s">
        <v>36</v>
      </c>
      <c r="E58" s="40">
        <v>20009533</v>
      </c>
      <c r="F58" s="39" t="s">
        <v>322</v>
      </c>
      <c r="G58" s="40">
        <v>1</v>
      </c>
      <c r="H58" s="43">
        <v>177.1</v>
      </c>
      <c r="I58" s="43">
        <v>177.1</v>
      </c>
    </row>
    <row r="59" spans="1:9">
      <c r="A59" s="46">
        <v>46137</v>
      </c>
      <c r="B59" s="39">
        <v>1598214</v>
      </c>
      <c r="C59" s="39" t="s">
        <v>451</v>
      </c>
      <c r="D59" s="39" t="s">
        <v>13</v>
      </c>
      <c r="E59" s="40">
        <v>20013515</v>
      </c>
      <c r="F59" s="39" t="s">
        <v>324</v>
      </c>
      <c r="G59" s="40">
        <v>1</v>
      </c>
      <c r="H59" s="43">
        <v>13.3</v>
      </c>
      <c r="I59" s="43">
        <v>13.3</v>
      </c>
    </row>
    <row r="60" spans="1:9">
      <c r="A60" s="46">
        <v>46137</v>
      </c>
      <c r="B60" s="39">
        <v>1598214</v>
      </c>
      <c r="C60" s="39" t="s">
        <v>451</v>
      </c>
      <c r="D60" s="39" t="s">
        <v>25</v>
      </c>
      <c r="E60" s="40">
        <v>20012460</v>
      </c>
      <c r="F60" s="39" t="s">
        <v>314</v>
      </c>
      <c r="G60" s="40">
        <v>1</v>
      </c>
      <c r="H60" s="43">
        <v>11.55</v>
      </c>
      <c r="I60" s="43">
        <v>11.55</v>
      </c>
    </row>
    <row r="61" spans="1:9">
      <c r="A61" s="46">
        <v>46137</v>
      </c>
      <c r="B61" s="39">
        <v>1598214</v>
      </c>
      <c r="C61" s="39" t="s">
        <v>451</v>
      </c>
      <c r="D61" s="39" t="s">
        <v>25</v>
      </c>
      <c r="E61" s="40">
        <v>20008345</v>
      </c>
      <c r="F61" s="39" t="s">
        <v>131</v>
      </c>
      <c r="G61" s="40">
        <v>1</v>
      </c>
      <c r="H61" s="43">
        <v>19.25</v>
      </c>
      <c r="I61" s="43">
        <v>19.25</v>
      </c>
    </row>
    <row r="62" spans="1:9">
      <c r="A62" s="46">
        <v>46137</v>
      </c>
      <c r="B62" s="39">
        <v>1598214</v>
      </c>
      <c r="C62" s="39" t="s">
        <v>451</v>
      </c>
      <c r="D62" s="39" t="s">
        <v>25</v>
      </c>
      <c r="E62" s="40">
        <v>20008152</v>
      </c>
      <c r="F62" s="39" t="s">
        <v>329</v>
      </c>
      <c r="G62" s="40">
        <v>1</v>
      </c>
      <c r="H62" s="43">
        <v>19.25</v>
      </c>
      <c r="I62" s="43">
        <v>19.25</v>
      </c>
    </row>
    <row r="63" spans="1:9">
      <c r="A63" s="44" t="s">
        <v>443</v>
      </c>
      <c r="B63" s="44"/>
      <c r="C63" s="44"/>
      <c r="D63" s="44"/>
      <c r="E63" s="44"/>
      <c r="F63" s="44"/>
      <c r="G63" s="44"/>
      <c r="H63" s="44"/>
      <c r="I63" s="45">
        <f>SUM(I57:I62)</f>
        <v>548.45</v>
      </c>
    </row>
    <row r="66" spans="1:9">
      <c r="A66" s="37" t="s">
        <v>502</v>
      </c>
      <c r="B66" s="37"/>
      <c r="C66" s="37"/>
      <c r="D66" s="37"/>
      <c r="E66" s="37"/>
      <c r="F66" s="37"/>
      <c r="G66" s="37"/>
      <c r="H66" s="37"/>
      <c r="I66" s="38"/>
    </row>
    <row r="67" spans="1:9">
      <c r="A67" s="37"/>
      <c r="B67" s="37"/>
      <c r="C67" s="37"/>
      <c r="D67" s="37"/>
      <c r="E67" s="37"/>
      <c r="F67" s="37"/>
      <c r="G67" s="37"/>
      <c r="H67" s="37"/>
      <c r="I67" s="38"/>
    </row>
    <row r="68" spans="1:9">
      <c r="A68" s="39" t="s">
        <v>4</v>
      </c>
      <c r="B68" s="39" t="s">
        <v>5</v>
      </c>
      <c r="C68" s="39" t="s">
        <v>440</v>
      </c>
      <c r="D68" s="39" t="s">
        <v>6</v>
      </c>
      <c r="E68" s="39" t="s">
        <v>441</v>
      </c>
      <c r="F68" s="39" t="s">
        <v>8</v>
      </c>
      <c r="G68" s="40" t="s">
        <v>442</v>
      </c>
      <c r="H68" s="40" t="s">
        <v>10</v>
      </c>
      <c r="I68" s="40" t="s">
        <v>443</v>
      </c>
    </row>
    <row r="69" spans="1:9">
      <c r="A69" s="46">
        <v>46140</v>
      </c>
      <c r="B69" s="39">
        <v>1598998</v>
      </c>
      <c r="C69" s="39" t="s">
        <v>451</v>
      </c>
      <c r="D69" s="39" t="s">
        <v>27</v>
      </c>
      <c r="E69" s="40">
        <v>20015198</v>
      </c>
      <c r="F69" s="39" t="s">
        <v>274</v>
      </c>
      <c r="G69" s="40">
        <v>3</v>
      </c>
      <c r="H69" s="43">
        <v>24.5</v>
      </c>
      <c r="I69" s="43">
        <v>73.5</v>
      </c>
    </row>
    <row r="70" spans="1:9">
      <c r="A70" s="46">
        <v>46140</v>
      </c>
      <c r="B70" s="39">
        <v>1598998</v>
      </c>
      <c r="C70" s="39" t="s">
        <v>451</v>
      </c>
      <c r="D70" s="39" t="s">
        <v>27</v>
      </c>
      <c r="E70" s="40">
        <v>20013381</v>
      </c>
      <c r="F70" s="39" t="s">
        <v>275</v>
      </c>
      <c r="G70" s="40">
        <v>3</v>
      </c>
      <c r="H70" s="43">
        <v>24.5</v>
      </c>
      <c r="I70" s="43">
        <v>73.5</v>
      </c>
    </row>
    <row r="71" spans="1:9">
      <c r="A71" s="44" t="s">
        <v>443</v>
      </c>
      <c r="B71" s="44"/>
      <c r="C71" s="44"/>
      <c r="D71" s="44"/>
      <c r="E71" s="44"/>
      <c r="F71" s="44"/>
      <c r="G71" s="44"/>
      <c r="H71" s="44"/>
      <c r="I71" s="45">
        <f>SUM(I69:I70)</f>
        <v>147</v>
      </c>
    </row>
    <row r="74" spans="1:9">
      <c r="A74" s="37" t="s">
        <v>503</v>
      </c>
      <c r="B74" s="37"/>
      <c r="C74" s="37"/>
      <c r="D74" s="37"/>
      <c r="E74" s="37"/>
      <c r="F74" s="37"/>
      <c r="G74" s="37"/>
      <c r="H74" s="37"/>
      <c r="I74" s="38"/>
    </row>
    <row r="75" spans="1:9">
      <c r="A75" s="37"/>
      <c r="B75" s="37"/>
      <c r="C75" s="37"/>
      <c r="D75" s="37"/>
      <c r="E75" s="37"/>
      <c r="F75" s="37"/>
      <c r="G75" s="37"/>
      <c r="H75" s="37"/>
      <c r="I75" s="38"/>
    </row>
    <row r="76" spans="1:9">
      <c r="A76" s="39" t="s">
        <v>4</v>
      </c>
      <c r="B76" s="39" t="s">
        <v>5</v>
      </c>
      <c r="C76" s="39" t="s">
        <v>440</v>
      </c>
      <c r="D76" s="39" t="s">
        <v>6</v>
      </c>
      <c r="E76" s="39" t="s">
        <v>441</v>
      </c>
      <c r="F76" s="39" t="s">
        <v>8</v>
      </c>
      <c r="G76" s="40" t="s">
        <v>442</v>
      </c>
      <c r="H76" s="40" t="s">
        <v>10</v>
      </c>
      <c r="I76" s="40" t="s">
        <v>443</v>
      </c>
    </row>
    <row r="77" spans="1:9">
      <c r="A77" s="46">
        <v>46142</v>
      </c>
      <c r="B77" s="39">
        <v>1599495</v>
      </c>
      <c r="C77" s="42" t="s">
        <v>451</v>
      </c>
      <c r="D77" s="39" t="s">
        <v>27</v>
      </c>
      <c r="E77" s="40">
        <v>20348232</v>
      </c>
      <c r="F77" s="39" t="s">
        <v>264</v>
      </c>
      <c r="G77" s="40">
        <v>1</v>
      </c>
      <c r="H77" s="43">
        <v>46.2</v>
      </c>
      <c r="I77" s="43">
        <v>46.2</v>
      </c>
    </row>
    <row r="78" spans="1:9">
      <c r="A78" s="46">
        <v>46142</v>
      </c>
      <c r="B78" s="39">
        <v>1599495</v>
      </c>
      <c r="C78" s="42" t="s">
        <v>451</v>
      </c>
      <c r="D78" s="39" t="s">
        <v>27</v>
      </c>
      <c r="E78" s="40">
        <v>20310646</v>
      </c>
      <c r="F78" s="39" t="s">
        <v>504</v>
      </c>
      <c r="G78" s="40">
        <v>1</v>
      </c>
      <c r="H78" s="43">
        <v>30.8</v>
      </c>
      <c r="I78" s="43">
        <v>30.8</v>
      </c>
    </row>
    <row r="79" spans="1:9">
      <c r="A79" s="46">
        <v>46142</v>
      </c>
      <c r="B79" s="39">
        <v>1599495</v>
      </c>
      <c r="C79" s="42" t="s">
        <v>451</v>
      </c>
      <c r="D79" s="39" t="s">
        <v>27</v>
      </c>
      <c r="E79" s="40">
        <v>20388302</v>
      </c>
      <c r="F79" s="39" t="s">
        <v>202</v>
      </c>
      <c r="G79" s="40">
        <v>1</v>
      </c>
      <c r="H79" s="43">
        <v>24.5</v>
      </c>
      <c r="I79" s="43">
        <v>24.5</v>
      </c>
    </row>
    <row r="80" spans="1:9">
      <c r="A80" s="46">
        <v>46142</v>
      </c>
      <c r="B80" s="39">
        <v>1599495</v>
      </c>
      <c r="C80" s="42" t="s">
        <v>451</v>
      </c>
      <c r="D80" s="39" t="s">
        <v>27</v>
      </c>
      <c r="E80" s="40">
        <v>20008386</v>
      </c>
      <c r="F80" s="39" t="s">
        <v>399</v>
      </c>
      <c r="G80" s="40">
        <v>1</v>
      </c>
      <c r="H80" s="43">
        <v>19.6</v>
      </c>
      <c r="I80" s="43">
        <v>19.6</v>
      </c>
    </row>
    <row r="81" spans="1:9">
      <c r="A81" s="46">
        <v>46142</v>
      </c>
      <c r="B81" s="39">
        <v>1599495</v>
      </c>
      <c r="C81" s="42" t="s">
        <v>451</v>
      </c>
      <c r="D81" s="39" t="s">
        <v>27</v>
      </c>
      <c r="E81" s="40">
        <v>20412733</v>
      </c>
      <c r="F81" s="39" t="s">
        <v>505</v>
      </c>
      <c r="G81" s="40">
        <v>2</v>
      </c>
      <c r="H81" s="43">
        <v>24.5</v>
      </c>
      <c r="I81" s="43">
        <v>49</v>
      </c>
    </row>
    <row r="82" spans="1:9">
      <c r="A82" s="46">
        <v>46142</v>
      </c>
      <c r="B82" s="39">
        <v>1599495</v>
      </c>
      <c r="C82" s="42" t="s">
        <v>451</v>
      </c>
      <c r="D82" s="39" t="s">
        <v>27</v>
      </c>
      <c r="E82" s="40">
        <v>20006863</v>
      </c>
      <c r="F82" s="39" t="s">
        <v>204</v>
      </c>
      <c r="G82" s="40">
        <v>1</v>
      </c>
      <c r="H82" s="43">
        <v>24.5</v>
      </c>
      <c r="I82" s="43">
        <v>24.5</v>
      </c>
    </row>
    <row r="83" spans="1:9">
      <c r="A83" s="46">
        <v>46142</v>
      </c>
      <c r="B83" s="39">
        <v>1599495</v>
      </c>
      <c r="C83" s="42" t="s">
        <v>46</v>
      </c>
      <c r="D83" s="48" t="s">
        <v>506</v>
      </c>
      <c r="E83" s="40">
        <v>20008378</v>
      </c>
      <c r="F83" s="39" t="s">
        <v>246</v>
      </c>
      <c r="G83" s="40">
        <v>1</v>
      </c>
      <c r="H83" s="43">
        <v>19.6</v>
      </c>
      <c r="I83" s="43">
        <v>19.6</v>
      </c>
    </row>
    <row r="84" spans="1:9">
      <c r="A84" s="46">
        <v>46142</v>
      </c>
      <c r="B84" s="39">
        <v>1599495</v>
      </c>
      <c r="C84" s="42" t="s">
        <v>46</v>
      </c>
      <c r="D84" s="39" t="s">
        <v>69</v>
      </c>
      <c r="E84" s="40">
        <v>20012907</v>
      </c>
      <c r="F84" s="39" t="s">
        <v>205</v>
      </c>
      <c r="G84" s="40">
        <v>1</v>
      </c>
      <c r="H84" s="43">
        <v>19.6</v>
      </c>
      <c r="I84" s="43">
        <v>19.6</v>
      </c>
    </row>
    <row r="85" spans="1:9">
      <c r="A85" s="46">
        <v>46142</v>
      </c>
      <c r="B85" s="39">
        <v>1599495</v>
      </c>
      <c r="C85" s="42" t="s">
        <v>46</v>
      </c>
      <c r="D85" s="39" t="s">
        <v>69</v>
      </c>
      <c r="E85" s="40">
        <v>20421830</v>
      </c>
      <c r="F85" s="39" t="s">
        <v>319</v>
      </c>
      <c r="G85" s="40">
        <v>1</v>
      </c>
      <c r="H85" s="43">
        <v>25.2</v>
      </c>
      <c r="I85" s="43">
        <v>25.2</v>
      </c>
    </row>
    <row r="86" spans="1:9">
      <c r="A86" s="46">
        <v>46142</v>
      </c>
      <c r="B86" s="39">
        <v>1599593</v>
      </c>
      <c r="C86" s="42" t="s">
        <v>451</v>
      </c>
      <c r="D86" s="39" t="s">
        <v>27</v>
      </c>
      <c r="E86" s="40">
        <v>20365405</v>
      </c>
      <c r="F86" s="39" t="s">
        <v>71</v>
      </c>
      <c r="G86" s="40">
        <v>1</v>
      </c>
      <c r="H86" s="43">
        <v>61.6</v>
      </c>
      <c r="I86" s="43">
        <v>61.6</v>
      </c>
    </row>
    <row r="87" spans="1:9">
      <c r="A87" s="46">
        <v>46142</v>
      </c>
      <c r="B87" s="39">
        <v>1599593</v>
      </c>
      <c r="C87" s="42" t="s">
        <v>451</v>
      </c>
      <c r="D87" s="39" t="s">
        <v>27</v>
      </c>
      <c r="E87" s="40">
        <v>20318429</v>
      </c>
      <c r="F87" s="39" t="s">
        <v>507</v>
      </c>
      <c r="G87" s="40">
        <v>1</v>
      </c>
      <c r="H87" s="43">
        <v>15.4</v>
      </c>
      <c r="I87" s="43">
        <v>15.4</v>
      </c>
    </row>
    <row r="88" spans="1:9">
      <c r="A88" s="46">
        <v>46142</v>
      </c>
      <c r="B88" s="39">
        <v>1599593</v>
      </c>
      <c r="C88" s="42" t="s">
        <v>451</v>
      </c>
      <c r="D88" s="39" t="s">
        <v>27</v>
      </c>
      <c r="E88" s="40">
        <v>20008623</v>
      </c>
      <c r="F88" s="39" t="s">
        <v>72</v>
      </c>
      <c r="G88" s="40">
        <v>1</v>
      </c>
      <c r="H88" s="43">
        <v>15.4</v>
      </c>
      <c r="I88" s="43">
        <v>15.4</v>
      </c>
    </row>
    <row r="89" spans="1:9">
      <c r="A89" s="46">
        <v>46142</v>
      </c>
      <c r="B89" s="39">
        <v>1599593</v>
      </c>
      <c r="C89" s="42" t="s">
        <v>451</v>
      </c>
      <c r="D89" s="39" t="s">
        <v>27</v>
      </c>
      <c r="E89" s="40">
        <v>20405041</v>
      </c>
      <c r="F89" s="39" t="s">
        <v>201</v>
      </c>
      <c r="G89" s="40">
        <v>1</v>
      </c>
      <c r="H89" s="43">
        <v>46.2</v>
      </c>
      <c r="I89" s="43">
        <v>46.2</v>
      </c>
    </row>
    <row r="90" spans="1:9">
      <c r="A90" s="46">
        <v>46142</v>
      </c>
      <c r="B90" s="39">
        <v>1599593</v>
      </c>
      <c r="C90" s="42" t="s">
        <v>46</v>
      </c>
      <c r="D90" s="39" t="s">
        <v>69</v>
      </c>
      <c r="E90" s="40">
        <v>20008376</v>
      </c>
      <c r="F90" s="39" t="s">
        <v>263</v>
      </c>
      <c r="G90" s="40">
        <v>1</v>
      </c>
      <c r="H90" s="43">
        <v>19.6</v>
      </c>
      <c r="I90" s="43">
        <v>19.6</v>
      </c>
    </row>
    <row r="91" spans="1:9">
      <c r="A91" s="46">
        <v>46142</v>
      </c>
      <c r="B91" s="39">
        <v>1599919</v>
      </c>
      <c r="C91" s="42" t="s">
        <v>451</v>
      </c>
      <c r="D91" s="39" t="s">
        <v>27</v>
      </c>
      <c r="E91" s="40">
        <v>20007567</v>
      </c>
      <c r="F91" s="39" t="s">
        <v>258</v>
      </c>
      <c r="G91" s="40">
        <v>1</v>
      </c>
      <c r="H91" s="43">
        <v>17.5</v>
      </c>
      <c r="I91" s="43">
        <v>17.5</v>
      </c>
    </row>
    <row r="92" spans="1:9">
      <c r="A92" s="46">
        <v>46142</v>
      </c>
      <c r="B92" s="39">
        <v>1599919</v>
      </c>
      <c r="C92" s="42" t="s">
        <v>451</v>
      </c>
      <c r="D92" s="39" t="s">
        <v>27</v>
      </c>
      <c r="E92" s="40">
        <v>20333137</v>
      </c>
      <c r="F92" s="39" t="s">
        <v>304</v>
      </c>
      <c r="G92" s="40">
        <v>1</v>
      </c>
      <c r="H92" s="43">
        <v>19.6</v>
      </c>
      <c r="I92" s="43">
        <v>19.6</v>
      </c>
    </row>
    <row r="93" spans="1:9">
      <c r="A93" s="46">
        <v>46142</v>
      </c>
      <c r="B93" s="39">
        <v>1599919</v>
      </c>
      <c r="C93" s="42" t="s">
        <v>451</v>
      </c>
      <c r="D93" s="39" t="s">
        <v>27</v>
      </c>
      <c r="E93" s="40">
        <v>20365405</v>
      </c>
      <c r="F93" s="39" t="s">
        <v>71</v>
      </c>
      <c r="G93" s="40">
        <v>1</v>
      </c>
      <c r="H93" s="43">
        <v>61.6</v>
      </c>
      <c r="I93" s="43">
        <v>61.6</v>
      </c>
    </row>
    <row r="94" spans="1:9">
      <c r="A94" s="46">
        <v>46142</v>
      </c>
      <c r="B94" s="39">
        <v>1599919</v>
      </c>
      <c r="C94" s="42" t="s">
        <v>451</v>
      </c>
      <c r="D94" s="39" t="s">
        <v>27</v>
      </c>
      <c r="E94" s="40">
        <v>20008623</v>
      </c>
      <c r="F94" s="39" t="s">
        <v>72</v>
      </c>
      <c r="G94" s="40">
        <v>1</v>
      </c>
      <c r="H94" s="43">
        <v>15.4</v>
      </c>
      <c r="I94" s="43">
        <v>15.4</v>
      </c>
    </row>
    <row r="95" spans="1:9">
      <c r="A95" s="46">
        <v>46142</v>
      </c>
      <c r="B95" s="39">
        <v>1599919</v>
      </c>
      <c r="C95" s="42" t="s">
        <v>451</v>
      </c>
      <c r="D95" s="39" t="s">
        <v>27</v>
      </c>
      <c r="E95" s="40">
        <v>20007633</v>
      </c>
      <c r="F95" s="39" t="s">
        <v>68</v>
      </c>
      <c r="G95" s="40">
        <v>2</v>
      </c>
      <c r="H95" s="43">
        <v>24.5</v>
      </c>
      <c r="I95" s="43">
        <v>49</v>
      </c>
    </row>
    <row r="96" spans="1:9">
      <c r="A96" s="46">
        <v>46142</v>
      </c>
      <c r="B96" s="39">
        <v>1599919</v>
      </c>
      <c r="C96" s="42" t="s">
        <v>451</v>
      </c>
      <c r="D96" s="39" t="s">
        <v>27</v>
      </c>
      <c r="E96" s="40">
        <v>20388302</v>
      </c>
      <c r="F96" s="39" t="s">
        <v>202</v>
      </c>
      <c r="G96" s="40">
        <v>1</v>
      </c>
      <c r="H96" s="43">
        <v>24.5</v>
      </c>
      <c r="I96" s="43">
        <v>24.5</v>
      </c>
    </row>
    <row r="97" spans="1:9">
      <c r="A97" s="46">
        <v>46142</v>
      </c>
      <c r="B97" s="39">
        <v>1599919</v>
      </c>
      <c r="C97" s="42" t="s">
        <v>451</v>
      </c>
      <c r="D97" s="39" t="s">
        <v>27</v>
      </c>
      <c r="E97" s="40">
        <v>20008386</v>
      </c>
      <c r="F97" s="39" t="s">
        <v>399</v>
      </c>
      <c r="G97" s="40">
        <v>1</v>
      </c>
      <c r="H97" s="43">
        <v>19.6</v>
      </c>
      <c r="I97" s="43">
        <v>19.6</v>
      </c>
    </row>
    <row r="98" spans="1:9">
      <c r="A98" s="46">
        <v>46142</v>
      </c>
      <c r="B98" s="39">
        <v>1599919</v>
      </c>
      <c r="C98" s="42" t="s">
        <v>451</v>
      </c>
      <c r="D98" s="39" t="s">
        <v>27</v>
      </c>
      <c r="E98" s="40">
        <v>20423694</v>
      </c>
      <c r="F98" s="39" t="s">
        <v>508</v>
      </c>
      <c r="G98" s="40">
        <v>1</v>
      </c>
      <c r="H98" s="43">
        <v>30.8</v>
      </c>
      <c r="I98" s="43">
        <v>30.8</v>
      </c>
    </row>
    <row r="99" spans="1:9">
      <c r="A99" s="46">
        <v>46142</v>
      </c>
      <c r="B99" s="39">
        <v>1599919</v>
      </c>
      <c r="C99" s="42" t="s">
        <v>451</v>
      </c>
      <c r="D99" s="39" t="s">
        <v>27</v>
      </c>
      <c r="E99" s="40">
        <v>20006863</v>
      </c>
      <c r="F99" s="39" t="s">
        <v>204</v>
      </c>
      <c r="G99" s="40">
        <v>1</v>
      </c>
      <c r="H99" s="43">
        <v>24.5</v>
      </c>
      <c r="I99" s="43">
        <v>24.5</v>
      </c>
    </row>
    <row r="100" spans="1:9">
      <c r="A100" s="46">
        <v>46142</v>
      </c>
      <c r="B100" s="39">
        <v>1599919</v>
      </c>
      <c r="C100" s="42" t="s">
        <v>451</v>
      </c>
      <c r="D100" s="39" t="s">
        <v>27</v>
      </c>
      <c r="E100" s="40">
        <v>20335398</v>
      </c>
      <c r="F100" s="39" t="s">
        <v>301</v>
      </c>
      <c r="G100" s="40">
        <v>1</v>
      </c>
      <c r="H100" s="43">
        <v>61.6</v>
      </c>
      <c r="I100" s="43">
        <v>61.6</v>
      </c>
    </row>
    <row r="101" spans="1:9">
      <c r="A101" s="46">
        <v>46142</v>
      </c>
      <c r="B101" s="39">
        <v>1599919</v>
      </c>
      <c r="C101" s="42" t="s">
        <v>46</v>
      </c>
      <c r="D101" s="39" t="s">
        <v>69</v>
      </c>
      <c r="E101" s="40">
        <v>20008376</v>
      </c>
      <c r="F101" s="39" t="s">
        <v>263</v>
      </c>
      <c r="G101" s="40">
        <v>1</v>
      </c>
      <c r="H101" s="43">
        <v>19.6</v>
      </c>
      <c r="I101" s="43">
        <v>19.6</v>
      </c>
    </row>
    <row r="102" spans="1:9">
      <c r="A102" s="44" t="s">
        <v>443</v>
      </c>
      <c r="B102" s="44"/>
      <c r="C102" s="44"/>
      <c r="D102" s="44"/>
      <c r="E102" s="44"/>
      <c r="F102" s="44"/>
      <c r="G102" s="44"/>
      <c r="H102" s="44"/>
      <c r="I102" s="45">
        <f>SUM(I77:I101)</f>
        <v>760.9</v>
      </c>
    </row>
  </sheetData>
  <mergeCells count="15">
    <mergeCell ref="A1:I1"/>
    <mergeCell ref="A7:H7"/>
    <mergeCell ref="A20:H20"/>
    <mergeCell ref="A41:H41"/>
    <mergeCell ref="A51:H51"/>
    <mergeCell ref="A63:H63"/>
    <mergeCell ref="A71:H71"/>
    <mergeCell ref="A102:H102"/>
    <mergeCell ref="A2:I3"/>
    <mergeCell ref="A10:I11"/>
    <mergeCell ref="A23:I24"/>
    <mergeCell ref="A44:I45"/>
    <mergeCell ref="A54:I55"/>
    <mergeCell ref="A66:I67"/>
    <mergeCell ref="A74:I75"/>
  </mergeCells>
  <pageMargins left="0.25" right="0.25" top="0.75" bottom="0.75" header="0.298611111111111" footer="0.298611111111111"/>
  <pageSetup paperSize="9" orientation="portrait"/>
  <headerFooter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6"/>
  <sheetViews>
    <sheetView view="pageBreakPreview" zoomScaleNormal="100" workbookViewId="0">
      <selection activeCell="I11" sqref="I11"/>
    </sheetView>
  </sheetViews>
  <sheetFormatPr defaultColWidth="9" defaultRowHeight="13.5" outlineLevelCol="7"/>
  <cols>
    <col min="1" max="1" width="1.09166666666667" customWidth="1"/>
    <col min="2" max="2" width="13.7083333333333" customWidth="1"/>
    <col min="3" max="3" width="17.025" customWidth="1"/>
    <col min="4" max="4" width="7.5" customWidth="1"/>
    <col min="5" max="5" width="16.125" customWidth="1"/>
    <col min="6" max="6" width="11.5" customWidth="1"/>
    <col min="7" max="7" width="17.875" customWidth="1"/>
    <col min="8" max="8" width="16" customWidth="1"/>
  </cols>
  <sheetData>
    <row r="1" customFormat="1" ht="25.5" customHeight="1" spans="1:8">
      <c r="A1" s="15" t="s">
        <v>509</v>
      </c>
    </row>
    <row r="2" ht="2" customHeight="1"/>
    <row r="3" customFormat="1" ht="12.75" customHeight="1" spans="1:8">
      <c r="A3" s="16" t="s">
        <v>510</v>
      </c>
    </row>
    <row r="5" ht="2.05" customHeight="1"/>
    <row r="6" customFormat="1" ht="1.95" customHeight="1" spans="1:8">
      <c r="A6" s="17" t="s">
        <v>2</v>
      </c>
      <c r="B6" s="17" t="s">
        <v>2</v>
      </c>
      <c r="C6" s="17" t="s">
        <v>2</v>
      </c>
      <c r="D6" s="17" t="s">
        <v>2</v>
      </c>
      <c r="E6" s="17" t="s">
        <v>2</v>
      </c>
      <c r="F6" s="17" t="s">
        <v>2</v>
      </c>
      <c r="G6" s="17" t="s">
        <v>2</v>
      </c>
      <c r="H6" s="17" t="s">
        <v>2</v>
      </c>
    </row>
    <row r="7" customFormat="1" ht="15.75" spans="1:8">
      <c r="A7" s="18" t="s">
        <v>2</v>
      </c>
      <c r="B7" s="19" t="s">
        <v>3</v>
      </c>
      <c r="C7" s="18" t="s">
        <v>2</v>
      </c>
      <c r="D7" s="18" t="s">
        <v>2</v>
      </c>
      <c r="E7" s="18" t="s">
        <v>2</v>
      </c>
      <c r="F7" s="18" t="s">
        <v>2</v>
      </c>
      <c r="G7" s="20" t="s">
        <v>2</v>
      </c>
      <c r="H7" s="21">
        <f>H9+H14</f>
        <v>-288.75</v>
      </c>
    </row>
    <row r="8" customFormat="1" spans="1:8">
      <c r="B8" s="22" t="s">
        <v>511</v>
      </c>
      <c r="C8" s="22" t="s">
        <v>512</v>
      </c>
      <c r="D8" s="22" t="s">
        <v>513</v>
      </c>
      <c r="E8" s="22" t="s">
        <v>514</v>
      </c>
      <c r="F8" s="22" t="s">
        <v>7</v>
      </c>
      <c r="G8" s="22" t="s">
        <v>515</v>
      </c>
      <c r="H8" s="22" t="s">
        <v>516</v>
      </c>
    </row>
    <row r="9" customFormat="1" ht="14.25" spans="1:8">
      <c r="B9" s="23" t="s">
        <v>170</v>
      </c>
      <c r="C9" s="18" t="s">
        <v>2</v>
      </c>
      <c r="D9" s="18" t="s">
        <v>2</v>
      </c>
      <c r="E9" s="18" t="s">
        <v>2</v>
      </c>
      <c r="F9" s="18" t="s">
        <v>2</v>
      </c>
      <c r="G9" s="22" t="s">
        <v>2</v>
      </c>
      <c r="H9" s="24">
        <f>H11</f>
        <v>-246.4</v>
      </c>
    </row>
    <row r="10" customFormat="1" spans="1:8">
      <c r="B10" s="25" t="s">
        <v>36</v>
      </c>
      <c r="C10" s="18" t="s">
        <v>2</v>
      </c>
      <c r="D10" s="18" t="s">
        <v>2</v>
      </c>
      <c r="E10" s="18" t="s">
        <v>2</v>
      </c>
      <c r="F10" s="18" t="s">
        <v>2</v>
      </c>
      <c r="G10" s="26" t="s">
        <v>2</v>
      </c>
      <c r="H10" s="27">
        <f>H11</f>
        <v>-246.4</v>
      </c>
    </row>
    <row r="11" customFormat="1" spans="1:8">
      <c r="B11" s="28">
        <v>3006072556</v>
      </c>
      <c r="C11" s="29">
        <v>46149.4265107986</v>
      </c>
      <c r="D11" s="30" t="s">
        <v>517</v>
      </c>
      <c r="E11" s="31">
        <v>46113.9924020023</v>
      </c>
      <c r="F11" s="32">
        <v>20006867</v>
      </c>
      <c r="G11" s="32" t="s">
        <v>215</v>
      </c>
      <c r="H11" s="33">
        <f>-352*0.7</f>
        <v>-246.4</v>
      </c>
    </row>
    <row r="12" customFormat="1" spans="1:8">
      <c r="B12" s="34" t="s">
        <v>2</v>
      </c>
      <c r="C12" s="34" t="s">
        <v>2</v>
      </c>
      <c r="D12" s="34" t="s">
        <v>2</v>
      </c>
      <c r="E12" s="34" t="s">
        <v>2</v>
      </c>
      <c r="F12" s="34" t="s">
        <v>2</v>
      </c>
      <c r="G12" s="34" t="s">
        <v>2</v>
      </c>
      <c r="H12" s="34" t="s">
        <v>2</v>
      </c>
    </row>
    <row r="13" ht="11.6" customHeight="1" spans="1:8">
      <c r="B13" s="22" t="s">
        <v>511</v>
      </c>
      <c r="C13" s="22" t="s">
        <v>512</v>
      </c>
      <c r="D13" s="22" t="s">
        <v>513</v>
      </c>
      <c r="E13" s="22" t="s">
        <v>514</v>
      </c>
      <c r="F13" s="22" t="s">
        <v>7</v>
      </c>
      <c r="G13" s="22" t="s">
        <v>515</v>
      </c>
      <c r="H13" s="22" t="s">
        <v>516</v>
      </c>
    </row>
    <row r="14" ht="14.25" spans="1:8">
      <c r="B14" s="23" t="s">
        <v>63</v>
      </c>
      <c r="C14" s="18" t="s">
        <v>2</v>
      </c>
      <c r="D14" s="18" t="s">
        <v>2</v>
      </c>
      <c r="E14" s="18" t="s">
        <v>2</v>
      </c>
      <c r="F14" s="18" t="s">
        <v>2</v>
      </c>
      <c r="G14" s="22" t="s">
        <v>2</v>
      </c>
      <c r="H14" s="24">
        <f>H16</f>
        <v>-42.35</v>
      </c>
    </row>
    <row r="15" spans="1:8">
      <c r="B15" s="25" t="s">
        <v>36</v>
      </c>
      <c r="C15" s="18" t="s">
        <v>2</v>
      </c>
      <c r="D15" s="18" t="s">
        <v>2</v>
      </c>
      <c r="E15" s="18" t="s">
        <v>2</v>
      </c>
      <c r="F15" s="18" t="s">
        <v>2</v>
      </c>
      <c r="G15" s="26" t="s">
        <v>2</v>
      </c>
      <c r="H15" s="27">
        <f>H16</f>
        <v>-42.35</v>
      </c>
    </row>
    <row r="16" spans="1:8">
      <c r="B16" s="28">
        <v>3006160272</v>
      </c>
      <c r="C16" s="29">
        <v>46151.4613228009</v>
      </c>
      <c r="D16" s="32" t="s">
        <v>517</v>
      </c>
      <c r="E16" s="31">
        <v>46142.0324653935</v>
      </c>
      <c r="F16" s="32">
        <v>20391163</v>
      </c>
      <c r="G16" s="32" t="s">
        <v>65</v>
      </c>
      <c r="H16" s="33">
        <f>-60.5*0.7</f>
        <v>-42.35</v>
      </c>
    </row>
  </sheetData>
  <mergeCells count="8">
    <mergeCell ref="A1:G1"/>
    <mergeCell ref="B7:F7"/>
    <mergeCell ref="B9:F9"/>
    <mergeCell ref="B10:F10"/>
    <mergeCell ref="B14:F14"/>
    <mergeCell ref="B15:F15"/>
    <mergeCell ref="A8:A11"/>
    <mergeCell ref="A3:C4"/>
  </mergeCells>
  <pageMargins left="0.25" right="0.25" top="0.75" bottom="0.75" header="0.298611111111111" footer="0.298611111111111"/>
  <pageSetup paperSize="9" orientation="portrait"/>
  <headerFooter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2"/>
  <sheetViews>
    <sheetView tabSelected="1" workbookViewId="0">
      <selection activeCell="A29" sqref="A29:D29"/>
    </sheetView>
  </sheetViews>
  <sheetFormatPr defaultColWidth="9" defaultRowHeight="13.5" outlineLevelCol="5"/>
  <cols>
    <col min="1" max="1" width="9.75" customWidth="1"/>
    <col min="2" max="2" width="22.275" customWidth="1"/>
    <col min="3" max="3" width="11.8833333333333" style="1" customWidth="1"/>
    <col min="4" max="4" width="21" customWidth="1"/>
    <col min="5" max="5" width="18.6916666666667" customWidth="1"/>
    <col min="6" max="6" width="17" customWidth="1"/>
    <col min="9" max="9" width="9.375"/>
  </cols>
  <sheetData>
    <row r="1" customFormat="1" ht="25.5" spans="1:6">
      <c r="A1" s="2" t="s">
        <v>518</v>
      </c>
      <c r="B1" s="2"/>
      <c r="C1" s="2"/>
      <c r="D1" s="2"/>
      <c r="E1" s="2"/>
      <c r="F1" s="2"/>
    </row>
    <row r="2" customFormat="1" ht="20" customHeight="1" spans="1:6">
      <c r="A2" s="3" t="s">
        <v>519</v>
      </c>
      <c r="B2" s="3" t="s">
        <v>520</v>
      </c>
      <c r="C2" s="3" t="s">
        <v>521</v>
      </c>
      <c r="D2" s="3" t="s">
        <v>522</v>
      </c>
      <c r="E2" s="3" t="s">
        <v>523</v>
      </c>
      <c r="F2" s="3" t="s">
        <v>524</v>
      </c>
    </row>
    <row r="3" customFormat="1" ht="20" customHeight="1" spans="1:6">
      <c r="A3" s="4">
        <v>1</v>
      </c>
      <c r="B3" s="5">
        <v>46113</v>
      </c>
      <c r="C3" s="6">
        <v>1</v>
      </c>
      <c r="D3" s="4">
        <v>98</v>
      </c>
      <c r="E3" s="4">
        <f>D3*C3</f>
        <v>98</v>
      </c>
      <c r="F3" s="4"/>
    </row>
    <row r="4" customFormat="1" ht="20" customHeight="1" spans="1:6">
      <c r="A4" s="4">
        <v>3</v>
      </c>
      <c r="B4" s="5">
        <v>46120</v>
      </c>
      <c r="C4" s="6">
        <v>1</v>
      </c>
      <c r="D4" s="4">
        <v>98</v>
      </c>
      <c r="E4" s="4">
        <f t="shared" ref="E4:E11" si="0">D4*C4</f>
        <v>98</v>
      </c>
      <c r="F4" s="4"/>
    </row>
    <row r="5" customFormat="1" ht="20" customHeight="1" spans="1:6">
      <c r="A5" s="4">
        <v>5</v>
      </c>
      <c r="B5" s="5">
        <v>46125</v>
      </c>
      <c r="C5" s="6">
        <v>1</v>
      </c>
      <c r="D5" s="4">
        <v>98</v>
      </c>
      <c r="E5" s="4">
        <f t="shared" si="0"/>
        <v>98</v>
      </c>
      <c r="F5" s="4"/>
    </row>
    <row r="6" customFormat="1" ht="20" customHeight="1" spans="1:6">
      <c r="A6" s="4">
        <v>6</v>
      </c>
      <c r="B6" s="5">
        <v>46130</v>
      </c>
      <c r="C6" s="6">
        <v>2</v>
      </c>
      <c r="D6" s="4">
        <v>98</v>
      </c>
      <c r="E6" s="4">
        <f t="shared" si="0"/>
        <v>196</v>
      </c>
      <c r="F6" s="4"/>
    </row>
    <row r="7" customFormat="1" ht="20" customHeight="1" spans="1:6">
      <c r="A7" s="4">
        <v>8</v>
      </c>
      <c r="B7" s="5">
        <v>46136</v>
      </c>
      <c r="C7" s="6">
        <v>1</v>
      </c>
      <c r="D7" s="4">
        <v>98</v>
      </c>
      <c r="E7" s="4">
        <f t="shared" si="0"/>
        <v>98</v>
      </c>
      <c r="F7" s="4"/>
    </row>
    <row r="8" customFormat="1" ht="20" customHeight="1" spans="1:6">
      <c r="A8" s="4">
        <v>9</v>
      </c>
      <c r="B8" s="5">
        <v>46137</v>
      </c>
      <c r="C8" s="6">
        <v>1</v>
      </c>
      <c r="D8" s="4">
        <v>98</v>
      </c>
      <c r="E8" s="4">
        <f t="shared" si="0"/>
        <v>98</v>
      </c>
      <c r="F8" s="4"/>
    </row>
    <row r="9" customFormat="1" ht="20" customHeight="1" spans="1:6">
      <c r="A9" s="4">
        <v>10</v>
      </c>
      <c r="B9" s="5">
        <v>46137</v>
      </c>
      <c r="C9" s="6">
        <v>1</v>
      </c>
      <c r="D9" s="4">
        <v>80.5</v>
      </c>
      <c r="E9" s="4">
        <f t="shared" si="0"/>
        <v>80.5</v>
      </c>
      <c r="F9" s="4"/>
    </row>
    <row r="10" customFormat="1" ht="20" customHeight="1" spans="1:6">
      <c r="A10" s="4">
        <v>12</v>
      </c>
      <c r="B10" s="5">
        <v>46140</v>
      </c>
      <c r="C10" s="6">
        <v>1</v>
      </c>
      <c r="D10" s="4">
        <v>98</v>
      </c>
      <c r="E10" s="4">
        <f t="shared" si="0"/>
        <v>98</v>
      </c>
      <c r="F10" s="4"/>
    </row>
    <row r="11" customFormat="1" ht="20" customHeight="1" spans="1:6">
      <c r="A11" s="4">
        <v>13</v>
      </c>
      <c r="B11" s="5">
        <v>46142</v>
      </c>
      <c r="C11" s="6">
        <v>1</v>
      </c>
      <c r="D11" s="4">
        <v>80.5</v>
      </c>
      <c r="E11" s="4">
        <f t="shared" si="0"/>
        <v>80.5</v>
      </c>
      <c r="F11" s="4"/>
    </row>
    <row r="12" customFormat="1" ht="20" customHeight="1" spans="1:6">
      <c r="A12" s="4">
        <v>14</v>
      </c>
      <c r="B12" s="7"/>
      <c r="C12" s="7"/>
      <c r="D12" s="7"/>
      <c r="E12" s="4"/>
      <c r="F12" s="4"/>
    </row>
    <row r="13" customFormat="1" ht="20" customHeight="1" spans="1:6">
      <c r="A13" s="4">
        <v>15</v>
      </c>
      <c r="B13" s="7"/>
      <c r="C13" s="7"/>
      <c r="D13" s="7"/>
      <c r="E13" s="4"/>
      <c r="F13" s="4"/>
    </row>
    <row r="14" customFormat="1" ht="20" customHeight="1" spans="1:6">
      <c r="A14" s="4">
        <v>16</v>
      </c>
      <c r="B14" s="7"/>
      <c r="C14" s="7"/>
      <c r="D14" s="7"/>
      <c r="E14" s="4"/>
      <c r="F14" s="4"/>
    </row>
    <row r="15" customFormat="1" ht="20" customHeight="1" spans="1:6">
      <c r="A15" s="4">
        <v>17</v>
      </c>
      <c r="B15" s="7"/>
      <c r="C15" s="7"/>
      <c r="D15" s="7"/>
      <c r="E15" s="7"/>
      <c r="F15" s="4"/>
    </row>
    <row r="16" customFormat="1" ht="20" customHeight="1" spans="1:6">
      <c r="A16" s="4">
        <v>18</v>
      </c>
      <c r="B16" s="7"/>
      <c r="C16" s="7"/>
      <c r="D16" s="7"/>
      <c r="E16" s="7"/>
      <c r="F16" s="4"/>
    </row>
    <row r="17" customFormat="1" ht="20" customHeight="1" spans="1:6">
      <c r="A17" s="4">
        <v>19</v>
      </c>
      <c r="B17" s="7"/>
      <c r="C17" s="7"/>
      <c r="D17" s="7"/>
      <c r="E17" s="7"/>
      <c r="F17" s="4"/>
    </row>
    <row r="18" customFormat="1" ht="20" customHeight="1" spans="1:6">
      <c r="A18" s="4">
        <v>20</v>
      </c>
      <c r="B18" s="7"/>
      <c r="C18" s="7"/>
      <c r="D18" s="7"/>
      <c r="E18" s="7"/>
      <c r="F18" s="4"/>
    </row>
    <row r="19" customFormat="1" ht="20" customHeight="1" spans="1:6">
      <c r="A19" s="4">
        <v>21</v>
      </c>
      <c r="B19" s="7"/>
      <c r="C19" s="7"/>
      <c r="D19" s="7"/>
      <c r="E19" s="7"/>
      <c r="F19" s="4"/>
    </row>
    <row r="20" customFormat="1" ht="20" customHeight="1" spans="1:6">
      <c r="A20" s="4">
        <v>22</v>
      </c>
      <c r="B20" s="7"/>
      <c r="C20" s="7"/>
      <c r="D20" s="7"/>
      <c r="E20" s="7"/>
      <c r="F20" s="4"/>
    </row>
    <row r="21" customFormat="1" ht="20" customHeight="1" spans="1:6">
      <c r="A21" s="4">
        <v>23</v>
      </c>
      <c r="B21" s="7"/>
      <c r="C21" s="7"/>
      <c r="D21" s="7"/>
      <c r="E21" s="7"/>
      <c r="F21" s="4"/>
    </row>
    <row r="22" customFormat="1" ht="20" customHeight="1" spans="1:6">
      <c r="A22" s="4">
        <v>24</v>
      </c>
      <c r="B22" s="7"/>
      <c r="C22" s="7"/>
      <c r="D22" s="7"/>
      <c r="E22" s="7"/>
      <c r="F22" s="4"/>
    </row>
    <row r="23" customFormat="1" ht="20" customHeight="1" spans="1:6">
      <c r="A23" s="4">
        <v>25</v>
      </c>
      <c r="B23" s="8"/>
      <c r="C23" s="4"/>
      <c r="D23" s="4"/>
      <c r="E23" s="4"/>
      <c r="F23" s="4"/>
    </row>
    <row r="24" customFormat="1" ht="20" customHeight="1" spans="1:6">
      <c r="A24" s="4">
        <v>26</v>
      </c>
      <c r="B24" s="8"/>
      <c r="C24" s="4"/>
      <c r="D24" s="4"/>
      <c r="E24" s="4"/>
      <c r="F24" s="4"/>
    </row>
    <row r="25" customFormat="1" ht="20" customHeight="1" spans="1:6">
      <c r="A25" s="4">
        <v>27</v>
      </c>
      <c r="B25" s="8"/>
      <c r="C25" s="4"/>
      <c r="D25" s="4"/>
      <c r="E25" s="4"/>
      <c r="F25" s="4"/>
    </row>
    <row r="26" customFormat="1" ht="20" customHeight="1" spans="1:6">
      <c r="A26" s="4">
        <v>28</v>
      </c>
      <c r="B26" s="8"/>
      <c r="C26" s="4"/>
      <c r="D26" s="4"/>
      <c r="E26" s="4"/>
      <c r="F26" s="4"/>
    </row>
    <row r="27" customFormat="1" ht="20" customHeight="1" spans="1:6">
      <c r="A27" s="4">
        <v>29</v>
      </c>
      <c r="B27" s="8"/>
      <c r="C27" s="4"/>
      <c r="D27" s="4"/>
      <c r="E27" s="4"/>
      <c r="F27" s="9"/>
    </row>
    <row r="28" customFormat="1" ht="20" customHeight="1" spans="1:6">
      <c r="A28" s="4">
        <v>30</v>
      </c>
      <c r="B28" s="10"/>
      <c r="C28" s="10"/>
      <c r="D28" s="10"/>
      <c r="E28" s="4"/>
      <c r="F28" s="9"/>
    </row>
    <row r="29" customFormat="1" ht="20" customHeight="1" spans="1:6">
      <c r="A29" s="10">
        <f>E29</f>
        <v>945</v>
      </c>
      <c r="B29" s="10"/>
      <c r="C29" s="10"/>
      <c r="D29" s="10"/>
      <c r="E29" s="4">
        <f>SUM(E3:E27)</f>
        <v>945</v>
      </c>
      <c r="F29" s="9"/>
    </row>
    <row r="30" ht="6" customHeight="1"/>
    <row r="31" customFormat="1" ht="15" customHeight="1" spans="1:6">
      <c r="A31" s="11" t="s">
        <v>525</v>
      </c>
      <c r="B31" s="11"/>
      <c r="C31" s="12"/>
      <c r="D31" s="11"/>
      <c r="E31" s="11"/>
      <c r="F31" s="11"/>
    </row>
    <row r="32" customFormat="1" ht="20" customHeight="1" spans="1:6">
      <c r="A32" s="13">
        <v>46142</v>
      </c>
      <c r="B32" s="13"/>
      <c r="C32" s="14"/>
      <c r="D32" s="13"/>
      <c r="E32" s="13"/>
      <c r="F32" s="13"/>
    </row>
  </sheetData>
  <autoFilter xmlns:etc="http://www.wps.cn/officeDocument/2017/etCustomData" ref="A2:F29" etc:filterBottomFollowUsedRange="0">
    <extLst/>
  </autoFilter>
  <mergeCells count="4">
    <mergeCell ref="A1:F1"/>
    <mergeCell ref="A29:D29"/>
    <mergeCell ref="A31:F31"/>
    <mergeCell ref="A32:F3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25</vt:i4>
      </vt:variant>
    </vt:vector>
  </HeadingPairs>
  <TitlesOfParts>
    <vt:vector size="25" baseType="lpstr">
      <vt:lpstr>ICU</vt:lpstr>
      <vt:lpstr>导管室</vt:lpstr>
      <vt:lpstr>耳鼻喉</vt:lpstr>
      <vt:lpstr>妇科病房</vt:lpstr>
      <vt:lpstr>妇科手术室</vt:lpstr>
      <vt:lpstr>骨一科</vt:lpstr>
      <vt:lpstr>急诊</vt:lpstr>
      <vt:lpstr>静配中心</vt:lpstr>
      <vt:lpstr>美容（手术室）</vt:lpstr>
      <vt:lpstr>美容科病房</vt:lpstr>
      <vt:lpstr>泌尿外</vt:lpstr>
      <vt:lpstr>泌尿外科（一病区）</vt:lpstr>
      <vt:lpstr>普外科</vt:lpstr>
      <vt:lpstr>全科</vt:lpstr>
      <vt:lpstr>神经外科</vt:lpstr>
      <vt:lpstr>手术室</vt:lpstr>
      <vt:lpstr>物理诊断科</vt:lpstr>
      <vt:lpstr>眼科手术室</vt:lpstr>
      <vt:lpstr>中医科</vt:lpstr>
      <vt:lpstr>周围血管病</vt:lpstr>
      <vt:lpstr>外来器械</vt:lpstr>
      <vt:lpstr>外来加急</vt:lpstr>
      <vt:lpstr>加急</vt:lpstr>
      <vt:lpstr>费用调整</vt:lpstr>
      <vt:lpstr>异常物流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街道无人</cp:lastModifiedBy>
  <dcterms:created xsi:type="dcterms:W3CDTF">2026-05-06T00:42:00Z</dcterms:created>
  <dcterms:modified xsi:type="dcterms:W3CDTF">2026-05-11T02:40:44Z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419ECD3C68CF43A39F850928196610E2_13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