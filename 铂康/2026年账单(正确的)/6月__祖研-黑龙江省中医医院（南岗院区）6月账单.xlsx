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788" activeTab="1"/>
  </bookViews>
  <sheets>
    <sheet name="汇总" sheetId="11" r:id="rId1"/>
    <sheet name="妇科" sheetId="1" r:id="rId2"/>
    <sheet name="肛肠科" sheetId="2" r:id="rId3"/>
    <sheet name="美容科" sheetId="3" r:id="rId4"/>
    <sheet name="肾五科" sheetId="4" r:id="rId5"/>
    <sheet name="手术室" sheetId="5" r:id="rId6"/>
    <sheet name="透析科" sheetId="6" r:id="rId7"/>
    <sheet name="推拿科" sheetId="7" r:id="rId8"/>
    <sheet name="外科" sheetId="8" r:id="rId9"/>
    <sheet name="针三科" sheetId="9" r:id="rId10"/>
    <sheet name="针三费用调整" sheetId="12" r:id="rId11"/>
    <sheet name="针五科" sheetId="10" r:id="rId12"/>
  </sheets>
  <definedNames>
    <definedName name="_xlnm._FilterDatabase" localSheetId="1" hidden="1">妇科!$A$9:$K$42</definedName>
    <definedName name="_xlnm._FilterDatabase" localSheetId="3" hidden="1">美容科!$A$7:$K$47</definedName>
    <definedName name="_xlnm._FilterDatabase" localSheetId="5" hidden="1">手术室!$A$7:$K$30</definedName>
    <definedName name="_xlnm.Print_Titles" localSheetId="1">妇科!$1:$6</definedName>
    <definedName name="_xlnm.Print_Titles" localSheetId="2">肛肠科!$1:$6</definedName>
    <definedName name="_xlnm.Print_Titles" localSheetId="3">美容科!$1:$6</definedName>
    <definedName name="_xlnm.Print_Titles" localSheetId="4">肾五科!$1:$6</definedName>
    <definedName name="_xlnm.Print_Titles" localSheetId="5">手术室!$1:$6</definedName>
    <definedName name="_xlnm.Print_Titles" localSheetId="6">透析科!$1:$6</definedName>
    <definedName name="_xlnm.Print_Titles" localSheetId="7">推拿科!$1:$6</definedName>
    <definedName name="_xlnm.Print_Titles" localSheetId="8">外科!$1:$6</definedName>
    <definedName name="_xlnm.Print_Titles" localSheetId="9">针三科!$1:$6</definedName>
    <definedName name="_xlnm.Print_Titles" localSheetId="11">针五科!$1:$6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<sst xmlns="http://schemas.openxmlformats.org/spreadsheetml/2006/main" count="471" uniqueCount="99">
  <si>
    <t>祖研-黑龙江省中医医院（南岗院区）各科室2026年6月灭菌价格汇总</t>
  </si>
  <si>
    <t>科室</t>
  </si>
  <si>
    <t>价格</t>
  </si>
  <si>
    <t>妇科</t>
  </si>
  <si>
    <t>肛肠科</t>
  </si>
  <si>
    <t>供应室</t>
  </si>
  <si>
    <t>美容科</t>
  </si>
  <si>
    <t>肾五科</t>
  </si>
  <si>
    <t>手术室</t>
  </si>
  <si>
    <t>透析科</t>
  </si>
  <si>
    <t>推拿科</t>
  </si>
  <si>
    <t>外科</t>
  </si>
  <si>
    <t>针三科</t>
  </si>
  <si>
    <t>针五科</t>
  </si>
  <si>
    <t>针三科费用调整</t>
  </si>
  <si>
    <t>物流费</t>
  </si>
  <si>
    <t>合计</t>
  </si>
  <si>
    <t/>
  </si>
  <si>
    <t>黑龙江省铂康医疗灭菌有限公司
2026年6月30日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</si>
  <si>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</si>
  <si>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</si>
  <si>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r>
      <rPr>
        <sz val="12"/>
        <color rgb="FFFFFFFF"/>
        <rFont val="宋体"/>
        <charset val="134"/>
      </rPr>
      <t>祖研</t>
    </r>
    <r>
      <rPr>
        <sz val="12"/>
        <color rgb="FFFFFFFF"/>
        <rFont val="Droid Sans Fallback"/>
        <charset val="134"/>
      </rPr>
      <t>-</t>
    </r>
    <r>
      <rPr>
        <sz val="12"/>
        <color rgb="FFFFFFFF"/>
        <rFont val="宋体"/>
        <charset val="134"/>
      </rPr>
      <t>黑龙江省中医医院（南岗院区）</t>
    </r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</si>
  <si>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</si>
  <si>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</si>
  <si>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</si>
  <si>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</si>
  <si>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</si>
  <si>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</si>
  <si>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</si>
  <si>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</si>
  <si>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额外包(纸塑袋)</t>
  </si>
  <si>
    <t>扩宫棒-1/Z7526</t>
  </si>
  <si>
    <t>弯盘-1/Z2032</t>
  </si>
  <si>
    <t>器械包(ZSD)</t>
  </si>
  <si>
    <t>刮宫包</t>
  </si>
  <si>
    <t>切开包</t>
  </si>
  <si>
    <t>额外包(无纺布)</t>
  </si>
  <si>
    <t>镊子-10件/W6050</t>
  </si>
  <si>
    <t>止血钳-1/z1029</t>
  </si>
  <si>
    <t>镊子-15件/W6050</t>
  </si>
  <si>
    <t>镊子-20件/w6050</t>
  </si>
  <si>
    <t>棉球缸1镊子缸2/W6050</t>
  </si>
  <si>
    <t>换药盘包</t>
  </si>
  <si>
    <t>镊子-37件/w6050</t>
  </si>
  <si>
    <t>镊子-33件/w6050</t>
  </si>
  <si>
    <t>排针-11/Z7526</t>
  </si>
  <si>
    <t>排针20/Z1026</t>
  </si>
  <si>
    <t>器械包-5件（筐1）/w9050</t>
  </si>
  <si>
    <t>排针-15/Z1026</t>
  </si>
  <si>
    <t>器械包-15件（筐1）件/w9050</t>
  </si>
  <si>
    <t>排针-23/Z1026</t>
  </si>
  <si>
    <t>敷料包(无纺布包)</t>
  </si>
  <si>
    <t>无菌包（纱布）/W12050</t>
  </si>
  <si>
    <t>器械包-10件（筐1）件/w9050</t>
  </si>
  <si>
    <t>排针-14/Z1026</t>
  </si>
  <si>
    <t>器械包-7件（筐1）/w9050</t>
  </si>
  <si>
    <t>排针21件/Z1026</t>
  </si>
  <si>
    <t>器械包-8件（筐1）件/w9050</t>
  </si>
  <si>
    <t>排针-12/Z7526</t>
  </si>
  <si>
    <t>剪刀-1/Z1026</t>
  </si>
  <si>
    <t>镊子-1/z7526</t>
  </si>
  <si>
    <t>排针22件/Z1026</t>
  </si>
  <si>
    <t>器械包-3件（筐1）/w9050</t>
  </si>
  <si>
    <t>排针34件/Z1026</t>
  </si>
  <si>
    <t>器械包-6件/w9050</t>
  </si>
  <si>
    <t>排针30件/Z1026</t>
  </si>
  <si>
    <t>排针35件/Z1026</t>
  </si>
  <si>
    <t>剪刀-3/z1530</t>
  </si>
  <si>
    <t>镊子1止血钳2/z1526</t>
  </si>
  <si>
    <t>排针-28/Z1026</t>
  </si>
  <si>
    <t>排针21/Z1026</t>
  </si>
  <si>
    <t>镊子缸-2/W6050</t>
  </si>
  <si>
    <t>器械包</t>
  </si>
  <si>
    <t>肛肠包</t>
  </si>
  <si>
    <t>换药碗-1/Z2530</t>
  </si>
  <si>
    <t>瘘刀包-3件/z1026</t>
  </si>
  <si>
    <t>持物钳罐-2件/W6050</t>
  </si>
  <si>
    <t>门诊大包</t>
  </si>
  <si>
    <t>门诊小包</t>
  </si>
  <si>
    <t>咬骨钳-1/Z1530</t>
  </si>
  <si>
    <t>透析器械包</t>
  </si>
  <si>
    <t>持针器-1/Z1026</t>
  </si>
  <si>
    <t>开口器1舌钳子1压舌板1/Z1526</t>
  </si>
  <si>
    <t>小缝合包</t>
  </si>
  <si>
    <t>松筋针-1/Z1035</t>
  </si>
  <si>
    <t>敷料包(纸塑袋)</t>
  </si>
  <si>
    <t>棉球/Z3040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</si>
  <si>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</si>
  <si>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2026/7/1</t>
    </r>
  </si>
  <si>
    <t>祖研-黑龙江省中医医院（南岗院区）</t>
  </si>
  <si>
    <t>处理序号</t>
  </si>
  <si>
    <t>发票操作时间</t>
  </si>
  <si>
    <t>原因</t>
  </si>
  <si>
    <t>处理序号完成时间</t>
  </si>
  <si>
    <t>包名称</t>
  </si>
  <si>
    <t>金额</t>
  </si>
  <si>
    <t>急诊</t>
  </si>
  <si>
    <t>额外包</t>
  </si>
  <si>
    <t>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</si>
</sst>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  <numFmt numFmtId="180" formatCode="0.00_ "/>
    <numFmt numFmtId="181" formatCode="[DBNum2][$RMB]General;[Red][DBNum2][$RMB]General"/>
  </numFmts>
  <fonts count="33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b/>
      <sz val="12"/>
      <color rgb="FFFFFFFF"/>
      <name val="宋体"/>
      <charset val="134"/>
    </font>
    <font>
      <sz val="10"/>
      <color rgb="FF000000"/>
      <name val="宋体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8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2" fillId="0" borderId="0"/>
  </cellStyleXfs>
  <cellXfs count="44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0" fillId="0" borderId="0" xfId="49" applyFont="1" applyFill="1" applyBorder="1" applyAlignment="1"/>
    <xf numFmtId="0" fontId="0" fillId="0" borderId="0" xfId="0" applyFont="1" applyFill="1" applyBorder="1" applyAlignment="1"/>
    <xf numFmtId="0" fontId="3" fillId="3" borderId="5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5" fillId="3" borderId="5" xfId="49" applyNumberFormat="1" applyFont="1" applyFill="1" applyBorder="1" applyAlignment="1">
      <alignment vertical="top" wrapText="1" readingOrder="1"/>
    </xf>
    <xf numFmtId="178" fontId="3" fillId="3" borderId="5" xfId="49" applyNumberFormat="1" applyFont="1" applyFill="1" applyBorder="1" applyAlignment="1">
      <alignment vertical="top" wrapText="1" readingOrder="1"/>
    </xf>
    <xf numFmtId="0" fontId="3" fillId="2" borderId="5" xfId="49" applyNumberFormat="1" applyFont="1" applyFill="1" applyBorder="1" applyAlignment="1">
      <alignment vertical="top" wrapText="1" readingOrder="1"/>
    </xf>
    <xf numFmtId="0" fontId="4" fillId="2" borderId="5" xfId="49" applyNumberFormat="1" applyFont="1" applyFill="1" applyBorder="1" applyAlignment="1">
      <alignment vertical="top" wrapText="1" readingOrder="1"/>
    </xf>
    <xf numFmtId="178" fontId="3" fillId="2" borderId="5" xfId="49" applyNumberFormat="1" applyFont="1" applyFill="1" applyBorder="1" applyAlignment="1">
      <alignment vertical="top" wrapText="1" readingOrder="1"/>
    </xf>
    <xf numFmtId="0" fontId="3" fillId="4" borderId="5" xfId="49" applyNumberFormat="1" applyFont="1" applyFill="1" applyBorder="1" applyAlignment="1">
      <alignment horizontal="left" vertical="top" wrapText="1" readingOrder="1"/>
    </xf>
    <xf numFmtId="0" fontId="3" fillId="4" borderId="5" xfId="49" applyNumberFormat="1" applyFont="1" applyFill="1" applyBorder="1" applyAlignment="1">
      <alignment vertical="top" wrapText="1" readingOrder="1"/>
    </xf>
    <xf numFmtId="178" fontId="3" fillId="4" borderId="5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left" vertical="top" wrapText="1" readingOrder="1"/>
    </xf>
    <xf numFmtId="179" fontId="3" fillId="0" borderId="3" xfId="49" applyNumberFormat="1" applyFont="1" applyFill="1" applyBorder="1" applyAlignment="1">
      <alignment horizontal="left" vertical="top" wrapText="1" readingOrder="1"/>
    </xf>
    <xf numFmtId="0" fontId="6" fillId="0" borderId="3" xfId="49" applyNumberFormat="1" applyFont="1" applyFill="1" applyBorder="1" applyAlignment="1">
      <alignment vertical="top" wrapText="1" readingOrder="1"/>
    </xf>
    <xf numFmtId="179" fontId="3" fillId="0" borderId="3" xfId="49" applyNumberFormat="1" applyFont="1" applyFill="1" applyBorder="1" applyAlignment="1">
      <alignment vertical="top" wrapText="1" readingOrder="1"/>
    </xf>
    <xf numFmtId="178" fontId="3" fillId="0" borderId="3" xfId="49" applyNumberFormat="1" applyFont="1" applyFill="1" applyBorder="1" applyAlignment="1">
      <alignment vertical="top" wrapText="1" readingOrder="1"/>
    </xf>
    <xf numFmtId="0" fontId="7" fillId="3" borderId="3" xfId="49" applyNumberFormat="1" applyFont="1" applyFill="1" applyBorder="1" applyAlignment="1">
      <alignment vertical="top" wrapText="1" readingOrder="1"/>
    </xf>
    <xf numFmtId="0" fontId="8" fillId="3" borderId="3" xfId="49" applyNumberFormat="1" applyFont="1" applyFill="1" applyBorder="1" applyAlignment="1">
      <alignment horizontal="center" vertical="top" wrapText="1" readingOrder="1"/>
    </xf>
    <xf numFmtId="176" fontId="8" fillId="3" borderId="3" xfId="49" applyNumberFormat="1" applyFont="1" applyFill="1" applyBorder="1" applyAlignment="1">
      <alignment horizontal="center" vertical="top" wrapText="1" readingOrder="1"/>
    </xf>
    <xf numFmtId="0" fontId="9" fillId="0" borderId="0" xfId="49" applyNumberFormat="1" applyFont="1" applyFill="1" applyBorder="1" applyAlignment="1">
      <alignment horizontal="center" vertical="center" wrapText="1" readingOrder="1"/>
    </xf>
    <xf numFmtId="0" fontId="10" fillId="0" borderId="6" xfId="49" applyNumberFormat="1" applyFont="1" applyFill="1" applyBorder="1" applyAlignment="1">
      <alignment horizontal="center" vertical="center" wrapText="1" readingOrder="1"/>
    </xf>
    <xf numFmtId="0" fontId="11" fillId="0" borderId="6" xfId="49" applyNumberFormat="1" applyFont="1" applyFill="1" applyBorder="1" applyAlignment="1">
      <alignment horizontal="center" vertical="center" wrapText="1" readingOrder="1"/>
    </xf>
    <xf numFmtId="176" fontId="11" fillId="0" borderId="6" xfId="49" applyNumberFormat="1" applyFont="1" applyFill="1" applyBorder="1" applyAlignment="1">
      <alignment horizontal="center" vertical="center" wrapText="1" readingOrder="1"/>
    </xf>
    <xf numFmtId="180" fontId="11" fillId="0" borderId="6" xfId="49" applyNumberFormat="1" applyFont="1" applyFill="1" applyBorder="1" applyAlignment="1">
      <alignment horizontal="center" vertical="center" wrapText="1" readingOrder="1"/>
    </xf>
    <xf numFmtId="181" fontId="11" fillId="0" borderId="6" xfId="49" applyNumberFormat="1" applyFont="1" applyFill="1" applyBorder="1" applyAlignment="1">
      <alignment horizontal="center" vertical="center" wrapText="1" readingOrder="1"/>
    </xf>
    <xf numFmtId="181" fontId="0" fillId="0" borderId="7" xfId="49" applyNumberFormat="1" applyFont="1" applyFill="1" applyBorder="1" applyAlignment="1">
      <alignment vertical="top" wrapText="1"/>
    </xf>
    <xf numFmtId="0" fontId="6" fillId="0" borderId="0" xfId="49" applyNumberFormat="1" applyFont="1" applyFill="1" applyBorder="1" applyAlignment="1">
      <alignment horizontal="left" vertical="top" wrapText="1" readingOrder="1"/>
    </xf>
    <xf numFmtId="0" fontId="6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95250</xdr:rowOff>
    </xdr:from>
    <xdr:to>
      <xdr:col>10</xdr:col>
      <xdr:colOff>738588</xdr:colOff>
      <xdr:row>4</xdr:row>
      <xdr:rowOff>92710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2667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0</xdr:row>
      <xdr:rowOff>85725</xdr:rowOff>
    </xdr:from>
    <xdr:to>
      <xdr:col>10</xdr:col>
      <xdr:colOff>767163</xdr:colOff>
      <xdr:row>3</xdr:row>
      <xdr:rowOff>104775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857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47625</xdr:rowOff>
    </xdr:from>
    <xdr:to>
      <xdr:col>10</xdr:col>
      <xdr:colOff>748113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133350</xdr:colOff>
      <xdr:row>0</xdr:row>
      <xdr:rowOff>161925</xdr:rowOff>
    </xdr:from>
    <xdr:to>
      <xdr:col>10</xdr:col>
      <xdr:colOff>643338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564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133350</xdr:colOff>
      <xdr:row>1</xdr:row>
      <xdr:rowOff>28575</xdr:rowOff>
    </xdr:from>
    <xdr:to>
      <xdr:col>10</xdr:col>
      <xdr:colOff>643338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5640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0</xdr:row>
      <xdr:rowOff>123825</xdr:rowOff>
    </xdr:from>
    <xdr:to>
      <xdr:col>10</xdr:col>
      <xdr:colOff>824313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737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</xdr:colOff>
      <xdr:row>1</xdr:row>
      <xdr:rowOff>114300</xdr:rowOff>
    </xdr:from>
    <xdr:to>
      <xdr:col>10</xdr:col>
      <xdr:colOff>538563</xdr:colOff>
      <xdr:row>4</xdr:row>
      <xdr:rowOff>111760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51625" y="28575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161925</xdr:rowOff>
    </xdr:from>
    <xdr:to>
      <xdr:col>10</xdr:col>
      <xdr:colOff>757638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152400</xdr:rowOff>
    </xdr:from>
    <xdr:to>
      <xdr:col>10</xdr:col>
      <xdr:colOff>719538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276225</xdr:colOff>
      <xdr:row>0</xdr:row>
      <xdr:rowOff>635</xdr:rowOff>
    </xdr:from>
    <xdr:to>
      <xdr:col>9</xdr:col>
      <xdr:colOff>786213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195820" y="635"/>
          <a:ext cx="509905" cy="5016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1</xdr:row>
      <xdr:rowOff>28575</xdr:rowOff>
    </xdr:from>
    <xdr:to>
      <xdr:col>10</xdr:col>
      <xdr:colOff>776688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7"/>
  <sheetViews>
    <sheetView workbookViewId="0">
      <selection activeCell="B13" sqref="B13:E13"/>
    </sheetView>
  </sheetViews>
  <sheetFormatPr defaultColWidth="9" defaultRowHeight="13.5" outlineLevelCol="4"/>
  <cols>
    <col min="1" max="1" width="1.69166666666667" style="15" customWidth="1"/>
    <col min="2" max="2" width="30.1916666666667" style="15" customWidth="1"/>
    <col min="3" max="3" width="12.8333333333333" style="15" customWidth="1"/>
    <col min="4" max="4" width="29.6" style="15" customWidth="1"/>
    <col min="5" max="5" width="12.5416666666667" style="15" customWidth="1"/>
    <col min="6" max="6" width="2" style="15" customWidth="1"/>
    <col min="7" max="16384" width="9" style="15"/>
  </cols>
  <sheetData>
    <row r="1" s="15" customFormat="1" ht="14.95" customHeight="1"/>
    <row r="2" s="15" customFormat="1" ht="25.5" customHeight="1" spans="2:5">
      <c r="B2" s="35" t="s">
        <v>0</v>
      </c>
    </row>
    <row r="3" s="15" customFormat="1" ht="30" customHeight="1" spans="2:5">
      <c r="B3" s="36" t="s">
        <v>1</v>
      </c>
      <c r="C3" s="36" t="s">
        <v>2</v>
      </c>
      <c r="D3" s="36" t="s">
        <v>1</v>
      </c>
      <c r="E3" s="36" t="s">
        <v>2</v>
      </c>
    </row>
    <row r="4" s="15" customFormat="1" ht="30" customHeight="1" spans="2:5">
      <c r="B4" s="37" t="s">
        <v>3</v>
      </c>
      <c r="C4" s="38">
        <v>2891</v>
      </c>
      <c r="D4" s="37" t="s">
        <v>4</v>
      </c>
      <c r="E4" s="38">
        <v>385</v>
      </c>
    </row>
    <row r="5" s="15" customFormat="1" ht="30" customHeight="1" spans="2:5">
      <c r="B5" s="37" t="s">
        <v>5</v>
      </c>
      <c r="C5" s="38">
        <v>0</v>
      </c>
      <c r="D5" s="37" t="s">
        <v>6</v>
      </c>
      <c r="E5" s="38">
        <v>1305.5</v>
      </c>
    </row>
    <row r="6" s="15" customFormat="1" ht="30" customHeight="1" spans="2:5">
      <c r="B6" s="37" t="s">
        <v>7</v>
      </c>
      <c r="C6" s="38">
        <v>33</v>
      </c>
      <c r="D6" s="37" t="s">
        <v>8</v>
      </c>
      <c r="E6" s="38">
        <v>1645</v>
      </c>
    </row>
    <row r="7" s="15" customFormat="1" ht="30" customHeight="1" spans="2:5">
      <c r="B7" s="37" t="s">
        <v>9</v>
      </c>
      <c r="C7" s="38">
        <v>8</v>
      </c>
      <c r="D7" s="37" t="s">
        <v>10</v>
      </c>
      <c r="E7" s="38">
        <v>16.5</v>
      </c>
    </row>
    <row r="8" s="15" customFormat="1" ht="30" customHeight="1" spans="2:5">
      <c r="B8" s="37" t="s">
        <v>11</v>
      </c>
      <c r="C8" s="38">
        <v>110</v>
      </c>
      <c r="D8" s="37" t="s">
        <v>12</v>
      </c>
      <c r="E8" s="38">
        <v>172</v>
      </c>
    </row>
    <row r="9" s="15" customFormat="1" ht="30" customHeight="1" spans="2:5">
      <c r="B9" s="37" t="s">
        <v>13</v>
      </c>
      <c r="C9" s="38">
        <v>16.5</v>
      </c>
      <c r="D9" s="37" t="s">
        <v>14</v>
      </c>
      <c r="E9" s="39">
        <v>-20</v>
      </c>
    </row>
    <row r="10" s="15" customFormat="1" ht="30" customHeight="1" spans="2:5">
      <c r="B10" s="37" t="s">
        <v>15</v>
      </c>
      <c r="C10" s="37">
        <f>12*50</f>
        <v>600</v>
      </c>
      <c r="D10" s="40"/>
      <c r="E10" s="41"/>
    </row>
    <row r="11" s="15" customFormat="1" ht="30" customHeight="1" spans="2:5">
      <c r="B11" s="36" t="s">
        <v>16</v>
      </c>
      <c r="C11" s="38">
        <f>C4+E4+C5+E5+C6+E6+C7+E7+C8+E8+C9+E9+C10</f>
        <v>7162.5</v>
      </c>
      <c r="D11" s="40">
        <f>C11</f>
        <v>7162.5</v>
      </c>
      <c r="E11" s="41" t="s">
        <v>17</v>
      </c>
    </row>
    <row r="12" s="15" customFormat="1" ht="30" customHeight="1" spans="2:5">
      <c r="B12" s="42" t="s">
        <v>17</v>
      </c>
      <c r="C12" s="42" t="s">
        <v>17</v>
      </c>
      <c r="D12" s="42" t="s">
        <v>17</v>
      </c>
      <c r="E12" s="42" t="s">
        <v>17</v>
      </c>
    </row>
    <row r="13" s="15" customFormat="1" ht="30" customHeight="1" spans="2:5">
      <c r="B13" s="42"/>
    </row>
    <row r="14" s="15" customFormat="1" ht="30" customHeight="1" spans="2:5">
      <c r="B14" s="43" t="s">
        <v>18</v>
      </c>
    </row>
    <row r="15" s="15" customFormat="1" ht="30" customHeight="1"/>
    <row r="16" s="15" customFormat="1" ht="30" customHeight="1"/>
    <row r="17" s="15" customFormat="1" ht="30" customHeight="1"/>
  </sheetData>
  <mergeCells count="4">
    <mergeCell ref="B2:E2"/>
    <mergeCell ref="D11:E11"/>
    <mergeCell ref="B13:E13"/>
    <mergeCell ref="B14:E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0" sqref="L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2:12">
      <c r="C1" s="1" t="s">
        <v>19</v>
      </c>
    </row>
    <row r="2" ht="23.05" customHeight="1"/>
    <row r="3" ht="2" customHeight="1"/>
    <row r="4" ht="15.2" customHeight="1" spans="2:12">
      <c r="B4" s="2" t="s">
        <v>20</v>
      </c>
    </row>
    <row r="6" ht="2.95" customHeight="1"/>
    <row r="7" ht="3.95" customHeight="1" spans="2:12">
      <c r="B7" s="4" t="s">
        <v>17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  <c r="K7" s="4" t="s">
        <v>17</v>
      </c>
    </row>
    <row r="8" ht="15" spans="2:12">
      <c r="C8" s="3" t="s">
        <v>17</v>
      </c>
      <c r="D8" s="32" t="s">
        <v>21</v>
      </c>
      <c r="E8" s="8" t="s">
        <v>17</v>
      </c>
      <c r="F8" s="8" t="s">
        <v>17</v>
      </c>
      <c r="G8" s="8" t="s">
        <v>17</v>
      </c>
      <c r="H8" s="8" t="s">
        <v>17</v>
      </c>
      <c r="I8" s="33"/>
      <c r="J8" s="34"/>
      <c r="K8" s="34"/>
    </row>
    <row r="9" spans="2:12">
      <c r="C9" s="3" t="s">
        <v>17</v>
      </c>
      <c r="D9" s="13" t="s">
        <v>22</v>
      </c>
      <c r="E9" s="13" t="s">
        <v>23</v>
      </c>
      <c r="F9" s="13" t="s">
        <v>24</v>
      </c>
      <c r="G9" s="13" t="s">
        <v>25</v>
      </c>
      <c r="H9" s="13" t="s">
        <v>26</v>
      </c>
      <c r="I9" s="13" t="s">
        <v>27</v>
      </c>
      <c r="J9" s="13" t="s">
        <v>28</v>
      </c>
      <c r="K9" s="13" t="s">
        <v>29</v>
      </c>
      <c r="L9">
        <f>K10+肛肠科!K8+美容科!K8+肾五科!K8+手术室!K8+透析科!K8+推拿科!K8+外科!K8+针三科!K8+针五科!K8-20</f>
        <v>6562.5</v>
      </c>
    </row>
    <row r="10" ht="14.25" spans="2:12">
      <c r="D10" s="7" t="s">
        <v>3</v>
      </c>
      <c r="E10" s="8" t="s">
        <v>17</v>
      </c>
      <c r="F10" s="8" t="s">
        <v>17</v>
      </c>
      <c r="G10" s="8" t="s">
        <v>17</v>
      </c>
      <c r="H10" s="8" t="s">
        <v>17</v>
      </c>
      <c r="I10" s="9">
        <v>49</v>
      </c>
      <c r="J10" s="10"/>
      <c r="K10" s="10">
        <v>2891</v>
      </c>
    </row>
    <row r="11" spans="2:12">
      <c r="D11" s="11">
        <v>46175</v>
      </c>
      <c r="E11" s="12">
        <v>1608288</v>
      </c>
      <c r="F11" s="12" t="s">
        <v>30</v>
      </c>
      <c r="G11" s="13">
        <v>20427905</v>
      </c>
      <c r="H11" s="12" t="s">
        <v>31</v>
      </c>
      <c r="I11" s="13">
        <v>1</v>
      </c>
      <c r="J11" s="14">
        <v>8</v>
      </c>
      <c r="K11" s="14">
        <v>8</v>
      </c>
    </row>
    <row r="12" spans="2:12">
      <c r="D12" s="11">
        <v>46175</v>
      </c>
      <c r="E12" s="12">
        <v>1608288</v>
      </c>
      <c r="F12" s="12" t="s">
        <v>30</v>
      </c>
      <c r="G12" s="13">
        <v>20417770</v>
      </c>
      <c r="H12" s="12" t="s">
        <v>32</v>
      </c>
      <c r="I12" s="13">
        <v>2</v>
      </c>
      <c r="J12" s="14">
        <v>13</v>
      </c>
      <c r="K12" s="14">
        <v>26</v>
      </c>
    </row>
    <row r="13" spans="2:12">
      <c r="D13" s="11">
        <v>46175</v>
      </c>
      <c r="E13" s="12">
        <v>1608288</v>
      </c>
      <c r="F13" s="12" t="s">
        <v>33</v>
      </c>
      <c r="G13" s="13">
        <v>20409894</v>
      </c>
      <c r="H13" s="12" t="s">
        <v>34</v>
      </c>
      <c r="I13" s="13">
        <v>2</v>
      </c>
      <c r="J13" s="14">
        <v>110</v>
      </c>
      <c r="K13" s="14">
        <v>220</v>
      </c>
    </row>
    <row r="14" spans="2:12">
      <c r="D14" s="11">
        <v>46175</v>
      </c>
      <c r="E14" s="12">
        <v>1608288</v>
      </c>
      <c r="F14" s="12" t="s">
        <v>33</v>
      </c>
      <c r="G14" s="13">
        <v>20409895</v>
      </c>
      <c r="H14" s="12" t="s">
        <v>35</v>
      </c>
      <c r="I14" s="13">
        <v>1</v>
      </c>
      <c r="J14" s="14">
        <v>66</v>
      </c>
      <c r="K14" s="14">
        <v>66</v>
      </c>
    </row>
    <row r="15" spans="2:12">
      <c r="D15" s="11">
        <v>46175</v>
      </c>
      <c r="E15" s="12">
        <v>1608288</v>
      </c>
      <c r="F15" s="12" t="s">
        <v>36</v>
      </c>
      <c r="G15" s="13">
        <v>20410092</v>
      </c>
      <c r="H15" s="12" t="s">
        <v>37</v>
      </c>
      <c r="I15" s="13">
        <v>2</v>
      </c>
      <c r="J15" s="14">
        <v>55</v>
      </c>
      <c r="K15" s="14">
        <v>110</v>
      </c>
    </row>
    <row r="16" spans="2:12">
      <c r="D16" s="11">
        <v>46177</v>
      </c>
      <c r="E16" s="12">
        <v>1609060</v>
      </c>
      <c r="F16" s="12" t="s">
        <v>30</v>
      </c>
      <c r="G16" s="13">
        <v>20417767</v>
      </c>
      <c r="H16" s="12" t="s">
        <v>38</v>
      </c>
      <c r="I16" s="13">
        <v>1</v>
      </c>
      <c r="J16" s="14">
        <v>8</v>
      </c>
      <c r="K16" s="14">
        <v>8</v>
      </c>
    </row>
    <row r="17" spans="4:11">
      <c r="D17" s="11">
        <v>46177</v>
      </c>
      <c r="E17" s="12">
        <v>1609060</v>
      </c>
      <c r="F17" s="12" t="s">
        <v>36</v>
      </c>
      <c r="G17" s="13">
        <v>20410092</v>
      </c>
      <c r="H17" s="12" t="s">
        <v>39</v>
      </c>
      <c r="I17" s="13">
        <v>2</v>
      </c>
      <c r="J17" s="14">
        <v>82.5</v>
      </c>
      <c r="K17" s="14">
        <v>165</v>
      </c>
    </row>
    <row r="18" spans="4:11">
      <c r="D18" s="11">
        <v>46178</v>
      </c>
      <c r="E18" s="12">
        <v>1609805</v>
      </c>
      <c r="F18" s="12" t="s">
        <v>36</v>
      </c>
      <c r="G18" s="13">
        <v>20410092</v>
      </c>
      <c r="H18" s="12" t="s">
        <v>37</v>
      </c>
      <c r="I18" s="13">
        <v>1</v>
      </c>
      <c r="J18" s="14">
        <v>55</v>
      </c>
      <c r="K18" s="14">
        <v>55</v>
      </c>
    </row>
    <row r="19" spans="4:11">
      <c r="D19" s="11">
        <v>46182</v>
      </c>
      <c r="E19" s="12">
        <v>1610394</v>
      </c>
      <c r="F19" s="12" t="s">
        <v>36</v>
      </c>
      <c r="G19" s="13">
        <v>20410092</v>
      </c>
      <c r="H19" s="12" t="s">
        <v>37</v>
      </c>
      <c r="I19" s="13">
        <v>2</v>
      </c>
      <c r="J19" s="14">
        <v>55</v>
      </c>
      <c r="K19" s="14">
        <v>110</v>
      </c>
    </row>
    <row r="20" spans="4:11">
      <c r="D20" s="11">
        <v>46184</v>
      </c>
      <c r="E20" s="12">
        <v>1611176</v>
      </c>
      <c r="F20" s="12" t="s">
        <v>36</v>
      </c>
      <c r="G20" s="13">
        <v>20427693</v>
      </c>
      <c r="H20" s="12" t="s">
        <v>39</v>
      </c>
      <c r="I20" s="13">
        <v>2</v>
      </c>
      <c r="J20" s="14">
        <v>82.5</v>
      </c>
      <c r="K20" s="14">
        <v>165</v>
      </c>
    </row>
    <row r="21" spans="4:11">
      <c r="D21" s="11">
        <v>46185</v>
      </c>
      <c r="E21" s="12">
        <v>1611876</v>
      </c>
      <c r="F21" s="12" t="s">
        <v>30</v>
      </c>
      <c r="G21" s="13">
        <v>20417770</v>
      </c>
      <c r="H21" s="12" t="s">
        <v>32</v>
      </c>
      <c r="I21" s="13">
        <v>2</v>
      </c>
      <c r="J21" s="14">
        <v>13</v>
      </c>
      <c r="K21" s="14">
        <v>26</v>
      </c>
    </row>
    <row r="22" spans="4:11">
      <c r="D22" s="11">
        <v>46185</v>
      </c>
      <c r="E22" s="12">
        <v>1611876</v>
      </c>
      <c r="F22" s="12" t="s">
        <v>33</v>
      </c>
      <c r="G22" s="13">
        <v>20409894</v>
      </c>
      <c r="H22" s="12" t="s">
        <v>34</v>
      </c>
      <c r="I22" s="13">
        <v>2</v>
      </c>
      <c r="J22" s="14">
        <v>110</v>
      </c>
      <c r="K22" s="14">
        <v>220</v>
      </c>
    </row>
    <row r="23" spans="4:11">
      <c r="D23" s="11">
        <v>46185</v>
      </c>
      <c r="E23" s="12">
        <v>1611876</v>
      </c>
      <c r="F23" s="12" t="s">
        <v>36</v>
      </c>
      <c r="G23" s="13">
        <v>20410092</v>
      </c>
      <c r="H23" s="12" t="s">
        <v>37</v>
      </c>
      <c r="I23" s="13">
        <v>1</v>
      </c>
      <c r="J23" s="14">
        <v>55</v>
      </c>
      <c r="K23" s="14">
        <v>55</v>
      </c>
    </row>
    <row r="24" spans="4:11">
      <c r="D24" s="11">
        <v>46189</v>
      </c>
      <c r="E24" s="12">
        <v>1612424</v>
      </c>
      <c r="F24" s="12" t="s">
        <v>30</v>
      </c>
      <c r="G24" s="13">
        <v>20429809</v>
      </c>
      <c r="H24" s="12" t="s">
        <v>40</v>
      </c>
      <c r="I24" s="13">
        <v>1</v>
      </c>
      <c r="J24" s="14">
        <v>110</v>
      </c>
      <c r="K24" s="14">
        <v>110</v>
      </c>
    </row>
    <row r="25" spans="4:11">
      <c r="D25" s="11">
        <v>46189</v>
      </c>
      <c r="E25" s="12">
        <v>1612424</v>
      </c>
      <c r="F25" s="12" t="s">
        <v>36</v>
      </c>
      <c r="G25" s="13">
        <v>20427693</v>
      </c>
      <c r="H25" s="12" t="s">
        <v>39</v>
      </c>
      <c r="I25" s="13">
        <v>1</v>
      </c>
      <c r="J25" s="14">
        <v>82.5</v>
      </c>
      <c r="K25" s="14">
        <v>82.5</v>
      </c>
    </row>
    <row r="26" spans="4:11">
      <c r="D26" s="11">
        <v>46190</v>
      </c>
      <c r="E26" s="12">
        <v>1613151</v>
      </c>
      <c r="F26" s="12" t="s">
        <v>33</v>
      </c>
      <c r="G26" s="13">
        <v>20409894</v>
      </c>
      <c r="H26" s="12" t="s">
        <v>34</v>
      </c>
      <c r="I26" s="13">
        <v>1</v>
      </c>
      <c r="J26" s="14">
        <v>110</v>
      </c>
      <c r="K26" s="14">
        <v>110</v>
      </c>
    </row>
    <row r="27" spans="4:11">
      <c r="D27" s="11">
        <v>46190</v>
      </c>
      <c r="E27" s="12">
        <v>1613151</v>
      </c>
      <c r="F27" s="12" t="s">
        <v>36</v>
      </c>
      <c r="G27" s="13">
        <v>20427693</v>
      </c>
      <c r="H27" s="12" t="s">
        <v>39</v>
      </c>
      <c r="I27" s="13">
        <v>2</v>
      </c>
      <c r="J27" s="14">
        <v>82.5</v>
      </c>
      <c r="K27" s="14">
        <v>165</v>
      </c>
    </row>
    <row r="28" spans="4:11">
      <c r="D28" s="11">
        <v>46191</v>
      </c>
      <c r="E28" s="12">
        <v>1613181</v>
      </c>
      <c r="F28" s="12" t="s">
        <v>30</v>
      </c>
      <c r="G28" s="13">
        <v>20417770</v>
      </c>
      <c r="H28" s="12" t="s">
        <v>32</v>
      </c>
      <c r="I28" s="13">
        <v>1</v>
      </c>
      <c r="J28" s="14">
        <v>13</v>
      </c>
      <c r="K28" s="14">
        <v>13</v>
      </c>
    </row>
    <row r="29" spans="4:11">
      <c r="D29" s="11">
        <v>46195</v>
      </c>
      <c r="E29" s="12">
        <v>1614153</v>
      </c>
      <c r="F29" s="12" t="s">
        <v>30</v>
      </c>
      <c r="G29" s="13">
        <v>20417770</v>
      </c>
      <c r="H29" s="12" t="s">
        <v>32</v>
      </c>
      <c r="I29" s="13">
        <v>2</v>
      </c>
      <c r="J29" s="14">
        <v>13</v>
      </c>
      <c r="K29" s="14">
        <v>26</v>
      </c>
    </row>
    <row r="30" spans="4:11">
      <c r="D30" s="11">
        <v>46195</v>
      </c>
      <c r="E30" s="12">
        <v>1614153</v>
      </c>
      <c r="F30" s="12" t="s">
        <v>30</v>
      </c>
      <c r="G30" s="13">
        <v>20417767</v>
      </c>
      <c r="H30" s="12" t="s">
        <v>38</v>
      </c>
      <c r="I30" s="13">
        <v>1</v>
      </c>
      <c r="J30" s="14">
        <v>8</v>
      </c>
      <c r="K30" s="14">
        <v>8</v>
      </c>
    </row>
    <row r="31" spans="4:11">
      <c r="D31" s="11">
        <v>46195</v>
      </c>
      <c r="E31" s="12">
        <v>1614153</v>
      </c>
      <c r="F31" s="12" t="s">
        <v>33</v>
      </c>
      <c r="G31" s="13">
        <v>20409894</v>
      </c>
      <c r="H31" s="12" t="s">
        <v>34</v>
      </c>
      <c r="I31" s="13">
        <v>2</v>
      </c>
      <c r="J31" s="14">
        <v>104.5</v>
      </c>
      <c r="K31" s="14">
        <v>209</v>
      </c>
    </row>
    <row r="32" spans="4:11">
      <c r="D32" s="11">
        <v>46195</v>
      </c>
      <c r="E32" s="12">
        <v>1614153</v>
      </c>
      <c r="F32" s="12" t="s">
        <v>36</v>
      </c>
      <c r="G32" s="13">
        <v>20419780</v>
      </c>
      <c r="H32" s="12" t="s">
        <v>41</v>
      </c>
      <c r="I32" s="13">
        <v>3</v>
      </c>
      <c r="J32" s="14">
        <v>16.5</v>
      </c>
      <c r="K32" s="14">
        <v>49.5</v>
      </c>
    </row>
    <row r="33" spans="4:11">
      <c r="D33" s="11">
        <v>46195</v>
      </c>
      <c r="E33" s="12">
        <v>1614153</v>
      </c>
      <c r="F33" s="12" t="s">
        <v>36</v>
      </c>
      <c r="G33" s="13">
        <v>20410092</v>
      </c>
      <c r="H33" s="12" t="s">
        <v>37</v>
      </c>
      <c r="I33" s="13">
        <v>2</v>
      </c>
      <c r="J33" s="14">
        <v>55</v>
      </c>
      <c r="K33" s="14">
        <v>110</v>
      </c>
    </row>
    <row r="34" spans="4:11">
      <c r="D34" s="11">
        <v>46195</v>
      </c>
      <c r="E34" s="12">
        <v>1614153</v>
      </c>
      <c r="F34" s="12" t="s">
        <v>36</v>
      </c>
      <c r="G34" s="13">
        <v>20427693</v>
      </c>
      <c r="H34" s="12" t="s">
        <v>39</v>
      </c>
      <c r="I34" s="13">
        <v>1</v>
      </c>
      <c r="J34" s="14">
        <v>82.5</v>
      </c>
      <c r="K34" s="14">
        <v>82.5</v>
      </c>
    </row>
    <row r="35" spans="4:11">
      <c r="D35" s="11">
        <v>46197</v>
      </c>
      <c r="E35" s="12">
        <v>1614898</v>
      </c>
      <c r="F35" s="12" t="s">
        <v>30</v>
      </c>
      <c r="G35" s="13">
        <v>20417770</v>
      </c>
      <c r="H35" s="12" t="s">
        <v>32</v>
      </c>
      <c r="I35" s="13">
        <v>2</v>
      </c>
      <c r="J35" s="14">
        <v>13</v>
      </c>
      <c r="K35" s="14">
        <v>26</v>
      </c>
    </row>
    <row r="36" spans="4:11">
      <c r="D36" s="11">
        <v>46197</v>
      </c>
      <c r="E36" s="12">
        <v>1614898</v>
      </c>
      <c r="F36" s="12" t="s">
        <v>33</v>
      </c>
      <c r="G36" s="13">
        <v>20409894</v>
      </c>
      <c r="H36" s="12" t="s">
        <v>34</v>
      </c>
      <c r="I36" s="13">
        <v>2</v>
      </c>
      <c r="J36" s="14">
        <v>104.5</v>
      </c>
      <c r="K36" s="14">
        <v>209</v>
      </c>
    </row>
    <row r="37" spans="4:11">
      <c r="D37" s="11">
        <v>46197</v>
      </c>
      <c r="E37" s="12">
        <v>1614898</v>
      </c>
      <c r="F37" s="12" t="s">
        <v>36</v>
      </c>
      <c r="G37" s="13">
        <v>20410092</v>
      </c>
      <c r="H37" s="12" t="s">
        <v>37</v>
      </c>
      <c r="I37" s="13">
        <v>1</v>
      </c>
      <c r="J37" s="14">
        <v>55</v>
      </c>
      <c r="K37" s="14">
        <v>55</v>
      </c>
    </row>
    <row r="38" spans="4:11">
      <c r="D38" s="11">
        <v>46197</v>
      </c>
      <c r="E38" s="12">
        <v>1614898</v>
      </c>
      <c r="F38" s="12" t="s">
        <v>36</v>
      </c>
      <c r="G38" s="13">
        <v>20427693</v>
      </c>
      <c r="H38" s="12" t="s">
        <v>39</v>
      </c>
      <c r="I38" s="13">
        <v>1</v>
      </c>
      <c r="J38" s="14">
        <v>82.5</v>
      </c>
      <c r="K38" s="14">
        <v>82.5</v>
      </c>
    </row>
    <row r="39" spans="4:11">
      <c r="D39" s="11">
        <v>46199</v>
      </c>
      <c r="E39" s="12">
        <v>1615565</v>
      </c>
      <c r="F39" s="12" t="s">
        <v>33</v>
      </c>
      <c r="G39" s="13">
        <v>20409899</v>
      </c>
      <c r="H39" s="12" t="s">
        <v>42</v>
      </c>
      <c r="I39" s="13">
        <v>1</v>
      </c>
      <c r="J39" s="14">
        <v>16.5</v>
      </c>
      <c r="K39" s="14">
        <v>16.5</v>
      </c>
    </row>
    <row r="40" spans="4:11">
      <c r="D40" s="11">
        <v>46199</v>
      </c>
      <c r="E40" s="12">
        <v>1615565</v>
      </c>
      <c r="F40" s="12" t="s">
        <v>36</v>
      </c>
      <c r="G40" s="13">
        <v>20410092</v>
      </c>
      <c r="H40" s="12" t="s">
        <v>37</v>
      </c>
      <c r="I40" s="13">
        <v>1</v>
      </c>
      <c r="J40" s="14">
        <v>55</v>
      </c>
      <c r="K40" s="14">
        <v>55</v>
      </c>
    </row>
    <row r="41" spans="4:11">
      <c r="D41" s="11">
        <v>46199</v>
      </c>
      <c r="E41" s="12">
        <v>1615565</v>
      </c>
      <c r="F41" s="12" t="s">
        <v>36</v>
      </c>
      <c r="G41" s="13">
        <v>20427693</v>
      </c>
      <c r="H41" s="12" t="s">
        <v>39</v>
      </c>
      <c r="I41" s="13">
        <v>1</v>
      </c>
      <c r="J41" s="14">
        <v>82.5</v>
      </c>
      <c r="K41" s="14">
        <v>82.5</v>
      </c>
    </row>
    <row r="42" spans="4:11">
      <c r="D42" s="11">
        <v>46202</v>
      </c>
      <c r="E42" s="12">
        <v>1616098</v>
      </c>
      <c r="F42" s="12" t="s">
        <v>36</v>
      </c>
      <c r="G42" s="13">
        <v>20427693</v>
      </c>
      <c r="H42" s="12" t="s">
        <v>39</v>
      </c>
      <c r="I42" s="13">
        <v>2</v>
      </c>
      <c r="J42" s="14">
        <v>82.5</v>
      </c>
      <c r="K42" s="14">
        <v>165</v>
      </c>
    </row>
    <row r="43" ht="0.05" customHeight="1"/>
  </sheetData>
  <autoFilter xmlns:etc="http://www.wps.cn/officeDocument/2017/etCustomData" ref="A9:K42" etc:filterBottomFollowUsedRange="0">
    <extLst/>
  </autoFilter>
  <mergeCells count="6">
    <mergeCell ref="D8:H8"/>
    <mergeCell ref="D10:H10"/>
    <mergeCell ref="C9:C42"/>
    <mergeCell ref="B4:H5"/>
    <mergeCell ref="C1:H2"/>
    <mergeCell ref="A8:B4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14:30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17</v>
      </c>
      <c r="B7" s="4" t="s">
        <v>17</v>
      </c>
      <c r="C7" s="5" t="s">
        <v>17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4</v>
      </c>
      <c r="E8" s="8" t="s">
        <v>17</v>
      </c>
      <c r="F8" s="8" t="s">
        <v>17</v>
      </c>
      <c r="G8" s="8" t="s">
        <v>17</v>
      </c>
      <c r="H8" s="8" t="s">
        <v>17</v>
      </c>
      <c r="I8" s="9">
        <v>2</v>
      </c>
      <c r="J8" s="10"/>
      <c r="K8" s="10">
        <v>385</v>
      </c>
    </row>
    <row r="9" spans="1:11">
      <c r="D9" s="11">
        <v>46184</v>
      </c>
      <c r="E9" s="12">
        <v>1611179</v>
      </c>
      <c r="F9" s="12" t="s">
        <v>36</v>
      </c>
      <c r="G9" s="13">
        <v>20417762</v>
      </c>
      <c r="H9" s="12" t="s">
        <v>43</v>
      </c>
      <c r="I9" s="13">
        <v>1</v>
      </c>
      <c r="J9" s="14">
        <v>203.5</v>
      </c>
      <c r="K9" s="14">
        <v>203.5</v>
      </c>
    </row>
    <row r="10" spans="1:11">
      <c r="D10" s="11">
        <v>46199</v>
      </c>
      <c r="E10" s="12">
        <v>1615566</v>
      </c>
      <c r="F10" s="12" t="s">
        <v>36</v>
      </c>
      <c r="G10" s="13">
        <v>20417762</v>
      </c>
      <c r="H10" s="12" t="s">
        <v>44</v>
      </c>
      <c r="I10" s="13">
        <v>1</v>
      </c>
      <c r="J10" s="14">
        <v>181.5</v>
      </c>
      <c r="K10" s="14">
        <v>181.5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14:30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17</v>
      </c>
      <c r="B7" s="4" t="s">
        <v>17</v>
      </c>
      <c r="C7" s="5" t="s">
        <v>17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6</v>
      </c>
      <c r="E8" s="8" t="s">
        <v>17</v>
      </c>
      <c r="F8" s="8" t="s">
        <v>17</v>
      </c>
      <c r="G8" s="8" t="s">
        <v>17</v>
      </c>
      <c r="H8" s="8" t="s">
        <v>17</v>
      </c>
      <c r="I8" s="9">
        <v>71</v>
      </c>
      <c r="J8" s="10"/>
      <c r="K8" s="10">
        <f>SUM(K9:K47)</f>
        <v>1305.5</v>
      </c>
    </row>
    <row r="9" spans="1:11">
      <c r="D9" s="11">
        <v>46175</v>
      </c>
      <c r="E9" s="12">
        <v>1608289</v>
      </c>
      <c r="F9" s="12" t="s">
        <v>30</v>
      </c>
      <c r="G9" s="13">
        <v>20422632</v>
      </c>
      <c r="H9" s="12" t="s">
        <v>45</v>
      </c>
      <c r="I9" s="13">
        <v>1</v>
      </c>
      <c r="J9" s="14">
        <v>13.5</v>
      </c>
      <c r="K9" s="14">
        <f>J9*I9</f>
        <v>13.5</v>
      </c>
    </row>
    <row r="10" spans="1:11">
      <c r="D10" s="11">
        <v>46175</v>
      </c>
      <c r="E10" s="12">
        <v>1608289</v>
      </c>
      <c r="F10" s="12" t="s">
        <v>30</v>
      </c>
      <c r="G10" s="13">
        <v>20410093</v>
      </c>
      <c r="H10" s="12" t="s">
        <v>46</v>
      </c>
      <c r="I10" s="13">
        <v>3</v>
      </c>
      <c r="J10" s="14">
        <v>13.5</v>
      </c>
      <c r="K10" s="14">
        <f t="shared" ref="K10:K47" si="0">J10*I10</f>
        <v>40.5</v>
      </c>
    </row>
    <row r="11" spans="1:11">
      <c r="D11" s="11">
        <v>46175</v>
      </c>
      <c r="E11" s="12">
        <v>1608289</v>
      </c>
      <c r="F11" s="12" t="s">
        <v>36</v>
      </c>
      <c r="G11" s="13">
        <v>20427909</v>
      </c>
      <c r="H11" s="12" t="s">
        <v>47</v>
      </c>
      <c r="I11" s="13">
        <v>1</v>
      </c>
      <c r="J11" s="14">
        <v>33</v>
      </c>
      <c r="K11" s="14">
        <f t="shared" si="0"/>
        <v>33</v>
      </c>
    </row>
    <row r="12" spans="1:11">
      <c r="D12" s="11">
        <v>46177</v>
      </c>
      <c r="E12" s="12">
        <v>1609061</v>
      </c>
      <c r="F12" s="12" t="s">
        <v>30</v>
      </c>
      <c r="G12" s="13">
        <v>20425826</v>
      </c>
      <c r="H12" s="12" t="s">
        <v>48</v>
      </c>
      <c r="I12" s="13">
        <v>3</v>
      </c>
      <c r="J12" s="14">
        <v>13.5</v>
      </c>
      <c r="K12" s="14">
        <f t="shared" si="0"/>
        <v>40.5</v>
      </c>
    </row>
    <row r="13" spans="1:11">
      <c r="D13" s="11">
        <v>46177</v>
      </c>
      <c r="E13" s="12">
        <v>1609061</v>
      </c>
      <c r="F13" s="12" t="s">
        <v>30</v>
      </c>
      <c r="G13" s="13">
        <v>20410093</v>
      </c>
      <c r="H13" s="12" t="s">
        <v>46</v>
      </c>
      <c r="I13" s="13">
        <v>1</v>
      </c>
      <c r="J13" s="14">
        <v>13.5</v>
      </c>
      <c r="K13" s="14">
        <f t="shared" si="0"/>
        <v>13.5</v>
      </c>
    </row>
    <row r="14" spans="1:11">
      <c r="D14" s="11">
        <v>46177</v>
      </c>
      <c r="E14" s="12">
        <v>1609061</v>
      </c>
      <c r="F14" s="12" t="s">
        <v>36</v>
      </c>
      <c r="G14" s="13">
        <v>20417764</v>
      </c>
      <c r="H14" s="12" t="s">
        <v>49</v>
      </c>
      <c r="I14" s="13">
        <v>1</v>
      </c>
      <c r="J14" s="14">
        <v>88</v>
      </c>
      <c r="K14" s="14">
        <f t="shared" si="0"/>
        <v>88</v>
      </c>
    </row>
    <row r="15" spans="1:11">
      <c r="D15" s="11">
        <v>46178</v>
      </c>
      <c r="E15" s="12">
        <v>1609796</v>
      </c>
      <c r="F15" s="12" t="s">
        <v>30</v>
      </c>
      <c r="G15" s="13">
        <v>20410093</v>
      </c>
      <c r="H15" s="12" t="s">
        <v>46</v>
      </c>
      <c r="I15" s="13">
        <v>2</v>
      </c>
      <c r="J15" s="14">
        <v>13.5</v>
      </c>
      <c r="K15" s="14">
        <f t="shared" si="0"/>
        <v>27</v>
      </c>
    </row>
    <row r="16" spans="1:11">
      <c r="D16" s="11">
        <v>46178</v>
      </c>
      <c r="E16" s="12">
        <v>1609796</v>
      </c>
      <c r="F16" s="12" t="s">
        <v>30</v>
      </c>
      <c r="G16" s="13">
        <v>20423243</v>
      </c>
      <c r="H16" s="12" t="s">
        <v>50</v>
      </c>
      <c r="I16" s="13">
        <v>1</v>
      </c>
      <c r="J16" s="14">
        <f>5.5*3</f>
        <v>16.5</v>
      </c>
      <c r="K16" s="14">
        <f t="shared" si="0"/>
        <v>16.5</v>
      </c>
    </row>
    <row r="17" spans="4:11">
      <c r="D17" s="11">
        <v>46178</v>
      </c>
      <c r="E17" s="12">
        <v>1609796</v>
      </c>
      <c r="F17" s="12" t="s">
        <v>51</v>
      </c>
      <c r="G17" s="13">
        <v>20419189</v>
      </c>
      <c r="H17" s="12" t="s">
        <v>52</v>
      </c>
      <c r="I17" s="13">
        <v>1</v>
      </c>
      <c r="J17" s="14">
        <v>35</v>
      </c>
      <c r="K17" s="14">
        <f t="shared" si="0"/>
        <v>35</v>
      </c>
    </row>
    <row r="18" spans="4:11">
      <c r="D18" s="11">
        <v>46178</v>
      </c>
      <c r="E18" s="12">
        <v>1609796</v>
      </c>
      <c r="F18" s="12" t="s">
        <v>36</v>
      </c>
      <c r="G18" s="13">
        <v>20417764</v>
      </c>
      <c r="H18" s="12" t="s">
        <v>53</v>
      </c>
      <c r="I18" s="13">
        <v>1</v>
      </c>
      <c r="J18" s="14">
        <v>60.5</v>
      </c>
      <c r="K18" s="14">
        <f t="shared" si="0"/>
        <v>60.5</v>
      </c>
    </row>
    <row r="19" spans="4:11">
      <c r="D19" s="11">
        <v>46182</v>
      </c>
      <c r="E19" s="12">
        <v>1610395</v>
      </c>
      <c r="F19" s="12" t="s">
        <v>30</v>
      </c>
      <c r="G19" s="13">
        <v>20425826</v>
      </c>
      <c r="H19" s="12" t="s">
        <v>54</v>
      </c>
      <c r="I19" s="13">
        <v>1</v>
      </c>
      <c r="J19" s="14">
        <v>13.5</v>
      </c>
      <c r="K19" s="14">
        <f t="shared" si="0"/>
        <v>13.5</v>
      </c>
    </row>
    <row r="20" spans="4:11">
      <c r="D20" s="11">
        <v>46182</v>
      </c>
      <c r="E20" s="12">
        <v>1610395</v>
      </c>
      <c r="F20" s="12" t="s">
        <v>30</v>
      </c>
      <c r="G20" s="13">
        <v>20410093</v>
      </c>
      <c r="H20" s="12" t="s">
        <v>46</v>
      </c>
      <c r="I20" s="13">
        <v>5</v>
      </c>
      <c r="J20" s="14">
        <v>13.5</v>
      </c>
      <c r="K20" s="14">
        <f t="shared" si="0"/>
        <v>67.5</v>
      </c>
    </row>
    <row r="21" spans="4:11">
      <c r="D21" s="11">
        <v>46182</v>
      </c>
      <c r="E21" s="12">
        <v>1610395</v>
      </c>
      <c r="F21" s="12" t="s">
        <v>36</v>
      </c>
      <c r="G21" s="13">
        <v>20425828</v>
      </c>
      <c r="H21" s="12" t="s">
        <v>55</v>
      </c>
      <c r="I21" s="13">
        <v>1</v>
      </c>
      <c r="J21" s="14">
        <v>44</v>
      </c>
      <c r="K21" s="14">
        <f t="shared" si="0"/>
        <v>44</v>
      </c>
    </row>
    <row r="22" spans="4:11">
      <c r="D22" s="11">
        <v>46184</v>
      </c>
      <c r="E22" s="12">
        <v>1611177</v>
      </c>
      <c r="F22" s="12" t="s">
        <v>30</v>
      </c>
      <c r="G22" s="13">
        <v>20410093</v>
      </c>
      <c r="H22" s="12" t="s">
        <v>46</v>
      </c>
      <c r="I22" s="13">
        <v>4</v>
      </c>
      <c r="J22" s="14">
        <v>13.5</v>
      </c>
      <c r="K22" s="14">
        <f t="shared" si="0"/>
        <v>54</v>
      </c>
    </row>
    <row r="23" spans="4:11">
      <c r="D23" s="11">
        <v>46184</v>
      </c>
      <c r="E23" s="12">
        <v>1611177</v>
      </c>
      <c r="F23" s="12" t="s">
        <v>30</v>
      </c>
      <c r="G23" s="13">
        <v>20421334</v>
      </c>
      <c r="H23" s="12" t="s">
        <v>56</v>
      </c>
      <c r="I23" s="13">
        <v>1</v>
      </c>
      <c r="J23" s="14">
        <f>5.5*3</f>
        <v>16.5</v>
      </c>
      <c r="K23" s="14">
        <f t="shared" si="0"/>
        <v>16.5</v>
      </c>
    </row>
    <row r="24" spans="4:11">
      <c r="D24" s="11">
        <v>46184</v>
      </c>
      <c r="E24" s="12">
        <v>1611177</v>
      </c>
      <c r="F24" s="12" t="s">
        <v>36</v>
      </c>
      <c r="G24" s="13">
        <v>20417764</v>
      </c>
      <c r="H24" s="12" t="s">
        <v>57</v>
      </c>
      <c r="I24" s="13">
        <v>1</v>
      </c>
      <c r="J24" s="14">
        <v>49.5</v>
      </c>
      <c r="K24" s="14">
        <f t="shared" si="0"/>
        <v>49.5</v>
      </c>
    </row>
    <row r="25" spans="4:11">
      <c r="D25" s="11">
        <v>46185</v>
      </c>
      <c r="E25" s="12">
        <v>1611875</v>
      </c>
      <c r="F25" s="12" t="s">
        <v>30</v>
      </c>
      <c r="G25" s="13">
        <v>20422632</v>
      </c>
      <c r="H25" s="12" t="s">
        <v>58</v>
      </c>
      <c r="I25" s="13">
        <v>1</v>
      </c>
      <c r="J25" s="14">
        <v>13.5</v>
      </c>
      <c r="K25" s="14">
        <f t="shared" si="0"/>
        <v>13.5</v>
      </c>
    </row>
    <row r="26" spans="4:11">
      <c r="D26" s="11">
        <v>46185</v>
      </c>
      <c r="E26" s="12">
        <v>1611875</v>
      </c>
      <c r="F26" s="12" t="s">
        <v>30</v>
      </c>
      <c r="G26" s="13">
        <v>20410093</v>
      </c>
      <c r="H26" s="12" t="s">
        <v>46</v>
      </c>
      <c r="I26" s="13">
        <v>7</v>
      </c>
      <c r="J26" s="14">
        <v>13.5</v>
      </c>
      <c r="K26" s="14">
        <f t="shared" si="0"/>
        <v>94.5</v>
      </c>
    </row>
    <row r="27" spans="4:11">
      <c r="D27" s="11">
        <v>46185</v>
      </c>
      <c r="E27" s="12">
        <v>1611875</v>
      </c>
      <c r="F27" s="12" t="s">
        <v>36</v>
      </c>
      <c r="G27" s="13">
        <v>20417764</v>
      </c>
      <c r="H27" s="12" t="s">
        <v>49</v>
      </c>
      <c r="I27" s="13">
        <v>1</v>
      </c>
      <c r="J27" s="14">
        <v>93.5</v>
      </c>
      <c r="K27" s="14">
        <f t="shared" si="0"/>
        <v>93.5</v>
      </c>
    </row>
    <row r="28" spans="4:11">
      <c r="D28" s="11">
        <v>46189</v>
      </c>
      <c r="E28" s="12">
        <v>1612425</v>
      </c>
      <c r="F28" s="12" t="s">
        <v>30</v>
      </c>
      <c r="G28" s="13">
        <v>20420152</v>
      </c>
      <c r="H28" s="12" t="s">
        <v>59</v>
      </c>
      <c r="I28" s="13">
        <v>2</v>
      </c>
      <c r="J28" s="14">
        <v>8</v>
      </c>
      <c r="K28" s="14">
        <f t="shared" si="0"/>
        <v>16</v>
      </c>
    </row>
    <row r="29" spans="4:11">
      <c r="D29" s="11">
        <v>46189</v>
      </c>
      <c r="E29" s="12">
        <v>1612425</v>
      </c>
      <c r="F29" s="12" t="s">
        <v>30</v>
      </c>
      <c r="G29" s="13">
        <v>20410051</v>
      </c>
      <c r="H29" s="12" t="s">
        <v>60</v>
      </c>
      <c r="I29" s="13">
        <v>1</v>
      </c>
      <c r="J29" s="14">
        <v>8</v>
      </c>
      <c r="K29" s="14">
        <f t="shared" si="0"/>
        <v>8</v>
      </c>
    </row>
    <row r="30" spans="4:11">
      <c r="D30" s="11">
        <v>46189</v>
      </c>
      <c r="E30" s="12">
        <v>1612425</v>
      </c>
      <c r="F30" s="12" t="s">
        <v>30</v>
      </c>
      <c r="G30" s="13">
        <v>20410093</v>
      </c>
      <c r="H30" s="12" t="s">
        <v>46</v>
      </c>
      <c r="I30" s="13">
        <v>3</v>
      </c>
      <c r="J30" s="14">
        <v>13.5</v>
      </c>
      <c r="K30" s="14">
        <f t="shared" si="0"/>
        <v>40.5</v>
      </c>
    </row>
    <row r="31" spans="4:11">
      <c r="D31" s="11">
        <v>46189</v>
      </c>
      <c r="E31" s="12">
        <v>1612425</v>
      </c>
      <c r="F31" s="12" t="s">
        <v>30</v>
      </c>
      <c r="G31" s="13">
        <v>20421334</v>
      </c>
      <c r="H31" s="12" t="s">
        <v>61</v>
      </c>
      <c r="I31" s="13">
        <v>1</v>
      </c>
      <c r="J31" s="14">
        <f>5.5*3</f>
        <v>16.5</v>
      </c>
      <c r="K31" s="14">
        <f t="shared" si="0"/>
        <v>16.5</v>
      </c>
    </row>
    <row r="32" spans="4:11">
      <c r="D32" s="11">
        <v>46189</v>
      </c>
      <c r="E32" s="12">
        <v>1612425</v>
      </c>
      <c r="F32" s="12" t="s">
        <v>36</v>
      </c>
      <c r="G32" s="13">
        <v>20424160</v>
      </c>
      <c r="H32" s="12" t="s">
        <v>62</v>
      </c>
      <c r="I32" s="13">
        <v>1</v>
      </c>
      <c r="J32" s="14">
        <v>22</v>
      </c>
      <c r="K32" s="14">
        <f t="shared" si="0"/>
        <v>22</v>
      </c>
    </row>
    <row r="33" spans="4:11">
      <c r="D33" s="11">
        <v>46191</v>
      </c>
      <c r="E33" s="12">
        <v>1613182</v>
      </c>
      <c r="F33" s="12" t="s">
        <v>30</v>
      </c>
      <c r="G33" s="13">
        <v>20421334</v>
      </c>
      <c r="H33" s="12" t="s">
        <v>63</v>
      </c>
      <c r="I33" s="13">
        <v>2</v>
      </c>
      <c r="J33" s="14">
        <f>4*5.5</f>
        <v>22</v>
      </c>
      <c r="K33" s="14">
        <f t="shared" si="0"/>
        <v>44</v>
      </c>
    </row>
    <row r="34" spans="4:11">
      <c r="D34" s="11">
        <v>46191</v>
      </c>
      <c r="E34" s="12">
        <v>1613182</v>
      </c>
      <c r="F34" s="12" t="s">
        <v>36</v>
      </c>
      <c r="G34" s="13">
        <v>20427909</v>
      </c>
      <c r="H34" s="12" t="s">
        <v>64</v>
      </c>
      <c r="I34" s="13">
        <v>1</v>
      </c>
      <c r="J34" s="14">
        <v>33</v>
      </c>
      <c r="K34" s="14">
        <f t="shared" si="0"/>
        <v>33</v>
      </c>
    </row>
    <row r="35" spans="4:11">
      <c r="D35" s="11">
        <v>46195</v>
      </c>
      <c r="E35" s="12">
        <v>1614154</v>
      </c>
      <c r="F35" s="12" t="s">
        <v>30</v>
      </c>
      <c r="G35" s="13">
        <v>20420152</v>
      </c>
      <c r="H35" s="12" t="s">
        <v>59</v>
      </c>
      <c r="I35" s="13">
        <v>4</v>
      </c>
      <c r="J35" s="14">
        <v>8</v>
      </c>
      <c r="K35" s="14">
        <f t="shared" si="0"/>
        <v>32</v>
      </c>
    </row>
    <row r="36" spans="4:11">
      <c r="D36" s="11">
        <v>46195</v>
      </c>
      <c r="E36" s="12">
        <v>1614154</v>
      </c>
      <c r="F36" s="12" t="s">
        <v>30</v>
      </c>
      <c r="G36" s="13">
        <v>20410051</v>
      </c>
      <c r="H36" s="12" t="s">
        <v>60</v>
      </c>
      <c r="I36" s="13">
        <v>5</v>
      </c>
      <c r="J36" s="14">
        <v>8</v>
      </c>
      <c r="K36" s="14">
        <f t="shared" si="0"/>
        <v>40</v>
      </c>
    </row>
    <row r="37" spans="4:11">
      <c r="D37" s="11">
        <v>46195</v>
      </c>
      <c r="E37" s="12">
        <v>1614154</v>
      </c>
      <c r="F37" s="12" t="s">
        <v>30</v>
      </c>
      <c r="G37" s="13">
        <v>20430642</v>
      </c>
      <c r="H37" s="12" t="s">
        <v>65</v>
      </c>
      <c r="I37" s="13">
        <v>1</v>
      </c>
      <c r="J37" s="14">
        <f>5.5*3</f>
        <v>16.5</v>
      </c>
      <c r="K37" s="14">
        <f t="shared" si="0"/>
        <v>16.5</v>
      </c>
    </row>
    <row r="38" spans="4:11">
      <c r="D38" s="11">
        <v>46195</v>
      </c>
      <c r="E38" s="12">
        <v>1614154</v>
      </c>
      <c r="F38" s="12" t="s">
        <v>30</v>
      </c>
      <c r="G38" s="13">
        <v>20421334</v>
      </c>
      <c r="H38" s="12" t="s">
        <v>66</v>
      </c>
      <c r="I38" s="13">
        <v>1</v>
      </c>
      <c r="J38" s="14">
        <f>4*5.5</f>
        <v>22</v>
      </c>
      <c r="K38" s="14">
        <f t="shared" si="0"/>
        <v>22</v>
      </c>
    </row>
    <row r="39" spans="4:11">
      <c r="D39" s="11">
        <v>46195</v>
      </c>
      <c r="E39" s="12">
        <v>1614154</v>
      </c>
      <c r="F39" s="12" t="s">
        <v>30</v>
      </c>
      <c r="G39" s="13">
        <v>20417767</v>
      </c>
      <c r="H39" s="12" t="s">
        <v>38</v>
      </c>
      <c r="I39" s="13">
        <v>1</v>
      </c>
      <c r="J39" s="14">
        <v>8</v>
      </c>
      <c r="K39" s="14">
        <f t="shared" si="0"/>
        <v>8</v>
      </c>
    </row>
    <row r="40" spans="4:11">
      <c r="D40" s="11">
        <v>46197</v>
      </c>
      <c r="E40" s="12">
        <v>1614899</v>
      </c>
      <c r="F40" s="12" t="s">
        <v>30</v>
      </c>
      <c r="G40" s="13">
        <v>20431044</v>
      </c>
      <c r="H40" s="12" t="s">
        <v>67</v>
      </c>
      <c r="I40" s="13">
        <v>1</v>
      </c>
      <c r="J40" s="14">
        <v>22</v>
      </c>
      <c r="K40" s="14">
        <f t="shared" si="0"/>
        <v>22</v>
      </c>
    </row>
    <row r="41" spans="4:11">
      <c r="D41" s="11">
        <v>46197</v>
      </c>
      <c r="E41" s="12">
        <v>1614899</v>
      </c>
      <c r="F41" s="12" t="s">
        <v>30</v>
      </c>
      <c r="G41" s="13">
        <v>20431045</v>
      </c>
      <c r="H41" s="12" t="s">
        <v>68</v>
      </c>
      <c r="I41" s="13">
        <v>1</v>
      </c>
      <c r="J41" s="14">
        <v>22</v>
      </c>
      <c r="K41" s="14">
        <f t="shared" si="0"/>
        <v>22</v>
      </c>
    </row>
    <row r="42" spans="4:11">
      <c r="D42" s="11">
        <v>46197</v>
      </c>
      <c r="E42" s="12">
        <v>1614899</v>
      </c>
      <c r="F42" s="12" t="s">
        <v>30</v>
      </c>
      <c r="G42" s="13">
        <v>20423243</v>
      </c>
      <c r="H42" s="12" t="s">
        <v>69</v>
      </c>
      <c r="I42" s="13">
        <v>1</v>
      </c>
      <c r="J42" s="14">
        <f t="shared" ref="J42:J47" si="1">5.5*3</f>
        <v>16.5</v>
      </c>
      <c r="K42" s="14">
        <f t="shared" si="0"/>
        <v>16.5</v>
      </c>
    </row>
    <row r="43" spans="4:11">
      <c r="D43" s="11">
        <v>46197</v>
      </c>
      <c r="E43" s="12">
        <v>1614899</v>
      </c>
      <c r="F43" s="12" t="s">
        <v>30</v>
      </c>
      <c r="G43" s="13">
        <v>20430642</v>
      </c>
      <c r="H43" s="12" t="s">
        <v>65</v>
      </c>
      <c r="I43" s="13">
        <v>2</v>
      </c>
      <c r="J43" s="14">
        <f t="shared" si="1"/>
        <v>16.5</v>
      </c>
      <c r="K43" s="14">
        <f t="shared" si="0"/>
        <v>33</v>
      </c>
    </row>
    <row r="44" spans="4:11">
      <c r="D44" s="11">
        <v>46199</v>
      </c>
      <c r="E44" s="12">
        <v>1615589</v>
      </c>
      <c r="F44" s="12" t="s">
        <v>30</v>
      </c>
      <c r="G44" s="13">
        <v>20410093</v>
      </c>
      <c r="H44" s="12" t="s">
        <v>70</v>
      </c>
      <c r="I44" s="13">
        <v>1</v>
      </c>
      <c r="J44" s="14">
        <f t="shared" si="1"/>
        <v>16.5</v>
      </c>
      <c r="K44" s="14">
        <f t="shared" si="0"/>
        <v>16.5</v>
      </c>
    </row>
    <row r="45" spans="4:11">
      <c r="D45" s="11">
        <v>46199</v>
      </c>
      <c r="E45" s="12">
        <v>1615589</v>
      </c>
      <c r="F45" s="12" t="s">
        <v>30</v>
      </c>
      <c r="G45" s="13">
        <v>20430642</v>
      </c>
      <c r="H45" s="12" t="s">
        <v>65</v>
      </c>
      <c r="I45" s="13">
        <v>2</v>
      </c>
      <c r="J45" s="14">
        <f t="shared" si="1"/>
        <v>16.5</v>
      </c>
      <c r="K45" s="14">
        <f t="shared" si="0"/>
        <v>33</v>
      </c>
    </row>
    <row r="46" spans="4:11">
      <c r="D46" s="11">
        <v>46202</v>
      </c>
      <c r="E46" s="12">
        <v>1616099</v>
      </c>
      <c r="F46" s="12" t="s">
        <v>30</v>
      </c>
      <c r="G46" s="13">
        <v>20423243</v>
      </c>
      <c r="H46" s="12" t="s">
        <v>69</v>
      </c>
      <c r="I46" s="13">
        <v>1</v>
      </c>
      <c r="J46" s="14">
        <f t="shared" si="1"/>
        <v>16.5</v>
      </c>
      <c r="K46" s="14">
        <f t="shared" si="0"/>
        <v>16.5</v>
      </c>
    </row>
    <row r="47" spans="4:11">
      <c r="D47" s="11">
        <v>46202</v>
      </c>
      <c r="E47" s="12">
        <v>1616099</v>
      </c>
      <c r="F47" s="12" t="s">
        <v>30</v>
      </c>
      <c r="G47" s="13">
        <v>20430642</v>
      </c>
      <c r="H47" s="12" t="s">
        <v>65</v>
      </c>
      <c r="I47" s="13">
        <v>2</v>
      </c>
      <c r="J47" s="14">
        <f t="shared" si="1"/>
        <v>16.5</v>
      </c>
      <c r="K47" s="14">
        <f t="shared" si="0"/>
        <v>33</v>
      </c>
    </row>
    <row r="48" ht="0.05" customHeight="1"/>
  </sheetData>
  <autoFilter xmlns:etc="http://www.wps.cn/officeDocument/2017/etCustomData" ref="A7:K47" etc:filterBottomFollowUsedRange="0">
    <extLst/>
  </autoFilter>
  <mergeCells count="5">
    <mergeCell ref="D8:H8"/>
    <mergeCell ref="C7:C47"/>
    <mergeCell ref="B4:H5"/>
    <mergeCell ref="A7:B4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14:30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L30" sqref="L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17</v>
      </c>
      <c r="B7" s="4" t="s">
        <v>17</v>
      </c>
      <c r="C7" s="5" t="s">
        <v>17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7</v>
      </c>
      <c r="E8" s="8" t="s">
        <v>17</v>
      </c>
      <c r="F8" s="8" t="s">
        <v>17</v>
      </c>
      <c r="G8" s="8" t="s">
        <v>17</v>
      </c>
      <c r="H8" s="8" t="s">
        <v>17</v>
      </c>
      <c r="I8" s="9">
        <v>2</v>
      </c>
      <c r="J8" s="10"/>
      <c r="K8" s="10">
        <v>33</v>
      </c>
    </row>
    <row r="9" spans="1:11">
      <c r="D9" s="11">
        <v>46184</v>
      </c>
      <c r="E9" s="12">
        <v>1611178</v>
      </c>
      <c r="F9" s="12" t="s">
        <v>36</v>
      </c>
      <c r="G9" s="13">
        <v>20410049</v>
      </c>
      <c r="H9" s="12" t="s">
        <v>71</v>
      </c>
      <c r="I9" s="13">
        <v>2</v>
      </c>
      <c r="J9" s="14">
        <v>16.5</v>
      </c>
      <c r="K9" s="14">
        <v>33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14:30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17</v>
      </c>
      <c r="B7" s="4" t="s">
        <v>17</v>
      </c>
      <c r="C7" s="5" t="s">
        <v>17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8</v>
      </c>
      <c r="E8" s="8" t="s">
        <v>17</v>
      </c>
      <c r="F8" s="8" t="s">
        <v>17</v>
      </c>
      <c r="G8" s="8" t="s">
        <v>17</v>
      </c>
      <c r="H8" s="8" t="s">
        <v>17</v>
      </c>
      <c r="I8" s="9">
        <v>27</v>
      </c>
      <c r="J8" s="10"/>
      <c r="K8" s="10">
        <v>1645</v>
      </c>
    </row>
    <row r="9" spans="1:11">
      <c r="D9" s="11">
        <v>46175</v>
      </c>
      <c r="E9" s="12">
        <v>1608290</v>
      </c>
      <c r="F9" s="12" t="s">
        <v>72</v>
      </c>
      <c r="G9" s="13">
        <v>20410122</v>
      </c>
      <c r="H9" s="12" t="s">
        <v>73</v>
      </c>
      <c r="I9" s="13">
        <v>1</v>
      </c>
      <c r="J9" s="14">
        <v>60.5</v>
      </c>
      <c r="K9" s="14">
        <v>60.5</v>
      </c>
    </row>
    <row r="10" spans="1:11">
      <c r="D10" s="11">
        <v>46175</v>
      </c>
      <c r="E10" s="12">
        <v>1608290</v>
      </c>
      <c r="F10" s="12" t="s">
        <v>30</v>
      </c>
      <c r="G10" s="13">
        <v>20417771</v>
      </c>
      <c r="H10" s="12" t="s">
        <v>74</v>
      </c>
      <c r="I10" s="13">
        <v>1</v>
      </c>
      <c r="J10" s="14">
        <v>16</v>
      </c>
      <c r="K10" s="14">
        <v>16</v>
      </c>
    </row>
    <row r="11" spans="1:11">
      <c r="D11" s="11">
        <v>46175</v>
      </c>
      <c r="E11" s="12">
        <v>1608290</v>
      </c>
      <c r="F11" s="12" t="s">
        <v>30</v>
      </c>
      <c r="G11" s="13">
        <v>20410123</v>
      </c>
      <c r="H11" s="12" t="s">
        <v>75</v>
      </c>
      <c r="I11" s="13">
        <v>1</v>
      </c>
      <c r="J11" s="14">
        <v>16.5</v>
      </c>
      <c r="K11" s="14">
        <v>16.5</v>
      </c>
    </row>
    <row r="12" spans="1:11">
      <c r="D12" s="11">
        <v>46175</v>
      </c>
      <c r="E12" s="12">
        <v>1608290</v>
      </c>
      <c r="F12" s="12" t="s">
        <v>30</v>
      </c>
      <c r="G12" s="13">
        <v>20417770</v>
      </c>
      <c r="H12" s="12" t="s">
        <v>32</v>
      </c>
      <c r="I12" s="13">
        <v>1</v>
      </c>
      <c r="J12" s="14">
        <v>13</v>
      </c>
      <c r="K12" s="14">
        <v>13</v>
      </c>
    </row>
    <row r="13" spans="1:11">
      <c r="D13" s="11">
        <v>46175</v>
      </c>
      <c r="E13" s="12">
        <v>1608290</v>
      </c>
      <c r="F13" s="12" t="s">
        <v>36</v>
      </c>
      <c r="G13" s="13">
        <v>20410080</v>
      </c>
      <c r="H13" s="12" t="s">
        <v>76</v>
      </c>
      <c r="I13" s="13">
        <v>1</v>
      </c>
      <c r="J13" s="14">
        <v>16.5</v>
      </c>
      <c r="K13" s="14">
        <v>16.5</v>
      </c>
    </row>
    <row r="14" spans="1:11">
      <c r="D14" s="11">
        <v>46178</v>
      </c>
      <c r="E14" s="12">
        <v>1609791</v>
      </c>
      <c r="F14" s="12" t="s">
        <v>72</v>
      </c>
      <c r="G14" s="13">
        <v>20410120</v>
      </c>
      <c r="H14" s="12" t="s">
        <v>77</v>
      </c>
      <c r="I14" s="13">
        <v>2</v>
      </c>
      <c r="J14" s="14">
        <v>396</v>
      </c>
      <c r="K14" s="14">
        <v>792</v>
      </c>
    </row>
    <row r="15" spans="1:11">
      <c r="D15" s="11">
        <v>46178</v>
      </c>
      <c r="E15" s="12">
        <v>1609791</v>
      </c>
      <c r="F15" s="12" t="s">
        <v>72</v>
      </c>
      <c r="G15" s="13">
        <v>20410117</v>
      </c>
      <c r="H15" s="12" t="s">
        <v>78</v>
      </c>
      <c r="I15" s="13">
        <v>1</v>
      </c>
      <c r="J15" s="14">
        <v>93.5</v>
      </c>
      <c r="K15" s="14">
        <v>93.5</v>
      </c>
    </row>
    <row r="16" spans="1:11">
      <c r="D16" s="11">
        <v>46178</v>
      </c>
      <c r="E16" s="12">
        <v>1609791</v>
      </c>
      <c r="F16" s="12" t="s">
        <v>30</v>
      </c>
      <c r="G16" s="13">
        <v>20417771</v>
      </c>
      <c r="H16" s="12" t="s">
        <v>74</v>
      </c>
      <c r="I16" s="13">
        <v>2</v>
      </c>
      <c r="J16" s="14">
        <v>16</v>
      </c>
      <c r="K16" s="14">
        <v>32</v>
      </c>
    </row>
    <row r="17" spans="4:11">
      <c r="D17" s="11">
        <v>46178</v>
      </c>
      <c r="E17" s="12">
        <v>1609791</v>
      </c>
      <c r="F17" s="12" t="s">
        <v>30</v>
      </c>
      <c r="G17" s="13">
        <v>20417770</v>
      </c>
      <c r="H17" s="12" t="s">
        <v>32</v>
      </c>
      <c r="I17" s="13">
        <v>1</v>
      </c>
      <c r="J17" s="14">
        <v>13</v>
      </c>
      <c r="K17" s="14">
        <v>13</v>
      </c>
    </row>
    <row r="18" spans="4:11">
      <c r="D18" s="11">
        <v>46178</v>
      </c>
      <c r="E18" s="12">
        <v>1609791</v>
      </c>
      <c r="F18" s="12" t="s">
        <v>30</v>
      </c>
      <c r="G18" s="13">
        <v>20417770</v>
      </c>
      <c r="H18" s="12" t="s">
        <v>32</v>
      </c>
      <c r="I18" s="13">
        <v>1</v>
      </c>
      <c r="J18" s="14">
        <v>13</v>
      </c>
      <c r="K18" s="14">
        <v>13</v>
      </c>
    </row>
    <row r="19" spans="4:11">
      <c r="D19" s="11">
        <v>46178</v>
      </c>
      <c r="E19" s="12">
        <v>1609791</v>
      </c>
      <c r="F19" s="12" t="s">
        <v>30</v>
      </c>
      <c r="G19" s="13">
        <v>20428708</v>
      </c>
      <c r="H19" s="12" t="s">
        <v>79</v>
      </c>
      <c r="I19" s="13">
        <v>1</v>
      </c>
      <c r="J19" s="14">
        <v>11</v>
      </c>
      <c r="K19" s="14">
        <v>11</v>
      </c>
    </row>
    <row r="20" spans="4:11">
      <c r="D20" s="11">
        <v>46178</v>
      </c>
      <c r="E20" s="12">
        <v>1609791</v>
      </c>
      <c r="F20" s="12" t="s">
        <v>36</v>
      </c>
      <c r="G20" s="13">
        <v>20410080</v>
      </c>
      <c r="H20" s="12" t="s">
        <v>76</v>
      </c>
      <c r="I20" s="13">
        <v>2</v>
      </c>
      <c r="J20" s="14">
        <v>16.5</v>
      </c>
      <c r="K20" s="14">
        <v>33</v>
      </c>
    </row>
    <row r="21" spans="4:11">
      <c r="D21" s="11">
        <v>46184</v>
      </c>
      <c r="E21" s="12">
        <v>1611181</v>
      </c>
      <c r="F21" s="12" t="s">
        <v>72</v>
      </c>
      <c r="G21" s="13">
        <v>20410117</v>
      </c>
      <c r="H21" s="12" t="s">
        <v>78</v>
      </c>
      <c r="I21" s="13">
        <v>1</v>
      </c>
      <c r="J21" s="14">
        <v>93.5</v>
      </c>
      <c r="K21" s="14">
        <v>93.5</v>
      </c>
    </row>
    <row r="22" spans="4:11">
      <c r="D22" s="11">
        <v>46184</v>
      </c>
      <c r="E22" s="12">
        <v>1611181</v>
      </c>
      <c r="F22" s="12" t="s">
        <v>72</v>
      </c>
      <c r="G22" s="13">
        <v>20410111</v>
      </c>
      <c r="H22" s="12" t="s">
        <v>80</v>
      </c>
      <c r="I22" s="13">
        <v>1</v>
      </c>
      <c r="J22" s="14">
        <v>115.5</v>
      </c>
      <c r="K22" s="14">
        <v>115.5</v>
      </c>
    </row>
    <row r="23" spans="4:11">
      <c r="D23" s="11">
        <v>46184</v>
      </c>
      <c r="E23" s="12">
        <v>1611181</v>
      </c>
      <c r="F23" s="12" t="s">
        <v>30</v>
      </c>
      <c r="G23" s="13">
        <v>20417771</v>
      </c>
      <c r="H23" s="12" t="s">
        <v>74</v>
      </c>
      <c r="I23" s="13">
        <v>1</v>
      </c>
      <c r="J23" s="14">
        <v>16</v>
      </c>
      <c r="K23" s="14">
        <v>16</v>
      </c>
    </row>
    <row r="24" spans="4:11">
      <c r="D24" s="11">
        <v>46184</v>
      </c>
      <c r="E24" s="12">
        <v>1611181</v>
      </c>
      <c r="F24" s="12" t="s">
        <v>30</v>
      </c>
      <c r="G24" s="13">
        <v>20417770</v>
      </c>
      <c r="H24" s="12" t="s">
        <v>32</v>
      </c>
      <c r="I24" s="13">
        <v>2</v>
      </c>
      <c r="J24" s="14">
        <v>13</v>
      </c>
      <c r="K24" s="14">
        <v>26</v>
      </c>
    </row>
    <row r="25" spans="4:11">
      <c r="D25" s="11">
        <v>46184</v>
      </c>
      <c r="E25" s="12">
        <v>1611181</v>
      </c>
      <c r="F25" s="12" t="s">
        <v>36</v>
      </c>
      <c r="G25" s="13">
        <v>20410080</v>
      </c>
      <c r="H25" s="12" t="s">
        <v>76</v>
      </c>
      <c r="I25" s="13">
        <v>1</v>
      </c>
      <c r="J25" s="14">
        <v>16.5</v>
      </c>
      <c r="K25" s="14">
        <v>16.5</v>
      </c>
    </row>
    <row r="26" spans="4:11">
      <c r="D26" s="11">
        <v>46190</v>
      </c>
      <c r="E26" s="12">
        <v>1613152</v>
      </c>
      <c r="F26" s="12" t="s">
        <v>72</v>
      </c>
      <c r="G26" s="13">
        <v>20410117</v>
      </c>
      <c r="H26" s="12" t="s">
        <v>78</v>
      </c>
      <c r="I26" s="13">
        <v>1</v>
      </c>
      <c r="J26" s="14">
        <v>93.5</v>
      </c>
      <c r="K26" s="14">
        <v>93.5</v>
      </c>
    </row>
    <row r="27" spans="4:11">
      <c r="D27" s="11">
        <v>46190</v>
      </c>
      <c r="E27" s="12">
        <v>1613152</v>
      </c>
      <c r="F27" s="12" t="s">
        <v>72</v>
      </c>
      <c r="G27" s="13">
        <v>20410111</v>
      </c>
      <c r="H27" s="12" t="s">
        <v>80</v>
      </c>
      <c r="I27" s="13">
        <v>1</v>
      </c>
      <c r="J27" s="14">
        <v>115.5</v>
      </c>
      <c r="K27" s="14">
        <v>115.5</v>
      </c>
    </row>
    <row r="28" spans="4:11">
      <c r="D28" s="11">
        <v>46190</v>
      </c>
      <c r="E28" s="12">
        <v>1613152</v>
      </c>
      <c r="F28" s="12" t="s">
        <v>36</v>
      </c>
      <c r="G28" s="13">
        <v>20410080</v>
      </c>
      <c r="H28" s="12" t="s">
        <v>76</v>
      </c>
      <c r="I28" s="13">
        <v>1</v>
      </c>
      <c r="J28" s="14">
        <v>16.5</v>
      </c>
      <c r="K28" s="14">
        <v>16.5</v>
      </c>
    </row>
    <row r="29" spans="4:11">
      <c r="D29" s="11">
        <v>46191</v>
      </c>
      <c r="E29" s="12">
        <v>1613183</v>
      </c>
      <c r="F29" s="12" t="s">
        <v>30</v>
      </c>
      <c r="G29" s="13">
        <v>20417771</v>
      </c>
      <c r="H29" s="12" t="s">
        <v>74</v>
      </c>
      <c r="I29" s="13">
        <v>1</v>
      </c>
      <c r="J29" s="14">
        <v>16</v>
      </c>
      <c r="K29" s="14">
        <v>16</v>
      </c>
    </row>
    <row r="30" spans="4:11">
      <c r="D30" s="11">
        <v>46191</v>
      </c>
      <c r="E30" s="12">
        <v>1613183</v>
      </c>
      <c r="F30" s="12" t="s">
        <v>30</v>
      </c>
      <c r="G30" s="13">
        <v>20417770</v>
      </c>
      <c r="H30" s="12" t="s">
        <v>32</v>
      </c>
      <c r="I30" s="13">
        <v>2</v>
      </c>
      <c r="J30" s="14">
        <v>13</v>
      </c>
      <c r="K30" s="14">
        <v>26</v>
      </c>
    </row>
  </sheetData>
  <autoFilter xmlns:etc="http://www.wps.cn/officeDocument/2017/etCustomData" ref="A7:K30" etc:filterBottomFollowUsedRange="0">
    <extLst/>
  </autoFilter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14:30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19" sqref="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17</v>
      </c>
      <c r="B7" s="4" t="s">
        <v>17</v>
      </c>
      <c r="C7" s="5" t="s">
        <v>17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9</v>
      </c>
      <c r="E8" s="8" t="s">
        <v>17</v>
      </c>
      <c r="F8" s="8" t="s">
        <v>17</v>
      </c>
      <c r="G8" s="8" t="s">
        <v>17</v>
      </c>
      <c r="H8" s="8" t="s">
        <v>17</v>
      </c>
      <c r="I8" s="9">
        <v>1</v>
      </c>
      <c r="J8" s="10"/>
      <c r="K8" s="10">
        <v>8</v>
      </c>
    </row>
    <row r="9" spans="1:11">
      <c r="D9" s="11">
        <v>46185</v>
      </c>
      <c r="E9" s="12">
        <v>1611874</v>
      </c>
      <c r="F9" s="12" t="s">
        <v>30</v>
      </c>
      <c r="G9" s="13">
        <v>20417296</v>
      </c>
      <c r="H9" s="12" t="s">
        <v>81</v>
      </c>
      <c r="I9" s="13">
        <v>1</v>
      </c>
      <c r="J9" s="14">
        <v>8</v>
      </c>
      <c r="K9" s="14">
        <v>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14:30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Q20" sqref="Q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17</v>
      </c>
      <c r="B7" s="4" t="s">
        <v>17</v>
      </c>
      <c r="C7" s="5" t="s">
        <v>17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10</v>
      </c>
      <c r="E8" s="8" t="s">
        <v>17</v>
      </c>
      <c r="F8" s="8" t="s">
        <v>17</v>
      </c>
      <c r="G8" s="8" t="s">
        <v>17</v>
      </c>
      <c r="H8" s="8" t="s">
        <v>17</v>
      </c>
      <c r="I8" s="9">
        <v>1</v>
      </c>
      <c r="J8" s="10"/>
      <c r="K8" s="10">
        <v>16.5</v>
      </c>
    </row>
    <row r="9" spans="1:11">
      <c r="D9" s="11">
        <v>46182</v>
      </c>
      <c r="E9" s="12">
        <v>1610396</v>
      </c>
      <c r="F9" s="12" t="s">
        <v>30</v>
      </c>
      <c r="G9" s="13">
        <v>20422208</v>
      </c>
      <c r="H9" s="12" t="s">
        <v>82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14:30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14" sqref="N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17</v>
      </c>
      <c r="B7" s="4" t="s">
        <v>17</v>
      </c>
      <c r="C7" s="5" t="s">
        <v>17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11</v>
      </c>
      <c r="E8" s="8" t="s">
        <v>17</v>
      </c>
      <c r="F8" s="8" t="s">
        <v>17</v>
      </c>
      <c r="G8" s="8" t="s">
        <v>17</v>
      </c>
      <c r="H8" s="8" t="s">
        <v>17</v>
      </c>
      <c r="I8" s="9">
        <v>2</v>
      </c>
      <c r="J8" s="10"/>
      <c r="K8" s="10">
        <v>110</v>
      </c>
    </row>
    <row r="9" spans="1:11">
      <c r="D9" s="11">
        <v>46184</v>
      </c>
      <c r="E9" s="12">
        <v>1611180</v>
      </c>
      <c r="F9" s="12" t="s">
        <v>33</v>
      </c>
      <c r="G9" s="13">
        <v>20409871</v>
      </c>
      <c r="H9" s="12" t="s">
        <v>83</v>
      </c>
      <c r="I9" s="13">
        <v>1</v>
      </c>
      <c r="J9" s="14">
        <v>55</v>
      </c>
      <c r="K9" s="14">
        <v>55</v>
      </c>
    </row>
    <row r="10" spans="1:11">
      <c r="D10" s="11">
        <v>46185</v>
      </c>
      <c r="E10" s="12">
        <v>1611873</v>
      </c>
      <c r="F10" s="12" t="s">
        <v>33</v>
      </c>
      <c r="G10" s="13">
        <v>20409871</v>
      </c>
      <c r="H10" s="12" t="s">
        <v>83</v>
      </c>
      <c r="I10" s="13">
        <v>1</v>
      </c>
      <c r="J10" s="14">
        <v>55</v>
      </c>
      <c r="K10" s="14">
        <v>55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14:30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17</v>
      </c>
      <c r="B7" s="4" t="s">
        <v>17</v>
      </c>
      <c r="C7" s="5" t="s">
        <v>17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12</v>
      </c>
      <c r="E8" s="8" t="s">
        <v>17</v>
      </c>
      <c r="F8" s="8" t="s">
        <v>17</v>
      </c>
      <c r="G8" s="8" t="s">
        <v>17</v>
      </c>
      <c r="H8" s="8" t="s">
        <v>17</v>
      </c>
      <c r="I8" s="9">
        <v>41</v>
      </c>
      <c r="J8" s="10"/>
      <c r="K8" s="10">
        <v>172</v>
      </c>
    </row>
    <row r="9" spans="1:11">
      <c r="D9" s="11">
        <v>46177</v>
      </c>
      <c r="E9" s="12">
        <v>1609062</v>
      </c>
      <c r="F9" s="12" t="s">
        <v>30</v>
      </c>
      <c r="G9" s="13">
        <v>20427366</v>
      </c>
      <c r="H9" s="12" t="s">
        <v>84</v>
      </c>
      <c r="I9" s="13">
        <v>2</v>
      </c>
      <c r="J9" s="14">
        <v>8</v>
      </c>
      <c r="K9" s="14">
        <v>16</v>
      </c>
    </row>
    <row r="10" spans="1:11">
      <c r="D10" s="11">
        <v>46184</v>
      </c>
      <c r="E10" s="12">
        <v>1611182</v>
      </c>
      <c r="F10" s="12" t="s">
        <v>85</v>
      </c>
      <c r="G10" s="13">
        <v>20417769</v>
      </c>
      <c r="H10" s="12" t="s">
        <v>86</v>
      </c>
      <c r="I10" s="13">
        <v>39</v>
      </c>
      <c r="J10" s="14">
        <v>4</v>
      </c>
      <c r="K10" s="14">
        <v>156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14:30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L29" sqref="L29"/>
    </sheetView>
  </sheetViews>
  <sheetFormatPr defaultColWidth="9" defaultRowHeight="13.5"/>
  <cols>
    <col min="1" max="1" width="0.225" style="15" customWidth="1"/>
    <col min="2" max="2" width="1.09166666666667" style="15" customWidth="1"/>
    <col min="3" max="3" width="1.25833333333333" style="15" customWidth="1"/>
    <col min="4" max="4" width="13.7083333333333" style="15" customWidth="1"/>
    <col min="5" max="5" width="17.025" style="15" customWidth="1"/>
    <col min="6" max="6" width="7.125" style="15" customWidth="1"/>
    <col min="7" max="7" width="18.75" style="15" customWidth="1"/>
    <col min="8" max="8" width="11.75" style="15" customWidth="1"/>
    <col min="9" max="9" width="19.875" style="15" customWidth="1"/>
    <col min="10" max="10" width="11.25" style="15" customWidth="1"/>
    <col min="11" max="16373" width="9" style="15"/>
    <col min="16374" max="16383" width="9" style="16"/>
  </cols>
  <sheetData>
    <row r="1" s="15" customFormat="1" ht="25.5" customHeight="1" spans="1:10">
      <c r="B1" s="1" t="s">
        <v>87</v>
      </c>
    </row>
    <row r="2" s="15" customFormat="1" ht="2" customHeight="1"/>
    <row r="3" s="15" customFormat="1" ht="12.75" customHeight="1" spans="1:10">
      <c r="B3" s="2" t="s">
        <v>88</v>
      </c>
    </row>
    <row r="4" s="15" customFormat="1"/>
    <row r="5" s="15" customFormat="1" ht="2.05" customHeight="1"/>
    <row r="6" s="15" customFormat="1" ht="1.95" customHeight="1" spans="1:10">
      <c r="A6" s="4" t="s">
        <v>17</v>
      </c>
      <c r="B6" s="4" t="s">
        <v>17</v>
      </c>
      <c r="C6" s="4" t="s">
        <v>17</v>
      </c>
      <c r="D6" s="4" t="s">
        <v>17</v>
      </c>
      <c r="E6" s="4" t="s">
        <v>17</v>
      </c>
      <c r="F6" s="4" t="s">
        <v>17</v>
      </c>
      <c r="G6" s="4" t="s">
        <v>17</v>
      </c>
      <c r="H6" s="4" t="s">
        <v>17</v>
      </c>
      <c r="I6" s="4" t="s">
        <v>17</v>
      </c>
      <c r="J6" s="4" t="s">
        <v>17</v>
      </c>
    </row>
    <row r="7" s="15" customFormat="1" ht="14.25" spans="1:10">
      <c r="A7" s="17" t="s">
        <v>17</v>
      </c>
      <c r="B7" s="18" t="s">
        <v>17</v>
      </c>
      <c r="C7" s="17" t="s">
        <v>17</v>
      </c>
      <c r="D7" s="19" t="s">
        <v>89</v>
      </c>
      <c r="E7" s="18" t="s">
        <v>17</v>
      </c>
      <c r="F7" s="18" t="s">
        <v>17</v>
      </c>
      <c r="G7" s="18" t="s">
        <v>17</v>
      </c>
      <c r="H7" s="18" t="s">
        <v>17</v>
      </c>
      <c r="I7" s="17" t="s">
        <v>17</v>
      </c>
      <c r="J7" s="20">
        <f>J9</f>
        <v>-20</v>
      </c>
    </row>
    <row r="8" s="15" customFormat="1" spans="1:10">
      <c r="A8" s="3" t="s">
        <v>17</v>
      </c>
      <c r="C8" s="21" t="s">
        <v>17</v>
      </c>
      <c r="D8" s="21" t="s">
        <v>90</v>
      </c>
      <c r="E8" s="21" t="s">
        <v>91</v>
      </c>
      <c r="F8" s="21" t="s">
        <v>92</v>
      </c>
      <c r="G8" s="21" t="s">
        <v>93</v>
      </c>
      <c r="H8" s="21" t="s">
        <v>25</v>
      </c>
      <c r="I8" s="21" t="s">
        <v>94</v>
      </c>
      <c r="J8" s="21" t="s">
        <v>95</v>
      </c>
    </row>
    <row r="9" s="15" customFormat="1" ht="14.25" spans="1:10">
      <c r="C9" s="21" t="s">
        <v>17</v>
      </c>
      <c r="D9" s="22" t="s">
        <v>96</v>
      </c>
      <c r="E9" s="18" t="s">
        <v>17</v>
      </c>
      <c r="F9" s="18" t="s">
        <v>17</v>
      </c>
      <c r="G9" s="18" t="s">
        <v>17</v>
      </c>
      <c r="H9" s="18" t="s">
        <v>17</v>
      </c>
      <c r="I9" s="21" t="s">
        <v>17</v>
      </c>
      <c r="J9" s="23">
        <f>J10</f>
        <v>-20</v>
      </c>
    </row>
    <row r="10" s="15" customFormat="1" spans="1:10">
      <c r="C10" s="3" t="s">
        <v>17</v>
      </c>
      <c r="D10" s="24" t="s">
        <v>97</v>
      </c>
      <c r="E10" s="18" t="s">
        <v>17</v>
      </c>
      <c r="F10" s="18" t="s">
        <v>17</v>
      </c>
      <c r="G10" s="18" t="s">
        <v>17</v>
      </c>
      <c r="H10" s="18" t="s">
        <v>17</v>
      </c>
      <c r="I10" s="25" t="s">
        <v>17</v>
      </c>
      <c r="J10" s="26">
        <f>J11</f>
        <v>-20</v>
      </c>
    </row>
    <row r="11" s="15" customFormat="1" spans="1:10">
      <c r="D11" s="27"/>
      <c r="E11" s="28">
        <v>46204.5245827546</v>
      </c>
      <c r="F11" s="29" t="s">
        <v>98</v>
      </c>
      <c r="G11" s="30">
        <v>46170.9993095255</v>
      </c>
      <c r="H11" s="12">
        <v>20417769</v>
      </c>
      <c r="I11" s="12" t="s">
        <v>86</v>
      </c>
      <c r="J11" s="31">
        <f>-20</f>
        <v>-20</v>
      </c>
    </row>
  </sheetData>
  <mergeCells count="8">
    <mergeCell ref="B1:I1"/>
    <mergeCell ref="A7:B7"/>
    <mergeCell ref="D7:H7"/>
    <mergeCell ref="D9:H9"/>
    <mergeCell ref="D10:H10"/>
    <mergeCell ref="C10:C11"/>
    <mergeCell ref="A8:B11"/>
    <mergeCell ref="B3:E4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F40" sqref="F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17</v>
      </c>
      <c r="B7" s="4" t="s">
        <v>17</v>
      </c>
      <c r="C7" s="5" t="s">
        <v>17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13</v>
      </c>
      <c r="E8" s="8" t="s">
        <v>17</v>
      </c>
      <c r="F8" s="8" t="s">
        <v>17</v>
      </c>
      <c r="G8" s="8" t="s">
        <v>17</v>
      </c>
      <c r="H8" s="8" t="s">
        <v>17</v>
      </c>
      <c r="I8" s="9">
        <v>1</v>
      </c>
      <c r="J8" s="10"/>
      <c r="K8" s="10">
        <v>16.5</v>
      </c>
    </row>
    <row r="9" spans="1:11">
      <c r="D9" s="11">
        <v>46199</v>
      </c>
      <c r="E9" s="12">
        <v>1615567</v>
      </c>
      <c r="F9" s="12" t="s">
        <v>30</v>
      </c>
      <c r="G9" s="13">
        <v>20422208</v>
      </c>
      <c r="H9" s="12" t="s">
        <v>82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14:30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汇总</vt:lpstr>
      <vt:lpstr>妇科</vt:lpstr>
      <vt:lpstr>肛肠科</vt:lpstr>
      <vt:lpstr>美容科</vt:lpstr>
      <vt:lpstr>肾五科</vt:lpstr>
      <vt:lpstr>手术室</vt:lpstr>
      <vt:lpstr>透析科</vt:lpstr>
      <vt:lpstr>推拿科</vt:lpstr>
      <vt:lpstr>外科</vt:lpstr>
      <vt:lpstr>针三科</vt:lpstr>
      <vt:lpstr>针三费用调整</vt:lpstr>
      <vt:lpstr>针五科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2026-07-01T06:31:00Z</dcterms:created>
  <dcterms:modified xsi:type="dcterms:W3CDTF">2026-07-06T08:13:50Z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C41AA921D45748F9BD6E7A88CEDF0DCD_13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